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How to use" sheetId="2" state="visible" r:id="rId2"/>
    <sheet name="Monthly Plan" sheetId="3" state="visible" r:id="rId3"/>
    <sheet name="Calc other method" sheetId="4" state="hidden" r:id="rId4"/>
    <sheet name="Calc no extr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CHF&quot; #,##0;[Red]&quot;CHF&quot; -#,##0"/>
    <numFmt numFmtId="165" formatCode="0.0"/>
    <numFmt numFmtId="166" formatCode="MMM YYYY"/>
    <numFmt numFmtId="167" formatCode="MMMM YYYY"/>
    <numFmt numFmtId="168" formatCode="&quot;CHF&quot; #,##0.00"/>
    <numFmt numFmtId="169" formatCode="#,##0;[Red]-#,##0"/>
  </numFmts>
  <fonts count="9">
    <font>
      <name val="Calibri"/>
      <family val="2"/>
      <color theme="1"/>
      <sz val="11"/>
      <scheme val="minor"/>
    </font>
    <font>
      <b val="1"/>
      <color rgb="001F2937"/>
      <sz val="18"/>
    </font>
    <font>
      <i val="1"/>
      <color rgb="006B7280"/>
    </font>
    <font>
      <b val="1"/>
      <color rgb="00FFFFFF"/>
    </font>
    <font>
      <b val="1"/>
      <color rgb="00B91C1C"/>
    </font>
    <font>
      <b val="1"/>
      <color rgb="001F2937"/>
    </font>
    <font>
      <b val="1"/>
      <color rgb="00B45309"/>
      <sz val="13"/>
    </font>
    <font>
      <color rgb="006B7280"/>
    </font>
    <font>
      <color rgb="001F2937"/>
    </font>
  </fonts>
  <fills count="5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2B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7DFD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164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1" fontId="5" fillId="4" borderId="1" pivotButton="0" quotePrefix="0" xfId="0"/>
    <xf numFmtId="167" fontId="5" fillId="4" borderId="1" pivotButton="0" quotePrefix="0" xfId="0"/>
    <xf numFmtId="164" fontId="5" fillId="4" borderId="1" pivotButton="0" quotePrefix="0" xfId="0"/>
    <xf numFmtId="0" fontId="5" fillId="0" borderId="0" pivotButton="0" quotePrefix="0" xfId="0"/>
    <xf numFmtId="0" fontId="7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9" fontId="0" fillId="3" borderId="1" pivotButton="0" quotePrefix="0" xfId="0"/>
    <xf numFmtId="169" fontId="0" fillId="3" borderId="0" pivotButton="0" quotePrefix="0" xfId="0"/>
    <xf numFmtId="167" fontId="5" fillId="4" borderId="1" pivotButton="0" quotePrefix="0" xfId="0"/>
    <xf numFmtId="169" fontId="5" fillId="4" borderId="1" pivotButton="0" quotePrefix="0" xfId="0"/>
    <xf numFmtId="0" fontId="8" fillId="0" borderId="0" pivotButton="0" quotePrefix="0" xfId="0"/>
    <xf numFmtId="4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2" customWidth="1" min="4" max="4"/>
    <col width="15" customWidth="1" min="5" max="5"/>
    <col width="16" customWidth="1" min="6" max="6"/>
    <col width="22" customWidth="1" min="7" max="7"/>
  </cols>
  <sheetData>
    <row r="1">
      <c r="B1" s="1" t="inlineStr">
        <is>
          <t>Debt Payoff Planner</t>
        </is>
      </c>
    </row>
    <row r="2">
      <c r="B2" s="2" t="inlineStr">
        <is>
          <t>Fill in the yellow cells. The plan works out, month by month, when you will be debt free.</t>
        </is>
      </c>
    </row>
    <row r="3"/>
    <row r="4"/>
    <row r="5">
      <c r="B5" s="3" t="inlineStr">
        <is>
          <t>Debt</t>
        </is>
      </c>
      <c r="C5" s="3" t="inlineStr">
        <is>
          <t>Balance</t>
        </is>
      </c>
      <c r="D5" s="3" t="inlineStr">
        <is>
          <t>Interest % / yr</t>
        </is>
      </c>
      <c r="E5" s="3" t="inlineStr">
        <is>
          <t>Minimum payment</t>
        </is>
      </c>
      <c r="F5" s="3" t="inlineStr">
        <is>
          <t>Paid off (month)</t>
        </is>
      </c>
      <c r="G5" s="3" t="inlineStr">
        <is>
          <t>Warning</t>
        </is>
      </c>
    </row>
    <row r="6">
      <c r="B6" s="4" t="inlineStr">
        <is>
          <t>Credit card</t>
        </is>
      </c>
      <c r="C6" s="21" t="n">
        <v>3200</v>
      </c>
      <c r="D6" s="6" t="n">
        <v>12</v>
      </c>
      <c r="E6" s="21" t="n">
        <v>120</v>
      </c>
      <c r="F6" s="7">
        <f>'Monthly Plan'!D3</f>
        <v/>
      </c>
      <c r="G6" s="8">
        <f>IF(AND(C6&gt;0,E6&lt;=C6*D6/100/12),"Payment below interest!","")</f>
        <v/>
      </c>
    </row>
    <row r="7">
      <c r="B7" s="4" t="inlineStr">
        <is>
          <t>Personal loan</t>
        </is>
      </c>
      <c r="C7" s="21" t="n">
        <v>15000</v>
      </c>
      <c r="D7" s="6" t="n">
        <v>7.9</v>
      </c>
      <c r="E7" s="21" t="n">
        <v>350</v>
      </c>
      <c r="F7" s="7">
        <f>'Monthly Plan'!J3</f>
        <v/>
      </c>
      <c r="G7" s="8">
        <f>IF(AND(C7&gt;0,E7&lt;=C7*D7/100/12),"Payment below interest!","")</f>
        <v/>
      </c>
    </row>
    <row r="8">
      <c r="B8" s="4" t="inlineStr">
        <is>
          <t>Car loan</t>
        </is>
      </c>
      <c r="C8" s="21" t="n">
        <v>9000</v>
      </c>
      <c r="D8" s="6" t="n">
        <v>4.9</v>
      </c>
      <c r="E8" s="21" t="n">
        <v>280</v>
      </c>
      <c r="F8" s="7">
        <f>'Monthly Plan'!P3</f>
        <v/>
      </c>
      <c r="G8" s="8">
        <f>IF(AND(C8&gt;0,E8&lt;=C8*D8/100/12),"Payment below interest!","")</f>
        <v/>
      </c>
    </row>
    <row r="9">
      <c r="B9" s="4" t="inlineStr">
        <is>
          <t>Family loan</t>
        </is>
      </c>
      <c r="C9" s="21" t="n">
        <v>2000</v>
      </c>
      <c r="D9" s="6" t="n">
        <v>0</v>
      </c>
      <c r="E9" s="21" t="n">
        <v>50</v>
      </c>
      <c r="F9" s="7">
        <f>'Monthly Plan'!V3</f>
        <v/>
      </c>
      <c r="G9" s="8">
        <f>IF(AND(C9&gt;0,E9&lt;=C9*D9/100/12),"Payment below interest!","")</f>
        <v/>
      </c>
    </row>
    <row r="10">
      <c r="B10" s="4" t="inlineStr"/>
      <c r="C10" s="21" t="n">
        <v>0</v>
      </c>
      <c r="D10" s="6" t="n">
        <v>0</v>
      </c>
      <c r="E10" s="21" t="n">
        <v>0</v>
      </c>
      <c r="F10" s="7">
        <f>'Monthly Plan'!AB3</f>
        <v/>
      </c>
      <c r="G10" s="8">
        <f>IF(AND(C10&gt;0,E10&lt;=C10*D10/100/12),"Payment below interest!","")</f>
        <v/>
      </c>
    </row>
    <row r="11">
      <c r="B11" s="4" t="inlineStr"/>
      <c r="C11" s="21" t="n">
        <v>0</v>
      </c>
      <c r="D11" s="6" t="n">
        <v>0</v>
      </c>
      <c r="E11" s="21" t="n">
        <v>0</v>
      </c>
      <c r="F11" s="7">
        <f>'Monthly Plan'!AH3</f>
        <v/>
      </c>
      <c r="G11" s="8">
        <f>IF(AND(C11&gt;0,E11&lt;=C11*D11/100/12),"Payment below interest!","")</f>
        <v/>
      </c>
    </row>
    <row r="12">
      <c r="B12" s="4" t="inlineStr"/>
      <c r="C12" s="21" t="n">
        <v>0</v>
      </c>
      <c r="D12" s="6" t="n">
        <v>0</v>
      </c>
      <c r="E12" s="21" t="n">
        <v>0</v>
      </c>
      <c r="F12" s="7">
        <f>'Monthly Plan'!AN3</f>
        <v/>
      </c>
      <c r="G12" s="8">
        <f>IF(AND(C12&gt;0,E12&lt;=C12*D12/100/12),"Payment below interest!","")</f>
        <v/>
      </c>
    </row>
    <row r="13">
      <c r="B13" s="4" t="inlineStr"/>
      <c r="C13" s="21" t="n">
        <v>0</v>
      </c>
      <c r="D13" s="6" t="n">
        <v>0</v>
      </c>
      <c r="E13" s="21" t="n">
        <v>0</v>
      </c>
      <c r="F13" s="7">
        <f>'Monthly Plan'!AT3</f>
        <v/>
      </c>
      <c r="G13" s="8">
        <f>IF(AND(C13&gt;0,E13&lt;=C13*D13/100/12),"Payment below interest!","")</f>
        <v/>
      </c>
    </row>
    <row r="14"/>
    <row r="15"/>
    <row r="16">
      <c r="B16" t="inlineStr">
        <is>
          <t>Extra per month</t>
        </is>
      </c>
      <c r="C16" s="22" t="n">
        <v>300</v>
      </c>
    </row>
    <row r="17">
      <c r="B17" t="inlineStr">
        <is>
          <t>Method</t>
        </is>
      </c>
      <c r="C17" s="10" t="inlineStr">
        <is>
          <t>Avalanche</t>
        </is>
      </c>
      <c r="D17" s="2" t="inlineStr">
        <is>
          <t>Avalanche = highest interest first (cheapest) · Snowball = smallest balance first</t>
        </is>
      </c>
    </row>
    <row r="18">
      <c r="B18" t="inlineStr">
        <is>
          <t>Start month</t>
        </is>
      </c>
      <c r="C18" s="11">
        <f>DATE(YEAR(TODAY()),MONTH(TODAY())+1,1)</f>
        <v/>
      </c>
    </row>
    <row r="19"/>
    <row r="20">
      <c r="B20" s="12" t="inlineStr">
        <is>
          <t>Result</t>
        </is>
      </c>
    </row>
    <row r="21">
      <c r="B21" s="13" t="inlineStr">
        <is>
          <t>Debt free after (months)</t>
        </is>
      </c>
      <c r="C21" s="14">
        <f>'Monthly Plan'!BA2</f>
        <v/>
      </c>
    </row>
    <row r="22">
      <c r="B22" s="13" t="inlineStr">
        <is>
          <t>Debt free in</t>
        </is>
      </c>
      <c r="C22" s="23">
        <f>IF(ISNUMBER(C21),EDATE(C18,C21-1),"—")</f>
        <v/>
      </c>
    </row>
    <row r="23">
      <c r="B23" s="13" t="inlineStr">
        <is>
          <t>Total interest (chosen method)</t>
        </is>
      </c>
      <c r="C23" s="24">
        <f>'Monthly Plan'!BA1</f>
        <v/>
      </c>
    </row>
    <row r="24">
      <c r="B24" s="13" t="inlineStr">
        <is>
          <t>Interest with the other method</t>
        </is>
      </c>
      <c r="C24" s="24">
        <f>'Calc other method'!BA1</f>
        <v/>
      </c>
    </row>
    <row r="25">
      <c r="B25" s="13" t="inlineStr">
        <is>
          <t>Interest with minimum payments only</t>
        </is>
      </c>
      <c r="C25" s="24">
        <f>'Calc no extra'!BA1</f>
        <v/>
      </c>
    </row>
    <row r="26">
      <c r="B26" s="13" t="inlineStr">
        <is>
          <t>Saved by the extra payment</t>
        </is>
      </c>
      <c r="C26" s="24">
        <f>C25-C23</f>
        <v/>
      </c>
    </row>
    <row r="27">
      <c r="B27" s="13" t="inlineStr">
        <is>
          <t>Debt free with minimums only (months)</t>
        </is>
      </c>
      <c r="C27" s="14">
        <f>'Calc no extra'!BA2</f>
        <v/>
      </c>
    </row>
    <row r="28"/>
    <row r="29">
      <c r="B29" s="2" t="inlineStr">
        <is>
          <t>Tip: the avalanche costs the least interest. The snowball gives you a quick first win. Pick the method you will stick with.</t>
        </is>
      </c>
    </row>
  </sheetData>
  <conditionalFormatting sqref="C6:E13">
    <cfRule type="expression" priority="1" dxfId="0">
      <formula>$G6&lt;&gt;""</formula>
    </cfRule>
  </conditionalFormatting>
  <dataValidations count="1">
    <dataValidation sqref="C17" showDropDown="0" showInputMessage="0" showErrorMessage="0" allowBlank="0" type="list">
      <formula1>"Avalanche,Snowball"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Debt Payoff Planner — how to use it</t>
        </is>
      </c>
    </row>
    <row r="2">
      <c r="A2" s="25" t="inlineStr"/>
    </row>
    <row r="3">
      <c r="A3" s="25" t="inlineStr">
        <is>
          <t>1. Sheet „Plan“: enter up to 8 debts: balance, yearly interest rate from your contract, current minimum payment.</t>
        </is>
      </c>
    </row>
    <row r="4">
      <c r="A4" s="25" t="inlineStr">
        <is>
          <t>2. Enter the extra amount you can pay each month. Even 50 a month shortens the payoff noticeably.</t>
        </is>
      </c>
    </row>
    <row r="5">
      <c r="A5" s="25" t="inlineStr">
        <is>
          <t>3. Pick a method: Avalanche (highest interest first, cheapest) or Snowball (smallest balance first).</t>
        </is>
      </c>
    </row>
    <row r="6">
      <c r="A6" s="25" t="inlineStr">
        <is>
          <t>4. Read the result: debt-free date, total interest, comparison with the other method and with minimums only.</t>
        </is>
      </c>
    </row>
    <row r="7">
      <c r="A7" s="25" t="inlineStr">
        <is>
          <t>5. Sheet „Monthly Plan“: month by month, what happens to each debt. Freed-up payments roll to the next debt.</t>
        </is>
      </c>
    </row>
    <row r="8">
      <c r="A8" s="25" t="inlineStr"/>
    </row>
    <row r="9">
      <c r="A9" s="25" t="inlineStr">
        <is>
          <t>Red in the „Warning“ column: the payment does not even cover the interest, so the debt grows. Fix that first.</t>
        </is>
      </c>
    </row>
    <row r="10">
      <c r="A10" s="25" t="inlineStr">
        <is>
          <t>Build an emergency fund of about three months of expenses first, then pay down debt.</t>
        </is>
      </c>
    </row>
    <row r="11">
      <c r="A11" s="25" t="inlineStr">
        <is>
          <t>Works with any currency. Google Sheets: upload to Google Drive → Open with → Google Sheets.</t>
        </is>
      </c>
    </row>
    <row r="12">
      <c r="A12" s="25" t="inlineStr"/>
    </row>
    <row r="13">
      <c r="A13" s="18" t="inlineStr">
        <is>
          <t>Model calculation without fees or penalty interest, not financial advice. Personal use only.</t>
        </is>
      </c>
    </row>
    <row r="14">
      <c r="A14" s="18" t="inlineStr">
        <is>
          <t>© aban news · abannews.com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  <c r="B1">
        <f>Plan!$C$17</f>
        <v/>
      </c>
      <c r="AZ1" t="inlineStr">
        <is>
          <t>Total interest</t>
        </is>
      </c>
      <c r="BA1" s="26">
        <f>SUM(D7:D366)+SUM(J7:J366)+SUM(P7:P366)+SUM(V7:V366)+SUM(AB7:AB366)+SUM(AH7:AH366)+SUM(AN7:AN366)+SUM(AT7:AT366)</f>
        <v/>
      </c>
    </row>
    <row r="2">
      <c r="A2" t="inlineStr">
        <is>
          <t>Extra per month</t>
        </is>
      </c>
      <c r="B2">
        <f>Plan!$C$16</f>
        <v/>
      </c>
      <c r="AZ2" t="inlineStr">
        <is>
          <t>Debt free after months</t>
        </is>
      </c>
      <c r="BA2">
        <f>IFERROR(MATCH(0,BC7:BC366,0),"30+ years")</f>
        <v/>
      </c>
    </row>
    <row r="3">
      <c r="A3" t="inlineStr">
        <is>
          <t>Budget per month</t>
        </is>
      </c>
      <c r="B3" s="27">
        <f>SUMPRODUCT((Plan!$C$6:$C$13&gt;0)*Plan!$E$6:$E$13)+B2</f>
        <v/>
      </c>
      <c r="C3" t="inlineStr">
        <is>
          <t>paid off in month</t>
        </is>
      </c>
      <c r="D3">
        <f>IF(Plan!C6&lt;=0,"",IFERROR(MATCH(0,H7:H366,0),"30+ yrs"))</f>
        <v/>
      </c>
      <c r="I3" t="inlineStr">
        <is>
          <t>paid off in month</t>
        </is>
      </c>
      <c r="J3">
        <f>IF(Plan!C7&lt;=0,"",IFERROR(MATCH(0,N7:N366,0),"30+ yrs"))</f>
        <v/>
      </c>
      <c r="O3" t="inlineStr">
        <is>
          <t>paid off in month</t>
        </is>
      </c>
      <c r="P3">
        <f>IF(Plan!C8&lt;=0,"",IFERROR(MATCH(0,T7:T366,0),"30+ yrs"))</f>
        <v/>
      </c>
      <c r="U3" t="inlineStr">
        <is>
          <t>paid off in month</t>
        </is>
      </c>
      <c r="V3">
        <f>IF(Plan!C9&lt;=0,"",IFERROR(MATCH(0,Z7:Z366,0),"30+ yrs"))</f>
        <v/>
      </c>
      <c r="AA3" t="inlineStr">
        <is>
          <t>paid off in month</t>
        </is>
      </c>
      <c r="AB3">
        <f>IF(Plan!C10&lt;=0,"",IFERROR(MATCH(0,AF7:AF366,0),"30+ yrs"))</f>
        <v/>
      </c>
      <c r="AG3" t="inlineStr">
        <is>
          <t>paid off in month</t>
        </is>
      </c>
      <c r="AH3">
        <f>IF(Plan!C11&lt;=0,"",IFERROR(MATCH(0,AL7:AL366,0),"30+ yrs"))</f>
        <v/>
      </c>
      <c r="AM3" t="inlineStr">
        <is>
          <t>paid off in month</t>
        </is>
      </c>
      <c r="AN3">
        <f>IF(Plan!C12&lt;=0,"",IFERROR(MATCH(0,AR7:AR366,0),"30+ yrs"))</f>
        <v/>
      </c>
      <c r="AS3" t="inlineStr">
        <is>
          <t>paid off in month</t>
        </is>
      </c>
      <c r="AT3">
        <f>IF(Plan!C13&lt;=0,"",IFERROR(MATCH(0,AX7:AX366,0),"30+ yrs"))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IF(Plan!C6&lt;=0,-1E+15,IF($B$1="Avalanche",Plan!D6*1E+9-Plan!C6,-Plan!C6*1000+Plan!D6))</f>
        <v/>
      </c>
      <c r="D5" t="inlineStr">
        <is>
          <t>Rank</t>
        </is>
      </c>
      <c r="E5">
        <f>1+(C$5&gt;C$5)+(I$5&gt;C$5)+(O$5&gt;C$5)+(U$5&gt;C$5)+(AA$5&gt;C$5)+(AG$5&gt;C$5)+(AM$5&gt;C$5)+(AS$5&gt;C$5)+0</f>
        <v/>
      </c>
      <c r="I5">
        <f>IF(Plan!C7&lt;=0,-1E+15,IF($B$1="Avalanche",Plan!D7*1E+9-Plan!C7,-Plan!C7*1000+Plan!D7))</f>
        <v/>
      </c>
      <c r="J5" t="inlineStr">
        <is>
          <t>Rank</t>
        </is>
      </c>
      <c r="K5">
        <f>1+(C$5&gt;I$5)+(I$5&gt;I$5)+(O$5&gt;I$5)+(U$5&gt;I$5)+(AA$5&gt;I$5)+(AG$5&gt;I$5)+(AM$5&gt;I$5)+(AS$5&gt;I$5)+(C$5=I$5)</f>
        <v/>
      </c>
      <c r="O5">
        <f>IF(Plan!C8&lt;=0,-1E+15,IF($B$1="Avalanche",Plan!D8*1E+9-Plan!C8,-Plan!C8*1000+Plan!D8))</f>
        <v/>
      </c>
      <c r="P5" t="inlineStr">
        <is>
          <t>Rank</t>
        </is>
      </c>
      <c r="Q5">
        <f>1+(C$5&gt;O$5)+(I$5&gt;O$5)+(O$5&gt;O$5)+(U$5&gt;O$5)+(AA$5&gt;O$5)+(AG$5&gt;O$5)+(AM$5&gt;O$5)+(AS$5&gt;O$5)+(C$5=O$5)+(I$5=O$5)</f>
        <v/>
      </c>
      <c r="U5">
        <f>IF(Plan!C9&lt;=0,-1E+15,IF($B$1="Avalanche",Plan!D9*1E+9-Plan!C9,-Plan!C9*1000+Plan!D9))</f>
        <v/>
      </c>
      <c r="V5" t="inlineStr">
        <is>
          <t>Rank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IF(Plan!C10&lt;=0,-1E+15,IF($B$1="Avalanche",Plan!D10*1E+9-Plan!C10,-Plan!C10*1000+Plan!D10))</f>
        <v/>
      </c>
      <c r="AB5" t="inlineStr">
        <is>
          <t>Rank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IF(Plan!C11&lt;=0,-1E+15,IF($B$1="Avalanche",Plan!D11*1E+9-Plan!C11,-Plan!C11*1000+Plan!D11))</f>
        <v/>
      </c>
      <c r="AH5" t="inlineStr">
        <is>
          <t>Rank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IF(Plan!C12&lt;=0,-1E+15,IF($B$1="Avalanche",Plan!D12*1E+9-Plan!C12,-Plan!C12*1000+Plan!D12))</f>
        <v/>
      </c>
      <c r="AN5" t="inlineStr">
        <is>
          <t>Rank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IF(Plan!C13&lt;=0,-1E+15,IF($B$1="Avalanche",Plan!D13*1E+9-Plan!C13,-Plan!C13*1000+Plan!D13))</f>
        <v/>
      </c>
      <c r="AT5" t="inlineStr">
        <is>
          <t>Rank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Month</t>
        </is>
      </c>
      <c r="B6" s="3" t="inlineStr">
        <is>
          <t>free for extra</t>
        </is>
      </c>
      <c r="C6" s="3" t="inlineStr">
        <is>
          <t>Start</t>
        </is>
      </c>
      <c r="D6" s="3" t="inlineStr">
        <is>
          <t>Interest</t>
        </is>
      </c>
      <c r="E6" s="3" t="inlineStr">
        <is>
          <t>Minimum</t>
        </is>
      </c>
      <c r="F6" s="3" t="inlineStr">
        <is>
          <t>Remaining</t>
        </is>
      </c>
      <c r="G6" s="3" t="inlineStr">
        <is>
          <t>Extra</t>
        </is>
      </c>
      <c r="H6" s="3" t="inlineStr">
        <is>
          <t>End</t>
        </is>
      </c>
      <c r="I6" s="3" t="inlineStr">
        <is>
          <t>Start</t>
        </is>
      </c>
      <c r="J6" s="3" t="inlineStr">
        <is>
          <t>Interest</t>
        </is>
      </c>
      <c r="K6" s="3" t="inlineStr">
        <is>
          <t>Minimum</t>
        </is>
      </c>
      <c r="L6" s="3" t="inlineStr">
        <is>
          <t>Remaining</t>
        </is>
      </c>
      <c r="M6" s="3" t="inlineStr">
        <is>
          <t>Extra</t>
        </is>
      </c>
      <c r="N6" s="3" t="inlineStr">
        <is>
          <t>End</t>
        </is>
      </c>
      <c r="O6" s="3" t="inlineStr">
        <is>
          <t>Start</t>
        </is>
      </c>
      <c r="P6" s="3" t="inlineStr">
        <is>
          <t>Interest</t>
        </is>
      </c>
      <c r="Q6" s="3" t="inlineStr">
        <is>
          <t>Minimum</t>
        </is>
      </c>
      <c r="R6" s="3" t="inlineStr">
        <is>
          <t>Remaining</t>
        </is>
      </c>
      <c r="S6" s="3" t="inlineStr">
        <is>
          <t>Extra</t>
        </is>
      </c>
      <c r="T6" s="3" t="inlineStr">
        <is>
          <t>End</t>
        </is>
      </c>
      <c r="U6" s="3" t="inlineStr">
        <is>
          <t>Start</t>
        </is>
      </c>
      <c r="V6" s="3" t="inlineStr">
        <is>
          <t>Interest</t>
        </is>
      </c>
      <c r="W6" s="3" t="inlineStr">
        <is>
          <t>Minimum</t>
        </is>
      </c>
      <c r="X6" s="3" t="inlineStr">
        <is>
          <t>Remaining</t>
        </is>
      </c>
      <c r="Y6" s="3" t="inlineStr">
        <is>
          <t>Extra</t>
        </is>
      </c>
      <c r="Z6" s="3" t="inlineStr">
        <is>
          <t>End</t>
        </is>
      </c>
      <c r="AA6" s="3" t="inlineStr">
        <is>
          <t>Start</t>
        </is>
      </c>
      <c r="AB6" s="3" t="inlineStr">
        <is>
          <t>Interest</t>
        </is>
      </c>
      <c r="AC6" s="3" t="inlineStr">
        <is>
          <t>Minimum</t>
        </is>
      </c>
      <c r="AD6" s="3" t="inlineStr">
        <is>
          <t>Remaining</t>
        </is>
      </c>
      <c r="AE6" s="3" t="inlineStr">
        <is>
          <t>Extra</t>
        </is>
      </c>
      <c r="AF6" s="3" t="inlineStr">
        <is>
          <t>End</t>
        </is>
      </c>
      <c r="AG6" s="3" t="inlineStr">
        <is>
          <t>Start</t>
        </is>
      </c>
      <c r="AH6" s="3" t="inlineStr">
        <is>
          <t>Interest</t>
        </is>
      </c>
      <c r="AI6" s="3" t="inlineStr">
        <is>
          <t>Minimum</t>
        </is>
      </c>
      <c r="AJ6" s="3" t="inlineStr">
        <is>
          <t>Remaining</t>
        </is>
      </c>
      <c r="AK6" s="3" t="inlineStr">
        <is>
          <t>Extra</t>
        </is>
      </c>
      <c r="AL6" s="3" t="inlineStr">
        <is>
          <t>End</t>
        </is>
      </c>
      <c r="AM6" s="3" t="inlineStr">
        <is>
          <t>Start</t>
        </is>
      </c>
      <c r="AN6" s="3" t="inlineStr">
        <is>
          <t>Interest</t>
        </is>
      </c>
      <c r="AO6" s="3" t="inlineStr">
        <is>
          <t>Minimum</t>
        </is>
      </c>
      <c r="AP6" s="3" t="inlineStr">
        <is>
          <t>Remaining</t>
        </is>
      </c>
      <c r="AQ6" s="3" t="inlineStr">
        <is>
          <t>Extra</t>
        </is>
      </c>
      <c r="AR6" s="3" t="inlineStr">
        <is>
          <t>End</t>
        </is>
      </c>
      <c r="AS6" s="3" t="inlineStr">
        <is>
          <t>Start</t>
        </is>
      </c>
      <c r="AT6" s="3" t="inlineStr">
        <is>
          <t>Interest</t>
        </is>
      </c>
      <c r="AU6" s="3" t="inlineStr">
        <is>
          <t>Minimum</t>
        </is>
      </c>
      <c r="AV6" s="3" t="inlineStr">
        <is>
          <t>Remaining</t>
        </is>
      </c>
      <c r="AW6" s="3" t="inlineStr">
        <is>
          <t>Extra</t>
        </is>
      </c>
      <c r="AX6" s="3" t="inlineStr">
        <is>
          <t>End</t>
        </is>
      </c>
      <c r="BC6" s="17" t="inlineStr">
        <is>
          <t>total owed</t>
        </is>
      </c>
    </row>
    <row r="7">
      <c r="A7" t="n">
        <v>1</v>
      </c>
      <c r="B7" s="26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26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26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26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26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26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26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26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26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26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26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26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26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26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26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26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26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26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26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26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26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26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26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26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26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26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26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26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26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26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26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26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26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26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26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26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26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26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26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26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26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26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26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26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26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26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26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26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26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26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26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26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26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26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26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26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26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26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26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26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26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26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26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26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26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26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26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26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26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26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26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26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26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26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26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26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26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26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26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26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26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26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26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26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26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26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26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26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26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26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26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26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26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26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26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26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26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26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26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26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26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26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26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26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26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26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26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26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26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26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26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26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26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26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26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26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26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26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26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26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26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26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26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26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26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26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26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26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26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26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26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26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26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26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26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26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26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26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26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26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26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26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26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26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26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26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26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26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26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26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26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26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26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26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26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26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26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26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26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26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26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26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26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26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26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26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26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26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26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26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26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26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26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26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26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26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26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26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26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26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26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26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26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26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26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26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26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26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26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26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26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26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26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26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26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26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26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26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26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26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26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26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26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26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26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26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26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26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26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26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26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26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26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26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26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26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26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26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26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26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26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26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26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26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26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26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26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26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26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26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26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26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26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26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26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26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26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26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26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26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26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26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26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26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26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26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26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26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26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26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26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26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26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26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26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26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26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26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26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26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26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26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26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26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26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26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26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26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26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26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26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26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26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26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26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26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26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26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26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26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26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26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26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26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26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26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26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26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26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26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26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26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26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26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26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26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26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26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26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26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26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26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26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26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26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26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26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26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26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26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26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26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26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26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26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26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26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26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26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26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26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26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26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26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26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26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26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26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26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26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26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26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26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26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26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26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26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26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26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26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26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26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26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26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26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26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26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26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26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26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26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26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26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26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26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26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26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26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26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26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  <c r="B1">
        <f>IF(Plan!$C$17="Avalanche","Snowball","Avalanche")</f>
        <v/>
      </c>
      <c r="AZ1" t="inlineStr">
        <is>
          <t>Total interest</t>
        </is>
      </c>
      <c r="BA1" s="26">
        <f>SUM(D7:D366)+SUM(J7:J366)+SUM(P7:P366)+SUM(V7:V366)+SUM(AB7:AB366)+SUM(AH7:AH366)+SUM(AN7:AN366)+SUM(AT7:AT366)</f>
        <v/>
      </c>
    </row>
    <row r="2">
      <c r="A2" t="inlineStr">
        <is>
          <t>Extra per month</t>
        </is>
      </c>
      <c r="B2">
        <f>Plan!$C$16</f>
        <v/>
      </c>
      <c r="AZ2" t="inlineStr">
        <is>
          <t>Debt free after months</t>
        </is>
      </c>
      <c r="BA2">
        <f>IFERROR(MATCH(0,BC7:BC366,0),"30+ years")</f>
        <v/>
      </c>
    </row>
    <row r="3">
      <c r="A3" t="inlineStr">
        <is>
          <t>Budget per month</t>
        </is>
      </c>
      <c r="B3" s="27">
        <f>SUMPRODUCT((Plan!$C$6:$C$13&gt;0)*Plan!$E$6:$E$13)+B2</f>
        <v/>
      </c>
      <c r="C3" t="inlineStr">
        <is>
          <t>paid off in month</t>
        </is>
      </c>
      <c r="D3">
        <f>IF(Plan!C6&lt;=0,"",IFERROR(MATCH(0,H7:H366,0),"30+ yrs"))</f>
        <v/>
      </c>
      <c r="I3" t="inlineStr">
        <is>
          <t>paid off in month</t>
        </is>
      </c>
      <c r="J3">
        <f>IF(Plan!C7&lt;=0,"",IFERROR(MATCH(0,N7:N366,0),"30+ yrs"))</f>
        <v/>
      </c>
      <c r="O3" t="inlineStr">
        <is>
          <t>paid off in month</t>
        </is>
      </c>
      <c r="P3">
        <f>IF(Plan!C8&lt;=0,"",IFERROR(MATCH(0,T7:T366,0),"30+ yrs"))</f>
        <v/>
      </c>
      <c r="U3" t="inlineStr">
        <is>
          <t>paid off in month</t>
        </is>
      </c>
      <c r="V3">
        <f>IF(Plan!C9&lt;=0,"",IFERROR(MATCH(0,Z7:Z366,0),"30+ yrs"))</f>
        <v/>
      </c>
      <c r="AA3" t="inlineStr">
        <is>
          <t>paid off in month</t>
        </is>
      </c>
      <c r="AB3">
        <f>IF(Plan!C10&lt;=0,"",IFERROR(MATCH(0,AF7:AF366,0),"30+ yrs"))</f>
        <v/>
      </c>
      <c r="AG3" t="inlineStr">
        <is>
          <t>paid off in month</t>
        </is>
      </c>
      <c r="AH3">
        <f>IF(Plan!C11&lt;=0,"",IFERROR(MATCH(0,AL7:AL366,0),"30+ yrs"))</f>
        <v/>
      </c>
      <c r="AM3" t="inlineStr">
        <is>
          <t>paid off in month</t>
        </is>
      </c>
      <c r="AN3">
        <f>IF(Plan!C12&lt;=0,"",IFERROR(MATCH(0,AR7:AR366,0),"30+ yrs"))</f>
        <v/>
      </c>
      <c r="AS3" t="inlineStr">
        <is>
          <t>paid off in month</t>
        </is>
      </c>
      <c r="AT3">
        <f>IF(Plan!C13&lt;=0,"",IFERROR(MATCH(0,AX7:AX366,0),"30+ yrs"))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IF(Plan!C6&lt;=0,-1E+15,IF($B$1="Avalanche",Plan!D6*1E+9-Plan!C6,-Plan!C6*1000+Plan!D6))</f>
        <v/>
      </c>
      <c r="D5" t="inlineStr">
        <is>
          <t>Rank</t>
        </is>
      </c>
      <c r="E5">
        <f>1+(C$5&gt;C$5)+(I$5&gt;C$5)+(O$5&gt;C$5)+(U$5&gt;C$5)+(AA$5&gt;C$5)+(AG$5&gt;C$5)+(AM$5&gt;C$5)+(AS$5&gt;C$5)+0</f>
        <v/>
      </c>
      <c r="I5">
        <f>IF(Plan!C7&lt;=0,-1E+15,IF($B$1="Avalanche",Plan!D7*1E+9-Plan!C7,-Plan!C7*1000+Plan!D7))</f>
        <v/>
      </c>
      <c r="J5" t="inlineStr">
        <is>
          <t>Rank</t>
        </is>
      </c>
      <c r="K5">
        <f>1+(C$5&gt;I$5)+(I$5&gt;I$5)+(O$5&gt;I$5)+(U$5&gt;I$5)+(AA$5&gt;I$5)+(AG$5&gt;I$5)+(AM$5&gt;I$5)+(AS$5&gt;I$5)+(C$5=I$5)</f>
        <v/>
      </c>
      <c r="O5">
        <f>IF(Plan!C8&lt;=0,-1E+15,IF($B$1="Avalanche",Plan!D8*1E+9-Plan!C8,-Plan!C8*1000+Plan!D8))</f>
        <v/>
      </c>
      <c r="P5" t="inlineStr">
        <is>
          <t>Rank</t>
        </is>
      </c>
      <c r="Q5">
        <f>1+(C$5&gt;O$5)+(I$5&gt;O$5)+(O$5&gt;O$5)+(U$5&gt;O$5)+(AA$5&gt;O$5)+(AG$5&gt;O$5)+(AM$5&gt;O$5)+(AS$5&gt;O$5)+(C$5=O$5)+(I$5=O$5)</f>
        <v/>
      </c>
      <c r="U5">
        <f>IF(Plan!C9&lt;=0,-1E+15,IF($B$1="Avalanche",Plan!D9*1E+9-Plan!C9,-Plan!C9*1000+Plan!D9))</f>
        <v/>
      </c>
      <c r="V5" t="inlineStr">
        <is>
          <t>Rank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IF(Plan!C10&lt;=0,-1E+15,IF($B$1="Avalanche",Plan!D10*1E+9-Plan!C10,-Plan!C10*1000+Plan!D10))</f>
        <v/>
      </c>
      <c r="AB5" t="inlineStr">
        <is>
          <t>Rank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IF(Plan!C11&lt;=0,-1E+15,IF($B$1="Avalanche",Plan!D11*1E+9-Plan!C11,-Plan!C11*1000+Plan!D11))</f>
        <v/>
      </c>
      <c r="AH5" t="inlineStr">
        <is>
          <t>Rank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IF(Plan!C12&lt;=0,-1E+15,IF($B$1="Avalanche",Plan!D12*1E+9-Plan!C12,-Plan!C12*1000+Plan!D12))</f>
        <v/>
      </c>
      <c r="AN5" t="inlineStr">
        <is>
          <t>Rank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IF(Plan!C13&lt;=0,-1E+15,IF($B$1="Avalanche",Plan!D13*1E+9-Plan!C13,-Plan!C13*1000+Plan!D13))</f>
        <v/>
      </c>
      <c r="AT5" t="inlineStr">
        <is>
          <t>Rank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Month</t>
        </is>
      </c>
      <c r="B6" s="3" t="inlineStr">
        <is>
          <t>free for extra</t>
        </is>
      </c>
      <c r="C6" s="3" t="inlineStr">
        <is>
          <t>Start</t>
        </is>
      </c>
      <c r="D6" s="3" t="inlineStr">
        <is>
          <t>Interest</t>
        </is>
      </c>
      <c r="E6" s="3" t="inlineStr">
        <is>
          <t>Minimum</t>
        </is>
      </c>
      <c r="F6" s="3" t="inlineStr">
        <is>
          <t>Remaining</t>
        </is>
      </c>
      <c r="G6" s="3" t="inlineStr">
        <is>
          <t>Extra</t>
        </is>
      </c>
      <c r="H6" s="3" t="inlineStr">
        <is>
          <t>End</t>
        </is>
      </c>
      <c r="I6" s="3" t="inlineStr">
        <is>
          <t>Start</t>
        </is>
      </c>
      <c r="J6" s="3" t="inlineStr">
        <is>
          <t>Interest</t>
        </is>
      </c>
      <c r="K6" s="3" t="inlineStr">
        <is>
          <t>Minimum</t>
        </is>
      </c>
      <c r="L6" s="3" t="inlineStr">
        <is>
          <t>Remaining</t>
        </is>
      </c>
      <c r="M6" s="3" t="inlineStr">
        <is>
          <t>Extra</t>
        </is>
      </c>
      <c r="N6" s="3" t="inlineStr">
        <is>
          <t>End</t>
        </is>
      </c>
      <c r="O6" s="3" t="inlineStr">
        <is>
          <t>Start</t>
        </is>
      </c>
      <c r="P6" s="3" t="inlineStr">
        <is>
          <t>Interest</t>
        </is>
      </c>
      <c r="Q6" s="3" t="inlineStr">
        <is>
          <t>Minimum</t>
        </is>
      </c>
      <c r="R6" s="3" t="inlineStr">
        <is>
          <t>Remaining</t>
        </is>
      </c>
      <c r="S6" s="3" t="inlineStr">
        <is>
          <t>Extra</t>
        </is>
      </c>
      <c r="T6" s="3" t="inlineStr">
        <is>
          <t>End</t>
        </is>
      </c>
      <c r="U6" s="3" t="inlineStr">
        <is>
          <t>Start</t>
        </is>
      </c>
      <c r="V6" s="3" t="inlineStr">
        <is>
          <t>Interest</t>
        </is>
      </c>
      <c r="W6" s="3" t="inlineStr">
        <is>
          <t>Minimum</t>
        </is>
      </c>
      <c r="X6" s="3" t="inlineStr">
        <is>
          <t>Remaining</t>
        </is>
      </c>
      <c r="Y6" s="3" t="inlineStr">
        <is>
          <t>Extra</t>
        </is>
      </c>
      <c r="Z6" s="3" t="inlineStr">
        <is>
          <t>End</t>
        </is>
      </c>
      <c r="AA6" s="3" t="inlineStr">
        <is>
          <t>Start</t>
        </is>
      </c>
      <c r="AB6" s="3" t="inlineStr">
        <is>
          <t>Interest</t>
        </is>
      </c>
      <c r="AC6" s="3" t="inlineStr">
        <is>
          <t>Minimum</t>
        </is>
      </c>
      <c r="AD6" s="3" t="inlineStr">
        <is>
          <t>Remaining</t>
        </is>
      </c>
      <c r="AE6" s="3" t="inlineStr">
        <is>
          <t>Extra</t>
        </is>
      </c>
      <c r="AF6" s="3" t="inlineStr">
        <is>
          <t>End</t>
        </is>
      </c>
      <c r="AG6" s="3" t="inlineStr">
        <is>
          <t>Start</t>
        </is>
      </c>
      <c r="AH6" s="3" t="inlineStr">
        <is>
          <t>Interest</t>
        </is>
      </c>
      <c r="AI6" s="3" t="inlineStr">
        <is>
          <t>Minimum</t>
        </is>
      </c>
      <c r="AJ6" s="3" t="inlineStr">
        <is>
          <t>Remaining</t>
        </is>
      </c>
      <c r="AK6" s="3" t="inlineStr">
        <is>
          <t>Extra</t>
        </is>
      </c>
      <c r="AL6" s="3" t="inlineStr">
        <is>
          <t>End</t>
        </is>
      </c>
      <c r="AM6" s="3" t="inlineStr">
        <is>
          <t>Start</t>
        </is>
      </c>
      <c r="AN6" s="3" t="inlineStr">
        <is>
          <t>Interest</t>
        </is>
      </c>
      <c r="AO6" s="3" t="inlineStr">
        <is>
          <t>Minimum</t>
        </is>
      </c>
      <c r="AP6" s="3" t="inlineStr">
        <is>
          <t>Remaining</t>
        </is>
      </c>
      <c r="AQ6" s="3" t="inlineStr">
        <is>
          <t>Extra</t>
        </is>
      </c>
      <c r="AR6" s="3" t="inlineStr">
        <is>
          <t>End</t>
        </is>
      </c>
      <c r="AS6" s="3" t="inlineStr">
        <is>
          <t>Start</t>
        </is>
      </c>
      <c r="AT6" s="3" t="inlineStr">
        <is>
          <t>Interest</t>
        </is>
      </c>
      <c r="AU6" s="3" t="inlineStr">
        <is>
          <t>Minimum</t>
        </is>
      </c>
      <c r="AV6" s="3" t="inlineStr">
        <is>
          <t>Remaining</t>
        </is>
      </c>
      <c r="AW6" s="3" t="inlineStr">
        <is>
          <t>Extra</t>
        </is>
      </c>
      <c r="AX6" s="3" t="inlineStr">
        <is>
          <t>End</t>
        </is>
      </c>
      <c r="BC6" s="17" t="inlineStr">
        <is>
          <t>total owed</t>
        </is>
      </c>
    </row>
    <row r="7">
      <c r="A7" t="n">
        <v>1</v>
      </c>
      <c r="B7" s="26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26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26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26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26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26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26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26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26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26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26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26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26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26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26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26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26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26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26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26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26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26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26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26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26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26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26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26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26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26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26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26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26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26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26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26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26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26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26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26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26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26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26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26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26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26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26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26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26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26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26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26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26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26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26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26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26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26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26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26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26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26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26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26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26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26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26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26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26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26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26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26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26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26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26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26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26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26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26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26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26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26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26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26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26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26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26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26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26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26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26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26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26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26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26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26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26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26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26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26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26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26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26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26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26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26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26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26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26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26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26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26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26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26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26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26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26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26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26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26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26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26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26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26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26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26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26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26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26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26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26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26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26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26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26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26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26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26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26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26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26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26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26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26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26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26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26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26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26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26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26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26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26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26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26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26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26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26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26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26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26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26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26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26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26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26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26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26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26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26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26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26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26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26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26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26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26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26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26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26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26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26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26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26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26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26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26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26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26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26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26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26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26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26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26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26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26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26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26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26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26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26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26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26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26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26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26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26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26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26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26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26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26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26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26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26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26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26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26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26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26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26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26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26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26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26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26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26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26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26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26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26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26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26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26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26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26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26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26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26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26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26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26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26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26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26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26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26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26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26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26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26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26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26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26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26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26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26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26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26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26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26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26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26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26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26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26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26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26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26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26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26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26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26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26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26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26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26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26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26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26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26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26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26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26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26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26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26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26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26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26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26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26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26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26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26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26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26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26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26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26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26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26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26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26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26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26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26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26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26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26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26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26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26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26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26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26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26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26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26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26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26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26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26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26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26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26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26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26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26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26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26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26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26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26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26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26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26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26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26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26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26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26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26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26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26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26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26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26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26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26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26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26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26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26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26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26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26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26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26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  <c r="B1">
        <f>Plan!$C$17</f>
        <v/>
      </c>
      <c r="AZ1" t="inlineStr">
        <is>
          <t>Total interest</t>
        </is>
      </c>
      <c r="BA1" s="26">
        <f>SUM(D7:D366)+SUM(J7:J366)+SUM(P7:P366)+SUM(V7:V366)+SUM(AB7:AB366)+SUM(AH7:AH366)+SUM(AN7:AN366)+SUM(AT7:AT366)</f>
        <v/>
      </c>
    </row>
    <row r="2">
      <c r="A2" t="inlineStr">
        <is>
          <t>Extra per month</t>
        </is>
      </c>
      <c r="B2">
        <f>0</f>
        <v/>
      </c>
      <c r="AZ2" t="inlineStr">
        <is>
          <t>Debt free after months</t>
        </is>
      </c>
      <c r="BA2">
        <f>IFERROR(MATCH(0,BC7:BC366,0),"30+ years")</f>
        <v/>
      </c>
    </row>
    <row r="3">
      <c r="A3" t="inlineStr">
        <is>
          <t>Budget per month</t>
        </is>
      </c>
      <c r="B3" s="27">
        <f>SUMPRODUCT((Plan!$C$6:$C$13&gt;0)*Plan!$E$6:$E$13)+B2</f>
        <v/>
      </c>
      <c r="C3" t="inlineStr">
        <is>
          <t>paid off in month</t>
        </is>
      </c>
      <c r="D3">
        <f>IF(Plan!C6&lt;=0,"",IFERROR(MATCH(0,H7:H366,0),"30+ yrs"))</f>
        <v/>
      </c>
      <c r="I3" t="inlineStr">
        <is>
          <t>paid off in month</t>
        </is>
      </c>
      <c r="J3">
        <f>IF(Plan!C7&lt;=0,"",IFERROR(MATCH(0,N7:N366,0),"30+ yrs"))</f>
        <v/>
      </c>
      <c r="O3" t="inlineStr">
        <is>
          <t>paid off in month</t>
        </is>
      </c>
      <c r="P3">
        <f>IF(Plan!C8&lt;=0,"",IFERROR(MATCH(0,T7:T366,0),"30+ yrs"))</f>
        <v/>
      </c>
      <c r="U3" t="inlineStr">
        <is>
          <t>paid off in month</t>
        </is>
      </c>
      <c r="V3">
        <f>IF(Plan!C9&lt;=0,"",IFERROR(MATCH(0,Z7:Z366,0),"30+ yrs"))</f>
        <v/>
      </c>
      <c r="AA3" t="inlineStr">
        <is>
          <t>paid off in month</t>
        </is>
      </c>
      <c r="AB3">
        <f>IF(Plan!C10&lt;=0,"",IFERROR(MATCH(0,AF7:AF366,0),"30+ yrs"))</f>
        <v/>
      </c>
      <c r="AG3" t="inlineStr">
        <is>
          <t>paid off in month</t>
        </is>
      </c>
      <c r="AH3">
        <f>IF(Plan!C11&lt;=0,"",IFERROR(MATCH(0,AL7:AL366,0),"30+ yrs"))</f>
        <v/>
      </c>
      <c r="AM3" t="inlineStr">
        <is>
          <t>paid off in month</t>
        </is>
      </c>
      <c r="AN3">
        <f>IF(Plan!C12&lt;=0,"",IFERROR(MATCH(0,AR7:AR366,0),"30+ yrs"))</f>
        <v/>
      </c>
      <c r="AS3" t="inlineStr">
        <is>
          <t>paid off in month</t>
        </is>
      </c>
      <c r="AT3">
        <f>IF(Plan!C13&lt;=0,"",IFERROR(MATCH(0,AX7:AX366,0),"30+ yrs"))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IF(Plan!C6&lt;=0,-1E+15,IF($B$1="Avalanche",Plan!D6*1E+9-Plan!C6,-Plan!C6*1000+Plan!D6))</f>
        <v/>
      </c>
      <c r="D5" t="inlineStr">
        <is>
          <t>Rank</t>
        </is>
      </c>
      <c r="E5">
        <f>1+(C$5&gt;C$5)+(I$5&gt;C$5)+(O$5&gt;C$5)+(U$5&gt;C$5)+(AA$5&gt;C$5)+(AG$5&gt;C$5)+(AM$5&gt;C$5)+(AS$5&gt;C$5)+0</f>
        <v/>
      </c>
      <c r="I5">
        <f>IF(Plan!C7&lt;=0,-1E+15,IF($B$1="Avalanche",Plan!D7*1E+9-Plan!C7,-Plan!C7*1000+Plan!D7))</f>
        <v/>
      </c>
      <c r="J5" t="inlineStr">
        <is>
          <t>Rank</t>
        </is>
      </c>
      <c r="K5">
        <f>1+(C$5&gt;I$5)+(I$5&gt;I$5)+(O$5&gt;I$5)+(U$5&gt;I$5)+(AA$5&gt;I$5)+(AG$5&gt;I$5)+(AM$5&gt;I$5)+(AS$5&gt;I$5)+(C$5=I$5)</f>
        <v/>
      </c>
      <c r="O5">
        <f>IF(Plan!C8&lt;=0,-1E+15,IF($B$1="Avalanche",Plan!D8*1E+9-Plan!C8,-Plan!C8*1000+Plan!D8))</f>
        <v/>
      </c>
      <c r="P5" t="inlineStr">
        <is>
          <t>Rank</t>
        </is>
      </c>
      <c r="Q5">
        <f>1+(C$5&gt;O$5)+(I$5&gt;O$5)+(O$5&gt;O$5)+(U$5&gt;O$5)+(AA$5&gt;O$5)+(AG$5&gt;O$5)+(AM$5&gt;O$5)+(AS$5&gt;O$5)+(C$5=O$5)+(I$5=O$5)</f>
        <v/>
      </c>
      <c r="U5">
        <f>IF(Plan!C9&lt;=0,-1E+15,IF($B$1="Avalanche",Plan!D9*1E+9-Plan!C9,-Plan!C9*1000+Plan!D9))</f>
        <v/>
      </c>
      <c r="V5" t="inlineStr">
        <is>
          <t>Rank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IF(Plan!C10&lt;=0,-1E+15,IF($B$1="Avalanche",Plan!D10*1E+9-Plan!C10,-Plan!C10*1000+Plan!D10))</f>
        <v/>
      </c>
      <c r="AB5" t="inlineStr">
        <is>
          <t>Rank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IF(Plan!C11&lt;=0,-1E+15,IF($B$1="Avalanche",Plan!D11*1E+9-Plan!C11,-Plan!C11*1000+Plan!D11))</f>
        <v/>
      </c>
      <c r="AH5" t="inlineStr">
        <is>
          <t>Rank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IF(Plan!C12&lt;=0,-1E+15,IF($B$1="Avalanche",Plan!D12*1E+9-Plan!C12,-Plan!C12*1000+Plan!D12))</f>
        <v/>
      </c>
      <c r="AN5" t="inlineStr">
        <is>
          <t>Rank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IF(Plan!C13&lt;=0,-1E+15,IF($B$1="Avalanche",Plan!D13*1E+9-Plan!C13,-Plan!C13*1000+Plan!D13))</f>
        <v/>
      </c>
      <c r="AT5" t="inlineStr">
        <is>
          <t>Rank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Month</t>
        </is>
      </c>
      <c r="B6" s="3" t="inlineStr">
        <is>
          <t>free for extra</t>
        </is>
      </c>
      <c r="C6" s="3" t="inlineStr">
        <is>
          <t>Start</t>
        </is>
      </c>
      <c r="D6" s="3" t="inlineStr">
        <is>
          <t>Interest</t>
        </is>
      </c>
      <c r="E6" s="3" t="inlineStr">
        <is>
          <t>Minimum</t>
        </is>
      </c>
      <c r="F6" s="3" t="inlineStr">
        <is>
          <t>Remaining</t>
        </is>
      </c>
      <c r="G6" s="3" t="inlineStr">
        <is>
          <t>Extra</t>
        </is>
      </c>
      <c r="H6" s="3" t="inlineStr">
        <is>
          <t>End</t>
        </is>
      </c>
      <c r="I6" s="3" t="inlineStr">
        <is>
          <t>Start</t>
        </is>
      </c>
      <c r="J6" s="3" t="inlineStr">
        <is>
          <t>Interest</t>
        </is>
      </c>
      <c r="K6" s="3" t="inlineStr">
        <is>
          <t>Minimum</t>
        </is>
      </c>
      <c r="L6" s="3" t="inlineStr">
        <is>
          <t>Remaining</t>
        </is>
      </c>
      <c r="M6" s="3" t="inlineStr">
        <is>
          <t>Extra</t>
        </is>
      </c>
      <c r="N6" s="3" t="inlineStr">
        <is>
          <t>End</t>
        </is>
      </c>
      <c r="O6" s="3" t="inlineStr">
        <is>
          <t>Start</t>
        </is>
      </c>
      <c r="P6" s="3" t="inlineStr">
        <is>
          <t>Interest</t>
        </is>
      </c>
      <c r="Q6" s="3" t="inlineStr">
        <is>
          <t>Minimum</t>
        </is>
      </c>
      <c r="R6" s="3" t="inlineStr">
        <is>
          <t>Remaining</t>
        </is>
      </c>
      <c r="S6" s="3" t="inlineStr">
        <is>
          <t>Extra</t>
        </is>
      </c>
      <c r="T6" s="3" t="inlineStr">
        <is>
          <t>End</t>
        </is>
      </c>
      <c r="U6" s="3" t="inlineStr">
        <is>
          <t>Start</t>
        </is>
      </c>
      <c r="V6" s="3" t="inlineStr">
        <is>
          <t>Interest</t>
        </is>
      </c>
      <c r="W6" s="3" t="inlineStr">
        <is>
          <t>Minimum</t>
        </is>
      </c>
      <c r="X6" s="3" t="inlineStr">
        <is>
          <t>Remaining</t>
        </is>
      </c>
      <c r="Y6" s="3" t="inlineStr">
        <is>
          <t>Extra</t>
        </is>
      </c>
      <c r="Z6" s="3" t="inlineStr">
        <is>
          <t>End</t>
        </is>
      </c>
      <c r="AA6" s="3" t="inlineStr">
        <is>
          <t>Start</t>
        </is>
      </c>
      <c r="AB6" s="3" t="inlineStr">
        <is>
          <t>Interest</t>
        </is>
      </c>
      <c r="AC6" s="3" t="inlineStr">
        <is>
          <t>Minimum</t>
        </is>
      </c>
      <c r="AD6" s="3" t="inlineStr">
        <is>
          <t>Remaining</t>
        </is>
      </c>
      <c r="AE6" s="3" t="inlineStr">
        <is>
          <t>Extra</t>
        </is>
      </c>
      <c r="AF6" s="3" t="inlineStr">
        <is>
          <t>End</t>
        </is>
      </c>
      <c r="AG6" s="3" t="inlineStr">
        <is>
          <t>Start</t>
        </is>
      </c>
      <c r="AH6" s="3" t="inlineStr">
        <is>
          <t>Interest</t>
        </is>
      </c>
      <c r="AI6" s="3" t="inlineStr">
        <is>
          <t>Minimum</t>
        </is>
      </c>
      <c r="AJ6" s="3" t="inlineStr">
        <is>
          <t>Remaining</t>
        </is>
      </c>
      <c r="AK6" s="3" t="inlineStr">
        <is>
          <t>Extra</t>
        </is>
      </c>
      <c r="AL6" s="3" t="inlineStr">
        <is>
          <t>End</t>
        </is>
      </c>
      <c r="AM6" s="3" t="inlineStr">
        <is>
          <t>Start</t>
        </is>
      </c>
      <c r="AN6" s="3" t="inlineStr">
        <is>
          <t>Interest</t>
        </is>
      </c>
      <c r="AO6" s="3" t="inlineStr">
        <is>
          <t>Minimum</t>
        </is>
      </c>
      <c r="AP6" s="3" t="inlineStr">
        <is>
          <t>Remaining</t>
        </is>
      </c>
      <c r="AQ6" s="3" t="inlineStr">
        <is>
          <t>Extra</t>
        </is>
      </c>
      <c r="AR6" s="3" t="inlineStr">
        <is>
          <t>End</t>
        </is>
      </c>
      <c r="AS6" s="3" t="inlineStr">
        <is>
          <t>Start</t>
        </is>
      </c>
      <c r="AT6" s="3" t="inlineStr">
        <is>
          <t>Interest</t>
        </is>
      </c>
      <c r="AU6" s="3" t="inlineStr">
        <is>
          <t>Minimum</t>
        </is>
      </c>
      <c r="AV6" s="3" t="inlineStr">
        <is>
          <t>Remaining</t>
        </is>
      </c>
      <c r="AW6" s="3" t="inlineStr">
        <is>
          <t>Extra</t>
        </is>
      </c>
      <c r="AX6" s="3" t="inlineStr">
        <is>
          <t>End</t>
        </is>
      </c>
      <c r="BC6" s="17" t="inlineStr">
        <is>
          <t>total owed</t>
        </is>
      </c>
    </row>
    <row r="7">
      <c r="A7" t="n">
        <v>1</v>
      </c>
      <c r="B7" s="26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26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26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26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26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26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26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26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26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26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26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26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26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26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26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26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26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26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26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26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26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26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26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26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26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26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26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26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26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26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26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26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26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26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26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26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26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26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26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26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26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26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26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26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26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26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26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26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26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26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26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26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26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26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26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26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26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26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26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26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26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26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26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26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26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26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26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26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26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26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26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26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26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26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26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26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26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26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26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26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26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26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26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26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26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26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26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26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26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26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26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26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26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26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26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26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26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26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26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26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26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26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26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26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26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26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26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26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26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26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26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26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26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26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26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26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26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26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26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26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26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26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26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26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26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26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26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26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26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26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26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26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26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26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26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26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26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26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26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26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26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26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26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26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26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26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26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26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26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26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26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26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26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26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26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26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26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26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26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26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26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26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26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26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26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26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26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26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26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26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26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26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26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26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26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26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26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26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26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26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26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26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26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26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26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26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26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26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26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26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26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26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26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26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26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26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26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26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26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26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26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26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26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26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26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26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26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26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26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26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26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26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26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26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26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26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26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26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26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26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26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26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26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26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26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26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26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26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26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26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26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26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26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26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26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26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26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26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26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26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26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26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26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26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26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26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26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26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26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26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26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26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26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26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26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26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26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26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26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26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26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26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26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26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26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26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26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26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26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26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26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26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26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26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26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26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26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26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26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26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26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26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26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26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26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26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26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26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26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26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26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26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26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26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26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26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26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26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26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26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26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26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26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26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26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26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26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26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26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26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26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26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26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26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26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26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26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26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26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26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26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26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26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26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26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26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26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26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26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26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26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26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26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26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26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26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26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26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26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26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26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26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26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26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26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26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26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26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26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26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26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26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26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26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26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26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26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26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26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26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2026-09-30T18:36:41Z</dcterms:created>
  <dcterms:modified xsi:type="dcterms:W3CDTF">2026-09-30T18:43:56Z</dcterms:modified>
</cp:coreProperties>
</file>
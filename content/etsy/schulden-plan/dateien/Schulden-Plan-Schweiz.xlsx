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" sheetId="1" state="visible" r:id="rId1"/>
    <sheet name="Anleitung" sheetId="2" state="visible" r:id="rId2"/>
    <sheet name="Monatsplan" sheetId="3" state="visible" r:id="rId3"/>
    <sheet name="Rechnung andere Methode" sheetId="4" state="hidden" r:id="rId4"/>
    <sheet name="Rechnung ohne Extra" sheetId="5" state="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CHF&quot; #,##0;[Red]&quot;CHF&quot; -#,##0"/>
    <numFmt numFmtId="165" formatCode="0.0"/>
    <numFmt numFmtId="166" formatCode="MMM YYYY"/>
    <numFmt numFmtId="167" formatCode="&quot;CHF&quot; #,##0.00"/>
    <numFmt numFmtId="168" formatCode="MMMM YYYY"/>
  </numFmts>
  <fonts count="8">
    <font>
      <name val="Calibri"/>
      <family val="2"/>
      <color theme="1"/>
      <sz val="11"/>
      <scheme val="minor"/>
    </font>
    <font>
      <b val="1"/>
      <color rgb="001F2937"/>
      <sz val="18"/>
    </font>
    <font>
      <i val="1"/>
      <color rgb="006B7280"/>
    </font>
    <font>
      <b val="1"/>
      <color rgb="00FFFFFF"/>
    </font>
    <font>
      <b val="1"/>
      <color rgb="00B91C1C"/>
    </font>
    <font>
      <b val="1"/>
      <color rgb="001F2937"/>
    </font>
    <font>
      <b val="1"/>
      <color rgb="00B45309"/>
      <sz val="13"/>
    </font>
    <font>
      <color rgb="006B7280"/>
    </font>
  </fonts>
  <fills count="5">
    <fill>
      <patternFill/>
    </fill>
    <fill>
      <patternFill patternType="gray125"/>
    </fill>
    <fill>
      <patternFill patternType="solid">
        <fgColor rgb="00B45309"/>
      </patternFill>
    </fill>
    <fill>
      <patternFill patternType="solid">
        <fgColor rgb="00FFF2B8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bottom style="thin">
        <color rgb="00E7DFD2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3" borderId="1" pivotButton="0" quotePrefix="0" xfId="0"/>
    <xf numFmtId="164" fontId="0" fillId="3" borderId="1" pivotButton="0" quotePrefix="0" xfId="0"/>
    <xf numFmtId="165" fontId="0" fillId="3" borderId="1" pivotButton="0" quotePrefix="0" xfId="0"/>
    <xf numFmtId="0" fontId="0" fillId="0" borderId="1" applyAlignment="1" pivotButton="0" quotePrefix="0" xfId="0">
      <alignment horizontal="right"/>
    </xf>
    <xf numFmtId="0" fontId="4" fillId="0" borderId="1" pivotButton="0" quotePrefix="0" xfId="0"/>
    <xf numFmtId="164" fontId="0" fillId="3" borderId="0" pivotButton="0" quotePrefix="0" xfId="0"/>
    <xf numFmtId="0" fontId="0" fillId="3" borderId="0" pivotButton="0" quotePrefix="0" xfId="0"/>
    <xf numFmtId="166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1" fontId="5" fillId="4" borderId="1" pivotButton="0" quotePrefix="0" xfId="0"/>
    <xf numFmtId="168" fontId="5" fillId="4" borderId="1" pivotButton="0" quotePrefix="0" xfId="0"/>
    <xf numFmtId="164" fontId="5" fillId="4" borderId="1" pivotButton="0" quotePrefix="0" xfId="0"/>
    <xf numFmtId="0" fontId="5" fillId="0" borderId="0" pivotButton="0" quotePrefix="0" xfId="0"/>
    <xf numFmtId="0" fontId="7" fillId="0" borderId="0" pivotButton="0" quotePrefix="0" xfId="0"/>
    <xf numFmtId="167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5" customWidth="1" min="3" max="3"/>
    <col width="12" customWidth="1" min="4" max="4"/>
    <col width="15" customWidth="1" min="5" max="5"/>
    <col width="16" customWidth="1" min="6" max="6"/>
    <col width="22" customWidth="1" min="7" max="7"/>
  </cols>
  <sheetData>
    <row r="1">
      <c r="B1" s="1" t="inlineStr">
        <is>
          <t>Schulden-Plan Schweiz</t>
        </is>
      </c>
    </row>
    <row r="2">
      <c r="B2" s="2" t="inlineStr">
        <is>
          <t>Gelbe Felder ausfüllen. Der Plan rechnet Monat für Monat, wann du schuldenfrei bist.</t>
        </is>
      </c>
    </row>
    <row r="5">
      <c r="B5" s="3" t="inlineStr">
        <is>
          <t>Schuld</t>
        </is>
      </c>
      <c r="C5" s="3" t="inlineStr">
        <is>
          <t>Offen (CHF)</t>
        </is>
      </c>
      <c r="D5" s="3" t="inlineStr">
        <is>
          <t>Zins % p. a.</t>
        </is>
      </c>
      <c r="E5" s="3" t="inlineStr">
        <is>
          <t>Rate pro Monat</t>
        </is>
      </c>
      <c r="F5" s="3" t="inlineStr">
        <is>
          <t>Schuldenfrei (Monat)</t>
        </is>
      </c>
      <c r="G5" s="3" t="inlineStr">
        <is>
          <t>Warnung</t>
        </is>
      </c>
    </row>
    <row r="6">
      <c r="B6" s="4" t="inlineStr">
        <is>
          <t>Kreditkarte</t>
        </is>
      </c>
      <c r="C6" s="5" t="n">
        <v>3200</v>
      </c>
      <c r="D6" s="6" t="n">
        <v>12</v>
      </c>
      <c r="E6" s="5" t="n">
        <v>120</v>
      </c>
      <c r="F6" s="7">
        <f>Monatsplan!D3</f>
        <v/>
      </c>
      <c r="G6" s="8">
        <f>IF(AND(C6&gt;0,E6&lt;=C6*D6/100/12),"Rate deckt Zins nicht!","")</f>
        <v/>
      </c>
    </row>
    <row r="7">
      <c r="B7" s="4" t="inlineStr">
        <is>
          <t>Kleinkredit</t>
        </is>
      </c>
      <c r="C7" s="5" t="n">
        <v>15000</v>
      </c>
      <c r="D7" s="6" t="n">
        <v>7.9</v>
      </c>
      <c r="E7" s="5" t="n">
        <v>350</v>
      </c>
      <c r="F7" s="7">
        <f>Monatsplan!J3</f>
        <v/>
      </c>
      <c r="G7" s="8">
        <f>IF(AND(C7&gt;0,E7&lt;=C7*D7/100/12),"Rate deckt Zins nicht!","")</f>
        <v/>
      </c>
    </row>
    <row r="8">
      <c r="B8" s="4" t="inlineStr">
        <is>
          <t>Auto-Leasing</t>
        </is>
      </c>
      <c r="C8" s="5" t="n">
        <v>9000</v>
      </c>
      <c r="D8" s="6" t="n">
        <v>4.9</v>
      </c>
      <c r="E8" s="5" t="n">
        <v>280</v>
      </c>
      <c r="F8" s="7">
        <f>Monatsplan!P3</f>
        <v/>
      </c>
      <c r="G8" s="8">
        <f>IF(AND(C8&gt;0,E8&lt;=C8*D8/100/12),"Rate deckt Zins nicht!","")</f>
        <v/>
      </c>
    </row>
    <row r="9">
      <c r="B9" s="4" t="inlineStr">
        <is>
          <t>Darlehen Familie</t>
        </is>
      </c>
      <c r="C9" s="5" t="n">
        <v>2000</v>
      </c>
      <c r="D9" s="6" t="n">
        <v>0</v>
      </c>
      <c r="E9" s="5" t="n">
        <v>50</v>
      </c>
      <c r="F9" s="7">
        <f>Monatsplan!V3</f>
        <v/>
      </c>
      <c r="G9" s="8">
        <f>IF(AND(C9&gt;0,E9&lt;=C9*D9/100/12),"Rate deckt Zins nicht!","")</f>
        <v/>
      </c>
    </row>
    <row r="10">
      <c r="B10" s="4" t="inlineStr"/>
      <c r="C10" s="5" t="n">
        <v>0</v>
      </c>
      <c r="D10" s="6" t="n">
        <v>0</v>
      </c>
      <c r="E10" s="5" t="n">
        <v>0</v>
      </c>
      <c r="F10" s="7">
        <f>Monatsplan!AB3</f>
        <v/>
      </c>
      <c r="G10" s="8">
        <f>IF(AND(C10&gt;0,E10&lt;=C10*D10/100/12),"Rate deckt Zins nicht!","")</f>
        <v/>
      </c>
    </row>
    <row r="11">
      <c r="B11" s="4" t="inlineStr"/>
      <c r="C11" s="5" t="n">
        <v>0</v>
      </c>
      <c r="D11" s="6" t="n">
        <v>0</v>
      </c>
      <c r="E11" s="5" t="n">
        <v>0</v>
      </c>
      <c r="F11" s="7">
        <f>Monatsplan!AH3</f>
        <v/>
      </c>
      <c r="G11" s="8">
        <f>IF(AND(C11&gt;0,E11&lt;=C11*D11/100/12),"Rate deckt Zins nicht!","")</f>
        <v/>
      </c>
    </row>
    <row r="12">
      <c r="B12" s="4" t="inlineStr"/>
      <c r="C12" s="5" t="n">
        <v>0</v>
      </c>
      <c r="D12" s="6" t="n">
        <v>0</v>
      </c>
      <c r="E12" s="5" t="n">
        <v>0</v>
      </c>
      <c r="F12" s="7">
        <f>Monatsplan!AN3</f>
        <v/>
      </c>
      <c r="G12" s="8">
        <f>IF(AND(C12&gt;0,E12&lt;=C12*D12/100/12),"Rate deckt Zins nicht!","")</f>
        <v/>
      </c>
    </row>
    <row r="13">
      <c r="B13" s="4" t="inlineStr"/>
      <c r="C13" s="5" t="n">
        <v>0</v>
      </c>
      <c r="D13" s="6" t="n">
        <v>0</v>
      </c>
      <c r="E13" s="5" t="n">
        <v>0</v>
      </c>
      <c r="F13" s="7">
        <f>Monatsplan!AT3</f>
        <v/>
      </c>
      <c r="G13" s="8">
        <f>IF(AND(C13&gt;0,E13&lt;=C13*D13/100/12),"Rate deckt Zins nicht!","")</f>
        <v/>
      </c>
    </row>
    <row r="16">
      <c r="B16" t="inlineStr">
        <is>
          <t>Extra pro Monat (CHF)</t>
        </is>
      </c>
      <c r="C16" s="9" t="n">
        <v>300</v>
      </c>
    </row>
    <row r="17">
      <c r="B17" t="inlineStr">
        <is>
          <t>Methode</t>
        </is>
      </c>
      <c r="C17" s="10" t="inlineStr">
        <is>
          <t>Lawine</t>
        </is>
      </c>
      <c r="D17" s="2" t="inlineStr">
        <is>
          <t>Lawine = höchster Zins zuerst (günstigste) · Schneeball = kleinste Schuld zuerst</t>
        </is>
      </c>
    </row>
    <row r="18">
      <c r="B18" t="inlineStr">
        <is>
          <t>Startmonat</t>
        </is>
      </c>
      <c r="C18" s="11">
        <f>DATE(YEAR(TODAY()),MONTH(TODAY())+1,1)</f>
        <v/>
      </c>
    </row>
    <row r="20">
      <c r="B20" s="12" t="inlineStr">
        <is>
          <t>Ergebnis</t>
        </is>
      </c>
    </row>
    <row r="21">
      <c r="B21" s="13" t="inlineStr">
        <is>
          <t>Schuldenfrei nach (Monaten)</t>
        </is>
      </c>
      <c r="C21" s="14">
        <f>Monatsplan!BA2</f>
        <v/>
      </c>
    </row>
    <row r="22">
      <c r="B22" s="13" t="inlineStr">
        <is>
          <t>Schuldenfrei im</t>
        </is>
      </c>
      <c r="C22" s="15">
        <f>IF(ISNUMBER(C21),EDATE(C18,C21-1),"—")</f>
        <v/>
      </c>
    </row>
    <row r="23">
      <c r="B23" s="13" t="inlineStr">
        <is>
          <t>Zinsen total (gewählte Methode)</t>
        </is>
      </c>
      <c r="C23" s="16">
        <f>Monatsplan!BA1</f>
        <v/>
      </c>
    </row>
    <row r="24">
      <c r="B24" s="13" t="inlineStr">
        <is>
          <t>Zinsen mit der anderen Methode</t>
        </is>
      </c>
      <c r="C24" s="16">
        <f>'Rechnung andere Methode'!BA1</f>
        <v/>
      </c>
    </row>
    <row r="25">
      <c r="B25" s="13" t="inlineStr">
        <is>
          <t>Zinsen nur mit Mindestraten</t>
        </is>
      </c>
      <c r="C25" s="16">
        <f>'Rechnung ohne Extra'!BA1</f>
        <v/>
      </c>
    </row>
    <row r="26">
      <c r="B26" s="13" t="inlineStr">
        <is>
          <t>Ersparnis durch das Extra</t>
        </is>
      </c>
      <c r="C26" s="16">
        <f>C25-C23</f>
        <v/>
      </c>
    </row>
    <row r="27">
      <c r="B27" s="13" t="inlineStr">
        <is>
          <t>Schuldenfrei nur mit Mindestraten (Monate)</t>
        </is>
      </c>
      <c r="C27" s="14">
        <f>'Rechnung ohne Extra'!BA2</f>
        <v/>
      </c>
    </row>
    <row r="29">
      <c r="B29" s="2" t="inlineStr">
        <is>
          <t>Tipp: Die Lawine kostet am wenigsten Zins. Der Schneeball bringt schneller ein erstes Erfolgserlebnis. Nimm die Methode, bei der du durchhältst.</t>
        </is>
      </c>
    </row>
  </sheetData>
  <conditionalFormatting sqref="C6:E13">
    <cfRule type="expression" priority="1" dxfId="0">
      <formula>$G6&lt;&gt;""</formula>
    </cfRule>
  </conditionalFormatting>
  <dataValidations count="1">
    <dataValidation sqref="C17" showDropDown="0" showInputMessage="0" showErrorMessage="0" allowBlank="0" type="list">
      <formula1>"Lawine,Schneeball"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Schulden-Plan Schweiz — so geht's</t>
        </is>
      </c>
    </row>
    <row r="2">
      <c r="A2" t="inlineStr"/>
    </row>
    <row r="3">
      <c r="A3" t="inlineStr">
        <is>
          <t>1. Blatt „Plan“: bis zu 8 Schulden eintragen: offener Betrag, Jahreszins aus dem Vertrag, heutige Rate.</t>
        </is>
      </c>
    </row>
    <row r="4">
      <c r="A4" t="inlineStr">
        <is>
          <t>2. Extra pro Monat eintragen: was du zusätzlich zahlen kannst. Auch CHF 50 zählen.</t>
        </is>
      </c>
    </row>
    <row r="5">
      <c r="A5" t="inlineStr">
        <is>
          <t>3. Methode wählen: Lawine (höchster Zins zuerst, günstigste) oder Schneeball (kleinste Schuld zuerst).</t>
        </is>
      </c>
    </row>
    <row r="6">
      <c r="A6" t="inlineStr">
        <is>
          <t>4. Ergebnis lesen: schuldenfrei-Datum, Zinsen total, Vergleich mit der anderen Methode und ohne Extra.</t>
        </is>
      </c>
    </row>
    <row r="7">
      <c r="A7" t="inlineStr">
        <is>
          <t>5. Blatt „Monatsplan“: Monat für Monat, was bei jeder Schuld passiert. Frei werdende Raten gehen automatisch</t>
        </is>
      </c>
    </row>
    <row r="8">
      <c r="A8" t="inlineStr">
        <is>
          <t xml:space="preserve">   an die nächste Schuld in der Reihenfolge.</t>
        </is>
      </c>
    </row>
    <row r="9">
      <c r="A9" t="inlineStr"/>
    </row>
    <row r="10">
      <c r="A10" s="17" t="inlineStr">
        <is>
          <t>Rot in der Spalte „Warnung“: Die Rate deckt nicht einmal die Zinsen, die Schuld wächst. Das hat Vorrang.</t>
        </is>
      </c>
    </row>
    <row r="11">
      <c r="A11" t="inlineStr">
        <is>
          <t>Leasing: vorzeitige Auflösung ist oft teuer. Die normale Rate laufen lassen und Extra-Geld auf andere Schulden lenken.</t>
        </is>
      </c>
    </row>
    <row r="12">
      <c r="A12" t="inlineStr">
        <is>
          <t>Schweiz: Private Schuldzinsen sind in der Regel von den Steuern abziehbar (Bund: bis Vermögenserträge + CHF 50'000).</t>
        </is>
      </c>
    </row>
    <row r="13">
      <c r="A13" t="inlineStr">
        <is>
          <t>Zuerst eine Notreserve von etwa drei Monatsausgaben, dann tilgen.</t>
        </is>
      </c>
    </row>
    <row r="14">
      <c r="A14" t="inlineStr">
        <is>
          <t>Hilfe, wenn es nicht aufgeht: kantonale Budget- und Schuldenberatungen, kostenlos (Übersicht: schulden.ch).</t>
        </is>
      </c>
    </row>
    <row r="15">
      <c r="A15" t="inlineStr"/>
    </row>
    <row r="16">
      <c r="A16" t="inlineStr">
        <is>
          <t>Dazu gehört die Offline-App schulden-plan.html (im Browser öffnen): zusätzlich „tilgen oder investieren?“.</t>
        </is>
      </c>
    </row>
    <row r="17">
      <c r="A17" t="inlineStr"/>
    </row>
    <row r="18">
      <c r="A18" s="18" t="inlineStr">
        <is>
          <t>Modellrechnung ohne Gebühren und Verzugszinsen, keine Finanz- oder Schuldenberatung. Private Nutzung.</t>
        </is>
      </c>
    </row>
    <row r="19">
      <c r="A19" s="18" t="inlineStr">
        <is>
          <t>© aban news · abannews.com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366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Methode</t>
        </is>
      </c>
      <c r="B1">
        <f>Plan!$C$17</f>
        <v/>
      </c>
      <c r="AZ1" t="inlineStr">
        <is>
          <t>Zinsen total</t>
        </is>
      </c>
      <c r="BA1" s="19">
        <f>SUM(D7:D366)+SUM(J7:J366)+SUM(P7:P366)+SUM(V7:V366)+SUM(AB7:AB366)+SUM(AH7:AH366)+SUM(AN7:AN366)+SUM(AT7:AT366)</f>
        <v/>
      </c>
    </row>
    <row r="2">
      <c r="A2" t="inlineStr">
        <is>
          <t>Extra pro Monat</t>
        </is>
      </c>
      <c r="B2">
        <f>Plan!$C$16</f>
        <v/>
      </c>
      <c r="AZ2" t="inlineStr">
        <is>
          <t>Schuldenfrei nach Monaten</t>
        </is>
      </c>
      <c r="BA2">
        <f>IFERROR(MATCH(0,BC7:BC366,0),"über 30 Jahre")</f>
        <v/>
      </c>
    </row>
    <row r="3">
      <c r="A3" t="inlineStr">
        <is>
          <t>Budget pro Monat</t>
        </is>
      </c>
      <c r="B3" s="20">
        <f>SUMPRODUCT((Plan!$C$6:$C$13&gt;0)*Plan!$E$6:$E$13)+B2</f>
        <v/>
      </c>
      <c r="C3" t="inlineStr">
        <is>
          <t>frei ab Monat</t>
        </is>
      </c>
      <c r="D3">
        <f>IF(Plan!C6&lt;=0,"",IFERROR(MATCH(0,H7:H366,0),"über 30 J."))</f>
        <v/>
      </c>
      <c r="I3" t="inlineStr">
        <is>
          <t>frei ab Monat</t>
        </is>
      </c>
      <c r="J3">
        <f>IF(Plan!C7&lt;=0,"",IFERROR(MATCH(0,N7:N366,0),"über 30 J."))</f>
        <v/>
      </c>
      <c r="O3" t="inlineStr">
        <is>
          <t>frei ab Monat</t>
        </is>
      </c>
      <c r="P3">
        <f>IF(Plan!C8&lt;=0,"",IFERROR(MATCH(0,T7:T366,0),"über 30 J."))</f>
        <v/>
      </c>
      <c r="U3" t="inlineStr">
        <is>
          <t>frei ab Monat</t>
        </is>
      </c>
      <c r="V3">
        <f>IF(Plan!C9&lt;=0,"",IFERROR(MATCH(0,Z7:Z366,0),"über 30 J."))</f>
        <v/>
      </c>
      <c r="AA3" t="inlineStr">
        <is>
          <t>frei ab Monat</t>
        </is>
      </c>
      <c r="AB3">
        <f>IF(Plan!C10&lt;=0,"",IFERROR(MATCH(0,AF7:AF366,0),"über 30 J."))</f>
        <v/>
      </c>
      <c r="AG3" t="inlineStr">
        <is>
          <t>frei ab Monat</t>
        </is>
      </c>
      <c r="AH3">
        <f>IF(Plan!C11&lt;=0,"",IFERROR(MATCH(0,AL7:AL366,0),"über 30 J."))</f>
        <v/>
      </c>
      <c r="AM3" t="inlineStr">
        <is>
          <t>frei ab Monat</t>
        </is>
      </c>
      <c r="AN3">
        <f>IF(Plan!C12&lt;=0,"",IFERROR(MATCH(0,AR7:AR366,0),"über 30 J."))</f>
        <v/>
      </c>
      <c r="AS3" t="inlineStr">
        <is>
          <t>frei ab Monat</t>
        </is>
      </c>
      <c r="AT3">
        <f>IF(Plan!C13&lt;=0,"",IFERROR(MATCH(0,AX7:AX366,0),"über 30 J."))</f>
        <v/>
      </c>
    </row>
    <row r="4">
      <c r="C4" s="17">
        <f>Plan!B6</f>
        <v/>
      </c>
      <c r="I4" s="17">
        <f>Plan!B7</f>
        <v/>
      </c>
      <c r="O4" s="17">
        <f>Plan!B8</f>
        <v/>
      </c>
      <c r="U4" s="17">
        <f>Plan!B9</f>
        <v/>
      </c>
      <c r="AA4" s="17">
        <f>Plan!B10</f>
        <v/>
      </c>
      <c r="AG4" s="17">
        <f>Plan!B11</f>
        <v/>
      </c>
      <c r="AM4" s="17">
        <f>Plan!B12</f>
        <v/>
      </c>
      <c r="AS4" s="17">
        <f>Plan!B13</f>
        <v/>
      </c>
    </row>
    <row r="5">
      <c r="C5">
        <f>IF(Plan!C6&lt;=0,-1E+15,IF($B$1="Lawine",Plan!D6*1E+9-Plan!C6,-Plan!C6*1000+Plan!D6))</f>
        <v/>
      </c>
      <c r="D5" t="inlineStr">
        <is>
          <t>Rang</t>
        </is>
      </c>
      <c r="E5">
        <f>1+(C$5&gt;C$5)+(I$5&gt;C$5)+(O$5&gt;C$5)+(U$5&gt;C$5)+(AA$5&gt;C$5)+(AG$5&gt;C$5)+(AM$5&gt;C$5)+(AS$5&gt;C$5)+0</f>
        <v/>
      </c>
      <c r="I5">
        <f>IF(Plan!C7&lt;=0,-1E+15,IF($B$1="Lawine",Plan!D7*1E+9-Plan!C7,-Plan!C7*1000+Plan!D7))</f>
        <v/>
      </c>
      <c r="J5" t="inlineStr">
        <is>
          <t>Rang</t>
        </is>
      </c>
      <c r="K5">
        <f>1+(C$5&gt;I$5)+(I$5&gt;I$5)+(O$5&gt;I$5)+(U$5&gt;I$5)+(AA$5&gt;I$5)+(AG$5&gt;I$5)+(AM$5&gt;I$5)+(AS$5&gt;I$5)+(C$5=I$5)</f>
        <v/>
      </c>
      <c r="O5">
        <f>IF(Plan!C8&lt;=0,-1E+15,IF($B$1="Lawine",Plan!D8*1E+9-Plan!C8,-Plan!C8*1000+Plan!D8))</f>
        <v/>
      </c>
      <c r="P5" t="inlineStr">
        <is>
          <t>Rang</t>
        </is>
      </c>
      <c r="Q5">
        <f>1+(C$5&gt;O$5)+(I$5&gt;O$5)+(O$5&gt;O$5)+(U$5&gt;O$5)+(AA$5&gt;O$5)+(AG$5&gt;O$5)+(AM$5&gt;O$5)+(AS$5&gt;O$5)+(C$5=O$5)+(I$5=O$5)</f>
        <v/>
      </c>
      <c r="U5">
        <f>IF(Plan!C9&lt;=0,-1E+15,IF($B$1="Lawine",Plan!D9*1E+9-Plan!C9,-Plan!C9*1000+Plan!D9))</f>
        <v/>
      </c>
      <c r="V5" t="inlineStr">
        <is>
          <t>Rang</t>
        </is>
      </c>
      <c r="W5">
        <f>1+(C$5&gt;U$5)+(I$5&gt;U$5)+(O$5&gt;U$5)+(U$5&gt;U$5)+(AA$5&gt;U$5)+(AG$5&gt;U$5)+(AM$5&gt;U$5)+(AS$5&gt;U$5)+(C$5=U$5)+(I$5=U$5)+(O$5=U$5)</f>
        <v/>
      </c>
      <c r="AA5">
        <f>IF(Plan!C10&lt;=0,-1E+15,IF($B$1="Lawine",Plan!D10*1E+9-Plan!C10,-Plan!C10*1000+Plan!D10))</f>
        <v/>
      </c>
      <c r="AB5" t="inlineStr">
        <is>
          <t>Rang</t>
        </is>
      </c>
      <c r="AC5">
        <f>1+(C$5&gt;AA$5)+(I$5&gt;AA$5)+(O$5&gt;AA$5)+(U$5&gt;AA$5)+(AA$5&gt;AA$5)+(AG$5&gt;AA$5)+(AM$5&gt;AA$5)+(AS$5&gt;AA$5)+(C$5=AA$5)+(I$5=AA$5)+(O$5=AA$5)+(U$5=AA$5)</f>
        <v/>
      </c>
      <c r="AG5">
        <f>IF(Plan!C11&lt;=0,-1E+15,IF($B$1="Lawine",Plan!D11*1E+9-Plan!C11,-Plan!C11*1000+Plan!D11))</f>
        <v/>
      </c>
      <c r="AH5" t="inlineStr">
        <is>
          <t>Rang</t>
        </is>
      </c>
      <c r="AI5">
        <f>1+(C$5&gt;AG$5)+(I$5&gt;AG$5)+(O$5&gt;AG$5)+(U$5&gt;AG$5)+(AA$5&gt;AG$5)+(AG$5&gt;AG$5)+(AM$5&gt;AG$5)+(AS$5&gt;AG$5)+(C$5=AG$5)+(I$5=AG$5)+(O$5=AG$5)+(U$5=AG$5)+(AA$5=AG$5)</f>
        <v/>
      </c>
      <c r="AM5">
        <f>IF(Plan!C12&lt;=0,-1E+15,IF($B$1="Lawine",Plan!D12*1E+9-Plan!C12,-Plan!C12*1000+Plan!D12))</f>
        <v/>
      </c>
      <c r="AN5" t="inlineStr">
        <is>
          <t>Rang</t>
        </is>
      </c>
      <c r="AO5">
        <f>1+(C$5&gt;AM$5)+(I$5&gt;AM$5)+(O$5&gt;AM$5)+(U$5&gt;AM$5)+(AA$5&gt;AM$5)+(AG$5&gt;AM$5)+(AM$5&gt;AM$5)+(AS$5&gt;AM$5)+(C$5=AM$5)+(I$5=AM$5)+(O$5=AM$5)+(U$5=AM$5)+(AA$5=AM$5)+(AG$5=AM$5)</f>
        <v/>
      </c>
      <c r="AS5">
        <f>IF(Plan!C13&lt;=0,-1E+15,IF($B$1="Lawine",Plan!D13*1E+9-Plan!C13,-Plan!C13*1000+Plan!D13))</f>
        <v/>
      </c>
      <c r="AT5" t="inlineStr">
        <is>
          <t>Rang</t>
        </is>
      </c>
      <c r="AU5">
        <f>1+(C$5&gt;AS$5)+(I$5&gt;AS$5)+(O$5&gt;AS$5)+(U$5&gt;AS$5)+(AA$5&gt;AS$5)+(AG$5&gt;AS$5)+(AM$5&gt;AS$5)+(AS$5&gt;AS$5)+(C$5=AS$5)+(I$5=AS$5)+(O$5=AS$5)+(U$5=AS$5)+(AA$5=AS$5)+(AG$5=AS$5)+(AM$5=AS$5)</f>
        <v/>
      </c>
    </row>
    <row r="6">
      <c r="A6" s="3" t="inlineStr">
        <is>
          <t>Monat</t>
        </is>
      </c>
      <c r="B6" s="3" t="inlineStr">
        <is>
          <t>frei für Extra</t>
        </is>
      </c>
      <c r="C6" s="3" t="inlineStr">
        <is>
          <t>Start</t>
        </is>
      </c>
      <c r="D6" s="3" t="inlineStr">
        <is>
          <t>Zins</t>
        </is>
      </c>
      <c r="E6" s="3" t="inlineStr">
        <is>
          <t>Mindestrate</t>
        </is>
      </c>
      <c r="F6" s="3" t="inlineStr">
        <is>
          <t>Rest</t>
        </is>
      </c>
      <c r="G6" s="3" t="inlineStr">
        <is>
          <t>Extra</t>
        </is>
      </c>
      <c r="H6" s="3" t="inlineStr">
        <is>
          <t>Ende</t>
        </is>
      </c>
      <c r="I6" s="3" t="inlineStr">
        <is>
          <t>Start</t>
        </is>
      </c>
      <c r="J6" s="3" t="inlineStr">
        <is>
          <t>Zins</t>
        </is>
      </c>
      <c r="K6" s="3" t="inlineStr">
        <is>
          <t>Mindestrate</t>
        </is>
      </c>
      <c r="L6" s="3" t="inlineStr">
        <is>
          <t>Rest</t>
        </is>
      </c>
      <c r="M6" s="3" t="inlineStr">
        <is>
          <t>Extra</t>
        </is>
      </c>
      <c r="N6" s="3" t="inlineStr">
        <is>
          <t>Ende</t>
        </is>
      </c>
      <c r="O6" s="3" t="inlineStr">
        <is>
          <t>Start</t>
        </is>
      </c>
      <c r="P6" s="3" t="inlineStr">
        <is>
          <t>Zins</t>
        </is>
      </c>
      <c r="Q6" s="3" t="inlineStr">
        <is>
          <t>Mindestrate</t>
        </is>
      </c>
      <c r="R6" s="3" t="inlineStr">
        <is>
          <t>Rest</t>
        </is>
      </c>
      <c r="S6" s="3" t="inlineStr">
        <is>
          <t>Extra</t>
        </is>
      </c>
      <c r="T6" s="3" t="inlineStr">
        <is>
          <t>Ende</t>
        </is>
      </c>
      <c r="U6" s="3" t="inlineStr">
        <is>
          <t>Start</t>
        </is>
      </c>
      <c r="V6" s="3" t="inlineStr">
        <is>
          <t>Zins</t>
        </is>
      </c>
      <c r="W6" s="3" t="inlineStr">
        <is>
          <t>Mindestrate</t>
        </is>
      </c>
      <c r="X6" s="3" t="inlineStr">
        <is>
          <t>Rest</t>
        </is>
      </c>
      <c r="Y6" s="3" t="inlineStr">
        <is>
          <t>Extra</t>
        </is>
      </c>
      <c r="Z6" s="3" t="inlineStr">
        <is>
          <t>Ende</t>
        </is>
      </c>
      <c r="AA6" s="3" t="inlineStr">
        <is>
          <t>Start</t>
        </is>
      </c>
      <c r="AB6" s="3" t="inlineStr">
        <is>
          <t>Zins</t>
        </is>
      </c>
      <c r="AC6" s="3" t="inlineStr">
        <is>
          <t>Mindestrate</t>
        </is>
      </c>
      <c r="AD6" s="3" t="inlineStr">
        <is>
          <t>Rest</t>
        </is>
      </c>
      <c r="AE6" s="3" t="inlineStr">
        <is>
          <t>Extra</t>
        </is>
      </c>
      <c r="AF6" s="3" t="inlineStr">
        <is>
          <t>Ende</t>
        </is>
      </c>
      <c r="AG6" s="3" t="inlineStr">
        <is>
          <t>Start</t>
        </is>
      </c>
      <c r="AH6" s="3" t="inlineStr">
        <is>
          <t>Zins</t>
        </is>
      </c>
      <c r="AI6" s="3" t="inlineStr">
        <is>
          <t>Mindestrate</t>
        </is>
      </c>
      <c r="AJ6" s="3" t="inlineStr">
        <is>
          <t>Rest</t>
        </is>
      </c>
      <c r="AK6" s="3" t="inlineStr">
        <is>
          <t>Extra</t>
        </is>
      </c>
      <c r="AL6" s="3" t="inlineStr">
        <is>
          <t>Ende</t>
        </is>
      </c>
      <c r="AM6" s="3" t="inlineStr">
        <is>
          <t>Start</t>
        </is>
      </c>
      <c r="AN6" s="3" t="inlineStr">
        <is>
          <t>Zins</t>
        </is>
      </c>
      <c r="AO6" s="3" t="inlineStr">
        <is>
          <t>Mindestrate</t>
        </is>
      </c>
      <c r="AP6" s="3" t="inlineStr">
        <is>
          <t>Rest</t>
        </is>
      </c>
      <c r="AQ6" s="3" t="inlineStr">
        <is>
          <t>Extra</t>
        </is>
      </c>
      <c r="AR6" s="3" t="inlineStr">
        <is>
          <t>Ende</t>
        </is>
      </c>
      <c r="AS6" s="3" t="inlineStr">
        <is>
          <t>Start</t>
        </is>
      </c>
      <c r="AT6" s="3" t="inlineStr">
        <is>
          <t>Zins</t>
        </is>
      </c>
      <c r="AU6" s="3" t="inlineStr">
        <is>
          <t>Mindestrate</t>
        </is>
      </c>
      <c r="AV6" s="3" t="inlineStr">
        <is>
          <t>Rest</t>
        </is>
      </c>
      <c r="AW6" s="3" t="inlineStr">
        <is>
          <t>Extra</t>
        </is>
      </c>
      <c r="AX6" s="3" t="inlineStr">
        <is>
          <t>Ende</t>
        </is>
      </c>
      <c r="BC6" s="17" t="inlineStr">
        <is>
          <t>offen total</t>
        </is>
      </c>
    </row>
    <row r="7">
      <c r="A7" t="n">
        <v>1</v>
      </c>
      <c r="B7" s="19">
        <f>MAX(0,$B$3-(E7+K7+Q7+W7+AC7+AI7+AO7+AU7))</f>
        <v/>
      </c>
      <c r="C7">
        <f>MAX(0,Plan!C6)</f>
        <v/>
      </c>
      <c r="D7">
        <f>C7*Plan!D6/100/12</f>
        <v/>
      </c>
      <c r="E7">
        <f>MIN(Plan!E6,C7+D7)</f>
        <v/>
      </c>
      <c r="F7">
        <f>C7+D7-E7</f>
        <v/>
      </c>
      <c r="G7">
        <f>MIN(F7,MAX(0,$B7-((K$5&lt;E$5)*L7+(Q$5&lt;E$5)*R7+(W$5&lt;E$5)*X7+(AC$5&lt;E$5)*AD7+(AI$5&lt;E$5)*AJ7+(AO$5&lt;E$5)*AP7+(AU$5&lt;E$5)*AV7)))</f>
        <v/>
      </c>
      <c r="H7">
        <f>IF(F7-G7&lt;0.005,0,F7-G7)</f>
        <v/>
      </c>
      <c r="I7">
        <f>MAX(0,Plan!C7)</f>
        <v/>
      </c>
      <c r="J7">
        <f>I7*Plan!D7/100/12</f>
        <v/>
      </c>
      <c r="K7">
        <f>MIN(Plan!E7,I7+J7)</f>
        <v/>
      </c>
      <c r="L7">
        <f>I7+J7-K7</f>
        <v/>
      </c>
      <c r="M7">
        <f>MIN(L7,MAX(0,$B7-((E$5&lt;K$5)*F7+(Q$5&lt;K$5)*R7+(W$5&lt;K$5)*X7+(AC$5&lt;K$5)*AD7+(AI$5&lt;K$5)*AJ7+(AO$5&lt;K$5)*AP7+(AU$5&lt;K$5)*AV7)))</f>
        <v/>
      </c>
      <c r="N7">
        <f>IF(L7-M7&lt;0.005,0,L7-M7)</f>
        <v/>
      </c>
      <c r="O7">
        <f>MAX(0,Plan!C8)</f>
        <v/>
      </c>
      <c r="P7">
        <f>O7*Plan!D8/100/12</f>
        <v/>
      </c>
      <c r="Q7">
        <f>MIN(Plan!E8,O7+P7)</f>
        <v/>
      </c>
      <c r="R7">
        <f>O7+P7-Q7</f>
        <v/>
      </c>
      <c r="S7">
        <f>MIN(R7,MAX(0,$B7-((E$5&lt;Q$5)*F7+(K$5&lt;Q$5)*L7+(W$5&lt;Q$5)*X7+(AC$5&lt;Q$5)*AD7+(AI$5&lt;Q$5)*AJ7+(AO$5&lt;Q$5)*AP7+(AU$5&lt;Q$5)*AV7)))</f>
        <v/>
      </c>
      <c r="T7">
        <f>IF(R7-S7&lt;0.005,0,R7-S7)</f>
        <v/>
      </c>
      <c r="U7">
        <f>MAX(0,Plan!C9)</f>
        <v/>
      </c>
      <c r="V7">
        <f>U7*Plan!D9/100/12</f>
        <v/>
      </c>
      <c r="W7">
        <f>MIN(Plan!E9,U7+V7)</f>
        <v/>
      </c>
      <c r="X7">
        <f>U7+V7-W7</f>
        <v/>
      </c>
      <c r="Y7">
        <f>MIN(X7,MAX(0,$B7-((E$5&lt;W$5)*F7+(K$5&lt;W$5)*L7+(Q$5&lt;W$5)*R7+(AC$5&lt;W$5)*AD7+(AI$5&lt;W$5)*AJ7+(AO$5&lt;W$5)*AP7+(AU$5&lt;W$5)*AV7)))</f>
        <v/>
      </c>
      <c r="Z7">
        <f>IF(X7-Y7&lt;0.005,0,X7-Y7)</f>
        <v/>
      </c>
      <c r="AA7">
        <f>MAX(0,Plan!C10)</f>
        <v/>
      </c>
      <c r="AB7">
        <f>AA7*Plan!D10/100/12</f>
        <v/>
      </c>
      <c r="AC7">
        <f>MIN(Plan!E10,AA7+AB7)</f>
        <v/>
      </c>
      <c r="AD7">
        <f>AA7+AB7-AC7</f>
        <v/>
      </c>
      <c r="AE7">
        <f>MIN(AD7,MAX(0,$B7-((E$5&lt;AC$5)*F7+(K$5&lt;AC$5)*L7+(Q$5&lt;AC$5)*R7+(W$5&lt;AC$5)*X7+(AI$5&lt;AC$5)*AJ7+(AO$5&lt;AC$5)*AP7+(AU$5&lt;AC$5)*AV7)))</f>
        <v/>
      </c>
      <c r="AF7">
        <f>IF(AD7-AE7&lt;0.005,0,AD7-AE7)</f>
        <v/>
      </c>
      <c r="AG7">
        <f>MAX(0,Plan!C11)</f>
        <v/>
      </c>
      <c r="AH7">
        <f>AG7*Plan!D11/100/12</f>
        <v/>
      </c>
      <c r="AI7">
        <f>MIN(Plan!E11,AG7+AH7)</f>
        <v/>
      </c>
      <c r="AJ7">
        <f>AG7+AH7-AI7</f>
        <v/>
      </c>
      <c r="AK7">
        <f>MIN(AJ7,MAX(0,$B7-((E$5&lt;AI$5)*F7+(K$5&lt;AI$5)*L7+(Q$5&lt;AI$5)*R7+(W$5&lt;AI$5)*X7+(AC$5&lt;AI$5)*AD7+(AO$5&lt;AI$5)*AP7+(AU$5&lt;AI$5)*AV7)))</f>
        <v/>
      </c>
      <c r="AL7">
        <f>IF(AJ7-AK7&lt;0.005,0,AJ7-AK7)</f>
        <v/>
      </c>
      <c r="AM7">
        <f>MAX(0,Plan!C12)</f>
        <v/>
      </c>
      <c r="AN7">
        <f>AM7*Plan!D12/100/12</f>
        <v/>
      </c>
      <c r="AO7">
        <f>MIN(Plan!E12,AM7+AN7)</f>
        <v/>
      </c>
      <c r="AP7">
        <f>AM7+AN7-AO7</f>
        <v/>
      </c>
      <c r="AQ7">
        <f>MIN(AP7,MAX(0,$B7-((E$5&lt;AO$5)*F7+(K$5&lt;AO$5)*L7+(Q$5&lt;AO$5)*R7+(W$5&lt;AO$5)*X7+(AC$5&lt;AO$5)*AD7+(AI$5&lt;AO$5)*AJ7+(AU$5&lt;AO$5)*AV7)))</f>
        <v/>
      </c>
      <c r="AR7">
        <f>IF(AP7-AQ7&lt;0.005,0,AP7-AQ7)</f>
        <v/>
      </c>
      <c r="AS7">
        <f>MAX(0,Plan!C13)</f>
        <v/>
      </c>
      <c r="AT7">
        <f>AS7*Plan!D13/100/12</f>
        <v/>
      </c>
      <c r="AU7">
        <f>MIN(Plan!E13,AS7+AT7)</f>
        <v/>
      </c>
      <c r="AV7">
        <f>AS7+AT7-AU7</f>
        <v/>
      </c>
      <c r="AW7">
        <f>MIN(AV7,MAX(0,$B7-((E$5&lt;AU$5)*F7+(K$5&lt;AU$5)*L7+(Q$5&lt;AU$5)*R7+(W$5&lt;AU$5)*X7+(AC$5&lt;AU$5)*AD7+(AI$5&lt;AU$5)*AJ7+(AO$5&lt;AU$5)*AP7)))</f>
        <v/>
      </c>
      <c r="AX7">
        <f>IF(AV7-AW7&lt;0.005,0,AV7-AW7)</f>
        <v/>
      </c>
      <c r="BC7">
        <f>H7+N7+T7+Z7+AF7+AL7+AR7+AX7</f>
        <v/>
      </c>
    </row>
    <row r="8">
      <c r="A8" t="n">
        <v>2</v>
      </c>
      <c r="B8" s="19">
        <f>MAX(0,$B$3-(E8+K8+Q8+W8+AC8+AI8+AO8+AU8))</f>
        <v/>
      </c>
      <c r="C8">
        <f>H7</f>
        <v/>
      </c>
      <c r="D8">
        <f>C8*Plan!D6/100/12</f>
        <v/>
      </c>
      <c r="E8">
        <f>MIN(Plan!E6,C8+D8)</f>
        <v/>
      </c>
      <c r="F8">
        <f>C8+D8-E8</f>
        <v/>
      </c>
      <c r="G8">
        <f>MIN(F8,MAX(0,$B8-((K$5&lt;E$5)*L8+(Q$5&lt;E$5)*R8+(W$5&lt;E$5)*X8+(AC$5&lt;E$5)*AD8+(AI$5&lt;E$5)*AJ8+(AO$5&lt;E$5)*AP8+(AU$5&lt;E$5)*AV8)))</f>
        <v/>
      </c>
      <c r="H8">
        <f>IF(F8-G8&lt;0.005,0,F8-G8)</f>
        <v/>
      </c>
      <c r="I8">
        <f>N7</f>
        <v/>
      </c>
      <c r="J8">
        <f>I8*Plan!D7/100/12</f>
        <v/>
      </c>
      <c r="K8">
        <f>MIN(Plan!E7,I8+J8)</f>
        <v/>
      </c>
      <c r="L8">
        <f>I8+J8-K8</f>
        <v/>
      </c>
      <c r="M8">
        <f>MIN(L8,MAX(0,$B8-((E$5&lt;K$5)*F8+(Q$5&lt;K$5)*R8+(W$5&lt;K$5)*X8+(AC$5&lt;K$5)*AD8+(AI$5&lt;K$5)*AJ8+(AO$5&lt;K$5)*AP8+(AU$5&lt;K$5)*AV8)))</f>
        <v/>
      </c>
      <c r="N8">
        <f>IF(L8-M8&lt;0.005,0,L8-M8)</f>
        <v/>
      </c>
      <c r="O8">
        <f>T7</f>
        <v/>
      </c>
      <c r="P8">
        <f>O8*Plan!D8/100/12</f>
        <v/>
      </c>
      <c r="Q8">
        <f>MIN(Plan!E8,O8+P8)</f>
        <v/>
      </c>
      <c r="R8">
        <f>O8+P8-Q8</f>
        <v/>
      </c>
      <c r="S8">
        <f>MIN(R8,MAX(0,$B8-((E$5&lt;Q$5)*F8+(K$5&lt;Q$5)*L8+(W$5&lt;Q$5)*X8+(AC$5&lt;Q$5)*AD8+(AI$5&lt;Q$5)*AJ8+(AO$5&lt;Q$5)*AP8+(AU$5&lt;Q$5)*AV8)))</f>
        <v/>
      </c>
      <c r="T8">
        <f>IF(R8-S8&lt;0.005,0,R8-S8)</f>
        <v/>
      </c>
      <c r="U8">
        <f>Z7</f>
        <v/>
      </c>
      <c r="V8">
        <f>U8*Plan!D9/100/12</f>
        <v/>
      </c>
      <c r="W8">
        <f>MIN(Plan!E9,U8+V8)</f>
        <v/>
      </c>
      <c r="X8">
        <f>U8+V8-W8</f>
        <v/>
      </c>
      <c r="Y8">
        <f>MIN(X8,MAX(0,$B8-((E$5&lt;W$5)*F8+(K$5&lt;W$5)*L8+(Q$5&lt;W$5)*R8+(AC$5&lt;W$5)*AD8+(AI$5&lt;W$5)*AJ8+(AO$5&lt;W$5)*AP8+(AU$5&lt;W$5)*AV8)))</f>
        <v/>
      </c>
      <c r="Z8">
        <f>IF(X8-Y8&lt;0.005,0,X8-Y8)</f>
        <v/>
      </c>
      <c r="AA8">
        <f>AF7</f>
        <v/>
      </c>
      <c r="AB8">
        <f>AA8*Plan!D10/100/12</f>
        <v/>
      </c>
      <c r="AC8">
        <f>MIN(Plan!E10,AA8+AB8)</f>
        <v/>
      </c>
      <c r="AD8">
        <f>AA8+AB8-AC8</f>
        <v/>
      </c>
      <c r="AE8">
        <f>MIN(AD8,MAX(0,$B8-((E$5&lt;AC$5)*F8+(K$5&lt;AC$5)*L8+(Q$5&lt;AC$5)*R8+(W$5&lt;AC$5)*X8+(AI$5&lt;AC$5)*AJ8+(AO$5&lt;AC$5)*AP8+(AU$5&lt;AC$5)*AV8)))</f>
        <v/>
      </c>
      <c r="AF8">
        <f>IF(AD8-AE8&lt;0.005,0,AD8-AE8)</f>
        <v/>
      </c>
      <c r="AG8">
        <f>AL7</f>
        <v/>
      </c>
      <c r="AH8">
        <f>AG8*Plan!D11/100/12</f>
        <v/>
      </c>
      <c r="AI8">
        <f>MIN(Plan!E11,AG8+AH8)</f>
        <v/>
      </c>
      <c r="AJ8">
        <f>AG8+AH8-AI8</f>
        <v/>
      </c>
      <c r="AK8">
        <f>MIN(AJ8,MAX(0,$B8-((E$5&lt;AI$5)*F8+(K$5&lt;AI$5)*L8+(Q$5&lt;AI$5)*R8+(W$5&lt;AI$5)*X8+(AC$5&lt;AI$5)*AD8+(AO$5&lt;AI$5)*AP8+(AU$5&lt;AI$5)*AV8)))</f>
        <v/>
      </c>
      <c r="AL8">
        <f>IF(AJ8-AK8&lt;0.005,0,AJ8-AK8)</f>
        <v/>
      </c>
      <c r="AM8">
        <f>AR7</f>
        <v/>
      </c>
      <c r="AN8">
        <f>AM8*Plan!D12/100/12</f>
        <v/>
      </c>
      <c r="AO8">
        <f>MIN(Plan!E12,AM8+AN8)</f>
        <v/>
      </c>
      <c r="AP8">
        <f>AM8+AN8-AO8</f>
        <v/>
      </c>
      <c r="AQ8">
        <f>MIN(AP8,MAX(0,$B8-((E$5&lt;AO$5)*F8+(K$5&lt;AO$5)*L8+(Q$5&lt;AO$5)*R8+(W$5&lt;AO$5)*X8+(AC$5&lt;AO$5)*AD8+(AI$5&lt;AO$5)*AJ8+(AU$5&lt;AO$5)*AV8)))</f>
        <v/>
      </c>
      <c r="AR8">
        <f>IF(AP8-AQ8&lt;0.005,0,AP8-AQ8)</f>
        <v/>
      </c>
      <c r="AS8">
        <f>AX7</f>
        <v/>
      </c>
      <c r="AT8">
        <f>AS8*Plan!D13/100/12</f>
        <v/>
      </c>
      <c r="AU8">
        <f>MIN(Plan!E13,AS8+AT8)</f>
        <v/>
      </c>
      <c r="AV8">
        <f>AS8+AT8-AU8</f>
        <v/>
      </c>
      <c r="AW8">
        <f>MIN(AV8,MAX(0,$B8-((E$5&lt;AU$5)*F8+(K$5&lt;AU$5)*L8+(Q$5&lt;AU$5)*R8+(W$5&lt;AU$5)*X8+(AC$5&lt;AU$5)*AD8+(AI$5&lt;AU$5)*AJ8+(AO$5&lt;AU$5)*AP8)))</f>
        <v/>
      </c>
      <c r="AX8">
        <f>IF(AV8-AW8&lt;0.005,0,AV8-AW8)</f>
        <v/>
      </c>
      <c r="BC8">
        <f>H8+N8+T8+Z8+AF8+AL8+AR8+AX8</f>
        <v/>
      </c>
    </row>
    <row r="9">
      <c r="A9" t="n">
        <v>3</v>
      </c>
      <c r="B9" s="19">
        <f>MAX(0,$B$3-(E9+K9+Q9+W9+AC9+AI9+AO9+AU9))</f>
        <v/>
      </c>
      <c r="C9">
        <f>H8</f>
        <v/>
      </c>
      <c r="D9">
        <f>C9*Plan!D6/100/12</f>
        <v/>
      </c>
      <c r="E9">
        <f>MIN(Plan!E6,C9+D9)</f>
        <v/>
      </c>
      <c r="F9">
        <f>C9+D9-E9</f>
        <v/>
      </c>
      <c r="G9">
        <f>MIN(F9,MAX(0,$B9-((K$5&lt;E$5)*L9+(Q$5&lt;E$5)*R9+(W$5&lt;E$5)*X9+(AC$5&lt;E$5)*AD9+(AI$5&lt;E$5)*AJ9+(AO$5&lt;E$5)*AP9+(AU$5&lt;E$5)*AV9)))</f>
        <v/>
      </c>
      <c r="H9">
        <f>IF(F9-G9&lt;0.005,0,F9-G9)</f>
        <v/>
      </c>
      <c r="I9">
        <f>N8</f>
        <v/>
      </c>
      <c r="J9">
        <f>I9*Plan!D7/100/12</f>
        <v/>
      </c>
      <c r="K9">
        <f>MIN(Plan!E7,I9+J9)</f>
        <v/>
      </c>
      <c r="L9">
        <f>I9+J9-K9</f>
        <v/>
      </c>
      <c r="M9">
        <f>MIN(L9,MAX(0,$B9-((E$5&lt;K$5)*F9+(Q$5&lt;K$5)*R9+(W$5&lt;K$5)*X9+(AC$5&lt;K$5)*AD9+(AI$5&lt;K$5)*AJ9+(AO$5&lt;K$5)*AP9+(AU$5&lt;K$5)*AV9)))</f>
        <v/>
      </c>
      <c r="N9">
        <f>IF(L9-M9&lt;0.005,0,L9-M9)</f>
        <v/>
      </c>
      <c r="O9">
        <f>T8</f>
        <v/>
      </c>
      <c r="P9">
        <f>O9*Plan!D8/100/12</f>
        <v/>
      </c>
      <c r="Q9">
        <f>MIN(Plan!E8,O9+P9)</f>
        <v/>
      </c>
      <c r="R9">
        <f>O9+P9-Q9</f>
        <v/>
      </c>
      <c r="S9">
        <f>MIN(R9,MAX(0,$B9-((E$5&lt;Q$5)*F9+(K$5&lt;Q$5)*L9+(W$5&lt;Q$5)*X9+(AC$5&lt;Q$5)*AD9+(AI$5&lt;Q$5)*AJ9+(AO$5&lt;Q$5)*AP9+(AU$5&lt;Q$5)*AV9)))</f>
        <v/>
      </c>
      <c r="T9">
        <f>IF(R9-S9&lt;0.005,0,R9-S9)</f>
        <v/>
      </c>
      <c r="U9">
        <f>Z8</f>
        <v/>
      </c>
      <c r="V9">
        <f>U9*Plan!D9/100/12</f>
        <v/>
      </c>
      <c r="W9">
        <f>MIN(Plan!E9,U9+V9)</f>
        <v/>
      </c>
      <c r="X9">
        <f>U9+V9-W9</f>
        <v/>
      </c>
      <c r="Y9">
        <f>MIN(X9,MAX(0,$B9-((E$5&lt;W$5)*F9+(K$5&lt;W$5)*L9+(Q$5&lt;W$5)*R9+(AC$5&lt;W$5)*AD9+(AI$5&lt;W$5)*AJ9+(AO$5&lt;W$5)*AP9+(AU$5&lt;W$5)*AV9)))</f>
        <v/>
      </c>
      <c r="Z9">
        <f>IF(X9-Y9&lt;0.005,0,X9-Y9)</f>
        <v/>
      </c>
      <c r="AA9">
        <f>AF8</f>
        <v/>
      </c>
      <c r="AB9">
        <f>AA9*Plan!D10/100/12</f>
        <v/>
      </c>
      <c r="AC9">
        <f>MIN(Plan!E10,AA9+AB9)</f>
        <v/>
      </c>
      <c r="AD9">
        <f>AA9+AB9-AC9</f>
        <v/>
      </c>
      <c r="AE9">
        <f>MIN(AD9,MAX(0,$B9-((E$5&lt;AC$5)*F9+(K$5&lt;AC$5)*L9+(Q$5&lt;AC$5)*R9+(W$5&lt;AC$5)*X9+(AI$5&lt;AC$5)*AJ9+(AO$5&lt;AC$5)*AP9+(AU$5&lt;AC$5)*AV9)))</f>
        <v/>
      </c>
      <c r="AF9">
        <f>IF(AD9-AE9&lt;0.005,0,AD9-AE9)</f>
        <v/>
      </c>
      <c r="AG9">
        <f>AL8</f>
        <v/>
      </c>
      <c r="AH9">
        <f>AG9*Plan!D11/100/12</f>
        <v/>
      </c>
      <c r="AI9">
        <f>MIN(Plan!E11,AG9+AH9)</f>
        <v/>
      </c>
      <c r="AJ9">
        <f>AG9+AH9-AI9</f>
        <v/>
      </c>
      <c r="AK9">
        <f>MIN(AJ9,MAX(0,$B9-((E$5&lt;AI$5)*F9+(K$5&lt;AI$5)*L9+(Q$5&lt;AI$5)*R9+(W$5&lt;AI$5)*X9+(AC$5&lt;AI$5)*AD9+(AO$5&lt;AI$5)*AP9+(AU$5&lt;AI$5)*AV9)))</f>
        <v/>
      </c>
      <c r="AL9">
        <f>IF(AJ9-AK9&lt;0.005,0,AJ9-AK9)</f>
        <v/>
      </c>
      <c r="AM9">
        <f>AR8</f>
        <v/>
      </c>
      <c r="AN9">
        <f>AM9*Plan!D12/100/12</f>
        <v/>
      </c>
      <c r="AO9">
        <f>MIN(Plan!E12,AM9+AN9)</f>
        <v/>
      </c>
      <c r="AP9">
        <f>AM9+AN9-AO9</f>
        <v/>
      </c>
      <c r="AQ9">
        <f>MIN(AP9,MAX(0,$B9-((E$5&lt;AO$5)*F9+(K$5&lt;AO$5)*L9+(Q$5&lt;AO$5)*R9+(W$5&lt;AO$5)*X9+(AC$5&lt;AO$5)*AD9+(AI$5&lt;AO$5)*AJ9+(AU$5&lt;AO$5)*AV9)))</f>
        <v/>
      </c>
      <c r="AR9">
        <f>IF(AP9-AQ9&lt;0.005,0,AP9-AQ9)</f>
        <v/>
      </c>
      <c r="AS9">
        <f>AX8</f>
        <v/>
      </c>
      <c r="AT9">
        <f>AS9*Plan!D13/100/12</f>
        <v/>
      </c>
      <c r="AU9">
        <f>MIN(Plan!E13,AS9+AT9)</f>
        <v/>
      </c>
      <c r="AV9">
        <f>AS9+AT9-AU9</f>
        <v/>
      </c>
      <c r="AW9">
        <f>MIN(AV9,MAX(0,$B9-((E$5&lt;AU$5)*F9+(K$5&lt;AU$5)*L9+(Q$5&lt;AU$5)*R9+(W$5&lt;AU$5)*X9+(AC$5&lt;AU$5)*AD9+(AI$5&lt;AU$5)*AJ9+(AO$5&lt;AU$5)*AP9)))</f>
        <v/>
      </c>
      <c r="AX9">
        <f>IF(AV9-AW9&lt;0.005,0,AV9-AW9)</f>
        <v/>
      </c>
      <c r="BC9">
        <f>H9+N9+T9+Z9+AF9+AL9+AR9+AX9</f>
        <v/>
      </c>
    </row>
    <row r="10">
      <c r="A10" t="n">
        <v>4</v>
      </c>
      <c r="B10" s="19">
        <f>MAX(0,$B$3-(E10+K10+Q10+W10+AC10+AI10+AO10+AU10))</f>
        <v/>
      </c>
      <c r="C10">
        <f>H9</f>
        <v/>
      </c>
      <c r="D10">
        <f>C10*Plan!D6/100/12</f>
        <v/>
      </c>
      <c r="E10">
        <f>MIN(Plan!E6,C10+D10)</f>
        <v/>
      </c>
      <c r="F10">
        <f>C10+D10-E10</f>
        <v/>
      </c>
      <c r="G10">
        <f>MIN(F10,MAX(0,$B10-((K$5&lt;E$5)*L10+(Q$5&lt;E$5)*R10+(W$5&lt;E$5)*X10+(AC$5&lt;E$5)*AD10+(AI$5&lt;E$5)*AJ10+(AO$5&lt;E$5)*AP10+(AU$5&lt;E$5)*AV10)))</f>
        <v/>
      </c>
      <c r="H10">
        <f>IF(F10-G10&lt;0.005,0,F10-G10)</f>
        <v/>
      </c>
      <c r="I10">
        <f>N9</f>
        <v/>
      </c>
      <c r="J10">
        <f>I10*Plan!D7/100/12</f>
        <v/>
      </c>
      <c r="K10">
        <f>MIN(Plan!E7,I10+J10)</f>
        <v/>
      </c>
      <c r="L10">
        <f>I10+J10-K10</f>
        <v/>
      </c>
      <c r="M10">
        <f>MIN(L10,MAX(0,$B10-((E$5&lt;K$5)*F10+(Q$5&lt;K$5)*R10+(W$5&lt;K$5)*X10+(AC$5&lt;K$5)*AD10+(AI$5&lt;K$5)*AJ10+(AO$5&lt;K$5)*AP10+(AU$5&lt;K$5)*AV10)))</f>
        <v/>
      </c>
      <c r="N10">
        <f>IF(L10-M10&lt;0.005,0,L10-M10)</f>
        <v/>
      </c>
      <c r="O10">
        <f>T9</f>
        <v/>
      </c>
      <c r="P10">
        <f>O10*Plan!D8/100/12</f>
        <v/>
      </c>
      <c r="Q10">
        <f>MIN(Plan!E8,O10+P10)</f>
        <v/>
      </c>
      <c r="R10">
        <f>O10+P10-Q10</f>
        <v/>
      </c>
      <c r="S10">
        <f>MIN(R10,MAX(0,$B10-((E$5&lt;Q$5)*F10+(K$5&lt;Q$5)*L10+(W$5&lt;Q$5)*X10+(AC$5&lt;Q$5)*AD10+(AI$5&lt;Q$5)*AJ10+(AO$5&lt;Q$5)*AP10+(AU$5&lt;Q$5)*AV10)))</f>
        <v/>
      </c>
      <c r="T10">
        <f>IF(R10-S10&lt;0.005,0,R10-S10)</f>
        <v/>
      </c>
      <c r="U10">
        <f>Z9</f>
        <v/>
      </c>
      <c r="V10">
        <f>U10*Plan!D9/100/12</f>
        <v/>
      </c>
      <c r="W10">
        <f>MIN(Plan!E9,U10+V10)</f>
        <v/>
      </c>
      <c r="X10">
        <f>U10+V10-W10</f>
        <v/>
      </c>
      <c r="Y10">
        <f>MIN(X10,MAX(0,$B10-((E$5&lt;W$5)*F10+(K$5&lt;W$5)*L10+(Q$5&lt;W$5)*R10+(AC$5&lt;W$5)*AD10+(AI$5&lt;W$5)*AJ10+(AO$5&lt;W$5)*AP10+(AU$5&lt;W$5)*AV10)))</f>
        <v/>
      </c>
      <c r="Z10">
        <f>IF(X10-Y10&lt;0.005,0,X10-Y10)</f>
        <v/>
      </c>
      <c r="AA10">
        <f>AF9</f>
        <v/>
      </c>
      <c r="AB10">
        <f>AA10*Plan!D10/100/12</f>
        <v/>
      </c>
      <c r="AC10">
        <f>MIN(Plan!E10,AA10+AB10)</f>
        <v/>
      </c>
      <c r="AD10">
        <f>AA10+AB10-AC10</f>
        <v/>
      </c>
      <c r="AE10">
        <f>MIN(AD10,MAX(0,$B10-((E$5&lt;AC$5)*F10+(K$5&lt;AC$5)*L10+(Q$5&lt;AC$5)*R10+(W$5&lt;AC$5)*X10+(AI$5&lt;AC$5)*AJ10+(AO$5&lt;AC$5)*AP10+(AU$5&lt;AC$5)*AV10)))</f>
        <v/>
      </c>
      <c r="AF10">
        <f>IF(AD10-AE10&lt;0.005,0,AD10-AE10)</f>
        <v/>
      </c>
      <c r="AG10">
        <f>AL9</f>
        <v/>
      </c>
      <c r="AH10">
        <f>AG10*Plan!D11/100/12</f>
        <v/>
      </c>
      <c r="AI10">
        <f>MIN(Plan!E11,AG10+AH10)</f>
        <v/>
      </c>
      <c r="AJ10">
        <f>AG10+AH10-AI10</f>
        <v/>
      </c>
      <c r="AK10">
        <f>MIN(AJ10,MAX(0,$B10-((E$5&lt;AI$5)*F10+(K$5&lt;AI$5)*L10+(Q$5&lt;AI$5)*R10+(W$5&lt;AI$5)*X10+(AC$5&lt;AI$5)*AD10+(AO$5&lt;AI$5)*AP10+(AU$5&lt;AI$5)*AV10)))</f>
        <v/>
      </c>
      <c r="AL10">
        <f>IF(AJ10-AK10&lt;0.005,0,AJ10-AK10)</f>
        <v/>
      </c>
      <c r="AM10">
        <f>AR9</f>
        <v/>
      </c>
      <c r="AN10">
        <f>AM10*Plan!D12/100/12</f>
        <v/>
      </c>
      <c r="AO10">
        <f>MIN(Plan!E12,AM10+AN10)</f>
        <v/>
      </c>
      <c r="AP10">
        <f>AM10+AN10-AO10</f>
        <v/>
      </c>
      <c r="AQ10">
        <f>MIN(AP10,MAX(0,$B10-((E$5&lt;AO$5)*F10+(K$5&lt;AO$5)*L10+(Q$5&lt;AO$5)*R10+(W$5&lt;AO$5)*X10+(AC$5&lt;AO$5)*AD10+(AI$5&lt;AO$5)*AJ10+(AU$5&lt;AO$5)*AV10)))</f>
        <v/>
      </c>
      <c r="AR10">
        <f>IF(AP10-AQ10&lt;0.005,0,AP10-AQ10)</f>
        <v/>
      </c>
      <c r="AS10">
        <f>AX9</f>
        <v/>
      </c>
      <c r="AT10">
        <f>AS10*Plan!D13/100/12</f>
        <v/>
      </c>
      <c r="AU10">
        <f>MIN(Plan!E13,AS10+AT10)</f>
        <v/>
      </c>
      <c r="AV10">
        <f>AS10+AT10-AU10</f>
        <v/>
      </c>
      <c r="AW10">
        <f>MIN(AV10,MAX(0,$B10-((E$5&lt;AU$5)*F10+(K$5&lt;AU$5)*L10+(Q$5&lt;AU$5)*R10+(W$5&lt;AU$5)*X10+(AC$5&lt;AU$5)*AD10+(AI$5&lt;AU$5)*AJ10+(AO$5&lt;AU$5)*AP10)))</f>
        <v/>
      </c>
      <c r="AX10">
        <f>IF(AV10-AW10&lt;0.005,0,AV10-AW10)</f>
        <v/>
      </c>
      <c r="BC10">
        <f>H10+N10+T10+Z10+AF10+AL10+AR10+AX10</f>
        <v/>
      </c>
    </row>
    <row r="11">
      <c r="A11" t="n">
        <v>5</v>
      </c>
      <c r="B11" s="19">
        <f>MAX(0,$B$3-(E11+K11+Q11+W11+AC11+AI11+AO11+AU11))</f>
        <v/>
      </c>
      <c r="C11">
        <f>H10</f>
        <v/>
      </c>
      <c r="D11">
        <f>C11*Plan!D6/100/12</f>
        <v/>
      </c>
      <c r="E11">
        <f>MIN(Plan!E6,C11+D11)</f>
        <v/>
      </c>
      <c r="F11">
        <f>C11+D11-E11</f>
        <v/>
      </c>
      <c r="G11">
        <f>MIN(F11,MAX(0,$B11-((K$5&lt;E$5)*L11+(Q$5&lt;E$5)*R11+(W$5&lt;E$5)*X11+(AC$5&lt;E$5)*AD11+(AI$5&lt;E$5)*AJ11+(AO$5&lt;E$5)*AP11+(AU$5&lt;E$5)*AV11)))</f>
        <v/>
      </c>
      <c r="H11">
        <f>IF(F11-G11&lt;0.005,0,F11-G11)</f>
        <v/>
      </c>
      <c r="I11">
        <f>N10</f>
        <v/>
      </c>
      <c r="J11">
        <f>I11*Plan!D7/100/12</f>
        <v/>
      </c>
      <c r="K11">
        <f>MIN(Plan!E7,I11+J11)</f>
        <v/>
      </c>
      <c r="L11">
        <f>I11+J11-K11</f>
        <v/>
      </c>
      <c r="M11">
        <f>MIN(L11,MAX(0,$B11-((E$5&lt;K$5)*F11+(Q$5&lt;K$5)*R11+(W$5&lt;K$5)*X11+(AC$5&lt;K$5)*AD11+(AI$5&lt;K$5)*AJ11+(AO$5&lt;K$5)*AP11+(AU$5&lt;K$5)*AV11)))</f>
        <v/>
      </c>
      <c r="N11">
        <f>IF(L11-M11&lt;0.005,0,L11-M11)</f>
        <v/>
      </c>
      <c r="O11">
        <f>T10</f>
        <v/>
      </c>
      <c r="P11">
        <f>O11*Plan!D8/100/12</f>
        <v/>
      </c>
      <c r="Q11">
        <f>MIN(Plan!E8,O11+P11)</f>
        <v/>
      </c>
      <c r="R11">
        <f>O11+P11-Q11</f>
        <v/>
      </c>
      <c r="S11">
        <f>MIN(R11,MAX(0,$B11-((E$5&lt;Q$5)*F11+(K$5&lt;Q$5)*L11+(W$5&lt;Q$5)*X11+(AC$5&lt;Q$5)*AD11+(AI$5&lt;Q$5)*AJ11+(AO$5&lt;Q$5)*AP11+(AU$5&lt;Q$5)*AV11)))</f>
        <v/>
      </c>
      <c r="T11">
        <f>IF(R11-S11&lt;0.005,0,R11-S11)</f>
        <v/>
      </c>
      <c r="U11">
        <f>Z10</f>
        <v/>
      </c>
      <c r="V11">
        <f>U11*Plan!D9/100/12</f>
        <v/>
      </c>
      <c r="W11">
        <f>MIN(Plan!E9,U11+V11)</f>
        <v/>
      </c>
      <c r="X11">
        <f>U11+V11-W11</f>
        <v/>
      </c>
      <c r="Y11">
        <f>MIN(X11,MAX(0,$B11-((E$5&lt;W$5)*F11+(K$5&lt;W$5)*L11+(Q$5&lt;W$5)*R11+(AC$5&lt;W$5)*AD11+(AI$5&lt;W$5)*AJ11+(AO$5&lt;W$5)*AP11+(AU$5&lt;W$5)*AV11)))</f>
        <v/>
      </c>
      <c r="Z11">
        <f>IF(X11-Y11&lt;0.005,0,X11-Y11)</f>
        <v/>
      </c>
      <c r="AA11">
        <f>AF10</f>
        <v/>
      </c>
      <c r="AB11">
        <f>AA11*Plan!D10/100/12</f>
        <v/>
      </c>
      <c r="AC11">
        <f>MIN(Plan!E10,AA11+AB11)</f>
        <v/>
      </c>
      <c r="AD11">
        <f>AA11+AB11-AC11</f>
        <v/>
      </c>
      <c r="AE11">
        <f>MIN(AD11,MAX(0,$B11-((E$5&lt;AC$5)*F11+(K$5&lt;AC$5)*L11+(Q$5&lt;AC$5)*R11+(W$5&lt;AC$5)*X11+(AI$5&lt;AC$5)*AJ11+(AO$5&lt;AC$5)*AP11+(AU$5&lt;AC$5)*AV11)))</f>
        <v/>
      </c>
      <c r="AF11">
        <f>IF(AD11-AE11&lt;0.005,0,AD11-AE11)</f>
        <v/>
      </c>
      <c r="AG11">
        <f>AL10</f>
        <v/>
      </c>
      <c r="AH11">
        <f>AG11*Plan!D11/100/12</f>
        <v/>
      </c>
      <c r="AI11">
        <f>MIN(Plan!E11,AG11+AH11)</f>
        <v/>
      </c>
      <c r="AJ11">
        <f>AG11+AH11-AI11</f>
        <v/>
      </c>
      <c r="AK11">
        <f>MIN(AJ11,MAX(0,$B11-((E$5&lt;AI$5)*F11+(K$5&lt;AI$5)*L11+(Q$5&lt;AI$5)*R11+(W$5&lt;AI$5)*X11+(AC$5&lt;AI$5)*AD11+(AO$5&lt;AI$5)*AP11+(AU$5&lt;AI$5)*AV11)))</f>
        <v/>
      </c>
      <c r="AL11">
        <f>IF(AJ11-AK11&lt;0.005,0,AJ11-AK11)</f>
        <v/>
      </c>
      <c r="AM11">
        <f>AR10</f>
        <v/>
      </c>
      <c r="AN11">
        <f>AM11*Plan!D12/100/12</f>
        <v/>
      </c>
      <c r="AO11">
        <f>MIN(Plan!E12,AM11+AN11)</f>
        <v/>
      </c>
      <c r="AP11">
        <f>AM11+AN11-AO11</f>
        <v/>
      </c>
      <c r="AQ11">
        <f>MIN(AP11,MAX(0,$B11-((E$5&lt;AO$5)*F11+(K$5&lt;AO$5)*L11+(Q$5&lt;AO$5)*R11+(W$5&lt;AO$5)*X11+(AC$5&lt;AO$5)*AD11+(AI$5&lt;AO$5)*AJ11+(AU$5&lt;AO$5)*AV11)))</f>
        <v/>
      </c>
      <c r="AR11">
        <f>IF(AP11-AQ11&lt;0.005,0,AP11-AQ11)</f>
        <v/>
      </c>
      <c r="AS11">
        <f>AX10</f>
        <v/>
      </c>
      <c r="AT11">
        <f>AS11*Plan!D13/100/12</f>
        <v/>
      </c>
      <c r="AU11">
        <f>MIN(Plan!E13,AS11+AT11)</f>
        <v/>
      </c>
      <c r="AV11">
        <f>AS11+AT11-AU11</f>
        <v/>
      </c>
      <c r="AW11">
        <f>MIN(AV11,MAX(0,$B11-((E$5&lt;AU$5)*F11+(K$5&lt;AU$5)*L11+(Q$5&lt;AU$5)*R11+(W$5&lt;AU$5)*X11+(AC$5&lt;AU$5)*AD11+(AI$5&lt;AU$5)*AJ11+(AO$5&lt;AU$5)*AP11)))</f>
        <v/>
      </c>
      <c r="AX11">
        <f>IF(AV11-AW11&lt;0.005,0,AV11-AW11)</f>
        <v/>
      </c>
      <c r="BC11">
        <f>H11+N11+T11+Z11+AF11+AL11+AR11+AX11</f>
        <v/>
      </c>
    </row>
    <row r="12">
      <c r="A12" t="n">
        <v>6</v>
      </c>
      <c r="B12" s="19">
        <f>MAX(0,$B$3-(E12+K12+Q12+W12+AC12+AI12+AO12+AU12))</f>
        <v/>
      </c>
      <c r="C12">
        <f>H11</f>
        <v/>
      </c>
      <c r="D12">
        <f>C12*Plan!D6/100/12</f>
        <v/>
      </c>
      <c r="E12">
        <f>MIN(Plan!E6,C12+D12)</f>
        <v/>
      </c>
      <c r="F12">
        <f>C12+D12-E12</f>
        <v/>
      </c>
      <c r="G12">
        <f>MIN(F12,MAX(0,$B12-((K$5&lt;E$5)*L12+(Q$5&lt;E$5)*R12+(W$5&lt;E$5)*X12+(AC$5&lt;E$5)*AD12+(AI$5&lt;E$5)*AJ12+(AO$5&lt;E$5)*AP12+(AU$5&lt;E$5)*AV12)))</f>
        <v/>
      </c>
      <c r="H12">
        <f>IF(F12-G12&lt;0.005,0,F12-G12)</f>
        <v/>
      </c>
      <c r="I12">
        <f>N11</f>
        <v/>
      </c>
      <c r="J12">
        <f>I12*Plan!D7/100/12</f>
        <v/>
      </c>
      <c r="K12">
        <f>MIN(Plan!E7,I12+J12)</f>
        <v/>
      </c>
      <c r="L12">
        <f>I12+J12-K12</f>
        <v/>
      </c>
      <c r="M12">
        <f>MIN(L12,MAX(0,$B12-((E$5&lt;K$5)*F12+(Q$5&lt;K$5)*R12+(W$5&lt;K$5)*X12+(AC$5&lt;K$5)*AD12+(AI$5&lt;K$5)*AJ12+(AO$5&lt;K$5)*AP12+(AU$5&lt;K$5)*AV12)))</f>
        <v/>
      </c>
      <c r="N12">
        <f>IF(L12-M12&lt;0.005,0,L12-M12)</f>
        <v/>
      </c>
      <c r="O12">
        <f>T11</f>
        <v/>
      </c>
      <c r="P12">
        <f>O12*Plan!D8/100/12</f>
        <v/>
      </c>
      <c r="Q12">
        <f>MIN(Plan!E8,O12+P12)</f>
        <v/>
      </c>
      <c r="R12">
        <f>O12+P12-Q12</f>
        <v/>
      </c>
      <c r="S12">
        <f>MIN(R12,MAX(0,$B12-((E$5&lt;Q$5)*F12+(K$5&lt;Q$5)*L12+(W$5&lt;Q$5)*X12+(AC$5&lt;Q$5)*AD12+(AI$5&lt;Q$5)*AJ12+(AO$5&lt;Q$5)*AP12+(AU$5&lt;Q$5)*AV12)))</f>
        <v/>
      </c>
      <c r="T12">
        <f>IF(R12-S12&lt;0.005,0,R12-S12)</f>
        <v/>
      </c>
      <c r="U12">
        <f>Z11</f>
        <v/>
      </c>
      <c r="V12">
        <f>U12*Plan!D9/100/12</f>
        <v/>
      </c>
      <c r="W12">
        <f>MIN(Plan!E9,U12+V12)</f>
        <v/>
      </c>
      <c r="X12">
        <f>U12+V12-W12</f>
        <v/>
      </c>
      <c r="Y12">
        <f>MIN(X12,MAX(0,$B12-((E$5&lt;W$5)*F12+(K$5&lt;W$5)*L12+(Q$5&lt;W$5)*R12+(AC$5&lt;W$5)*AD12+(AI$5&lt;W$5)*AJ12+(AO$5&lt;W$5)*AP12+(AU$5&lt;W$5)*AV12)))</f>
        <v/>
      </c>
      <c r="Z12">
        <f>IF(X12-Y12&lt;0.005,0,X12-Y12)</f>
        <v/>
      </c>
      <c r="AA12">
        <f>AF11</f>
        <v/>
      </c>
      <c r="AB12">
        <f>AA12*Plan!D10/100/12</f>
        <v/>
      </c>
      <c r="AC12">
        <f>MIN(Plan!E10,AA12+AB12)</f>
        <v/>
      </c>
      <c r="AD12">
        <f>AA12+AB12-AC12</f>
        <v/>
      </c>
      <c r="AE12">
        <f>MIN(AD12,MAX(0,$B12-((E$5&lt;AC$5)*F12+(K$5&lt;AC$5)*L12+(Q$5&lt;AC$5)*R12+(W$5&lt;AC$5)*X12+(AI$5&lt;AC$5)*AJ12+(AO$5&lt;AC$5)*AP12+(AU$5&lt;AC$5)*AV12)))</f>
        <v/>
      </c>
      <c r="AF12">
        <f>IF(AD12-AE12&lt;0.005,0,AD12-AE12)</f>
        <v/>
      </c>
      <c r="AG12">
        <f>AL11</f>
        <v/>
      </c>
      <c r="AH12">
        <f>AG12*Plan!D11/100/12</f>
        <v/>
      </c>
      <c r="AI12">
        <f>MIN(Plan!E11,AG12+AH12)</f>
        <v/>
      </c>
      <c r="AJ12">
        <f>AG12+AH12-AI12</f>
        <v/>
      </c>
      <c r="AK12">
        <f>MIN(AJ12,MAX(0,$B12-((E$5&lt;AI$5)*F12+(K$5&lt;AI$5)*L12+(Q$5&lt;AI$5)*R12+(W$5&lt;AI$5)*X12+(AC$5&lt;AI$5)*AD12+(AO$5&lt;AI$5)*AP12+(AU$5&lt;AI$5)*AV12)))</f>
        <v/>
      </c>
      <c r="AL12">
        <f>IF(AJ12-AK12&lt;0.005,0,AJ12-AK12)</f>
        <v/>
      </c>
      <c r="AM12">
        <f>AR11</f>
        <v/>
      </c>
      <c r="AN12">
        <f>AM12*Plan!D12/100/12</f>
        <v/>
      </c>
      <c r="AO12">
        <f>MIN(Plan!E12,AM12+AN12)</f>
        <v/>
      </c>
      <c r="AP12">
        <f>AM12+AN12-AO12</f>
        <v/>
      </c>
      <c r="AQ12">
        <f>MIN(AP12,MAX(0,$B12-((E$5&lt;AO$5)*F12+(K$5&lt;AO$5)*L12+(Q$5&lt;AO$5)*R12+(W$5&lt;AO$5)*X12+(AC$5&lt;AO$5)*AD12+(AI$5&lt;AO$5)*AJ12+(AU$5&lt;AO$5)*AV12)))</f>
        <v/>
      </c>
      <c r="AR12">
        <f>IF(AP12-AQ12&lt;0.005,0,AP12-AQ12)</f>
        <v/>
      </c>
      <c r="AS12">
        <f>AX11</f>
        <v/>
      </c>
      <c r="AT12">
        <f>AS12*Plan!D13/100/12</f>
        <v/>
      </c>
      <c r="AU12">
        <f>MIN(Plan!E13,AS12+AT12)</f>
        <v/>
      </c>
      <c r="AV12">
        <f>AS12+AT12-AU12</f>
        <v/>
      </c>
      <c r="AW12">
        <f>MIN(AV12,MAX(0,$B12-((E$5&lt;AU$5)*F12+(K$5&lt;AU$5)*L12+(Q$5&lt;AU$5)*R12+(W$5&lt;AU$5)*X12+(AC$5&lt;AU$5)*AD12+(AI$5&lt;AU$5)*AJ12+(AO$5&lt;AU$5)*AP12)))</f>
        <v/>
      </c>
      <c r="AX12">
        <f>IF(AV12-AW12&lt;0.005,0,AV12-AW12)</f>
        <v/>
      </c>
      <c r="BC12">
        <f>H12+N12+T12+Z12+AF12+AL12+AR12+AX12</f>
        <v/>
      </c>
    </row>
    <row r="13">
      <c r="A13" t="n">
        <v>7</v>
      </c>
      <c r="B13" s="19">
        <f>MAX(0,$B$3-(E13+K13+Q13+W13+AC13+AI13+AO13+AU13))</f>
        <v/>
      </c>
      <c r="C13">
        <f>H12</f>
        <v/>
      </c>
      <c r="D13">
        <f>C13*Plan!D6/100/12</f>
        <v/>
      </c>
      <c r="E13">
        <f>MIN(Plan!E6,C13+D13)</f>
        <v/>
      </c>
      <c r="F13">
        <f>C13+D13-E13</f>
        <v/>
      </c>
      <c r="G13">
        <f>MIN(F13,MAX(0,$B13-((K$5&lt;E$5)*L13+(Q$5&lt;E$5)*R13+(W$5&lt;E$5)*X13+(AC$5&lt;E$5)*AD13+(AI$5&lt;E$5)*AJ13+(AO$5&lt;E$5)*AP13+(AU$5&lt;E$5)*AV13)))</f>
        <v/>
      </c>
      <c r="H13">
        <f>IF(F13-G13&lt;0.005,0,F13-G13)</f>
        <v/>
      </c>
      <c r="I13">
        <f>N12</f>
        <v/>
      </c>
      <c r="J13">
        <f>I13*Plan!D7/100/12</f>
        <v/>
      </c>
      <c r="K13">
        <f>MIN(Plan!E7,I13+J13)</f>
        <v/>
      </c>
      <c r="L13">
        <f>I13+J13-K13</f>
        <v/>
      </c>
      <c r="M13">
        <f>MIN(L13,MAX(0,$B13-((E$5&lt;K$5)*F13+(Q$5&lt;K$5)*R13+(W$5&lt;K$5)*X13+(AC$5&lt;K$5)*AD13+(AI$5&lt;K$5)*AJ13+(AO$5&lt;K$5)*AP13+(AU$5&lt;K$5)*AV13)))</f>
        <v/>
      </c>
      <c r="N13">
        <f>IF(L13-M13&lt;0.005,0,L13-M13)</f>
        <v/>
      </c>
      <c r="O13">
        <f>T12</f>
        <v/>
      </c>
      <c r="P13">
        <f>O13*Plan!D8/100/12</f>
        <v/>
      </c>
      <c r="Q13">
        <f>MIN(Plan!E8,O13+P13)</f>
        <v/>
      </c>
      <c r="R13">
        <f>O13+P13-Q13</f>
        <v/>
      </c>
      <c r="S13">
        <f>MIN(R13,MAX(0,$B13-((E$5&lt;Q$5)*F13+(K$5&lt;Q$5)*L13+(W$5&lt;Q$5)*X13+(AC$5&lt;Q$5)*AD13+(AI$5&lt;Q$5)*AJ13+(AO$5&lt;Q$5)*AP13+(AU$5&lt;Q$5)*AV13)))</f>
        <v/>
      </c>
      <c r="T13">
        <f>IF(R13-S13&lt;0.005,0,R13-S13)</f>
        <v/>
      </c>
      <c r="U13">
        <f>Z12</f>
        <v/>
      </c>
      <c r="V13">
        <f>U13*Plan!D9/100/12</f>
        <v/>
      </c>
      <c r="W13">
        <f>MIN(Plan!E9,U13+V13)</f>
        <v/>
      </c>
      <c r="X13">
        <f>U13+V13-W13</f>
        <v/>
      </c>
      <c r="Y13">
        <f>MIN(X13,MAX(0,$B13-((E$5&lt;W$5)*F13+(K$5&lt;W$5)*L13+(Q$5&lt;W$5)*R13+(AC$5&lt;W$5)*AD13+(AI$5&lt;W$5)*AJ13+(AO$5&lt;W$5)*AP13+(AU$5&lt;W$5)*AV13)))</f>
        <v/>
      </c>
      <c r="Z13">
        <f>IF(X13-Y13&lt;0.005,0,X13-Y13)</f>
        <v/>
      </c>
      <c r="AA13">
        <f>AF12</f>
        <v/>
      </c>
      <c r="AB13">
        <f>AA13*Plan!D10/100/12</f>
        <v/>
      </c>
      <c r="AC13">
        <f>MIN(Plan!E10,AA13+AB13)</f>
        <v/>
      </c>
      <c r="AD13">
        <f>AA13+AB13-AC13</f>
        <v/>
      </c>
      <c r="AE13">
        <f>MIN(AD13,MAX(0,$B13-((E$5&lt;AC$5)*F13+(K$5&lt;AC$5)*L13+(Q$5&lt;AC$5)*R13+(W$5&lt;AC$5)*X13+(AI$5&lt;AC$5)*AJ13+(AO$5&lt;AC$5)*AP13+(AU$5&lt;AC$5)*AV13)))</f>
        <v/>
      </c>
      <c r="AF13">
        <f>IF(AD13-AE13&lt;0.005,0,AD13-AE13)</f>
        <v/>
      </c>
      <c r="AG13">
        <f>AL12</f>
        <v/>
      </c>
      <c r="AH13">
        <f>AG13*Plan!D11/100/12</f>
        <v/>
      </c>
      <c r="AI13">
        <f>MIN(Plan!E11,AG13+AH13)</f>
        <v/>
      </c>
      <c r="AJ13">
        <f>AG13+AH13-AI13</f>
        <v/>
      </c>
      <c r="AK13">
        <f>MIN(AJ13,MAX(0,$B13-((E$5&lt;AI$5)*F13+(K$5&lt;AI$5)*L13+(Q$5&lt;AI$5)*R13+(W$5&lt;AI$5)*X13+(AC$5&lt;AI$5)*AD13+(AO$5&lt;AI$5)*AP13+(AU$5&lt;AI$5)*AV13)))</f>
        <v/>
      </c>
      <c r="AL13">
        <f>IF(AJ13-AK13&lt;0.005,0,AJ13-AK13)</f>
        <v/>
      </c>
      <c r="AM13">
        <f>AR12</f>
        <v/>
      </c>
      <c r="AN13">
        <f>AM13*Plan!D12/100/12</f>
        <v/>
      </c>
      <c r="AO13">
        <f>MIN(Plan!E12,AM13+AN13)</f>
        <v/>
      </c>
      <c r="AP13">
        <f>AM13+AN13-AO13</f>
        <v/>
      </c>
      <c r="AQ13">
        <f>MIN(AP13,MAX(0,$B13-((E$5&lt;AO$5)*F13+(K$5&lt;AO$5)*L13+(Q$5&lt;AO$5)*R13+(W$5&lt;AO$5)*X13+(AC$5&lt;AO$5)*AD13+(AI$5&lt;AO$5)*AJ13+(AU$5&lt;AO$5)*AV13)))</f>
        <v/>
      </c>
      <c r="AR13">
        <f>IF(AP13-AQ13&lt;0.005,0,AP13-AQ13)</f>
        <v/>
      </c>
      <c r="AS13">
        <f>AX12</f>
        <v/>
      </c>
      <c r="AT13">
        <f>AS13*Plan!D13/100/12</f>
        <v/>
      </c>
      <c r="AU13">
        <f>MIN(Plan!E13,AS13+AT13)</f>
        <v/>
      </c>
      <c r="AV13">
        <f>AS13+AT13-AU13</f>
        <v/>
      </c>
      <c r="AW13">
        <f>MIN(AV13,MAX(0,$B13-((E$5&lt;AU$5)*F13+(K$5&lt;AU$5)*L13+(Q$5&lt;AU$5)*R13+(W$5&lt;AU$5)*X13+(AC$5&lt;AU$5)*AD13+(AI$5&lt;AU$5)*AJ13+(AO$5&lt;AU$5)*AP13)))</f>
        <v/>
      </c>
      <c r="AX13">
        <f>IF(AV13-AW13&lt;0.005,0,AV13-AW13)</f>
        <v/>
      </c>
      <c r="BC13">
        <f>H13+N13+T13+Z13+AF13+AL13+AR13+AX13</f>
        <v/>
      </c>
    </row>
    <row r="14">
      <c r="A14" t="n">
        <v>8</v>
      </c>
      <c r="B14" s="19">
        <f>MAX(0,$B$3-(E14+K14+Q14+W14+AC14+AI14+AO14+AU14))</f>
        <v/>
      </c>
      <c r="C14">
        <f>H13</f>
        <v/>
      </c>
      <c r="D14">
        <f>C14*Plan!D6/100/12</f>
        <v/>
      </c>
      <c r="E14">
        <f>MIN(Plan!E6,C14+D14)</f>
        <v/>
      </c>
      <c r="F14">
        <f>C14+D14-E14</f>
        <v/>
      </c>
      <c r="G14">
        <f>MIN(F14,MAX(0,$B14-((K$5&lt;E$5)*L14+(Q$5&lt;E$5)*R14+(W$5&lt;E$5)*X14+(AC$5&lt;E$5)*AD14+(AI$5&lt;E$5)*AJ14+(AO$5&lt;E$5)*AP14+(AU$5&lt;E$5)*AV14)))</f>
        <v/>
      </c>
      <c r="H14">
        <f>IF(F14-G14&lt;0.005,0,F14-G14)</f>
        <v/>
      </c>
      <c r="I14">
        <f>N13</f>
        <v/>
      </c>
      <c r="J14">
        <f>I14*Plan!D7/100/12</f>
        <v/>
      </c>
      <c r="K14">
        <f>MIN(Plan!E7,I14+J14)</f>
        <v/>
      </c>
      <c r="L14">
        <f>I14+J14-K14</f>
        <v/>
      </c>
      <c r="M14">
        <f>MIN(L14,MAX(0,$B14-((E$5&lt;K$5)*F14+(Q$5&lt;K$5)*R14+(W$5&lt;K$5)*X14+(AC$5&lt;K$5)*AD14+(AI$5&lt;K$5)*AJ14+(AO$5&lt;K$5)*AP14+(AU$5&lt;K$5)*AV14)))</f>
        <v/>
      </c>
      <c r="N14">
        <f>IF(L14-M14&lt;0.005,0,L14-M14)</f>
        <v/>
      </c>
      <c r="O14">
        <f>T13</f>
        <v/>
      </c>
      <c r="P14">
        <f>O14*Plan!D8/100/12</f>
        <v/>
      </c>
      <c r="Q14">
        <f>MIN(Plan!E8,O14+P14)</f>
        <v/>
      </c>
      <c r="R14">
        <f>O14+P14-Q14</f>
        <v/>
      </c>
      <c r="S14">
        <f>MIN(R14,MAX(0,$B14-((E$5&lt;Q$5)*F14+(K$5&lt;Q$5)*L14+(W$5&lt;Q$5)*X14+(AC$5&lt;Q$5)*AD14+(AI$5&lt;Q$5)*AJ14+(AO$5&lt;Q$5)*AP14+(AU$5&lt;Q$5)*AV14)))</f>
        <v/>
      </c>
      <c r="T14">
        <f>IF(R14-S14&lt;0.005,0,R14-S14)</f>
        <v/>
      </c>
      <c r="U14">
        <f>Z13</f>
        <v/>
      </c>
      <c r="V14">
        <f>U14*Plan!D9/100/12</f>
        <v/>
      </c>
      <c r="W14">
        <f>MIN(Plan!E9,U14+V14)</f>
        <v/>
      </c>
      <c r="X14">
        <f>U14+V14-W14</f>
        <v/>
      </c>
      <c r="Y14">
        <f>MIN(X14,MAX(0,$B14-((E$5&lt;W$5)*F14+(K$5&lt;W$5)*L14+(Q$5&lt;W$5)*R14+(AC$5&lt;W$5)*AD14+(AI$5&lt;W$5)*AJ14+(AO$5&lt;W$5)*AP14+(AU$5&lt;W$5)*AV14)))</f>
        <v/>
      </c>
      <c r="Z14">
        <f>IF(X14-Y14&lt;0.005,0,X14-Y14)</f>
        <v/>
      </c>
      <c r="AA14">
        <f>AF13</f>
        <v/>
      </c>
      <c r="AB14">
        <f>AA14*Plan!D10/100/12</f>
        <v/>
      </c>
      <c r="AC14">
        <f>MIN(Plan!E10,AA14+AB14)</f>
        <v/>
      </c>
      <c r="AD14">
        <f>AA14+AB14-AC14</f>
        <v/>
      </c>
      <c r="AE14">
        <f>MIN(AD14,MAX(0,$B14-((E$5&lt;AC$5)*F14+(K$5&lt;AC$5)*L14+(Q$5&lt;AC$5)*R14+(W$5&lt;AC$5)*X14+(AI$5&lt;AC$5)*AJ14+(AO$5&lt;AC$5)*AP14+(AU$5&lt;AC$5)*AV14)))</f>
        <v/>
      </c>
      <c r="AF14">
        <f>IF(AD14-AE14&lt;0.005,0,AD14-AE14)</f>
        <v/>
      </c>
      <c r="AG14">
        <f>AL13</f>
        <v/>
      </c>
      <c r="AH14">
        <f>AG14*Plan!D11/100/12</f>
        <v/>
      </c>
      <c r="AI14">
        <f>MIN(Plan!E11,AG14+AH14)</f>
        <v/>
      </c>
      <c r="AJ14">
        <f>AG14+AH14-AI14</f>
        <v/>
      </c>
      <c r="AK14">
        <f>MIN(AJ14,MAX(0,$B14-((E$5&lt;AI$5)*F14+(K$5&lt;AI$5)*L14+(Q$5&lt;AI$5)*R14+(W$5&lt;AI$5)*X14+(AC$5&lt;AI$5)*AD14+(AO$5&lt;AI$5)*AP14+(AU$5&lt;AI$5)*AV14)))</f>
        <v/>
      </c>
      <c r="AL14">
        <f>IF(AJ14-AK14&lt;0.005,0,AJ14-AK14)</f>
        <v/>
      </c>
      <c r="AM14">
        <f>AR13</f>
        <v/>
      </c>
      <c r="AN14">
        <f>AM14*Plan!D12/100/12</f>
        <v/>
      </c>
      <c r="AO14">
        <f>MIN(Plan!E12,AM14+AN14)</f>
        <v/>
      </c>
      <c r="AP14">
        <f>AM14+AN14-AO14</f>
        <v/>
      </c>
      <c r="AQ14">
        <f>MIN(AP14,MAX(0,$B14-((E$5&lt;AO$5)*F14+(K$5&lt;AO$5)*L14+(Q$5&lt;AO$5)*R14+(W$5&lt;AO$5)*X14+(AC$5&lt;AO$5)*AD14+(AI$5&lt;AO$5)*AJ14+(AU$5&lt;AO$5)*AV14)))</f>
        <v/>
      </c>
      <c r="AR14">
        <f>IF(AP14-AQ14&lt;0.005,0,AP14-AQ14)</f>
        <v/>
      </c>
      <c r="AS14">
        <f>AX13</f>
        <v/>
      </c>
      <c r="AT14">
        <f>AS14*Plan!D13/100/12</f>
        <v/>
      </c>
      <c r="AU14">
        <f>MIN(Plan!E13,AS14+AT14)</f>
        <v/>
      </c>
      <c r="AV14">
        <f>AS14+AT14-AU14</f>
        <v/>
      </c>
      <c r="AW14">
        <f>MIN(AV14,MAX(0,$B14-((E$5&lt;AU$5)*F14+(K$5&lt;AU$5)*L14+(Q$5&lt;AU$5)*R14+(W$5&lt;AU$5)*X14+(AC$5&lt;AU$5)*AD14+(AI$5&lt;AU$5)*AJ14+(AO$5&lt;AU$5)*AP14)))</f>
        <v/>
      </c>
      <c r="AX14">
        <f>IF(AV14-AW14&lt;0.005,0,AV14-AW14)</f>
        <v/>
      </c>
      <c r="BC14">
        <f>H14+N14+T14+Z14+AF14+AL14+AR14+AX14</f>
        <v/>
      </c>
    </row>
    <row r="15">
      <c r="A15" t="n">
        <v>9</v>
      </c>
      <c r="B15" s="19">
        <f>MAX(0,$B$3-(E15+K15+Q15+W15+AC15+AI15+AO15+AU15))</f>
        <v/>
      </c>
      <c r="C15">
        <f>H14</f>
        <v/>
      </c>
      <c r="D15">
        <f>C15*Plan!D6/100/12</f>
        <v/>
      </c>
      <c r="E15">
        <f>MIN(Plan!E6,C15+D15)</f>
        <v/>
      </c>
      <c r="F15">
        <f>C15+D15-E15</f>
        <v/>
      </c>
      <c r="G15">
        <f>MIN(F15,MAX(0,$B15-((K$5&lt;E$5)*L15+(Q$5&lt;E$5)*R15+(W$5&lt;E$5)*X15+(AC$5&lt;E$5)*AD15+(AI$5&lt;E$5)*AJ15+(AO$5&lt;E$5)*AP15+(AU$5&lt;E$5)*AV15)))</f>
        <v/>
      </c>
      <c r="H15">
        <f>IF(F15-G15&lt;0.005,0,F15-G15)</f>
        <v/>
      </c>
      <c r="I15">
        <f>N14</f>
        <v/>
      </c>
      <c r="J15">
        <f>I15*Plan!D7/100/12</f>
        <v/>
      </c>
      <c r="K15">
        <f>MIN(Plan!E7,I15+J15)</f>
        <v/>
      </c>
      <c r="L15">
        <f>I15+J15-K15</f>
        <v/>
      </c>
      <c r="M15">
        <f>MIN(L15,MAX(0,$B15-((E$5&lt;K$5)*F15+(Q$5&lt;K$5)*R15+(W$5&lt;K$5)*X15+(AC$5&lt;K$5)*AD15+(AI$5&lt;K$5)*AJ15+(AO$5&lt;K$5)*AP15+(AU$5&lt;K$5)*AV15)))</f>
        <v/>
      </c>
      <c r="N15">
        <f>IF(L15-M15&lt;0.005,0,L15-M15)</f>
        <v/>
      </c>
      <c r="O15">
        <f>T14</f>
        <v/>
      </c>
      <c r="P15">
        <f>O15*Plan!D8/100/12</f>
        <v/>
      </c>
      <c r="Q15">
        <f>MIN(Plan!E8,O15+P15)</f>
        <v/>
      </c>
      <c r="R15">
        <f>O15+P15-Q15</f>
        <v/>
      </c>
      <c r="S15">
        <f>MIN(R15,MAX(0,$B15-((E$5&lt;Q$5)*F15+(K$5&lt;Q$5)*L15+(W$5&lt;Q$5)*X15+(AC$5&lt;Q$5)*AD15+(AI$5&lt;Q$5)*AJ15+(AO$5&lt;Q$5)*AP15+(AU$5&lt;Q$5)*AV15)))</f>
        <v/>
      </c>
      <c r="T15">
        <f>IF(R15-S15&lt;0.005,0,R15-S15)</f>
        <v/>
      </c>
      <c r="U15">
        <f>Z14</f>
        <v/>
      </c>
      <c r="V15">
        <f>U15*Plan!D9/100/12</f>
        <v/>
      </c>
      <c r="W15">
        <f>MIN(Plan!E9,U15+V15)</f>
        <v/>
      </c>
      <c r="X15">
        <f>U15+V15-W15</f>
        <v/>
      </c>
      <c r="Y15">
        <f>MIN(X15,MAX(0,$B15-((E$5&lt;W$5)*F15+(K$5&lt;W$5)*L15+(Q$5&lt;W$5)*R15+(AC$5&lt;W$5)*AD15+(AI$5&lt;W$5)*AJ15+(AO$5&lt;W$5)*AP15+(AU$5&lt;W$5)*AV15)))</f>
        <v/>
      </c>
      <c r="Z15">
        <f>IF(X15-Y15&lt;0.005,0,X15-Y15)</f>
        <v/>
      </c>
      <c r="AA15">
        <f>AF14</f>
        <v/>
      </c>
      <c r="AB15">
        <f>AA15*Plan!D10/100/12</f>
        <v/>
      </c>
      <c r="AC15">
        <f>MIN(Plan!E10,AA15+AB15)</f>
        <v/>
      </c>
      <c r="AD15">
        <f>AA15+AB15-AC15</f>
        <v/>
      </c>
      <c r="AE15">
        <f>MIN(AD15,MAX(0,$B15-((E$5&lt;AC$5)*F15+(K$5&lt;AC$5)*L15+(Q$5&lt;AC$5)*R15+(W$5&lt;AC$5)*X15+(AI$5&lt;AC$5)*AJ15+(AO$5&lt;AC$5)*AP15+(AU$5&lt;AC$5)*AV15)))</f>
        <v/>
      </c>
      <c r="AF15">
        <f>IF(AD15-AE15&lt;0.005,0,AD15-AE15)</f>
        <v/>
      </c>
      <c r="AG15">
        <f>AL14</f>
        <v/>
      </c>
      <c r="AH15">
        <f>AG15*Plan!D11/100/12</f>
        <v/>
      </c>
      <c r="AI15">
        <f>MIN(Plan!E11,AG15+AH15)</f>
        <v/>
      </c>
      <c r="AJ15">
        <f>AG15+AH15-AI15</f>
        <v/>
      </c>
      <c r="AK15">
        <f>MIN(AJ15,MAX(0,$B15-((E$5&lt;AI$5)*F15+(K$5&lt;AI$5)*L15+(Q$5&lt;AI$5)*R15+(W$5&lt;AI$5)*X15+(AC$5&lt;AI$5)*AD15+(AO$5&lt;AI$5)*AP15+(AU$5&lt;AI$5)*AV15)))</f>
        <v/>
      </c>
      <c r="AL15">
        <f>IF(AJ15-AK15&lt;0.005,0,AJ15-AK15)</f>
        <v/>
      </c>
      <c r="AM15">
        <f>AR14</f>
        <v/>
      </c>
      <c r="AN15">
        <f>AM15*Plan!D12/100/12</f>
        <v/>
      </c>
      <c r="AO15">
        <f>MIN(Plan!E12,AM15+AN15)</f>
        <v/>
      </c>
      <c r="AP15">
        <f>AM15+AN15-AO15</f>
        <v/>
      </c>
      <c r="AQ15">
        <f>MIN(AP15,MAX(0,$B15-((E$5&lt;AO$5)*F15+(K$5&lt;AO$5)*L15+(Q$5&lt;AO$5)*R15+(W$5&lt;AO$5)*X15+(AC$5&lt;AO$5)*AD15+(AI$5&lt;AO$5)*AJ15+(AU$5&lt;AO$5)*AV15)))</f>
        <v/>
      </c>
      <c r="AR15">
        <f>IF(AP15-AQ15&lt;0.005,0,AP15-AQ15)</f>
        <v/>
      </c>
      <c r="AS15">
        <f>AX14</f>
        <v/>
      </c>
      <c r="AT15">
        <f>AS15*Plan!D13/100/12</f>
        <v/>
      </c>
      <c r="AU15">
        <f>MIN(Plan!E13,AS15+AT15)</f>
        <v/>
      </c>
      <c r="AV15">
        <f>AS15+AT15-AU15</f>
        <v/>
      </c>
      <c r="AW15">
        <f>MIN(AV15,MAX(0,$B15-((E$5&lt;AU$5)*F15+(K$5&lt;AU$5)*L15+(Q$5&lt;AU$5)*R15+(W$5&lt;AU$5)*X15+(AC$5&lt;AU$5)*AD15+(AI$5&lt;AU$5)*AJ15+(AO$5&lt;AU$5)*AP15)))</f>
        <v/>
      </c>
      <c r="AX15">
        <f>IF(AV15-AW15&lt;0.005,0,AV15-AW15)</f>
        <v/>
      </c>
      <c r="BC15">
        <f>H15+N15+T15+Z15+AF15+AL15+AR15+AX15</f>
        <v/>
      </c>
    </row>
    <row r="16">
      <c r="A16" t="n">
        <v>10</v>
      </c>
      <c r="B16" s="19">
        <f>MAX(0,$B$3-(E16+K16+Q16+W16+AC16+AI16+AO16+AU16))</f>
        <v/>
      </c>
      <c r="C16">
        <f>H15</f>
        <v/>
      </c>
      <c r="D16">
        <f>C16*Plan!D6/100/12</f>
        <v/>
      </c>
      <c r="E16">
        <f>MIN(Plan!E6,C16+D16)</f>
        <v/>
      </c>
      <c r="F16">
        <f>C16+D16-E16</f>
        <v/>
      </c>
      <c r="G16">
        <f>MIN(F16,MAX(0,$B16-((K$5&lt;E$5)*L16+(Q$5&lt;E$5)*R16+(W$5&lt;E$5)*X16+(AC$5&lt;E$5)*AD16+(AI$5&lt;E$5)*AJ16+(AO$5&lt;E$5)*AP16+(AU$5&lt;E$5)*AV16)))</f>
        <v/>
      </c>
      <c r="H16">
        <f>IF(F16-G16&lt;0.005,0,F16-G16)</f>
        <v/>
      </c>
      <c r="I16">
        <f>N15</f>
        <v/>
      </c>
      <c r="J16">
        <f>I16*Plan!D7/100/12</f>
        <v/>
      </c>
      <c r="K16">
        <f>MIN(Plan!E7,I16+J16)</f>
        <v/>
      </c>
      <c r="L16">
        <f>I16+J16-K16</f>
        <v/>
      </c>
      <c r="M16">
        <f>MIN(L16,MAX(0,$B16-((E$5&lt;K$5)*F16+(Q$5&lt;K$5)*R16+(W$5&lt;K$5)*X16+(AC$5&lt;K$5)*AD16+(AI$5&lt;K$5)*AJ16+(AO$5&lt;K$5)*AP16+(AU$5&lt;K$5)*AV16)))</f>
        <v/>
      </c>
      <c r="N16">
        <f>IF(L16-M16&lt;0.005,0,L16-M16)</f>
        <v/>
      </c>
      <c r="O16">
        <f>T15</f>
        <v/>
      </c>
      <c r="P16">
        <f>O16*Plan!D8/100/12</f>
        <v/>
      </c>
      <c r="Q16">
        <f>MIN(Plan!E8,O16+P16)</f>
        <v/>
      </c>
      <c r="R16">
        <f>O16+P16-Q16</f>
        <v/>
      </c>
      <c r="S16">
        <f>MIN(R16,MAX(0,$B16-((E$5&lt;Q$5)*F16+(K$5&lt;Q$5)*L16+(W$5&lt;Q$5)*X16+(AC$5&lt;Q$5)*AD16+(AI$5&lt;Q$5)*AJ16+(AO$5&lt;Q$5)*AP16+(AU$5&lt;Q$5)*AV16)))</f>
        <v/>
      </c>
      <c r="T16">
        <f>IF(R16-S16&lt;0.005,0,R16-S16)</f>
        <v/>
      </c>
      <c r="U16">
        <f>Z15</f>
        <v/>
      </c>
      <c r="V16">
        <f>U16*Plan!D9/100/12</f>
        <v/>
      </c>
      <c r="W16">
        <f>MIN(Plan!E9,U16+V16)</f>
        <v/>
      </c>
      <c r="X16">
        <f>U16+V16-W16</f>
        <v/>
      </c>
      <c r="Y16">
        <f>MIN(X16,MAX(0,$B16-((E$5&lt;W$5)*F16+(K$5&lt;W$5)*L16+(Q$5&lt;W$5)*R16+(AC$5&lt;W$5)*AD16+(AI$5&lt;W$5)*AJ16+(AO$5&lt;W$5)*AP16+(AU$5&lt;W$5)*AV16)))</f>
        <v/>
      </c>
      <c r="Z16">
        <f>IF(X16-Y16&lt;0.005,0,X16-Y16)</f>
        <v/>
      </c>
      <c r="AA16">
        <f>AF15</f>
        <v/>
      </c>
      <c r="AB16">
        <f>AA16*Plan!D10/100/12</f>
        <v/>
      </c>
      <c r="AC16">
        <f>MIN(Plan!E10,AA16+AB16)</f>
        <v/>
      </c>
      <c r="AD16">
        <f>AA16+AB16-AC16</f>
        <v/>
      </c>
      <c r="AE16">
        <f>MIN(AD16,MAX(0,$B16-((E$5&lt;AC$5)*F16+(K$5&lt;AC$5)*L16+(Q$5&lt;AC$5)*R16+(W$5&lt;AC$5)*X16+(AI$5&lt;AC$5)*AJ16+(AO$5&lt;AC$5)*AP16+(AU$5&lt;AC$5)*AV16)))</f>
        <v/>
      </c>
      <c r="AF16">
        <f>IF(AD16-AE16&lt;0.005,0,AD16-AE16)</f>
        <v/>
      </c>
      <c r="AG16">
        <f>AL15</f>
        <v/>
      </c>
      <c r="AH16">
        <f>AG16*Plan!D11/100/12</f>
        <v/>
      </c>
      <c r="AI16">
        <f>MIN(Plan!E11,AG16+AH16)</f>
        <v/>
      </c>
      <c r="AJ16">
        <f>AG16+AH16-AI16</f>
        <v/>
      </c>
      <c r="AK16">
        <f>MIN(AJ16,MAX(0,$B16-((E$5&lt;AI$5)*F16+(K$5&lt;AI$5)*L16+(Q$5&lt;AI$5)*R16+(W$5&lt;AI$5)*X16+(AC$5&lt;AI$5)*AD16+(AO$5&lt;AI$5)*AP16+(AU$5&lt;AI$5)*AV16)))</f>
        <v/>
      </c>
      <c r="AL16">
        <f>IF(AJ16-AK16&lt;0.005,0,AJ16-AK16)</f>
        <v/>
      </c>
      <c r="AM16">
        <f>AR15</f>
        <v/>
      </c>
      <c r="AN16">
        <f>AM16*Plan!D12/100/12</f>
        <v/>
      </c>
      <c r="AO16">
        <f>MIN(Plan!E12,AM16+AN16)</f>
        <v/>
      </c>
      <c r="AP16">
        <f>AM16+AN16-AO16</f>
        <v/>
      </c>
      <c r="AQ16">
        <f>MIN(AP16,MAX(0,$B16-((E$5&lt;AO$5)*F16+(K$5&lt;AO$5)*L16+(Q$5&lt;AO$5)*R16+(W$5&lt;AO$5)*X16+(AC$5&lt;AO$5)*AD16+(AI$5&lt;AO$5)*AJ16+(AU$5&lt;AO$5)*AV16)))</f>
        <v/>
      </c>
      <c r="AR16">
        <f>IF(AP16-AQ16&lt;0.005,0,AP16-AQ16)</f>
        <v/>
      </c>
      <c r="AS16">
        <f>AX15</f>
        <v/>
      </c>
      <c r="AT16">
        <f>AS16*Plan!D13/100/12</f>
        <v/>
      </c>
      <c r="AU16">
        <f>MIN(Plan!E13,AS16+AT16)</f>
        <v/>
      </c>
      <c r="AV16">
        <f>AS16+AT16-AU16</f>
        <v/>
      </c>
      <c r="AW16">
        <f>MIN(AV16,MAX(0,$B16-((E$5&lt;AU$5)*F16+(K$5&lt;AU$5)*L16+(Q$5&lt;AU$5)*R16+(W$5&lt;AU$5)*X16+(AC$5&lt;AU$5)*AD16+(AI$5&lt;AU$5)*AJ16+(AO$5&lt;AU$5)*AP16)))</f>
        <v/>
      </c>
      <c r="AX16">
        <f>IF(AV16-AW16&lt;0.005,0,AV16-AW16)</f>
        <v/>
      </c>
      <c r="BC16">
        <f>H16+N16+T16+Z16+AF16+AL16+AR16+AX16</f>
        <v/>
      </c>
    </row>
    <row r="17">
      <c r="A17" t="n">
        <v>11</v>
      </c>
      <c r="B17" s="19">
        <f>MAX(0,$B$3-(E17+K17+Q17+W17+AC17+AI17+AO17+AU17))</f>
        <v/>
      </c>
      <c r="C17">
        <f>H16</f>
        <v/>
      </c>
      <c r="D17">
        <f>C17*Plan!D6/100/12</f>
        <v/>
      </c>
      <c r="E17">
        <f>MIN(Plan!E6,C17+D17)</f>
        <v/>
      </c>
      <c r="F17">
        <f>C17+D17-E17</f>
        <v/>
      </c>
      <c r="G17">
        <f>MIN(F17,MAX(0,$B17-((K$5&lt;E$5)*L17+(Q$5&lt;E$5)*R17+(W$5&lt;E$5)*X17+(AC$5&lt;E$5)*AD17+(AI$5&lt;E$5)*AJ17+(AO$5&lt;E$5)*AP17+(AU$5&lt;E$5)*AV17)))</f>
        <v/>
      </c>
      <c r="H17">
        <f>IF(F17-G17&lt;0.005,0,F17-G17)</f>
        <v/>
      </c>
      <c r="I17">
        <f>N16</f>
        <v/>
      </c>
      <c r="J17">
        <f>I17*Plan!D7/100/12</f>
        <v/>
      </c>
      <c r="K17">
        <f>MIN(Plan!E7,I17+J17)</f>
        <v/>
      </c>
      <c r="L17">
        <f>I17+J17-K17</f>
        <v/>
      </c>
      <c r="M17">
        <f>MIN(L17,MAX(0,$B17-((E$5&lt;K$5)*F17+(Q$5&lt;K$5)*R17+(W$5&lt;K$5)*X17+(AC$5&lt;K$5)*AD17+(AI$5&lt;K$5)*AJ17+(AO$5&lt;K$5)*AP17+(AU$5&lt;K$5)*AV17)))</f>
        <v/>
      </c>
      <c r="N17">
        <f>IF(L17-M17&lt;0.005,0,L17-M17)</f>
        <v/>
      </c>
      <c r="O17">
        <f>T16</f>
        <v/>
      </c>
      <c r="P17">
        <f>O17*Plan!D8/100/12</f>
        <v/>
      </c>
      <c r="Q17">
        <f>MIN(Plan!E8,O17+P17)</f>
        <v/>
      </c>
      <c r="R17">
        <f>O17+P17-Q17</f>
        <v/>
      </c>
      <c r="S17">
        <f>MIN(R17,MAX(0,$B17-((E$5&lt;Q$5)*F17+(K$5&lt;Q$5)*L17+(W$5&lt;Q$5)*X17+(AC$5&lt;Q$5)*AD17+(AI$5&lt;Q$5)*AJ17+(AO$5&lt;Q$5)*AP17+(AU$5&lt;Q$5)*AV17)))</f>
        <v/>
      </c>
      <c r="T17">
        <f>IF(R17-S17&lt;0.005,0,R17-S17)</f>
        <v/>
      </c>
      <c r="U17">
        <f>Z16</f>
        <v/>
      </c>
      <c r="V17">
        <f>U17*Plan!D9/100/12</f>
        <v/>
      </c>
      <c r="W17">
        <f>MIN(Plan!E9,U17+V17)</f>
        <v/>
      </c>
      <c r="X17">
        <f>U17+V17-W17</f>
        <v/>
      </c>
      <c r="Y17">
        <f>MIN(X17,MAX(0,$B17-((E$5&lt;W$5)*F17+(K$5&lt;W$5)*L17+(Q$5&lt;W$5)*R17+(AC$5&lt;W$5)*AD17+(AI$5&lt;W$5)*AJ17+(AO$5&lt;W$5)*AP17+(AU$5&lt;W$5)*AV17)))</f>
        <v/>
      </c>
      <c r="Z17">
        <f>IF(X17-Y17&lt;0.005,0,X17-Y17)</f>
        <v/>
      </c>
      <c r="AA17">
        <f>AF16</f>
        <v/>
      </c>
      <c r="AB17">
        <f>AA17*Plan!D10/100/12</f>
        <v/>
      </c>
      <c r="AC17">
        <f>MIN(Plan!E10,AA17+AB17)</f>
        <v/>
      </c>
      <c r="AD17">
        <f>AA17+AB17-AC17</f>
        <v/>
      </c>
      <c r="AE17">
        <f>MIN(AD17,MAX(0,$B17-((E$5&lt;AC$5)*F17+(K$5&lt;AC$5)*L17+(Q$5&lt;AC$5)*R17+(W$5&lt;AC$5)*X17+(AI$5&lt;AC$5)*AJ17+(AO$5&lt;AC$5)*AP17+(AU$5&lt;AC$5)*AV17)))</f>
        <v/>
      </c>
      <c r="AF17">
        <f>IF(AD17-AE17&lt;0.005,0,AD17-AE17)</f>
        <v/>
      </c>
      <c r="AG17">
        <f>AL16</f>
        <v/>
      </c>
      <c r="AH17">
        <f>AG17*Plan!D11/100/12</f>
        <v/>
      </c>
      <c r="AI17">
        <f>MIN(Plan!E11,AG17+AH17)</f>
        <v/>
      </c>
      <c r="AJ17">
        <f>AG17+AH17-AI17</f>
        <v/>
      </c>
      <c r="AK17">
        <f>MIN(AJ17,MAX(0,$B17-((E$5&lt;AI$5)*F17+(K$5&lt;AI$5)*L17+(Q$5&lt;AI$5)*R17+(W$5&lt;AI$5)*X17+(AC$5&lt;AI$5)*AD17+(AO$5&lt;AI$5)*AP17+(AU$5&lt;AI$5)*AV17)))</f>
        <v/>
      </c>
      <c r="AL17">
        <f>IF(AJ17-AK17&lt;0.005,0,AJ17-AK17)</f>
        <v/>
      </c>
      <c r="AM17">
        <f>AR16</f>
        <v/>
      </c>
      <c r="AN17">
        <f>AM17*Plan!D12/100/12</f>
        <v/>
      </c>
      <c r="AO17">
        <f>MIN(Plan!E12,AM17+AN17)</f>
        <v/>
      </c>
      <c r="AP17">
        <f>AM17+AN17-AO17</f>
        <v/>
      </c>
      <c r="AQ17">
        <f>MIN(AP17,MAX(0,$B17-((E$5&lt;AO$5)*F17+(K$5&lt;AO$5)*L17+(Q$5&lt;AO$5)*R17+(W$5&lt;AO$5)*X17+(AC$5&lt;AO$5)*AD17+(AI$5&lt;AO$5)*AJ17+(AU$5&lt;AO$5)*AV17)))</f>
        <v/>
      </c>
      <c r="AR17">
        <f>IF(AP17-AQ17&lt;0.005,0,AP17-AQ17)</f>
        <v/>
      </c>
      <c r="AS17">
        <f>AX16</f>
        <v/>
      </c>
      <c r="AT17">
        <f>AS17*Plan!D13/100/12</f>
        <v/>
      </c>
      <c r="AU17">
        <f>MIN(Plan!E13,AS17+AT17)</f>
        <v/>
      </c>
      <c r="AV17">
        <f>AS17+AT17-AU17</f>
        <v/>
      </c>
      <c r="AW17">
        <f>MIN(AV17,MAX(0,$B17-((E$5&lt;AU$5)*F17+(K$5&lt;AU$5)*L17+(Q$5&lt;AU$5)*R17+(W$5&lt;AU$5)*X17+(AC$5&lt;AU$5)*AD17+(AI$5&lt;AU$5)*AJ17+(AO$5&lt;AU$5)*AP17)))</f>
        <v/>
      </c>
      <c r="AX17">
        <f>IF(AV17-AW17&lt;0.005,0,AV17-AW17)</f>
        <v/>
      </c>
      <c r="BC17">
        <f>H17+N17+T17+Z17+AF17+AL17+AR17+AX17</f>
        <v/>
      </c>
    </row>
    <row r="18">
      <c r="A18" t="n">
        <v>12</v>
      </c>
      <c r="B18" s="19">
        <f>MAX(0,$B$3-(E18+K18+Q18+W18+AC18+AI18+AO18+AU18))</f>
        <v/>
      </c>
      <c r="C18">
        <f>H17</f>
        <v/>
      </c>
      <c r="D18">
        <f>C18*Plan!D6/100/12</f>
        <v/>
      </c>
      <c r="E18">
        <f>MIN(Plan!E6,C18+D18)</f>
        <v/>
      </c>
      <c r="F18">
        <f>C18+D18-E18</f>
        <v/>
      </c>
      <c r="G18">
        <f>MIN(F18,MAX(0,$B18-((K$5&lt;E$5)*L18+(Q$5&lt;E$5)*R18+(W$5&lt;E$5)*X18+(AC$5&lt;E$5)*AD18+(AI$5&lt;E$5)*AJ18+(AO$5&lt;E$5)*AP18+(AU$5&lt;E$5)*AV18)))</f>
        <v/>
      </c>
      <c r="H18">
        <f>IF(F18-G18&lt;0.005,0,F18-G18)</f>
        <v/>
      </c>
      <c r="I18">
        <f>N17</f>
        <v/>
      </c>
      <c r="J18">
        <f>I18*Plan!D7/100/12</f>
        <v/>
      </c>
      <c r="K18">
        <f>MIN(Plan!E7,I18+J18)</f>
        <v/>
      </c>
      <c r="L18">
        <f>I18+J18-K18</f>
        <v/>
      </c>
      <c r="M18">
        <f>MIN(L18,MAX(0,$B18-((E$5&lt;K$5)*F18+(Q$5&lt;K$5)*R18+(W$5&lt;K$5)*X18+(AC$5&lt;K$5)*AD18+(AI$5&lt;K$5)*AJ18+(AO$5&lt;K$5)*AP18+(AU$5&lt;K$5)*AV18)))</f>
        <v/>
      </c>
      <c r="N18">
        <f>IF(L18-M18&lt;0.005,0,L18-M18)</f>
        <v/>
      </c>
      <c r="O18">
        <f>T17</f>
        <v/>
      </c>
      <c r="P18">
        <f>O18*Plan!D8/100/12</f>
        <v/>
      </c>
      <c r="Q18">
        <f>MIN(Plan!E8,O18+P18)</f>
        <v/>
      </c>
      <c r="R18">
        <f>O18+P18-Q18</f>
        <v/>
      </c>
      <c r="S18">
        <f>MIN(R18,MAX(0,$B18-((E$5&lt;Q$5)*F18+(K$5&lt;Q$5)*L18+(W$5&lt;Q$5)*X18+(AC$5&lt;Q$5)*AD18+(AI$5&lt;Q$5)*AJ18+(AO$5&lt;Q$5)*AP18+(AU$5&lt;Q$5)*AV18)))</f>
        <v/>
      </c>
      <c r="T18">
        <f>IF(R18-S18&lt;0.005,0,R18-S18)</f>
        <v/>
      </c>
      <c r="U18">
        <f>Z17</f>
        <v/>
      </c>
      <c r="V18">
        <f>U18*Plan!D9/100/12</f>
        <v/>
      </c>
      <c r="W18">
        <f>MIN(Plan!E9,U18+V18)</f>
        <v/>
      </c>
      <c r="X18">
        <f>U18+V18-W18</f>
        <v/>
      </c>
      <c r="Y18">
        <f>MIN(X18,MAX(0,$B18-((E$5&lt;W$5)*F18+(K$5&lt;W$5)*L18+(Q$5&lt;W$5)*R18+(AC$5&lt;W$5)*AD18+(AI$5&lt;W$5)*AJ18+(AO$5&lt;W$5)*AP18+(AU$5&lt;W$5)*AV18)))</f>
        <v/>
      </c>
      <c r="Z18">
        <f>IF(X18-Y18&lt;0.005,0,X18-Y18)</f>
        <v/>
      </c>
      <c r="AA18">
        <f>AF17</f>
        <v/>
      </c>
      <c r="AB18">
        <f>AA18*Plan!D10/100/12</f>
        <v/>
      </c>
      <c r="AC18">
        <f>MIN(Plan!E10,AA18+AB18)</f>
        <v/>
      </c>
      <c r="AD18">
        <f>AA18+AB18-AC18</f>
        <v/>
      </c>
      <c r="AE18">
        <f>MIN(AD18,MAX(0,$B18-((E$5&lt;AC$5)*F18+(K$5&lt;AC$5)*L18+(Q$5&lt;AC$5)*R18+(W$5&lt;AC$5)*X18+(AI$5&lt;AC$5)*AJ18+(AO$5&lt;AC$5)*AP18+(AU$5&lt;AC$5)*AV18)))</f>
        <v/>
      </c>
      <c r="AF18">
        <f>IF(AD18-AE18&lt;0.005,0,AD18-AE18)</f>
        <v/>
      </c>
      <c r="AG18">
        <f>AL17</f>
        <v/>
      </c>
      <c r="AH18">
        <f>AG18*Plan!D11/100/12</f>
        <v/>
      </c>
      <c r="AI18">
        <f>MIN(Plan!E11,AG18+AH18)</f>
        <v/>
      </c>
      <c r="AJ18">
        <f>AG18+AH18-AI18</f>
        <v/>
      </c>
      <c r="AK18">
        <f>MIN(AJ18,MAX(0,$B18-((E$5&lt;AI$5)*F18+(K$5&lt;AI$5)*L18+(Q$5&lt;AI$5)*R18+(W$5&lt;AI$5)*X18+(AC$5&lt;AI$5)*AD18+(AO$5&lt;AI$5)*AP18+(AU$5&lt;AI$5)*AV18)))</f>
        <v/>
      </c>
      <c r="AL18">
        <f>IF(AJ18-AK18&lt;0.005,0,AJ18-AK18)</f>
        <v/>
      </c>
      <c r="AM18">
        <f>AR17</f>
        <v/>
      </c>
      <c r="AN18">
        <f>AM18*Plan!D12/100/12</f>
        <v/>
      </c>
      <c r="AO18">
        <f>MIN(Plan!E12,AM18+AN18)</f>
        <v/>
      </c>
      <c r="AP18">
        <f>AM18+AN18-AO18</f>
        <v/>
      </c>
      <c r="AQ18">
        <f>MIN(AP18,MAX(0,$B18-((E$5&lt;AO$5)*F18+(K$5&lt;AO$5)*L18+(Q$5&lt;AO$5)*R18+(W$5&lt;AO$5)*X18+(AC$5&lt;AO$5)*AD18+(AI$5&lt;AO$5)*AJ18+(AU$5&lt;AO$5)*AV18)))</f>
        <v/>
      </c>
      <c r="AR18">
        <f>IF(AP18-AQ18&lt;0.005,0,AP18-AQ18)</f>
        <v/>
      </c>
      <c r="AS18">
        <f>AX17</f>
        <v/>
      </c>
      <c r="AT18">
        <f>AS18*Plan!D13/100/12</f>
        <v/>
      </c>
      <c r="AU18">
        <f>MIN(Plan!E13,AS18+AT18)</f>
        <v/>
      </c>
      <c r="AV18">
        <f>AS18+AT18-AU18</f>
        <v/>
      </c>
      <c r="AW18">
        <f>MIN(AV18,MAX(0,$B18-((E$5&lt;AU$5)*F18+(K$5&lt;AU$5)*L18+(Q$5&lt;AU$5)*R18+(W$5&lt;AU$5)*X18+(AC$5&lt;AU$5)*AD18+(AI$5&lt;AU$5)*AJ18+(AO$5&lt;AU$5)*AP18)))</f>
        <v/>
      </c>
      <c r="AX18">
        <f>IF(AV18-AW18&lt;0.005,0,AV18-AW18)</f>
        <v/>
      </c>
      <c r="BC18">
        <f>H18+N18+T18+Z18+AF18+AL18+AR18+AX18</f>
        <v/>
      </c>
    </row>
    <row r="19">
      <c r="A19" t="n">
        <v>13</v>
      </c>
      <c r="B19" s="19">
        <f>MAX(0,$B$3-(E19+K19+Q19+W19+AC19+AI19+AO19+AU19))</f>
        <v/>
      </c>
      <c r="C19">
        <f>H18</f>
        <v/>
      </c>
      <c r="D19">
        <f>C19*Plan!D6/100/12</f>
        <v/>
      </c>
      <c r="E19">
        <f>MIN(Plan!E6,C19+D19)</f>
        <v/>
      </c>
      <c r="F19">
        <f>C19+D19-E19</f>
        <v/>
      </c>
      <c r="G19">
        <f>MIN(F19,MAX(0,$B19-((K$5&lt;E$5)*L19+(Q$5&lt;E$5)*R19+(W$5&lt;E$5)*X19+(AC$5&lt;E$5)*AD19+(AI$5&lt;E$5)*AJ19+(AO$5&lt;E$5)*AP19+(AU$5&lt;E$5)*AV19)))</f>
        <v/>
      </c>
      <c r="H19">
        <f>IF(F19-G19&lt;0.005,0,F19-G19)</f>
        <v/>
      </c>
      <c r="I19">
        <f>N18</f>
        <v/>
      </c>
      <c r="J19">
        <f>I19*Plan!D7/100/12</f>
        <v/>
      </c>
      <c r="K19">
        <f>MIN(Plan!E7,I19+J19)</f>
        <v/>
      </c>
      <c r="L19">
        <f>I19+J19-K19</f>
        <v/>
      </c>
      <c r="M19">
        <f>MIN(L19,MAX(0,$B19-((E$5&lt;K$5)*F19+(Q$5&lt;K$5)*R19+(W$5&lt;K$5)*X19+(AC$5&lt;K$5)*AD19+(AI$5&lt;K$5)*AJ19+(AO$5&lt;K$5)*AP19+(AU$5&lt;K$5)*AV19)))</f>
        <v/>
      </c>
      <c r="N19">
        <f>IF(L19-M19&lt;0.005,0,L19-M19)</f>
        <v/>
      </c>
      <c r="O19">
        <f>T18</f>
        <v/>
      </c>
      <c r="P19">
        <f>O19*Plan!D8/100/12</f>
        <v/>
      </c>
      <c r="Q19">
        <f>MIN(Plan!E8,O19+P19)</f>
        <v/>
      </c>
      <c r="R19">
        <f>O19+P19-Q19</f>
        <v/>
      </c>
      <c r="S19">
        <f>MIN(R19,MAX(0,$B19-((E$5&lt;Q$5)*F19+(K$5&lt;Q$5)*L19+(W$5&lt;Q$5)*X19+(AC$5&lt;Q$5)*AD19+(AI$5&lt;Q$5)*AJ19+(AO$5&lt;Q$5)*AP19+(AU$5&lt;Q$5)*AV19)))</f>
        <v/>
      </c>
      <c r="T19">
        <f>IF(R19-S19&lt;0.005,0,R19-S19)</f>
        <v/>
      </c>
      <c r="U19">
        <f>Z18</f>
        <v/>
      </c>
      <c r="V19">
        <f>U19*Plan!D9/100/12</f>
        <v/>
      </c>
      <c r="W19">
        <f>MIN(Plan!E9,U19+V19)</f>
        <v/>
      </c>
      <c r="X19">
        <f>U19+V19-W19</f>
        <v/>
      </c>
      <c r="Y19">
        <f>MIN(X19,MAX(0,$B19-((E$5&lt;W$5)*F19+(K$5&lt;W$5)*L19+(Q$5&lt;W$5)*R19+(AC$5&lt;W$5)*AD19+(AI$5&lt;W$5)*AJ19+(AO$5&lt;W$5)*AP19+(AU$5&lt;W$5)*AV19)))</f>
        <v/>
      </c>
      <c r="Z19">
        <f>IF(X19-Y19&lt;0.005,0,X19-Y19)</f>
        <v/>
      </c>
      <c r="AA19">
        <f>AF18</f>
        <v/>
      </c>
      <c r="AB19">
        <f>AA19*Plan!D10/100/12</f>
        <v/>
      </c>
      <c r="AC19">
        <f>MIN(Plan!E10,AA19+AB19)</f>
        <v/>
      </c>
      <c r="AD19">
        <f>AA19+AB19-AC19</f>
        <v/>
      </c>
      <c r="AE19">
        <f>MIN(AD19,MAX(0,$B19-((E$5&lt;AC$5)*F19+(K$5&lt;AC$5)*L19+(Q$5&lt;AC$5)*R19+(W$5&lt;AC$5)*X19+(AI$5&lt;AC$5)*AJ19+(AO$5&lt;AC$5)*AP19+(AU$5&lt;AC$5)*AV19)))</f>
        <v/>
      </c>
      <c r="AF19">
        <f>IF(AD19-AE19&lt;0.005,0,AD19-AE19)</f>
        <v/>
      </c>
      <c r="AG19">
        <f>AL18</f>
        <v/>
      </c>
      <c r="AH19">
        <f>AG19*Plan!D11/100/12</f>
        <v/>
      </c>
      <c r="AI19">
        <f>MIN(Plan!E11,AG19+AH19)</f>
        <v/>
      </c>
      <c r="AJ19">
        <f>AG19+AH19-AI19</f>
        <v/>
      </c>
      <c r="AK19">
        <f>MIN(AJ19,MAX(0,$B19-((E$5&lt;AI$5)*F19+(K$5&lt;AI$5)*L19+(Q$5&lt;AI$5)*R19+(W$5&lt;AI$5)*X19+(AC$5&lt;AI$5)*AD19+(AO$5&lt;AI$5)*AP19+(AU$5&lt;AI$5)*AV19)))</f>
        <v/>
      </c>
      <c r="AL19">
        <f>IF(AJ19-AK19&lt;0.005,0,AJ19-AK19)</f>
        <v/>
      </c>
      <c r="AM19">
        <f>AR18</f>
        <v/>
      </c>
      <c r="AN19">
        <f>AM19*Plan!D12/100/12</f>
        <v/>
      </c>
      <c r="AO19">
        <f>MIN(Plan!E12,AM19+AN19)</f>
        <v/>
      </c>
      <c r="AP19">
        <f>AM19+AN19-AO19</f>
        <v/>
      </c>
      <c r="AQ19">
        <f>MIN(AP19,MAX(0,$B19-((E$5&lt;AO$5)*F19+(K$5&lt;AO$5)*L19+(Q$5&lt;AO$5)*R19+(W$5&lt;AO$5)*X19+(AC$5&lt;AO$5)*AD19+(AI$5&lt;AO$5)*AJ19+(AU$5&lt;AO$5)*AV19)))</f>
        <v/>
      </c>
      <c r="AR19">
        <f>IF(AP19-AQ19&lt;0.005,0,AP19-AQ19)</f>
        <v/>
      </c>
      <c r="AS19">
        <f>AX18</f>
        <v/>
      </c>
      <c r="AT19">
        <f>AS19*Plan!D13/100/12</f>
        <v/>
      </c>
      <c r="AU19">
        <f>MIN(Plan!E13,AS19+AT19)</f>
        <v/>
      </c>
      <c r="AV19">
        <f>AS19+AT19-AU19</f>
        <v/>
      </c>
      <c r="AW19">
        <f>MIN(AV19,MAX(0,$B19-((E$5&lt;AU$5)*F19+(K$5&lt;AU$5)*L19+(Q$5&lt;AU$5)*R19+(W$5&lt;AU$5)*X19+(AC$5&lt;AU$5)*AD19+(AI$5&lt;AU$5)*AJ19+(AO$5&lt;AU$5)*AP19)))</f>
        <v/>
      </c>
      <c r="AX19">
        <f>IF(AV19-AW19&lt;0.005,0,AV19-AW19)</f>
        <v/>
      </c>
      <c r="BC19">
        <f>H19+N19+T19+Z19+AF19+AL19+AR19+AX19</f>
        <v/>
      </c>
    </row>
    <row r="20">
      <c r="A20" t="n">
        <v>14</v>
      </c>
      <c r="B20" s="19">
        <f>MAX(0,$B$3-(E20+K20+Q20+W20+AC20+AI20+AO20+AU20))</f>
        <v/>
      </c>
      <c r="C20">
        <f>H19</f>
        <v/>
      </c>
      <c r="D20">
        <f>C20*Plan!D6/100/12</f>
        <v/>
      </c>
      <c r="E20">
        <f>MIN(Plan!E6,C20+D20)</f>
        <v/>
      </c>
      <c r="F20">
        <f>C20+D20-E20</f>
        <v/>
      </c>
      <c r="G20">
        <f>MIN(F20,MAX(0,$B20-((K$5&lt;E$5)*L20+(Q$5&lt;E$5)*R20+(W$5&lt;E$5)*X20+(AC$5&lt;E$5)*AD20+(AI$5&lt;E$5)*AJ20+(AO$5&lt;E$5)*AP20+(AU$5&lt;E$5)*AV20)))</f>
        <v/>
      </c>
      <c r="H20">
        <f>IF(F20-G20&lt;0.005,0,F20-G20)</f>
        <v/>
      </c>
      <c r="I20">
        <f>N19</f>
        <v/>
      </c>
      <c r="J20">
        <f>I20*Plan!D7/100/12</f>
        <v/>
      </c>
      <c r="K20">
        <f>MIN(Plan!E7,I20+J20)</f>
        <v/>
      </c>
      <c r="L20">
        <f>I20+J20-K20</f>
        <v/>
      </c>
      <c r="M20">
        <f>MIN(L20,MAX(0,$B20-((E$5&lt;K$5)*F20+(Q$5&lt;K$5)*R20+(W$5&lt;K$5)*X20+(AC$5&lt;K$5)*AD20+(AI$5&lt;K$5)*AJ20+(AO$5&lt;K$5)*AP20+(AU$5&lt;K$5)*AV20)))</f>
        <v/>
      </c>
      <c r="N20">
        <f>IF(L20-M20&lt;0.005,0,L20-M20)</f>
        <v/>
      </c>
      <c r="O20">
        <f>T19</f>
        <v/>
      </c>
      <c r="P20">
        <f>O20*Plan!D8/100/12</f>
        <v/>
      </c>
      <c r="Q20">
        <f>MIN(Plan!E8,O20+P20)</f>
        <v/>
      </c>
      <c r="R20">
        <f>O20+P20-Q20</f>
        <v/>
      </c>
      <c r="S20">
        <f>MIN(R20,MAX(0,$B20-((E$5&lt;Q$5)*F20+(K$5&lt;Q$5)*L20+(W$5&lt;Q$5)*X20+(AC$5&lt;Q$5)*AD20+(AI$5&lt;Q$5)*AJ20+(AO$5&lt;Q$5)*AP20+(AU$5&lt;Q$5)*AV20)))</f>
        <v/>
      </c>
      <c r="T20">
        <f>IF(R20-S20&lt;0.005,0,R20-S20)</f>
        <v/>
      </c>
      <c r="U20">
        <f>Z19</f>
        <v/>
      </c>
      <c r="V20">
        <f>U20*Plan!D9/100/12</f>
        <v/>
      </c>
      <c r="W20">
        <f>MIN(Plan!E9,U20+V20)</f>
        <v/>
      </c>
      <c r="X20">
        <f>U20+V20-W20</f>
        <v/>
      </c>
      <c r="Y20">
        <f>MIN(X20,MAX(0,$B20-((E$5&lt;W$5)*F20+(K$5&lt;W$5)*L20+(Q$5&lt;W$5)*R20+(AC$5&lt;W$5)*AD20+(AI$5&lt;W$5)*AJ20+(AO$5&lt;W$5)*AP20+(AU$5&lt;W$5)*AV20)))</f>
        <v/>
      </c>
      <c r="Z20">
        <f>IF(X20-Y20&lt;0.005,0,X20-Y20)</f>
        <v/>
      </c>
      <c r="AA20">
        <f>AF19</f>
        <v/>
      </c>
      <c r="AB20">
        <f>AA20*Plan!D10/100/12</f>
        <v/>
      </c>
      <c r="AC20">
        <f>MIN(Plan!E10,AA20+AB20)</f>
        <v/>
      </c>
      <c r="AD20">
        <f>AA20+AB20-AC20</f>
        <v/>
      </c>
      <c r="AE20">
        <f>MIN(AD20,MAX(0,$B20-((E$5&lt;AC$5)*F20+(K$5&lt;AC$5)*L20+(Q$5&lt;AC$5)*R20+(W$5&lt;AC$5)*X20+(AI$5&lt;AC$5)*AJ20+(AO$5&lt;AC$5)*AP20+(AU$5&lt;AC$5)*AV20)))</f>
        <v/>
      </c>
      <c r="AF20">
        <f>IF(AD20-AE20&lt;0.005,0,AD20-AE20)</f>
        <v/>
      </c>
      <c r="AG20">
        <f>AL19</f>
        <v/>
      </c>
      <c r="AH20">
        <f>AG20*Plan!D11/100/12</f>
        <v/>
      </c>
      <c r="AI20">
        <f>MIN(Plan!E11,AG20+AH20)</f>
        <v/>
      </c>
      <c r="AJ20">
        <f>AG20+AH20-AI20</f>
        <v/>
      </c>
      <c r="AK20">
        <f>MIN(AJ20,MAX(0,$B20-((E$5&lt;AI$5)*F20+(K$5&lt;AI$5)*L20+(Q$5&lt;AI$5)*R20+(W$5&lt;AI$5)*X20+(AC$5&lt;AI$5)*AD20+(AO$5&lt;AI$5)*AP20+(AU$5&lt;AI$5)*AV20)))</f>
        <v/>
      </c>
      <c r="AL20">
        <f>IF(AJ20-AK20&lt;0.005,0,AJ20-AK20)</f>
        <v/>
      </c>
      <c r="AM20">
        <f>AR19</f>
        <v/>
      </c>
      <c r="AN20">
        <f>AM20*Plan!D12/100/12</f>
        <v/>
      </c>
      <c r="AO20">
        <f>MIN(Plan!E12,AM20+AN20)</f>
        <v/>
      </c>
      <c r="AP20">
        <f>AM20+AN20-AO20</f>
        <v/>
      </c>
      <c r="AQ20">
        <f>MIN(AP20,MAX(0,$B20-((E$5&lt;AO$5)*F20+(K$5&lt;AO$5)*L20+(Q$5&lt;AO$5)*R20+(W$5&lt;AO$5)*X20+(AC$5&lt;AO$5)*AD20+(AI$5&lt;AO$5)*AJ20+(AU$5&lt;AO$5)*AV20)))</f>
        <v/>
      </c>
      <c r="AR20">
        <f>IF(AP20-AQ20&lt;0.005,0,AP20-AQ20)</f>
        <v/>
      </c>
      <c r="AS20">
        <f>AX19</f>
        <v/>
      </c>
      <c r="AT20">
        <f>AS20*Plan!D13/100/12</f>
        <v/>
      </c>
      <c r="AU20">
        <f>MIN(Plan!E13,AS20+AT20)</f>
        <v/>
      </c>
      <c r="AV20">
        <f>AS20+AT20-AU20</f>
        <v/>
      </c>
      <c r="AW20">
        <f>MIN(AV20,MAX(0,$B20-((E$5&lt;AU$5)*F20+(K$5&lt;AU$5)*L20+(Q$5&lt;AU$5)*R20+(W$5&lt;AU$5)*X20+(AC$5&lt;AU$5)*AD20+(AI$5&lt;AU$5)*AJ20+(AO$5&lt;AU$5)*AP20)))</f>
        <v/>
      </c>
      <c r="AX20">
        <f>IF(AV20-AW20&lt;0.005,0,AV20-AW20)</f>
        <v/>
      </c>
      <c r="BC20">
        <f>H20+N20+T20+Z20+AF20+AL20+AR20+AX20</f>
        <v/>
      </c>
    </row>
    <row r="21">
      <c r="A21" t="n">
        <v>15</v>
      </c>
      <c r="B21" s="19">
        <f>MAX(0,$B$3-(E21+K21+Q21+W21+AC21+AI21+AO21+AU21))</f>
        <v/>
      </c>
      <c r="C21">
        <f>H20</f>
        <v/>
      </c>
      <c r="D21">
        <f>C21*Plan!D6/100/12</f>
        <v/>
      </c>
      <c r="E21">
        <f>MIN(Plan!E6,C21+D21)</f>
        <v/>
      </c>
      <c r="F21">
        <f>C21+D21-E21</f>
        <v/>
      </c>
      <c r="G21">
        <f>MIN(F21,MAX(0,$B21-((K$5&lt;E$5)*L21+(Q$5&lt;E$5)*R21+(W$5&lt;E$5)*X21+(AC$5&lt;E$5)*AD21+(AI$5&lt;E$5)*AJ21+(AO$5&lt;E$5)*AP21+(AU$5&lt;E$5)*AV21)))</f>
        <v/>
      </c>
      <c r="H21">
        <f>IF(F21-G21&lt;0.005,0,F21-G21)</f>
        <v/>
      </c>
      <c r="I21">
        <f>N20</f>
        <v/>
      </c>
      <c r="J21">
        <f>I21*Plan!D7/100/12</f>
        <v/>
      </c>
      <c r="K21">
        <f>MIN(Plan!E7,I21+J21)</f>
        <v/>
      </c>
      <c r="L21">
        <f>I21+J21-K21</f>
        <v/>
      </c>
      <c r="M21">
        <f>MIN(L21,MAX(0,$B21-((E$5&lt;K$5)*F21+(Q$5&lt;K$5)*R21+(W$5&lt;K$5)*X21+(AC$5&lt;K$5)*AD21+(AI$5&lt;K$5)*AJ21+(AO$5&lt;K$5)*AP21+(AU$5&lt;K$5)*AV21)))</f>
        <v/>
      </c>
      <c r="N21">
        <f>IF(L21-M21&lt;0.005,0,L21-M21)</f>
        <v/>
      </c>
      <c r="O21">
        <f>T20</f>
        <v/>
      </c>
      <c r="P21">
        <f>O21*Plan!D8/100/12</f>
        <v/>
      </c>
      <c r="Q21">
        <f>MIN(Plan!E8,O21+P21)</f>
        <v/>
      </c>
      <c r="R21">
        <f>O21+P21-Q21</f>
        <v/>
      </c>
      <c r="S21">
        <f>MIN(R21,MAX(0,$B21-((E$5&lt;Q$5)*F21+(K$5&lt;Q$5)*L21+(W$5&lt;Q$5)*X21+(AC$5&lt;Q$5)*AD21+(AI$5&lt;Q$5)*AJ21+(AO$5&lt;Q$5)*AP21+(AU$5&lt;Q$5)*AV21)))</f>
        <v/>
      </c>
      <c r="T21">
        <f>IF(R21-S21&lt;0.005,0,R21-S21)</f>
        <v/>
      </c>
      <c r="U21">
        <f>Z20</f>
        <v/>
      </c>
      <c r="V21">
        <f>U21*Plan!D9/100/12</f>
        <v/>
      </c>
      <c r="W21">
        <f>MIN(Plan!E9,U21+V21)</f>
        <v/>
      </c>
      <c r="X21">
        <f>U21+V21-W21</f>
        <v/>
      </c>
      <c r="Y21">
        <f>MIN(X21,MAX(0,$B21-((E$5&lt;W$5)*F21+(K$5&lt;W$5)*L21+(Q$5&lt;W$5)*R21+(AC$5&lt;W$5)*AD21+(AI$5&lt;W$5)*AJ21+(AO$5&lt;W$5)*AP21+(AU$5&lt;W$5)*AV21)))</f>
        <v/>
      </c>
      <c r="Z21">
        <f>IF(X21-Y21&lt;0.005,0,X21-Y21)</f>
        <v/>
      </c>
      <c r="AA21">
        <f>AF20</f>
        <v/>
      </c>
      <c r="AB21">
        <f>AA21*Plan!D10/100/12</f>
        <v/>
      </c>
      <c r="AC21">
        <f>MIN(Plan!E10,AA21+AB21)</f>
        <v/>
      </c>
      <c r="AD21">
        <f>AA21+AB21-AC21</f>
        <v/>
      </c>
      <c r="AE21">
        <f>MIN(AD21,MAX(0,$B21-((E$5&lt;AC$5)*F21+(K$5&lt;AC$5)*L21+(Q$5&lt;AC$5)*R21+(W$5&lt;AC$5)*X21+(AI$5&lt;AC$5)*AJ21+(AO$5&lt;AC$5)*AP21+(AU$5&lt;AC$5)*AV21)))</f>
        <v/>
      </c>
      <c r="AF21">
        <f>IF(AD21-AE21&lt;0.005,0,AD21-AE21)</f>
        <v/>
      </c>
      <c r="AG21">
        <f>AL20</f>
        <v/>
      </c>
      <c r="AH21">
        <f>AG21*Plan!D11/100/12</f>
        <v/>
      </c>
      <c r="AI21">
        <f>MIN(Plan!E11,AG21+AH21)</f>
        <v/>
      </c>
      <c r="AJ21">
        <f>AG21+AH21-AI21</f>
        <v/>
      </c>
      <c r="AK21">
        <f>MIN(AJ21,MAX(0,$B21-((E$5&lt;AI$5)*F21+(K$5&lt;AI$5)*L21+(Q$5&lt;AI$5)*R21+(W$5&lt;AI$5)*X21+(AC$5&lt;AI$5)*AD21+(AO$5&lt;AI$5)*AP21+(AU$5&lt;AI$5)*AV21)))</f>
        <v/>
      </c>
      <c r="AL21">
        <f>IF(AJ21-AK21&lt;0.005,0,AJ21-AK21)</f>
        <v/>
      </c>
      <c r="AM21">
        <f>AR20</f>
        <v/>
      </c>
      <c r="AN21">
        <f>AM21*Plan!D12/100/12</f>
        <v/>
      </c>
      <c r="AO21">
        <f>MIN(Plan!E12,AM21+AN21)</f>
        <v/>
      </c>
      <c r="AP21">
        <f>AM21+AN21-AO21</f>
        <v/>
      </c>
      <c r="AQ21">
        <f>MIN(AP21,MAX(0,$B21-((E$5&lt;AO$5)*F21+(K$5&lt;AO$5)*L21+(Q$5&lt;AO$5)*R21+(W$5&lt;AO$5)*X21+(AC$5&lt;AO$5)*AD21+(AI$5&lt;AO$5)*AJ21+(AU$5&lt;AO$5)*AV21)))</f>
        <v/>
      </c>
      <c r="AR21">
        <f>IF(AP21-AQ21&lt;0.005,0,AP21-AQ21)</f>
        <v/>
      </c>
      <c r="AS21">
        <f>AX20</f>
        <v/>
      </c>
      <c r="AT21">
        <f>AS21*Plan!D13/100/12</f>
        <v/>
      </c>
      <c r="AU21">
        <f>MIN(Plan!E13,AS21+AT21)</f>
        <v/>
      </c>
      <c r="AV21">
        <f>AS21+AT21-AU21</f>
        <v/>
      </c>
      <c r="AW21">
        <f>MIN(AV21,MAX(0,$B21-((E$5&lt;AU$5)*F21+(K$5&lt;AU$5)*L21+(Q$5&lt;AU$5)*R21+(W$5&lt;AU$5)*X21+(AC$5&lt;AU$5)*AD21+(AI$5&lt;AU$5)*AJ21+(AO$5&lt;AU$5)*AP21)))</f>
        <v/>
      </c>
      <c r="AX21">
        <f>IF(AV21-AW21&lt;0.005,0,AV21-AW21)</f>
        <v/>
      </c>
      <c r="BC21">
        <f>H21+N21+T21+Z21+AF21+AL21+AR21+AX21</f>
        <v/>
      </c>
    </row>
    <row r="22">
      <c r="A22" t="n">
        <v>16</v>
      </c>
      <c r="B22" s="19">
        <f>MAX(0,$B$3-(E22+K22+Q22+W22+AC22+AI22+AO22+AU22))</f>
        <v/>
      </c>
      <c r="C22">
        <f>H21</f>
        <v/>
      </c>
      <c r="D22">
        <f>C22*Plan!D6/100/12</f>
        <v/>
      </c>
      <c r="E22">
        <f>MIN(Plan!E6,C22+D22)</f>
        <v/>
      </c>
      <c r="F22">
        <f>C22+D22-E22</f>
        <v/>
      </c>
      <c r="G22">
        <f>MIN(F22,MAX(0,$B22-((K$5&lt;E$5)*L22+(Q$5&lt;E$5)*R22+(W$5&lt;E$5)*X22+(AC$5&lt;E$5)*AD22+(AI$5&lt;E$5)*AJ22+(AO$5&lt;E$5)*AP22+(AU$5&lt;E$5)*AV22)))</f>
        <v/>
      </c>
      <c r="H22">
        <f>IF(F22-G22&lt;0.005,0,F22-G22)</f>
        <v/>
      </c>
      <c r="I22">
        <f>N21</f>
        <v/>
      </c>
      <c r="J22">
        <f>I22*Plan!D7/100/12</f>
        <v/>
      </c>
      <c r="K22">
        <f>MIN(Plan!E7,I22+J22)</f>
        <v/>
      </c>
      <c r="L22">
        <f>I22+J22-K22</f>
        <v/>
      </c>
      <c r="M22">
        <f>MIN(L22,MAX(0,$B22-((E$5&lt;K$5)*F22+(Q$5&lt;K$5)*R22+(W$5&lt;K$5)*X22+(AC$5&lt;K$5)*AD22+(AI$5&lt;K$5)*AJ22+(AO$5&lt;K$5)*AP22+(AU$5&lt;K$5)*AV22)))</f>
        <v/>
      </c>
      <c r="N22">
        <f>IF(L22-M22&lt;0.005,0,L22-M22)</f>
        <v/>
      </c>
      <c r="O22">
        <f>T21</f>
        <v/>
      </c>
      <c r="P22">
        <f>O22*Plan!D8/100/12</f>
        <v/>
      </c>
      <c r="Q22">
        <f>MIN(Plan!E8,O22+P22)</f>
        <v/>
      </c>
      <c r="R22">
        <f>O22+P22-Q22</f>
        <v/>
      </c>
      <c r="S22">
        <f>MIN(R22,MAX(0,$B22-((E$5&lt;Q$5)*F22+(K$5&lt;Q$5)*L22+(W$5&lt;Q$5)*X22+(AC$5&lt;Q$5)*AD22+(AI$5&lt;Q$5)*AJ22+(AO$5&lt;Q$5)*AP22+(AU$5&lt;Q$5)*AV22)))</f>
        <v/>
      </c>
      <c r="T22">
        <f>IF(R22-S22&lt;0.005,0,R22-S22)</f>
        <v/>
      </c>
      <c r="U22">
        <f>Z21</f>
        <v/>
      </c>
      <c r="V22">
        <f>U22*Plan!D9/100/12</f>
        <v/>
      </c>
      <c r="W22">
        <f>MIN(Plan!E9,U22+V22)</f>
        <v/>
      </c>
      <c r="X22">
        <f>U22+V22-W22</f>
        <v/>
      </c>
      <c r="Y22">
        <f>MIN(X22,MAX(0,$B22-((E$5&lt;W$5)*F22+(K$5&lt;W$5)*L22+(Q$5&lt;W$5)*R22+(AC$5&lt;W$5)*AD22+(AI$5&lt;W$5)*AJ22+(AO$5&lt;W$5)*AP22+(AU$5&lt;W$5)*AV22)))</f>
        <v/>
      </c>
      <c r="Z22">
        <f>IF(X22-Y22&lt;0.005,0,X22-Y22)</f>
        <v/>
      </c>
      <c r="AA22">
        <f>AF21</f>
        <v/>
      </c>
      <c r="AB22">
        <f>AA22*Plan!D10/100/12</f>
        <v/>
      </c>
      <c r="AC22">
        <f>MIN(Plan!E10,AA22+AB22)</f>
        <v/>
      </c>
      <c r="AD22">
        <f>AA22+AB22-AC22</f>
        <v/>
      </c>
      <c r="AE22">
        <f>MIN(AD22,MAX(0,$B22-((E$5&lt;AC$5)*F22+(K$5&lt;AC$5)*L22+(Q$5&lt;AC$5)*R22+(W$5&lt;AC$5)*X22+(AI$5&lt;AC$5)*AJ22+(AO$5&lt;AC$5)*AP22+(AU$5&lt;AC$5)*AV22)))</f>
        <v/>
      </c>
      <c r="AF22">
        <f>IF(AD22-AE22&lt;0.005,0,AD22-AE22)</f>
        <v/>
      </c>
      <c r="AG22">
        <f>AL21</f>
        <v/>
      </c>
      <c r="AH22">
        <f>AG22*Plan!D11/100/12</f>
        <v/>
      </c>
      <c r="AI22">
        <f>MIN(Plan!E11,AG22+AH22)</f>
        <v/>
      </c>
      <c r="AJ22">
        <f>AG22+AH22-AI22</f>
        <v/>
      </c>
      <c r="AK22">
        <f>MIN(AJ22,MAX(0,$B22-((E$5&lt;AI$5)*F22+(K$5&lt;AI$5)*L22+(Q$5&lt;AI$5)*R22+(W$5&lt;AI$5)*X22+(AC$5&lt;AI$5)*AD22+(AO$5&lt;AI$5)*AP22+(AU$5&lt;AI$5)*AV22)))</f>
        <v/>
      </c>
      <c r="AL22">
        <f>IF(AJ22-AK22&lt;0.005,0,AJ22-AK22)</f>
        <v/>
      </c>
      <c r="AM22">
        <f>AR21</f>
        <v/>
      </c>
      <c r="AN22">
        <f>AM22*Plan!D12/100/12</f>
        <v/>
      </c>
      <c r="AO22">
        <f>MIN(Plan!E12,AM22+AN22)</f>
        <v/>
      </c>
      <c r="AP22">
        <f>AM22+AN22-AO22</f>
        <v/>
      </c>
      <c r="AQ22">
        <f>MIN(AP22,MAX(0,$B22-((E$5&lt;AO$5)*F22+(K$5&lt;AO$5)*L22+(Q$5&lt;AO$5)*R22+(W$5&lt;AO$5)*X22+(AC$5&lt;AO$5)*AD22+(AI$5&lt;AO$5)*AJ22+(AU$5&lt;AO$5)*AV22)))</f>
        <v/>
      </c>
      <c r="AR22">
        <f>IF(AP22-AQ22&lt;0.005,0,AP22-AQ22)</f>
        <v/>
      </c>
      <c r="AS22">
        <f>AX21</f>
        <v/>
      </c>
      <c r="AT22">
        <f>AS22*Plan!D13/100/12</f>
        <v/>
      </c>
      <c r="AU22">
        <f>MIN(Plan!E13,AS22+AT22)</f>
        <v/>
      </c>
      <c r="AV22">
        <f>AS22+AT22-AU22</f>
        <v/>
      </c>
      <c r="AW22">
        <f>MIN(AV22,MAX(0,$B22-((E$5&lt;AU$5)*F22+(K$5&lt;AU$5)*L22+(Q$5&lt;AU$5)*R22+(W$5&lt;AU$5)*X22+(AC$5&lt;AU$5)*AD22+(AI$5&lt;AU$5)*AJ22+(AO$5&lt;AU$5)*AP22)))</f>
        <v/>
      </c>
      <c r="AX22">
        <f>IF(AV22-AW22&lt;0.005,0,AV22-AW22)</f>
        <v/>
      </c>
      <c r="BC22">
        <f>H22+N22+T22+Z22+AF22+AL22+AR22+AX22</f>
        <v/>
      </c>
    </row>
    <row r="23">
      <c r="A23" t="n">
        <v>17</v>
      </c>
      <c r="B23" s="19">
        <f>MAX(0,$B$3-(E23+K23+Q23+W23+AC23+AI23+AO23+AU23))</f>
        <v/>
      </c>
      <c r="C23">
        <f>H22</f>
        <v/>
      </c>
      <c r="D23">
        <f>C23*Plan!D6/100/12</f>
        <v/>
      </c>
      <c r="E23">
        <f>MIN(Plan!E6,C23+D23)</f>
        <v/>
      </c>
      <c r="F23">
        <f>C23+D23-E23</f>
        <v/>
      </c>
      <c r="G23">
        <f>MIN(F23,MAX(0,$B23-((K$5&lt;E$5)*L23+(Q$5&lt;E$5)*R23+(W$5&lt;E$5)*X23+(AC$5&lt;E$5)*AD23+(AI$5&lt;E$5)*AJ23+(AO$5&lt;E$5)*AP23+(AU$5&lt;E$5)*AV23)))</f>
        <v/>
      </c>
      <c r="H23">
        <f>IF(F23-G23&lt;0.005,0,F23-G23)</f>
        <v/>
      </c>
      <c r="I23">
        <f>N22</f>
        <v/>
      </c>
      <c r="J23">
        <f>I23*Plan!D7/100/12</f>
        <v/>
      </c>
      <c r="K23">
        <f>MIN(Plan!E7,I23+J23)</f>
        <v/>
      </c>
      <c r="L23">
        <f>I23+J23-K23</f>
        <v/>
      </c>
      <c r="M23">
        <f>MIN(L23,MAX(0,$B23-((E$5&lt;K$5)*F23+(Q$5&lt;K$5)*R23+(W$5&lt;K$5)*X23+(AC$5&lt;K$5)*AD23+(AI$5&lt;K$5)*AJ23+(AO$5&lt;K$5)*AP23+(AU$5&lt;K$5)*AV23)))</f>
        <v/>
      </c>
      <c r="N23">
        <f>IF(L23-M23&lt;0.005,0,L23-M23)</f>
        <v/>
      </c>
      <c r="O23">
        <f>T22</f>
        <v/>
      </c>
      <c r="P23">
        <f>O23*Plan!D8/100/12</f>
        <v/>
      </c>
      <c r="Q23">
        <f>MIN(Plan!E8,O23+P23)</f>
        <v/>
      </c>
      <c r="R23">
        <f>O23+P23-Q23</f>
        <v/>
      </c>
      <c r="S23">
        <f>MIN(R23,MAX(0,$B23-((E$5&lt;Q$5)*F23+(K$5&lt;Q$5)*L23+(W$5&lt;Q$5)*X23+(AC$5&lt;Q$5)*AD23+(AI$5&lt;Q$5)*AJ23+(AO$5&lt;Q$5)*AP23+(AU$5&lt;Q$5)*AV23)))</f>
        <v/>
      </c>
      <c r="T23">
        <f>IF(R23-S23&lt;0.005,0,R23-S23)</f>
        <v/>
      </c>
      <c r="U23">
        <f>Z22</f>
        <v/>
      </c>
      <c r="V23">
        <f>U23*Plan!D9/100/12</f>
        <v/>
      </c>
      <c r="W23">
        <f>MIN(Plan!E9,U23+V23)</f>
        <v/>
      </c>
      <c r="X23">
        <f>U23+V23-W23</f>
        <v/>
      </c>
      <c r="Y23">
        <f>MIN(X23,MAX(0,$B23-((E$5&lt;W$5)*F23+(K$5&lt;W$5)*L23+(Q$5&lt;W$5)*R23+(AC$5&lt;W$5)*AD23+(AI$5&lt;W$5)*AJ23+(AO$5&lt;W$5)*AP23+(AU$5&lt;W$5)*AV23)))</f>
        <v/>
      </c>
      <c r="Z23">
        <f>IF(X23-Y23&lt;0.005,0,X23-Y23)</f>
        <v/>
      </c>
      <c r="AA23">
        <f>AF22</f>
        <v/>
      </c>
      <c r="AB23">
        <f>AA23*Plan!D10/100/12</f>
        <v/>
      </c>
      <c r="AC23">
        <f>MIN(Plan!E10,AA23+AB23)</f>
        <v/>
      </c>
      <c r="AD23">
        <f>AA23+AB23-AC23</f>
        <v/>
      </c>
      <c r="AE23">
        <f>MIN(AD23,MAX(0,$B23-((E$5&lt;AC$5)*F23+(K$5&lt;AC$5)*L23+(Q$5&lt;AC$5)*R23+(W$5&lt;AC$5)*X23+(AI$5&lt;AC$5)*AJ23+(AO$5&lt;AC$5)*AP23+(AU$5&lt;AC$5)*AV23)))</f>
        <v/>
      </c>
      <c r="AF23">
        <f>IF(AD23-AE23&lt;0.005,0,AD23-AE23)</f>
        <v/>
      </c>
      <c r="AG23">
        <f>AL22</f>
        <v/>
      </c>
      <c r="AH23">
        <f>AG23*Plan!D11/100/12</f>
        <v/>
      </c>
      <c r="AI23">
        <f>MIN(Plan!E11,AG23+AH23)</f>
        <v/>
      </c>
      <c r="AJ23">
        <f>AG23+AH23-AI23</f>
        <v/>
      </c>
      <c r="AK23">
        <f>MIN(AJ23,MAX(0,$B23-((E$5&lt;AI$5)*F23+(K$5&lt;AI$5)*L23+(Q$5&lt;AI$5)*R23+(W$5&lt;AI$5)*X23+(AC$5&lt;AI$5)*AD23+(AO$5&lt;AI$5)*AP23+(AU$5&lt;AI$5)*AV23)))</f>
        <v/>
      </c>
      <c r="AL23">
        <f>IF(AJ23-AK23&lt;0.005,0,AJ23-AK23)</f>
        <v/>
      </c>
      <c r="AM23">
        <f>AR22</f>
        <v/>
      </c>
      <c r="AN23">
        <f>AM23*Plan!D12/100/12</f>
        <v/>
      </c>
      <c r="AO23">
        <f>MIN(Plan!E12,AM23+AN23)</f>
        <v/>
      </c>
      <c r="AP23">
        <f>AM23+AN23-AO23</f>
        <v/>
      </c>
      <c r="AQ23">
        <f>MIN(AP23,MAX(0,$B23-((E$5&lt;AO$5)*F23+(K$5&lt;AO$5)*L23+(Q$5&lt;AO$5)*R23+(W$5&lt;AO$5)*X23+(AC$5&lt;AO$5)*AD23+(AI$5&lt;AO$5)*AJ23+(AU$5&lt;AO$5)*AV23)))</f>
        <v/>
      </c>
      <c r="AR23">
        <f>IF(AP23-AQ23&lt;0.005,0,AP23-AQ23)</f>
        <v/>
      </c>
      <c r="AS23">
        <f>AX22</f>
        <v/>
      </c>
      <c r="AT23">
        <f>AS23*Plan!D13/100/12</f>
        <v/>
      </c>
      <c r="AU23">
        <f>MIN(Plan!E13,AS23+AT23)</f>
        <v/>
      </c>
      <c r="AV23">
        <f>AS23+AT23-AU23</f>
        <v/>
      </c>
      <c r="AW23">
        <f>MIN(AV23,MAX(0,$B23-((E$5&lt;AU$5)*F23+(K$5&lt;AU$5)*L23+(Q$5&lt;AU$5)*R23+(W$5&lt;AU$5)*X23+(AC$5&lt;AU$5)*AD23+(AI$5&lt;AU$5)*AJ23+(AO$5&lt;AU$5)*AP23)))</f>
        <v/>
      </c>
      <c r="AX23">
        <f>IF(AV23-AW23&lt;0.005,0,AV23-AW23)</f>
        <v/>
      </c>
      <c r="BC23">
        <f>H23+N23+T23+Z23+AF23+AL23+AR23+AX23</f>
        <v/>
      </c>
    </row>
    <row r="24">
      <c r="A24" t="n">
        <v>18</v>
      </c>
      <c r="B24" s="19">
        <f>MAX(0,$B$3-(E24+K24+Q24+W24+AC24+AI24+AO24+AU24))</f>
        <v/>
      </c>
      <c r="C24">
        <f>H23</f>
        <v/>
      </c>
      <c r="D24">
        <f>C24*Plan!D6/100/12</f>
        <v/>
      </c>
      <c r="E24">
        <f>MIN(Plan!E6,C24+D24)</f>
        <v/>
      </c>
      <c r="F24">
        <f>C24+D24-E24</f>
        <v/>
      </c>
      <c r="G24">
        <f>MIN(F24,MAX(0,$B24-((K$5&lt;E$5)*L24+(Q$5&lt;E$5)*R24+(W$5&lt;E$5)*X24+(AC$5&lt;E$5)*AD24+(AI$5&lt;E$5)*AJ24+(AO$5&lt;E$5)*AP24+(AU$5&lt;E$5)*AV24)))</f>
        <v/>
      </c>
      <c r="H24">
        <f>IF(F24-G24&lt;0.005,0,F24-G24)</f>
        <v/>
      </c>
      <c r="I24">
        <f>N23</f>
        <v/>
      </c>
      <c r="J24">
        <f>I24*Plan!D7/100/12</f>
        <v/>
      </c>
      <c r="K24">
        <f>MIN(Plan!E7,I24+J24)</f>
        <v/>
      </c>
      <c r="L24">
        <f>I24+J24-K24</f>
        <v/>
      </c>
      <c r="M24">
        <f>MIN(L24,MAX(0,$B24-((E$5&lt;K$5)*F24+(Q$5&lt;K$5)*R24+(W$5&lt;K$5)*X24+(AC$5&lt;K$5)*AD24+(AI$5&lt;K$5)*AJ24+(AO$5&lt;K$5)*AP24+(AU$5&lt;K$5)*AV24)))</f>
        <v/>
      </c>
      <c r="N24">
        <f>IF(L24-M24&lt;0.005,0,L24-M24)</f>
        <v/>
      </c>
      <c r="O24">
        <f>T23</f>
        <v/>
      </c>
      <c r="P24">
        <f>O24*Plan!D8/100/12</f>
        <v/>
      </c>
      <c r="Q24">
        <f>MIN(Plan!E8,O24+P24)</f>
        <v/>
      </c>
      <c r="R24">
        <f>O24+P24-Q24</f>
        <v/>
      </c>
      <c r="S24">
        <f>MIN(R24,MAX(0,$B24-((E$5&lt;Q$5)*F24+(K$5&lt;Q$5)*L24+(W$5&lt;Q$5)*X24+(AC$5&lt;Q$5)*AD24+(AI$5&lt;Q$5)*AJ24+(AO$5&lt;Q$5)*AP24+(AU$5&lt;Q$5)*AV24)))</f>
        <v/>
      </c>
      <c r="T24">
        <f>IF(R24-S24&lt;0.005,0,R24-S24)</f>
        <v/>
      </c>
      <c r="U24">
        <f>Z23</f>
        <v/>
      </c>
      <c r="V24">
        <f>U24*Plan!D9/100/12</f>
        <v/>
      </c>
      <c r="W24">
        <f>MIN(Plan!E9,U24+V24)</f>
        <v/>
      </c>
      <c r="X24">
        <f>U24+V24-W24</f>
        <v/>
      </c>
      <c r="Y24">
        <f>MIN(X24,MAX(0,$B24-((E$5&lt;W$5)*F24+(K$5&lt;W$5)*L24+(Q$5&lt;W$5)*R24+(AC$5&lt;W$5)*AD24+(AI$5&lt;W$5)*AJ24+(AO$5&lt;W$5)*AP24+(AU$5&lt;W$5)*AV24)))</f>
        <v/>
      </c>
      <c r="Z24">
        <f>IF(X24-Y24&lt;0.005,0,X24-Y24)</f>
        <v/>
      </c>
      <c r="AA24">
        <f>AF23</f>
        <v/>
      </c>
      <c r="AB24">
        <f>AA24*Plan!D10/100/12</f>
        <v/>
      </c>
      <c r="AC24">
        <f>MIN(Plan!E10,AA24+AB24)</f>
        <v/>
      </c>
      <c r="AD24">
        <f>AA24+AB24-AC24</f>
        <v/>
      </c>
      <c r="AE24">
        <f>MIN(AD24,MAX(0,$B24-((E$5&lt;AC$5)*F24+(K$5&lt;AC$5)*L24+(Q$5&lt;AC$5)*R24+(W$5&lt;AC$5)*X24+(AI$5&lt;AC$5)*AJ24+(AO$5&lt;AC$5)*AP24+(AU$5&lt;AC$5)*AV24)))</f>
        <v/>
      </c>
      <c r="AF24">
        <f>IF(AD24-AE24&lt;0.005,0,AD24-AE24)</f>
        <v/>
      </c>
      <c r="AG24">
        <f>AL23</f>
        <v/>
      </c>
      <c r="AH24">
        <f>AG24*Plan!D11/100/12</f>
        <v/>
      </c>
      <c r="AI24">
        <f>MIN(Plan!E11,AG24+AH24)</f>
        <v/>
      </c>
      <c r="AJ24">
        <f>AG24+AH24-AI24</f>
        <v/>
      </c>
      <c r="AK24">
        <f>MIN(AJ24,MAX(0,$B24-((E$5&lt;AI$5)*F24+(K$5&lt;AI$5)*L24+(Q$5&lt;AI$5)*R24+(W$5&lt;AI$5)*X24+(AC$5&lt;AI$5)*AD24+(AO$5&lt;AI$5)*AP24+(AU$5&lt;AI$5)*AV24)))</f>
        <v/>
      </c>
      <c r="AL24">
        <f>IF(AJ24-AK24&lt;0.005,0,AJ24-AK24)</f>
        <v/>
      </c>
      <c r="AM24">
        <f>AR23</f>
        <v/>
      </c>
      <c r="AN24">
        <f>AM24*Plan!D12/100/12</f>
        <v/>
      </c>
      <c r="AO24">
        <f>MIN(Plan!E12,AM24+AN24)</f>
        <v/>
      </c>
      <c r="AP24">
        <f>AM24+AN24-AO24</f>
        <v/>
      </c>
      <c r="AQ24">
        <f>MIN(AP24,MAX(0,$B24-((E$5&lt;AO$5)*F24+(K$5&lt;AO$5)*L24+(Q$5&lt;AO$5)*R24+(W$5&lt;AO$5)*X24+(AC$5&lt;AO$5)*AD24+(AI$5&lt;AO$5)*AJ24+(AU$5&lt;AO$5)*AV24)))</f>
        <v/>
      </c>
      <c r="AR24">
        <f>IF(AP24-AQ24&lt;0.005,0,AP24-AQ24)</f>
        <v/>
      </c>
      <c r="AS24">
        <f>AX23</f>
        <v/>
      </c>
      <c r="AT24">
        <f>AS24*Plan!D13/100/12</f>
        <v/>
      </c>
      <c r="AU24">
        <f>MIN(Plan!E13,AS24+AT24)</f>
        <v/>
      </c>
      <c r="AV24">
        <f>AS24+AT24-AU24</f>
        <v/>
      </c>
      <c r="AW24">
        <f>MIN(AV24,MAX(0,$B24-((E$5&lt;AU$5)*F24+(K$5&lt;AU$5)*L24+(Q$5&lt;AU$5)*R24+(W$5&lt;AU$5)*X24+(AC$5&lt;AU$5)*AD24+(AI$5&lt;AU$5)*AJ24+(AO$5&lt;AU$5)*AP24)))</f>
        <v/>
      </c>
      <c r="AX24">
        <f>IF(AV24-AW24&lt;0.005,0,AV24-AW24)</f>
        <v/>
      </c>
      <c r="BC24">
        <f>H24+N24+T24+Z24+AF24+AL24+AR24+AX24</f>
        <v/>
      </c>
    </row>
    <row r="25">
      <c r="A25" t="n">
        <v>19</v>
      </c>
      <c r="B25" s="19">
        <f>MAX(0,$B$3-(E25+K25+Q25+W25+AC25+AI25+AO25+AU25))</f>
        <v/>
      </c>
      <c r="C25">
        <f>H24</f>
        <v/>
      </c>
      <c r="D25">
        <f>C25*Plan!D6/100/12</f>
        <v/>
      </c>
      <c r="E25">
        <f>MIN(Plan!E6,C25+D25)</f>
        <v/>
      </c>
      <c r="F25">
        <f>C25+D25-E25</f>
        <v/>
      </c>
      <c r="G25">
        <f>MIN(F25,MAX(0,$B25-((K$5&lt;E$5)*L25+(Q$5&lt;E$5)*R25+(W$5&lt;E$5)*X25+(AC$5&lt;E$5)*AD25+(AI$5&lt;E$5)*AJ25+(AO$5&lt;E$5)*AP25+(AU$5&lt;E$5)*AV25)))</f>
        <v/>
      </c>
      <c r="H25">
        <f>IF(F25-G25&lt;0.005,0,F25-G25)</f>
        <v/>
      </c>
      <c r="I25">
        <f>N24</f>
        <v/>
      </c>
      <c r="J25">
        <f>I25*Plan!D7/100/12</f>
        <v/>
      </c>
      <c r="K25">
        <f>MIN(Plan!E7,I25+J25)</f>
        <v/>
      </c>
      <c r="L25">
        <f>I25+J25-K25</f>
        <v/>
      </c>
      <c r="M25">
        <f>MIN(L25,MAX(0,$B25-((E$5&lt;K$5)*F25+(Q$5&lt;K$5)*R25+(W$5&lt;K$5)*X25+(AC$5&lt;K$5)*AD25+(AI$5&lt;K$5)*AJ25+(AO$5&lt;K$5)*AP25+(AU$5&lt;K$5)*AV25)))</f>
        <v/>
      </c>
      <c r="N25">
        <f>IF(L25-M25&lt;0.005,0,L25-M25)</f>
        <v/>
      </c>
      <c r="O25">
        <f>T24</f>
        <v/>
      </c>
      <c r="P25">
        <f>O25*Plan!D8/100/12</f>
        <v/>
      </c>
      <c r="Q25">
        <f>MIN(Plan!E8,O25+P25)</f>
        <v/>
      </c>
      <c r="R25">
        <f>O25+P25-Q25</f>
        <v/>
      </c>
      <c r="S25">
        <f>MIN(R25,MAX(0,$B25-((E$5&lt;Q$5)*F25+(K$5&lt;Q$5)*L25+(W$5&lt;Q$5)*X25+(AC$5&lt;Q$5)*AD25+(AI$5&lt;Q$5)*AJ25+(AO$5&lt;Q$5)*AP25+(AU$5&lt;Q$5)*AV25)))</f>
        <v/>
      </c>
      <c r="T25">
        <f>IF(R25-S25&lt;0.005,0,R25-S25)</f>
        <v/>
      </c>
      <c r="U25">
        <f>Z24</f>
        <v/>
      </c>
      <c r="V25">
        <f>U25*Plan!D9/100/12</f>
        <v/>
      </c>
      <c r="W25">
        <f>MIN(Plan!E9,U25+V25)</f>
        <v/>
      </c>
      <c r="X25">
        <f>U25+V25-W25</f>
        <v/>
      </c>
      <c r="Y25">
        <f>MIN(X25,MAX(0,$B25-((E$5&lt;W$5)*F25+(K$5&lt;W$5)*L25+(Q$5&lt;W$5)*R25+(AC$5&lt;W$5)*AD25+(AI$5&lt;W$5)*AJ25+(AO$5&lt;W$5)*AP25+(AU$5&lt;W$5)*AV25)))</f>
        <v/>
      </c>
      <c r="Z25">
        <f>IF(X25-Y25&lt;0.005,0,X25-Y25)</f>
        <v/>
      </c>
      <c r="AA25">
        <f>AF24</f>
        <v/>
      </c>
      <c r="AB25">
        <f>AA25*Plan!D10/100/12</f>
        <v/>
      </c>
      <c r="AC25">
        <f>MIN(Plan!E10,AA25+AB25)</f>
        <v/>
      </c>
      <c r="AD25">
        <f>AA25+AB25-AC25</f>
        <v/>
      </c>
      <c r="AE25">
        <f>MIN(AD25,MAX(0,$B25-((E$5&lt;AC$5)*F25+(K$5&lt;AC$5)*L25+(Q$5&lt;AC$5)*R25+(W$5&lt;AC$5)*X25+(AI$5&lt;AC$5)*AJ25+(AO$5&lt;AC$5)*AP25+(AU$5&lt;AC$5)*AV25)))</f>
        <v/>
      </c>
      <c r="AF25">
        <f>IF(AD25-AE25&lt;0.005,0,AD25-AE25)</f>
        <v/>
      </c>
      <c r="AG25">
        <f>AL24</f>
        <v/>
      </c>
      <c r="AH25">
        <f>AG25*Plan!D11/100/12</f>
        <v/>
      </c>
      <c r="AI25">
        <f>MIN(Plan!E11,AG25+AH25)</f>
        <v/>
      </c>
      <c r="AJ25">
        <f>AG25+AH25-AI25</f>
        <v/>
      </c>
      <c r="AK25">
        <f>MIN(AJ25,MAX(0,$B25-((E$5&lt;AI$5)*F25+(K$5&lt;AI$5)*L25+(Q$5&lt;AI$5)*R25+(W$5&lt;AI$5)*X25+(AC$5&lt;AI$5)*AD25+(AO$5&lt;AI$5)*AP25+(AU$5&lt;AI$5)*AV25)))</f>
        <v/>
      </c>
      <c r="AL25">
        <f>IF(AJ25-AK25&lt;0.005,0,AJ25-AK25)</f>
        <v/>
      </c>
      <c r="AM25">
        <f>AR24</f>
        <v/>
      </c>
      <c r="AN25">
        <f>AM25*Plan!D12/100/12</f>
        <v/>
      </c>
      <c r="AO25">
        <f>MIN(Plan!E12,AM25+AN25)</f>
        <v/>
      </c>
      <c r="AP25">
        <f>AM25+AN25-AO25</f>
        <v/>
      </c>
      <c r="AQ25">
        <f>MIN(AP25,MAX(0,$B25-((E$5&lt;AO$5)*F25+(K$5&lt;AO$5)*L25+(Q$5&lt;AO$5)*R25+(W$5&lt;AO$5)*X25+(AC$5&lt;AO$5)*AD25+(AI$5&lt;AO$5)*AJ25+(AU$5&lt;AO$5)*AV25)))</f>
        <v/>
      </c>
      <c r="AR25">
        <f>IF(AP25-AQ25&lt;0.005,0,AP25-AQ25)</f>
        <v/>
      </c>
      <c r="AS25">
        <f>AX24</f>
        <v/>
      </c>
      <c r="AT25">
        <f>AS25*Plan!D13/100/12</f>
        <v/>
      </c>
      <c r="AU25">
        <f>MIN(Plan!E13,AS25+AT25)</f>
        <v/>
      </c>
      <c r="AV25">
        <f>AS25+AT25-AU25</f>
        <v/>
      </c>
      <c r="AW25">
        <f>MIN(AV25,MAX(0,$B25-((E$5&lt;AU$5)*F25+(K$5&lt;AU$5)*L25+(Q$5&lt;AU$5)*R25+(W$5&lt;AU$5)*X25+(AC$5&lt;AU$5)*AD25+(AI$5&lt;AU$5)*AJ25+(AO$5&lt;AU$5)*AP25)))</f>
        <v/>
      </c>
      <c r="AX25">
        <f>IF(AV25-AW25&lt;0.005,0,AV25-AW25)</f>
        <v/>
      </c>
      <c r="BC25">
        <f>H25+N25+T25+Z25+AF25+AL25+AR25+AX25</f>
        <v/>
      </c>
    </row>
    <row r="26">
      <c r="A26" t="n">
        <v>20</v>
      </c>
      <c r="B26" s="19">
        <f>MAX(0,$B$3-(E26+K26+Q26+W26+AC26+AI26+AO26+AU26))</f>
        <v/>
      </c>
      <c r="C26">
        <f>H25</f>
        <v/>
      </c>
      <c r="D26">
        <f>C26*Plan!D6/100/12</f>
        <v/>
      </c>
      <c r="E26">
        <f>MIN(Plan!E6,C26+D26)</f>
        <v/>
      </c>
      <c r="F26">
        <f>C26+D26-E26</f>
        <v/>
      </c>
      <c r="G26">
        <f>MIN(F26,MAX(0,$B26-((K$5&lt;E$5)*L26+(Q$5&lt;E$5)*R26+(W$5&lt;E$5)*X26+(AC$5&lt;E$5)*AD26+(AI$5&lt;E$5)*AJ26+(AO$5&lt;E$5)*AP26+(AU$5&lt;E$5)*AV26)))</f>
        <v/>
      </c>
      <c r="H26">
        <f>IF(F26-G26&lt;0.005,0,F26-G26)</f>
        <v/>
      </c>
      <c r="I26">
        <f>N25</f>
        <v/>
      </c>
      <c r="J26">
        <f>I26*Plan!D7/100/12</f>
        <v/>
      </c>
      <c r="K26">
        <f>MIN(Plan!E7,I26+J26)</f>
        <v/>
      </c>
      <c r="L26">
        <f>I26+J26-K26</f>
        <v/>
      </c>
      <c r="M26">
        <f>MIN(L26,MAX(0,$B26-((E$5&lt;K$5)*F26+(Q$5&lt;K$5)*R26+(W$5&lt;K$5)*X26+(AC$5&lt;K$5)*AD26+(AI$5&lt;K$5)*AJ26+(AO$5&lt;K$5)*AP26+(AU$5&lt;K$5)*AV26)))</f>
        <v/>
      </c>
      <c r="N26">
        <f>IF(L26-M26&lt;0.005,0,L26-M26)</f>
        <v/>
      </c>
      <c r="O26">
        <f>T25</f>
        <v/>
      </c>
      <c r="P26">
        <f>O26*Plan!D8/100/12</f>
        <v/>
      </c>
      <c r="Q26">
        <f>MIN(Plan!E8,O26+P26)</f>
        <v/>
      </c>
      <c r="R26">
        <f>O26+P26-Q26</f>
        <v/>
      </c>
      <c r="S26">
        <f>MIN(R26,MAX(0,$B26-((E$5&lt;Q$5)*F26+(K$5&lt;Q$5)*L26+(W$5&lt;Q$5)*X26+(AC$5&lt;Q$5)*AD26+(AI$5&lt;Q$5)*AJ26+(AO$5&lt;Q$5)*AP26+(AU$5&lt;Q$5)*AV26)))</f>
        <v/>
      </c>
      <c r="T26">
        <f>IF(R26-S26&lt;0.005,0,R26-S26)</f>
        <v/>
      </c>
      <c r="U26">
        <f>Z25</f>
        <v/>
      </c>
      <c r="V26">
        <f>U26*Plan!D9/100/12</f>
        <v/>
      </c>
      <c r="W26">
        <f>MIN(Plan!E9,U26+V26)</f>
        <v/>
      </c>
      <c r="X26">
        <f>U26+V26-W26</f>
        <v/>
      </c>
      <c r="Y26">
        <f>MIN(X26,MAX(0,$B26-((E$5&lt;W$5)*F26+(K$5&lt;W$5)*L26+(Q$5&lt;W$5)*R26+(AC$5&lt;W$5)*AD26+(AI$5&lt;W$5)*AJ26+(AO$5&lt;W$5)*AP26+(AU$5&lt;W$5)*AV26)))</f>
        <v/>
      </c>
      <c r="Z26">
        <f>IF(X26-Y26&lt;0.005,0,X26-Y26)</f>
        <v/>
      </c>
      <c r="AA26">
        <f>AF25</f>
        <v/>
      </c>
      <c r="AB26">
        <f>AA26*Plan!D10/100/12</f>
        <v/>
      </c>
      <c r="AC26">
        <f>MIN(Plan!E10,AA26+AB26)</f>
        <v/>
      </c>
      <c r="AD26">
        <f>AA26+AB26-AC26</f>
        <v/>
      </c>
      <c r="AE26">
        <f>MIN(AD26,MAX(0,$B26-((E$5&lt;AC$5)*F26+(K$5&lt;AC$5)*L26+(Q$5&lt;AC$5)*R26+(W$5&lt;AC$5)*X26+(AI$5&lt;AC$5)*AJ26+(AO$5&lt;AC$5)*AP26+(AU$5&lt;AC$5)*AV26)))</f>
        <v/>
      </c>
      <c r="AF26">
        <f>IF(AD26-AE26&lt;0.005,0,AD26-AE26)</f>
        <v/>
      </c>
      <c r="AG26">
        <f>AL25</f>
        <v/>
      </c>
      <c r="AH26">
        <f>AG26*Plan!D11/100/12</f>
        <v/>
      </c>
      <c r="AI26">
        <f>MIN(Plan!E11,AG26+AH26)</f>
        <v/>
      </c>
      <c r="AJ26">
        <f>AG26+AH26-AI26</f>
        <v/>
      </c>
      <c r="AK26">
        <f>MIN(AJ26,MAX(0,$B26-((E$5&lt;AI$5)*F26+(K$5&lt;AI$5)*L26+(Q$5&lt;AI$5)*R26+(W$5&lt;AI$5)*X26+(AC$5&lt;AI$5)*AD26+(AO$5&lt;AI$5)*AP26+(AU$5&lt;AI$5)*AV26)))</f>
        <v/>
      </c>
      <c r="AL26">
        <f>IF(AJ26-AK26&lt;0.005,0,AJ26-AK26)</f>
        <v/>
      </c>
      <c r="AM26">
        <f>AR25</f>
        <v/>
      </c>
      <c r="AN26">
        <f>AM26*Plan!D12/100/12</f>
        <v/>
      </c>
      <c r="AO26">
        <f>MIN(Plan!E12,AM26+AN26)</f>
        <v/>
      </c>
      <c r="AP26">
        <f>AM26+AN26-AO26</f>
        <v/>
      </c>
      <c r="AQ26">
        <f>MIN(AP26,MAX(0,$B26-((E$5&lt;AO$5)*F26+(K$5&lt;AO$5)*L26+(Q$5&lt;AO$5)*R26+(W$5&lt;AO$5)*X26+(AC$5&lt;AO$5)*AD26+(AI$5&lt;AO$5)*AJ26+(AU$5&lt;AO$5)*AV26)))</f>
        <v/>
      </c>
      <c r="AR26">
        <f>IF(AP26-AQ26&lt;0.005,0,AP26-AQ26)</f>
        <v/>
      </c>
      <c r="AS26">
        <f>AX25</f>
        <v/>
      </c>
      <c r="AT26">
        <f>AS26*Plan!D13/100/12</f>
        <v/>
      </c>
      <c r="AU26">
        <f>MIN(Plan!E13,AS26+AT26)</f>
        <v/>
      </c>
      <c r="AV26">
        <f>AS26+AT26-AU26</f>
        <v/>
      </c>
      <c r="AW26">
        <f>MIN(AV26,MAX(0,$B26-((E$5&lt;AU$5)*F26+(K$5&lt;AU$5)*L26+(Q$5&lt;AU$5)*R26+(W$5&lt;AU$5)*X26+(AC$5&lt;AU$5)*AD26+(AI$5&lt;AU$5)*AJ26+(AO$5&lt;AU$5)*AP26)))</f>
        <v/>
      </c>
      <c r="AX26">
        <f>IF(AV26-AW26&lt;0.005,0,AV26-AW26)</f>
        <v/>
      </c>
      <c r="BC26">
        <f>H26+N26+T26+Z26+AF26+AL26+AR26+AX26</f>
        <v/>
      </c>
    </row>
    <row r="27">
      <c r="A27" t="n">
        <v>21</v>
      </c>
      <c r="B27" s="19">
        <f>MAX(0,$B$3-(E27+K27+Q27+W27+AC27+AI27+AO27+AU27))</f>
        <v/>
      </c>
      <c r="C27">
        <f>H26</f>
        <v/>
      </c>
      <c r="D27">
        <f>C27*Plan!D6/100/12</f>
        <v/>
      </c>
      <c r="E27">
        <f>MIN(Plan!E6,C27+D27)</f>
        <v/>
      </c>
      <c r="F27">
        <f>C27+D27-E27</f>
        <v/>
      </c>
      <c r="G27">
        <f>MIN(F27,MAX(0,$B27-((K$5&lt;E$5)*L27+(Q$5&lt;E$5)*R27+(W$5&lt;E$5)*X27+(AC$5&lt;E$5)*AD27+(AI$5&lt;E$5)*AJ27+(AO$5&lt;E$5)*AP27+(AU$5&lt;E$5)*AV27)))</f>
        <v/>
      </c>
      <c r="H27">
        <f>IF(F27-G27&lt;0.005,0,F27-G27)</f>
        <v/>
      </c>
      <c r="I27">
        <f>N26</f>
        <v/>
      </c>
      <c r="J27">
        <f>I27*Plan!D7/100/12</f>
        <v/>
      </c>
      <c r="K27">
        <f>MIN(Plan!E7,I27+J27)</f>
        <v/>
      </c>
      <c r="L27">
        <f>I27+J27-K27</f>
        <v/>
      </c>
      <c r="M27">
        <f>MIN(L27,MAX(0,$B27-((E$5&lt;K$5)*F27+(Q$5&lt;K$5)*R27+(W$5&lt;K$5)*X27+(AC$5&lt;K$5)*AD27+(AI$5&lt;K$5)*AJ27+(AO$5&lt;K$5)*AP27+(AU$5&lt;K$5)*AV27)))</f>
        <v/>
      </c>
      <c r="N27">
        <f>IF(L27-M27&lt;0.005,0,L27-M27)</f>
        <v/>
      </c>
      <c r="O27">
        <f>T26</f>
        <v/>
      </c>
      <c r="P27">
        <f>O27*Plan!D8/100/12</f>
        <v/>
      </c>
      <c r="Q27">
        <f>MIN(Plan!E8,O27+P27)</f>
        <v/>
      </c>
      <c r="R27">
        <f>O27+P27-Q27</f>
        <v/>
      </c>
      <c r="S27">
        <f>MIN(R27,MAX(0,$B27-((E$5&lt;Q$5)*F27+(K$5&lt;Q$5)*L27+(W$5&lt;Q$5)*X27+(AC$5&lt;Q$5)*AD27+(AI$5&lt;Q$5)*AJ27+(AO$5&lt;Q$5)*AP27+(AU$5&lt;Q$5)*AV27)))</f>
        <v/>
      </c>
      <c r="T27">
        <f>IF(R27-S27&lt;0.005,0,R27-S27)</f>
        <v/>
      </c>
      <c r="U27">
        <f>Z26</f>
        <v/>
      </c>
      <c r="V27">
        <f>U27*Plan!D9/100/12</f>
        <v/>
      </c>
      <c r="W27">
        <f>MIN(Plan!E9,U27+V27)</f>
        <v/>
      </c>
      <c r="X27">
        <f>U27+V27-W27</f>
        <v/>
      </c>
      <c r="Y27">
        <f>MIN(X27,MAX(0,$B27-((E$5&lt;W$5)*F27+(K$5&lt;W$5)*L27+(Q$5&lt;W$5)*R27+(AC$5&lt;W$5)*AD27+(AI$5&lt;W$5)*AJ27+(AO$5&lt;W$5)*AP27+(AU$5&lt;W$5)*AV27)))</f>
        <v/>
      </c>
      <c r="Z27">
        <f>IF(X27-Y27&lt;0.005,0,X27-Y27)</f>
        <v/>
      </c>
      <c r="AA27">
        <f>AF26</f>
        <v/>
      </c>
      <c r="AB27">
        <f>AA27*Plan!D10/100/12</f>
        <v/>
      </c>
      <c r="AC27">
        <f>MIN(Plan!E10,AA27+AB27)</f>
        <v/>
      </c>
      <c r="AD27">
        <f>AA27+AB27-AC27</f>
        <v/>
      </c>
      <c r="AE27">
        <f>MIN(AD27,MAX(0,$B27-((E$5&lt;AC$5)*F27+(K$5&lt;AC$5)*L27+(Q$5&lt;AC$5)*R27+(W$5&lt;AC$5)*X27+(AI$5&lt;AC$5)*AJ27+(AO$5&lt;AC$5)*AP27+(AU$5&lt;AC$5)*AV27)))</f>
        <v/>
      </c>
      <c r="AF27">
        <f>IF(AD27-AE27&lt;0.005,0,AD27-AE27)</f>
        <v/>
      </c>
      <c r="AG27">
        <f>AL26</f>
        <v/>
      </c>
      <c r="AH27">
        <f>AG27*Plan!D11/100/12</f>
        <v/>
      </c>
      <c r="AI27">
        <f>MIN(Plan!E11,AG27+AH27)</f>
        <v/>
      </c>
      <c r="AJ27">
        <f>AG27+AH27-AI27</f>
        <v/>
      </c>
      <c r="AK27">
        <f>MIN(AJ27,MAX(0,$B27-((E$5&lt;AI$5)*F27+(K$5&lt;AI$5)*L27+(Q$5&lt;AI$5)*R27+(W$5&lt;AI$5)*X27+(AC$5&lt;AI$5)*AD27+(AO$5&lt;AI$5)*AP27+(AU$5&lt;AI$5)*AV27)))</f>
        <v/>
      </c>
      <c r="AL27">
        <f>IF(AJ27-AK27&lt;0.005,0,AJ27-AK27)</f>
        <v/>
      </c>
      <c r="AM27">
        <f>AR26</f>
        <v/>
      </c>
      <c r="AN27">
        <f>AM27*Plan!D12/100/12</f>
        <v/>
      </c>
      <c r="AO27">
        <f>MIN(Plan!E12,AM27+AN27)</f>
        <v/>
      </c>
      <c r="AP27">
        <f>AM27+AN27-AO27</f>
        <v/>
      </c>
      <c r="AQ27">
        <f>MIN(AP27,MAX(0,$B27-((E$5&lt;AO$5)*F27+(K$5&lt;AO$5)*L27+(Q$5&lt;AO$5)*R27+(W$5&lt;AO$5)*X27+(AC$5&lt;AO$5)*AD27+(AI$5&lt;AO$5)*AJ27+(AU$5&lt;AO$5)*AV27)))</f>
        <v/>
      </c>
      <c r="AR27">
        <f>IF(AP27-AQ27&lt;0.005,0,AP27-AQ27)</f>
        <v/>
      </c>
      <c r="AS27">
        <f>AX26</f>
        <v/>
      </c>
      <c r="AT27">
        <f>AS27*Plan!D13/100/12</f>
        <v/>
      </c>
      <c r="AU27">
        <f>MIN(Plan!E13,AS27+AT27)</f>
        <v/>
      </c>
      <c r="AV27">
        <f>AS27+AT27-AU27</f>
        <v/>
      </c>
      <c r="AW27">
        <f>MIN(AV27,MAX(0,$B27-((E$5&lt;AU$5)*F27+(K$5&lt;AU$5)*L27+(Q$5&lt;AU$5)*R27+(W$5&lt;AU$5)*X27+(AC$5&lt;AU$5)*AD27+(AI$5&lt;AU$5)*AJ27+(AO$5&lt;AU$5)*AP27)))</f>
        <v/>
      </c>
      <c r="AX27">
        <f>IF(AV27-AW27&lt;0.005,0,AV27-AW27)</f>
        <v/>
      </c>
      <c r="BC27">
        <f>H27+N27+T27+Z27+AF27+AL27+AR27+AX27</f>
        <v/>
      </c>
    </row>
    <row r="28">
      <c r="A28" t="n">
        <v>22</v>
      </c>
      <c r="B28" s="19">
        <f>MAX(0,$B$3-(E28+K28+Q28+W28+AC28+AI28+AO28+AU28))</f>
        <v/>
      </c>
      <c r="C28">
        <f>H27</f>
        <v/>
      </c>
      <c r="D28">
        <f>C28*Plan!D6/100/12</f>
        <v/>
      </c>
      <c r="E28">
        <f>MIN(Plan!E6,C28+D28)</f>
        <v/>
      </c>
      <c r="F28">
        <f>C28+D28-E28</f>
        <v/>
      </c>
      <c r="G28">
        <f>MIN(F28,MAX(0,$B28-((K$5&lt;E$5)*L28+(Q$5&lt;E$5)*R28+(W$5&lt;E$5)*X28+(AC$5&lt;E$5)*AD28+(AI$5&lt;E$5)*AJ28+(AO$5&lt;E$5)*AP28+(AU$5&lt;E$5)*AV28)))</f>
        <v/>
      </c>
      <c r="H28">
        <f>IF(F28-G28&lt;0.005,0,F28-G28)</f>
        <v/>
      </c>
      <c r="I28">
        <f>N27</f>
        <v/>
      </c>
      <c r="J28">
        <f>I28*Plan!D7/100/12</f>
        <v/>
      </c>
      <c r="K28">
        <f>MIN(Plan!E7,I28+J28)</f>
        <v/>
      </c>
      <c r="L28">
        <f>I28+J28-K28</f>
        <v/>
      </c>
      <c r="M28">
        <f>MIN(L28,MAX(0,$B28-((E$5&lt;K$5)*F28+(Q$5&lt;K$5)*R28+(W$5&lt;K$5)*X28+(AC$5&lt;K$5)*AD28+(AI$5&lt;K$5)*AJ28+(AO$5&lt;K$5)*AP28+(AU$5&lt;K$5)*AV28)))</f>
        <v/>
      </c>
      <c r="N28">
        <f>IF(L28-M28&lt;0.005,0,L28-M28)</f>
        <v/>
      </c>
      <c r="O28">
        <f>T27</f>
        <v/>
      </c>
      <c r="P28">
        <f>O28*Plan!D8/100/12</f>
        <v/>
      </c>
      <c r="Q28">
        <f>MIN(Plan!E8,O28+P28)</f>
        <v/>
      </c>
      <c r="R28">
        <f>O28+P28-Q28</f>
        <v/>
      </c>
      <c r="S28">
        <f>MIN(R28,MAX(0,$B28-((E$5&lt;Q$5)*F28+(K$5&lt;Q$5)*L28+(W$5&lt;Q$5)*X28+(AC$5&lt;Q$5)*AD28+(AI$5&lt;Q$5)*AJ28+(AO$5&lt;Q$5)*AP28+(AU$5&lt;Q$5)*AV28)))</f>
        <v/>
      </c>
      <c r="T28">
        <f>IF(R28-S28&lt;0.005,0,R28-S28)</f>
        <v/>
      </c>
      <c r="U28">
        <f>Z27</f>
        <v/>
      </c>
      <c r="V28">
        <f>U28*Plan!D9/100/12</f>
        <v/>
      </c>
      <c r="W28">
        <f>MIN(Plan!E9,U28+V28)</f>
        <v/>
      </c>
      <c r="X28">
        <f>U28+V28-W28</f>
        <v/>
      </c>
      <c r="Y28">
        <f>MIN(X28,MAX(0,$B28-((E$5&lt;W$5)*F28+(K$5&lt;W$5)*L28+(Q$5&lt;W$5)*R28+(AC$5&lt;W$5)*AD28+(AI$5&lt;W$5)*AJ28+(AO$5&lt;W$5)*AP28+(AU$5&lt;W$5)*AV28)))</f>
        <v/>
      </c>
      <c r="Z28">
        <f>IF(X28-Y28&lt;0.005,0,X28-Y28)</f>
        <v/>
      </c>
      <c r="AA28">
        <f>AF27</f>
        <v/>
      </c>
      <c r="AB28">
        <f>AA28*Plan!D10/100/12</f>
        <v/>
      </c>
      <c r="AC28">
        <f>MIN(Plan!E10,AA28+AB28)</f>
        <v/>
      </c>
      <c r="AD28">
        <f>AA28+AB28-AC28</f>
        <v/>
      </c>
      <c r="AE28">
        <f>MIN(AD28,MAX(0,$B28-((E$5&lt;AC$5)*F28+(K$5&lt;AC$5)*L28+(Q$5&lt;AC$5)*R28+(W$5&lt;AC$5)*X28+(AI$5&lt;AC$5)*AJ28+(AO$5&lt;AC$5)*AP28+(AU$5&lt;AC$5)*AV28)))</f>
        <v/>
      </c>
      <c r="AF28">
        <f>IF(AD28-AE28&lt;0.005,0,AD28-AE28)</f>
        <v/>
      </c>
      <c r="AG28">
        <f>AL27</f>
        <v/>
      </c>
      <c r="AH28">
        <f>AG28*Plan!D11/100/12</f>
        <v/>
      </c>
      <c r="AI28">
        <f>MIN(Plan!E11,AG28+AH28)</f>
        <v/>
      </c>
      <c r="AJ28">
        <f>AG28+AH28-AI28</f>
        <v/>
      </c>
      <c r="AK28">
        <f>MIN(AJ28,MAX(0,$B28-((E$5&lt;AI$5)*F28+(K$5&lt;AI$5)*L28+(Q$5&lt;AI$5)*R28+(W$5&lt;AI$5)*X28+(AC$5&lt;AI$5)*AD28+(AO$5&lt;AI$5)*AP28+(AU$5&lt;AI$5)*AV28)))</f>
        <v/>
      </c>
      <c r="AL28">
        <f>IF(AJ28-AK28&lt;0.005,0,AJ28-AK28)</f>
        <v/>
      </c>
      <c r="AM28">
        <f>AR27</f>
        <v/>
      </c>
      <c r="AN28">
        <f>AM28*Plan!D12/100/12</f>
        <v/>
      </c>
      <c r="AO28">
        <f>MIN(Plan!E12,AM28+AN28)</f>
        <v/>
      </c>
      <c r="AP28">
        <f>AM28+AN28-AO28</f>
        <v/>
      </c>
      <c r="AQ28">
        <f>MIN(AP28,MAX(0,$B28-((E$5&lt;AO$5)*F28+(K$5&lt;AO$5)*L28+(Q$5&lt;AO$5)*R28+(W$5&lt;AO$5)*X28+(AC$5&lt;AO$5)*AD28+(AI$5&lt;AO$5)*AJ28+(AU$5&lt;AO$5)*AV28)))</f>
        <v/>
      </c>
      <c r="AR28">
        <f>IF(AP28-AQ28&lt;0.005,0,AP28-AQ28)</f>
        <v/>
      </c>
      <c r="AS28">
        <f>AX27</f>
        <v/>
      </c>
      <c r="AT28">
        <f>AS28*Plan!D13/100/12</f>
        <v/>
      </c>
      <c r="AU28">
        <f>MIN(Plan!E13,AS28+AT28)</f>
        <v/>
      </c>
      <c r="AV28">
        <f>AS28+AT28-AU28</f>
        <v/>
      </c>
      <c r="AW28">
        <f>MIN(AV28,MAX(0,$B28-((E$5&lt;AU$5)*F28+(K$5&lt;AU$5)*L28+(Q$5&lt;AU$5)*R28+(W$5&lt;AU$5)*X28+(AC$5&lt;AU$5)*AD28+(AI$5&lt;AU$5)*AJ28+(AO$5&lt;AU$5)*AP28)))</f>
        <v/>
      </c>
      <c r="AX28">
        <f>IF(AV28-AW28&lt;0.005,0,AV28-AW28)</f>
        <v/>
      </c>
      <c r="BC28">
        <f>H28+N28+T28+Z28+AF28+AL28+AR28+AX28</f>
        <v/>
      </c>
    </row>
    <row r="29">
      <c r="A29" t="n">
        <v>23</v>
      </c>
      <c r="B29" s="19">
        <f>MAX(0,$B$3-(E29+K29+Q29+W29+AC29+AI29+AO29+AU29))</f>
        <v/>
      </c>
      <c r="C29">
        <f>H28</f>
        <v/>
      </c>
      <c r="D29">
        <f>C29*Plan!D6/100/12</f>
        <v/>
      </c>
      <c r="E29">
        <f>MIN(Plan!E6,C29+D29)</f>
        <v/>
      </c>
      <c r="F29">
        <f>C29+D29-E29</f>
        <v/>
      </c>
      <c r="G29">
        <f>MIN(F29,MAX(0,$B29-((K$5&lt;E$5)*L29+(Q$5&lt;E$5)*R29+(W$5&lt;E$5)*X29+(AC$5&lt;E$5)*AD29+(AI$5&lt;E$5)*AJ29+(AO$5&lt;E$5)*AP29+(AU$5&lt;E$5)*AV29)))</f>
        <v/>
      </c>
      <c r="H29">
        <f>IF(F29-G29&lt;0.005,0,F29-G29)</f>
        <v/>
      </c>
      <c r="I29">
        <f>N28</f>
        <v/>
      </c>
      <c r="J29">
        <f>I29*Plan!D7/100/12</f>
        <v/>
      </c>
      <c r="K29">
        <f>MIN(Plan!E7,I29+J29)</f>
        <v/>
      </c>
      <c r="L29">
        <f>I29+J29-K29</f>
        <v/>
      </c>
      <c r="M29">
        <f>MIN(L29,MAX(0,$B29-((E$5&lt;K$5)*F29+(Q$5&lt;K$5)*R29+(W$5&lt;K$5)*X29+(AC$5&lt;K$5)*AD29+(AI$5&lt;K$5)*AJ29+(AO$5&lt;K$5)*AP29+(AU$5&lt;K$5)*AV29)))</f>
        <v/>
      </c>
      <c r="N29">
        <f>IF(L29-M29&lt;0.005,0,L29-M29)</f>
        <v/>
      </c>
      <c r="O29">
        <f>T28</f>
        <v/>
      </c>
      <c r="P29">
        <f>O29*Plan!D8/100/12</f>
        <v/>
      </c>
      <c r="Q29">
        <f>MIN(Plan!E8,O29+P29)</f>
        <v/>
      </c>
      <c r="R29">
        <f>O29+P29-Q29</f>
        <v/>
      </c>
      <c r="S29">
        <f>MIN(R29,MAX(0,$B29-((E$5&lt;Q$5)*F29+(K$5&lt;Q$5)*L29+(W$5&lt;Q$5)*X29+(AC$5&lt;Q$5)*AD29+(AI$5&lt;Q$5)*AJ29+(AO$5&lt;Q$5)*AP29+(AU$5&lt;Q$5)*AV29)))</f>
        <v/>
      </c>
      <c r="T29">
        <f>IF(R29-S29&lt;0.005,0,R29-S29)</f>
        <v/>
      </c>
      <c r="U29">
        <f>Z28</f>
        <v/>
      </c>
      <c r="V29">
        <f>U29*Plan!D9/100/12</f>
        <v/>
      </c>
      <c r="W29">
        <f>MIN(Plan!E9,U29+V29)</f>
        <v/>
      </c>
      <c r="X29">
        <f>U29+V29-W29</f>
        <v/>
      </c>
      <c r="Y29">
        <f>MIN(X29,MAX(0,$B29-((E$5&lt;W$5)*F29+(K$5&lt;W$5)*L29+(Q$5&lt;W$5)*R29+(AC$5&lt;W$5)*AD29+(AI$5&lt;W$5)*AJ29+(AO$5&lt;W$5)*AP29+(AU$5&lt;W$5)*AV29)))</f>
        <v/>
      </c>
      <c r="Z29">
        <f>IF(X29-Y29&lt;0.005,0,X29-Y29)</f>
        <v/>
      </c>
      <c r="AA29">
        <f>AF28</f>
        <v/>
      </c>
      <c r="AB29">
        <f>AA29*Plan!D10/100/12</f>
        <v/>
      </c>
      <c r="AC29">
        <f>MIN(Plan!E10,AA29+AB29)</f>
        <v/>
      </c>
      <c r="AD29">
        <f>AA29+AB29-AC29</f>
        <v/>
      </c>
      <c r="AE29">
        <f>MIN(AD29,MAX(0,$B29-((E$5&lt;AC$5)*F29+(K$5&lt;AC$5)*L29+(Q$5&lt;AC$5)*R29+(W$5&lt;AC$5)*X29+(AI$5&lt;AC$5)*AJ29+(AO$5&lt;AC$5)*AP29+(AU$5&lt;AC$5)*AV29)))</f>
        <v/>
      </c>
      <c r="AF29">
        <f>IF(AD29-AE29&lt;0.005,0,AD29-AE29)</f>
        <v/>
      </c>
      <c r="AG29">
        <f>AL28</f>
        <v/>
      </c>
      <c r="AH29">
        <f>AG29*Plan!D11/100/12</f>
        <v/>
      </c>
      <c r="AI29">
        <f>MIN(Plan!E11,AG29+AH29)</f>
        <v/>
      </c>
      <c r="AJ29">
        <f>AG29+AH29-AI29</f>
        <v/>
      </c>
      <c r="AK29">
        <f>MIN(AJ29,MAX(0,$B29-((E$5&lt;AI$5)*F29+(K$5&lt;AI$5)*L29+(Q$5&lt;AI$5)*R29+(W$5&lt;AI$5)*X29+(AC$5&lt;AI$5)*AD29+(AO$5&lt;AI$5)*AP29+(AU$5&lt;AI$5)*AV29)))</f>
        <v/>
      </c>
      <c r="AL29">
        <f>IF(AJ29-AK29&lt;0.005,0,AJ29-AK29)</f>
        <v/>
      </c>
      <c r="AM29">
        <f>AR28</f>
        <v/>
      </c>
      <c r="AN29">
        <f>AM29*Plan!D12/100/12</f>
        <v/>
      </c>
      <c r="AO29">
        <f>MIN(Plan!E12,AM29+AN29)</f>
        <v/>
      </c>
      <c r="AP29">
        <f>AM29+AN29-AO29</f>
        <v/>
      </c>
      <c r="AQ29">
        <f>MIN(AP29,MAX(0,$B29-((E$5&lt;AO$5)*F29+(K$5&lt;AO$5)*L29+(Q$5&lt;AO$5)*R29+(W$5&lt;AO$5)*X29+(AC$5&lt;AO$5)*AD29+(AI$5&lt;AO$5)*AJ29+(AU$5&lt;AO$5)*AV29)))</f>
        <v/>
      </c>
      <c r="AR29">
        <f>IF(AP29-AQ29&lt;0.005,0,AP29-AQ29)</f>
        <v/>
      </c>
      <c r="AS29">
        <f>AX28</f>
        <v/>
      </c>
      <c r="AT29">
        <f>AS29*Plan!D13/100/12</f>
        <v/>
      </c>
      <c r="AU29">
        <f>MIN(Plan!E13,AS29+AT29)</f>
        <v/>
      </c>
      <c r="AV29">
        <f>AS29+AT29-AU29</f>
        <v/>
      </c>
      <c r="AW29">
        <f>MIN(AV29,MAX(0,$B29-((E$5&lt;AU$5)*F29+(K$5&lt;AU$5)*L29+(Q$5&lt;AU$5)*R29+(W$5&lt;AU$5)*X29+(AC$5&lt;AU$5)*AD29+(AI$5&lt;AU$5)*AJ29+(AO$5&lt;AU$5)*AP29)))</f>
        <v/>
      </c>
      <c r="AX29">
        <f>IF(AV29-AW29&lt;0.005,0,AV29-AW29)</f>
        <v/>
      </c>
      <c r="BC29">
        <f>H29+N29+T29+Z29+AF29+AL29+AR29+AX29</f>
        <v/>
      </c>
    </row>
    <row r="30">
      <c r="A30" t="n">
        <v>24</v>
      </c>
      <c r="B30" s="19">
        <f>MAX(0,$B$3-(E30+K30+Q30+W30+AC30+AI30+AO30+AU30))</f>
        <v/>
      </c>
      <c r="C30">
        <f>H29</f>
        <v/>
      </c>
      <c r="D30">
        <f>C30*Plan!D6/100/12</f>
        <v/>
      </c>
      <c r="E30">
        <f>MIN(Plan!E6,C30+D30)</f>
        <v/>
      </c>
      <c r="F30">
        <f>C30+D30-E30</f>
        <v/>
      </c>
      <c r="G30">
        <f>MIN(F30,MAX(0,$B30-((K$5&lt;E$5)*L30+(Q$5&lt;E$5)*R30+(W$5&lt;E$5)*X30+(AC$5&lt;E$5)*AD30+(AI$5&lt;E$5)*AJ30+(AO$5&lt;E$5)*AP30+(AU$5&lt;E$5)*AV30)))</f>
        <v/>
      </c>
      <c r="H30">
        <f>IF(F30-G30&lt;0.005,0,F30-G30)</f>
        <v/>
      </c>
      <c r="I30">
        <f>N29</f>
        <v/>
      </c>
      <c r="J30">
        <f>I30*Plan!D7/100/12</f>
        <v/>
      </c>
      <c r="K30">
        <f>MIN(Plan!E7,I30+J30)</f>
        <v/>
      </c>
      <c r="L30">
        <f>I30+J30-K30</f>
        <v/>
      </c>
      <c r="M30">
        <f>MIN(L30,MAX(0,$B30-((E$5&lt;K$5)*F30+(Q$5&lt;K$5)*R30+(W$5&lt;K$5)*X30+(AC$5&lt;K$5)*AD30+(AI$5&lt;K$5)*AJ30+(AO$5&lt;K$5)*AP30+(AU$5&lt;K$5)*AV30)))</f>
        <v/>
      </c>
      <c r="N30">
        <f>IF(L30-M30&lt;0.005,0,L30-M30)</f>
        <v/>
      </c>
      <c r="O30">
        <f>T29</f>
        <v/>
      </c>
      <c r="P30">
        <f>O30*Plan!D8/100/12</f>
        <v/>
      </c>
      <c r="Q30">
        <f>MIN(Plan!E8,O30+P30)</f>
        <v/>
      </c>
      <c r="R30">
        <f>O30+P30-Q30</f>
        <v/>
      </c>
      <c r="S30">
        <f>MIN(R30,MAX(0,$B30-((E$5&lt;Q$5)*F30+(K$5&lt;Q$5)*L30+(W$5&lt;Q$5)*X30+(AC$5&lt;Q$5)*AD30+(AI$5&lt;Q$5)*AJ30+(AO$5&lt;Q$5)*AP30+(AU$5&lt;Q$5)*AV30)))</f>
        <v/>
      </c>
      <c r="T30">
        <f>IF(R30-S30&lt;0.005,0,R30-S30)</f>
        <v/>
      </c>
      <c r="U30">
        <f>Z29</f>
        <v/>
      </c>
      <c r="V30">
        <f>U30*Plan!D9/100/12</f>
        <v/>
      </c>
      <c r="W30">
        <f>MIN(Plan!E9,U30+V30)</f>
        <v/>
      </c>
      <c r="X30">
        <f>U30+V30-W30</f>
        <v/>
      </c>
      <c r="Y30">
        <f>MIN(X30,MAX(0,$B30-((E$5&lt;W$5)*F30+(K$5&lt;W$5)*L30+(Q$5&lt;W$5)*R30+(AC$5&lt;W$5)*AD30+(AI$5&lt;W$5)*AJ30+(AO$5&lt;W$5)*AP30+(AU$5&lt;W$5)*AV30)))</f>
        <v/>
      </c>
      <c r="Z30">
        <f>IF(X30-Y30&lt;0.005,0,X30-Y30)</f>
        <v/>
      </c>
      <c r="AA30">
        <f>AF29</f>
        <v/>
      </c>
      <c r="AB30">
        <f>AA30*Plan!D10/100/12</f>
        <v/>
      </c>
      <c r="AC30">
        <f>MIN(Plan!E10,AA30+AB30)</f>
        <v/>
      </c>
      <c r="AD30">
        <f>AA30+AB30-AC30</f>
        <v/>
      </c>
      <c r="AE30">
        <f>MIN(AD30,MAX(0,$B30-((E$5&lt;AC$5)*F30+(K$5&lt;AC$5)*L30+(Q$5&lt;AC$5)*R30+(W$5&lt;AC$5)*X30+(AI$5&lt;AC$5)*AJ30+(AO$5&lt;AC$5)*AP30+(AU$5&lt;AC$5)*AV30)))</f>
        <v/>
      </c>
      <c r="AF30">
        <f>IF(AD30-AE30&lt;0.005,0,AD30-AE30)</f>
        <v/>
      </c>
      <c r="AG30">
        <f>AL29</f>
        <v/>
      </c>
      <c r="AH30">
        <f>AG30*Plan!D11/100/12</f>
        <v/>
      </c>
      <c r="AI30">
        <f>MIN(Plan!E11,AG30+AH30)</f>
        <v/>
      </c>
      <c r="AJ30">
        <f>AG30+AH30-AI30</f>
        <v/>
      </c>
      <c r="AK30">
        <f>MIN(AJ30,MAX(0,$B30-((E$5&lt;AI$5)*F30+(K$5&lt;AI$5)*L30+(Q$5&lt;AI$5)*R30+(W$5&lt;AI$5)*X30+(AC$5&lt;AI$5)*AD30+(AO$5&lt;AI$5)*AP30+(AU$5&lt;AI$5)*AV30)))</f>
        <v/>
      </c>
      <c r="AL30">
        <f>IF(AJ30-AK30&lt;0.005,0,AJ30-AK30)</f>
        <v/>
      </c>
      <c r="AM30">
        <f>AR29</f>
        <v/>
      </c>
      <c r="AN30">
        <f>AM30*Plan!D12/100/12</f>
        <v/>
      </c>
      <c r="AO30">
        <f>MIN(Plan!E12,AM30+AN30)</f>
        <v/>
      </c>
      <c r="AP30">
        <f>AM30+AN30-AO30</f>
        <v/>
      </c>
      <c r="AQ30">
        <f>MIN(AP30,MAX(0,$B30-((E$5&lt;AO$5)*F30+(K$5&lt;AO$5)*L30+(Q$5&lt;AO$5)*R30+(W$5&lt;AO$5)*X30+(AC$5&lt;AO$5)*AD30+(AI$5&lt;AO$5)*AJ30+(AU$5&lt;AO$5)*AV30)))</f>
        <v/>
      </c>
      <c r="AR30">
        <f>IF(AP30-AQ30&lt;0.005,0,AP30-AQ30)</f>
        <v/>
      </c>
      <c r="AS30">
        <f>AX29</f>
        <v/>
      </c>
      <c r="AT30">
        <f>AS30*Plan!D13/100/12</f>
        <v/>
      </c>
      <c r="AU30">
        <f>MIN(Plan!E13,AS30+AT30)</f>
        <v/>
      </c>
      <c r="AV30">
        <f>AS30+AT30-AU30</f>
        <v/>
      </c>
      <c r="AW30">
        <f>MIN(AV30,MAX(0,$B30-((E$5&lt;AU$5)*F30+(K$5&lt;AU$5)*L30+(Q$5&lt;AU$5)*R30+(W$5&lt;AU$5)*X30+(AC$5&lt;AU$5)*AD30+(AI$5&lt;AU$5)*AJ30+(AO$5&lt;AU$5)*AP30)))</f>
        <v/>
      </c>
      <c r="AX30">
        <f>IF(AV30-AW30&lt;0.005,0,AV30-AW30)</f>
        <v/>
      </c>
      <c r="BC30">
        <f>H30+N30+T30+Z30+AF30+AL30+AR30+AX30</f>
        <v/>
      </c>
    </row>
    <row r="31">
      <c r="A31" t="n">
        <v>25</v>
      </c>
      <c r="B31" s="19">
        <f>MAX(0,$B$3-(E31+K31+Q31+W31+AC31+AI31+AO31+AU31))</f>
        <v/>
      </c>
      <c r="C31">
        <f>H30</f>
        <v/>
      </c>
      <c r="D31">
        <f>C31*Plan!D6/100/12</f>
        <v/>
      </c>
      <c r="E31">
        <f>MIN(Plan!E6,C31+D31)</f>
        <v/>
      </c>
      <c r="F31">
        <f>C31+D31-E31</f>
        <v/>
      </c>
      <c r="G31">
        <f>MIN(F31,MAX(0,$B31-((K$5&lt;E$5)*L31+(Q$5&lt;E$5)*R31+(W$5&lt;E$5)*X31+(AC$5&lt;E$5)*AD31+(AI$5&lt;E$5)*AJ31+(AO$5&lt;E$5)*AP31+(AU$5&lt;E$5)*AV31)))</f>
        <v/>
      </c>
      <c r="H31">
        <f>IF(F31-G31&lt;0.005,0,F31-G31)</f>
        <v/>
      </c>
      <c r="I31">
        <f>N30</f>
        <v/>
      </c>
      <c r="J31">
        <f>I31*Plan!D7/100/12</f>
        <v/>
      </c>
      <c r="K31">
        <f>MIN(Plan!E7,I31+J31)</f>
        <v/>
      </c>
      <c r="L31">
        <f>I31+J31-K31</f>
        <v/>
      </c>
      <c r="M31">
        <f>MIN(L31,MAX(0,$B31-((E$5&lt;K$5)*F31+(Q$5&lt;K$5)*R31+(W$5&lt;K$5)*X31+(AC$5&lt;K$5)*AD31+(AI$5&lt;K$5)*AJ31+(AO$5&lt;K$5)*AP31+(AU$5&lt;K$5)*AV31)))</f>
        <v/>
      </c>
      <c r="N31">
        <f>IF(L31-M31&lt;0.005,0,L31-M31)</f>
        <v/>
      </c>
      <c r="O31">
        <f>T30</f>
        <v/>
      </c>
      <c r="P31">
        <f>O31*Plan!D8/100/12</f>
        <v/>
      </c>
      <c r="Q31">
        <f>MIN(Plan!E8,O31+P31)</f>
        <v/>
      </c>
      <c r="R31">
        <f>O31+P31-Q31</f>
        <v/>
      </c>
      <c r="S31">
        <f>MIN(R31,MAX(0,$B31-((E$5&lt;Q$5)*F31+(K$5&lt;Q$5)*L31+(W$5&lt;Q$5)*X31+(AC$5&lt;Q$5)*AD31+(AI$5&lt;Q$5)*AJ31+(AO$5&lt;Q$5)*AP31+(AU$5&lt;Q$5)*AV31)))</f>
        <v/>
      </c>
      <c r="T31">
        <f>IF(R31-S31&lt;0.005,0,R31-S31)</f>
        <v/>
      </c>
      <c r="U31">
        <f>Z30</f>
        <v/>
      </c>
      <c r="V31">
        <f>U31*Plan!D9/100/12</f>
        <v/>
      </c>
      <c r="W31">
        <f>MIN(Plan!E9,U31+V31)</f>
        <v/>
      </c>
      <c r="X31">
        <f>U31+V31-W31</f>
        <v/>
      </c>
      <c r="Y31">
        <f>MIN(X31,MAX(0,$B31-((E$5&lt;W$5)*F31+(K$5&lt;W$5)*L31+(Q$5&lt;W$5)*R31+(AC$5&lt;W$5)*AD31+(AI$5&lt;W$5)*AJ31+(AO$5&lt;W$5)*AP31+(AU$5&lt;W$5)*AV31)))</f>
        <v/>
      </c>
      <c r="Z31">
        <f>IF(X31-Y31&lt;0.005,0,X31-Y31)</f>
        <v/>
      </c>
      <c r="AA31">
        <f>AF30</f>
        <v/>
      </c>
      <c r="AB31">
        <f>AA31*Plan!D10/100/12</f>
        <v/>
      </c>
      <c r="AC31">
        <f>MIN(Plan!E10,AA31+AB31)</f>
        <v/>
      </c>
      <c r="AD31">
        <f>AA31+AB31-AC31</f>
        <v/>
      </c>
      <c r="AE31">
        <f>MIN(AD31,MAX(0,$B31-((E$5&lt;AC$5)*F31+(K$5&lt;AC$5)*L31+(Q$5&lt;AC$5)*R31+(W$5&lt;AC$5)*X31+(AI$5&lt;AC$5)*AJ31+(AO$5&lt;AC$5)*AP31+(AU$5&lt;AC$5)*AV31)))</f>
        <v/>
      </c>
      <c r="AF31">
        <f>IF(AD31-AE31&lt;0.005,0,AD31-AE31)</f>
        <v/>
      </c>
      <c r="AG31">
        <f>AL30</f>
        <v/>
      </c>
      <c r="AH31">
        <f>AG31*Plan!D11/100/12</f>
        <v/>
      </c>
      <c r="AI31">
        <f>MIN(Plan!E11,AG31+AH31)</f>
        <v/>
      </c>
      <c r="AJ31">
        <f>AG31+AH31-AI31</f>
        <v/>
      </c>
      <c r="AK31">
        <f>MIN(AJ31,MAX(0,$B31-((E$5&lt;AI$5)*F31+(K$5&lt;AI$5)*L31+(Q$5&lt;AI$5)*R31+(W$5&lt;AI$5)*X31+(AC$5&lt;AI$5)*AD31+(AO$5&lt;AI$5)*AP31+(AU$5&lt;AI$5)*AV31)))</f>
        <v/>
      </c>
      <c r="AL31">
        <f>IF(AJ31-AK31&lt;0.005,0,AJ31-AK31)</f>
        <v/>
      </c>
      <c r="AM31">
        <f>AR30</f>
        <v/>
      </c>
      <c r="AN31">
        <f>AM31*Plan!D12/100/12</f>
        <v/>
      </c>
      <c r="AO31">
        <f>MIN(Plan!E12,AM31+AN31)</f>
        <v/>
      </c>
      <c r="AP31">
        <f>AM31+AN31-AO31</f>
        <v/>
      </c>
      <c r="AQ31">
        <f>MIN(AP31,MAX(0,$B31-((E$5&lt;AO$5)*F31+(K$5&lt;AO$5)*L31+(Q$5&lt;AO$5)*R31+(W$5&lt;AO$5)*X31+(AC$5&lt;AO$5)*AD31+(AI$5&lt;AO$5)*AJ31+(AU$5&lt;AO$5)*AV31)))</f>
        <v/>
      </c>
      <c r="AR31">
        <f>IF(AP31-AQ31&lt;0.005,0,AP31-AQ31)</f>
        <v/>
      </c>
      <c r="AS31">
        <f>AX30</f>
        <v/>
      </c>
      <c r="AT31">
        <f>AS31*Plan!D13/100/12</f>
        <v/>
      </c>
      <c r="AU31">
        <f>MIN(Plan!E13,AS31+AT31)</f>
        <v/>
      </c>
      <c r="AV31">
        <f>AS31+AT31-AU31</f>
        <v/>
      </c>
      <c r="AW31">
        <f>MIN(AV31,MAX(0,$B31-((E$5&lt;AU$5)*F31+(K$5&lt;AU$5)*L31+(Q$5&lt;AU$5)*R31+(W$5&lt;AU$5)*X31+(AC$5&lt;AU$5)*AD31+(AI$5&lt;AU$5)*AJ31+(AO$5&lt;AU$5)*AP31)))</f>
        <v/>
      </c>
      <c r="AX31">
        <f>IF(AV31-AW31&lt;0.005,0,AV31-AW31)</f>
        <v/>
      </c>
      <c r="BC31">
        <f>H31+N31+T31+Z31+AF31+AL31+AR31+AX31</f>
        <v/>
      </c>
    </row>
    <row r="32">
      <c r="A32" t="n">
        <v>26</v>
      </c>
      <c r="B32" s="19">
        <f>MAX(0,$B$3-(E32+K32+Q32+W32+AC32+AI32+AO32+AU32))</f>
        <v/>
      </c>
      <c r="C32">
        <f>H31</f>
        <v/>
      </c>
      <c r="D32">
        <f>C32*Plan!D6/100/12</f>
        <v/>
      </c>
      <c r="E32">
        <f>MIN(Plan!E6,C32+D32)</f>
        <v/>
      </c>
      <c r="F32">
        <f>C32+D32-E32</f>
        <v/>
      </c>
      <c r="G32">
        <f>MIN(F32,MAX(0,$B32-((K$5&lt;E$5)*L32+(Q$5&lt;E$5)*R32+(W$5&lt;E$5)*X32+(AC$5&lt;E$5)*AD32+(AI$5&lt;E$5)*AJ32+(AO$5&lt;E$5)*AP32+(AU$5&lt;E$5)*AV32)))</f>
        <v/>
      </c>
      <c r="H32">
        <f>IF(F32-G32&lt;0.005,0,F32-G32)</f>
        <v/>
      </c>
      <c r="I32">
        <f>N31</f>
        <v/>
      </c>
      <c r="J32">
        <f>I32*Plan!D7/100/12</f>
        <v/>
      </c>
      <c r="K32">
        <f>MIN(Plan!E7,I32+J32)</f>
        <v/>
      </c>
      <c r="L32">
        <f>I32+J32-K32</f>
        <v/>
      </c>
      <c r="M32">
        <f>MIN(L32,MAX(0,$B32-((E$5&lt;K$5)*F32+(Q$5&lt;K$5)*R32+(W$5&lt;K$5)*X32+(AC$5&lt;K$5)*AD32+(AI$5&lt;K$5)*AJ32+(AO$5&lt;K$5)*AP32+(AU$5&lt;K$5)*AV32)))</f>
        <v/>
      </c>
      <c r="N32">
        <f>IF(L32-M32&lt;0.005,0,L32-M32)</f>
        <v/>
      </c>
      <c r="O32">
        <f>T31</f>
        <v/>
      </c>
      <c r="P32">
        <f>O32*Plan!D8/100/12</f>
        <v/>
      </c>
      <c r="Q32">
        <f>MIN(Plan!E8,O32+P32)</f>
        <v/>
      </c>
      <c r="R32">
        <f>O32+P32-Q32</f>
        <v/>
      </c>
      <c r="S32">
        <f>MIN(R32,MAX(0,$B32-((E$5&lt;Q$5)*F32+(K$5&lt;Q$5)*L32+(W$5&lt;Q$5)*X32+(AC$5&lt;Q$5)*AD32+(AI$5&lt;Q$5)*AJ32+(AO$5&lt;Q$5)*AP32+(AU$5&lt;Q$5)*AV32)))</f>
        <v/>
      </c>
      <c r="T32">
        <f>IF(R32-S32&lt;0.005,0,R32-S32)</f>
        <v/>
      </c>
      <c r="U32">
        <f>Z31</f>
        <v/>
      </c>
      <c r="V32">
        <f>U32*Plan!D9/100/12</f>
        <v/>
      </c>
      <c r="W32">
        <f>MIN(Plan!E9,U32+V32)</f>
        <v/>
      </c>
      <c r="X32">
        <f>U32+V32-W32</f>
        <v/>
      </c>
      <c r="Y32">
        <f>MIN(X32,MAX(0,$B32-((E$5&lt;W$5)*F32+(K$5&lt;W$5)*L32+(Q$5&lt;W$5)*R32+(AC$5&lt;W$5)*AD32+(AI$5&lt;W$5)*AJ32+(AO$5&lt;W$5)*AP32+(AU$5&lt;W$5)*AV32)))</f>
        <v/>
      </c>
      <c r="Z32">
        <f>IF(X32-Y32&lt;0.005,0,X32-Y32)</f>
        <v/>
      </c>
      <c r="AA32">
        <f>AF31</f>
        <v/>
      </c>
      <c r="AB32">
        <f>AA32*Plan!D10/100/12</f>
        <v/>
      </c>
      <c r="AC32">
        <f>MIN(Plan!E10,AA32+AB32)</f>
        <v/>
      </c>
      <c r="AD32">
        <f>AA32+AB32-AC32</f>
        <v/>
      </c>
      <c r="AE32">
        <f>MIN(AD32,MAX(0,$B32-((E$5&lt;AC$5)*F32+(K$5&lt;AC$5)*L32+(Q$5&lt;AC$5)*R32+(W$5&lt;AC$5)*X32+(AI$5&lt;AC$5)*AJ32+(AO$5&lt;AC$5)*AP32+(AU$5&lt;AC$5)*AV32)))</f>
        <v/>
      </c>
      <c r="AF32">
        <f>IF(AD32-AE32&lt;0.005,0,AD32-AE32)</f>
        <v/>
      </c>
      <c r="AG32">
        <f>AL31</f>
        <v/>
      </c>
      <c r="AH32">
        <f>AG32*Plan!D11/100/12</f>
        <v/>
      </c>
      <c r="AI32">
        <f>MIN(Plan!E11,AG32+AH32)</f>
        <v/>
      </c>
      <c r="AJ32">
        <f>AG32+AH32-AI32</f>
        <v/>
      </c>
      <c r="AK32">
        <f>MIN(AJ32,MAX(0,$B32-((E$5&lt;AI$5)*F32+(K$5&lt;AI$5)*L32+(Q$5&lt;AI$5)*R32+(W$5&lt;AI$5)*X32+(AC$5&lt;AI$5)*AD32+(AO$5&lt;AI$5)*AP32+(AU$5&lt;AI$5)*AV32)))</f>
        <v/>
      </c>
      <c r="AL32">
        <f>IF(AJ32-AK32&lt;0.005,0,AJ32-AK32)</f>
        <v/>
      </c>
      <c r="AM32">
        <f>AR31</f>
        <v/>
      </c>
      <c r="AN32">
        <f>AM32*Plan!D12/100/12</f>
        <v/>
      </c>
      <c r="AO32">
        <f>MIN(Plan!E12,AM32+AN32)</f>
        <v/>
      </c>
      <c r="AP32">
        <f>AM32+AN32-AO32</f>
        <v/>
      </c>
      <c r="AQ32">
        <f>MIN(AP32,MAX(0,$B32-((E$5&lt;AO$5)*F32+(K$5&lt;AO$5)*L32+(Q$5&lt;AO$5)*R32+(W$5&lt;AO$5)*X32+(AC$5&lt;AO$5)*AD32+(AI$5&lt;AO$5)*AJ32+(AU$5&lt;AO$5)*AV32)))</f>
        <v/>
      </c>
      <c r="AR32">
        <f>IF(AP32-AQ32&lt;0.005,0,AP32-AQ32)</f>
        <v/>
      </c>
      <c r="AS32">
        <f>AX31</f>
        <v/>
      </c>
      <c r="AT32">
        <f>AS32*Plan!D13/100/12</f>
        <v/>
      </c>
      <c r="AU32">
        <f>MIN(Plan!E13,AS32+AT32)</f>
        <v/>
      </c>
      <c r="AV32">
        <f>AS32+AT32-AU32</f>
        <v/>
      </c>
      <c r="AW32">
        <f>MIN(AV32,MAX(0,$B32-((E$5&lt;AU$5)*F32+(K$5&lt;AU$5)*L32+(Q$5&lt;AU$5)*R32+(W$5&lt;AU$5)*X32+(AC$5&lt;AU$5)*AD32+(AI$5&lt;AU$5)*AJ32+(AO$5&lt;AU$5)*AP32)))</f>
        <v/>
      </c>
      <c r="AX32">
        <f>IF(AV32-AW32&lt;0.005,0,AV32-AW32)</f>
        <v/>
      </c>
      <c r="BC32">
        <f>H32+N32+T32+Z32+AF32+AL32+AR32+AX32</f>
        <v/>
      </c>
    </row>
    <row r="33">
      <c r="A33" t="n">
        <v>27</v>
      </c>
      <c r="B33" s="19">
        <f>MAX(0,$B$3-(E33+K33+Q33+W33+AC33+AI33+AO33+AU33))</f>
        <v/>
      </c>
      <c r="C33">
        <f>H32</f>
        <v/>
      </c>
      <c r="D33">
        <f>C33*Plan!D6/100/12</f>
        <v/>
      </c>
      <c r="E33">
        <f>MIN(Plan!E6,C33+D33)</f>
        <v/>
      </c>
      <c r="F33">
        <f>C33+D33-E33</f>
        <v/>
      </c>
      <c r="G33">
        <f>MIN(F33,MAX(0,$B33-((K$5&lt;E$5)*L33+(Q$5&lt;E$5)*R33+(W$5&lt;E$5)*X33+(AC$5&lt;E$5)*AD33+(AI$5&lt;E$5)*AJ33+(AO$5&lt;E$5)*AP33+(AU$5&lt;E$5)*AV33)))</f>
        <v/>
      </c>
      <c r="H33">
        <f>IF(F33-G33&lt;0.005,0,F33-G33)</f>
        <v/>
      </c>
      <c r="I33">
        <f>N32</f>
        <v/>
      </c>
      <c r="J33">
        <f>I33*Plan!D7/100/12</f>
        <v/>
      </c>
      <c r="K33">
        <f>MIN(Plan!E7,I33+J33)</f>
        <v/>
      </c>
      <c r="L33">
        <f>I33+J33-K33</f>
        <v/>
      </c>
      <c r="M33">
        <f>MIN(L33,MAX(0,$B33-((E$5&lt;K$5)*F33+(Q$5&lt;K$5)*R33+(W$5&lt;K$5)*X33+(AC$5&lt;K$5)*AD33+(AI$5&lt;K$5)*AJ33+(AO$5&lt;K$5)*AP33+(AU$5&lt;K$5)*AV33)))</f>
        <v/>
      </c>
      <c r="N33">
        <f>IF(L33-M33&lt;0.005,0,L33-M33)</f>
        <v/>
      </c>
      <c r="O33">
        <f>T32</f>
        <v/>
      </c>
      <c r="P33">
        <f>O33*Plan!D8/100/12</f>
        <v/>
      </c>
      <c r="Q33">
        <f>MIN(Plan!E8,O33+P33)</f>
        <v/>
      </c>
      <c r="R33">
        <f>O33+P33-Q33</f>
        <v/>
      </c>
      <c r="S33">
        <f>MIN(R33,MAX(0,$B33-((E$5&lt;Q$5)*F33+(K$5&lt;Q$5)*L33+(W$5&lt;Q$5)*X33+(AC$5&lt;Q$5)*AD33+(AI$5&lt;Q$5)*AJ33+(AO$5&lt;Q$5)*AP33+(AU$5&lt;Q$5)*AV33)))</f>
        <v/>
      </c>
      <c r="T33">
        <f>IF(R33-S33&lt;0.005,0,R33-S33)</f>
        <v/>
      </c>
      <c r="U33">
        <f>Z32</f>
        <v/>
      </c>
      <c r="V33">
        <f>U33*Plan!D9/100/12</f>
        <v/>
      </c>
      <c r="W33">
        <f>MIN(Plan!E9,U33+V33)</f>
        <v/>
      </c>
      <c r="X33">
        <f>U33+V33-W33</f>
        <v/>
      </c>
      <c r="Y33">
        <f>MIN(X33,MAX(0,$B33-((E$5&lt;W$5)*F33+(K$5&lt;W$5)*L33+(Q$5&lt;W$5)*R33+(AC$5&lt;W$5)*AD33+(AI$5&lt;W$5)*AJ33+(AO$5&lt;W$5)*AP33+(AU$5&lt;W$5)*AV33)))</f>
        <v/>
      </c>
      <c r="Z33">
        <f>IF(X33-Y33&lt;0.005,0,X33-Y33)</f>
        <v/>
      </c>
      <c r="AA33">
        <f>AF32</f>
        <v/>
      </c>
      <c r="AB33">
        <f>AA33*Plan!D10/100/12</f>
        <v/>
      </c>
      <c r="AC33">
        <f>MIN(Plan!E10,AA33+AB33)</f>
        <v/>
      </c>
      <c r="AD33">
        <f>AA33+AB33-AC33</f>
        <v/>
      </c>
      <c r="AE33">
        <f>MIN(AD33,MAX(0,$B33-((E$5&lt;AC$5)*F33+(K$5&lt;AC$5)*L33+(Q$5&lt;AC$5)*R33+(W$5&lt;AC$5)*X33+(AI$5&lt;AC$5)*AJ33+(AO$5&lt;AC$5)*AP33+(AU$5&lt;AC$5)*AV33)))</f>
        <v/>
      </c>
      <c r="AF33">
        <f>IF(AD33-AE33&lt;0.005,0,AD33-AE33)</f>
        <v/>
      </c>
      <c r="AG33">
        <f>AL32</f>
        <v/>
      </c>
      <c r="AH33">
        <f>AG33*Plan!D11/100/12</f>
        <v/>
      </c>
      <c r="AI33">
        <f>MIN(Plan!E11,AG33+AH33)</f>
        <v/>
      </c>
      <c r="AJ33">
        <f>AG33+AH33-AI33</f>
        <v/>
      </c>
      <c r="AK33">
        <f>MIN(AJ33,MAX(0,$B33-((E$5&lt;AI$5)*F33+(K$5&lt;AI$5)*L33+(Q$5&lt;AI$5)*R33+(W$5&lt;AI$5)*X33+(AC$5&lt;AI$5)*AD33+(AO$5&lt;AI$5)*AP33+(AU$5&lt;AI$5)*AV33)))</f>
        <v/>
      </c>
      <c r="AL33">
        <f>IF(AJ33-AK33&lt;0.005,0,AJ33-AK33)</f>
        <v/>
      </c>
      <c r="AM33">
        <f>AR32</f>
        <v/>
      </c>
      <c r="AN33">
        <f>AM33*Plan!D12/100/12</f>
        <v/>
      </c>
      <c r="AO33">
        <f>MIN(Plan!E12,AM33+AN33)</f>
        <v/>
      </c>
      <c r="AP33">
        <f>AM33+AN33-AO33</f>
        <v/>
      </c>
      <c r="AQ33">
        <f>MIN(AP33,MAX(0,$B33-((E$5&lt;AO$5)*F33+(K$5&lt;AO$5)*L33+(Q$5&lt;AO$5)*R33+(W$5&lt;AO$5)*X33+(AC$5&lt;AO$5)*AD33+(AI$5&lt;AO$5)*AJ33+(AU$5&lt;AO$5)*AV33)))</f>
        <v/>
      </c>
      <c r="AR33">
        <f>IF(AP33-AQ33&lt;0.005,0,AP33-AQ33)</f>
        <v/>
      </c>
      <c r="AS33">
        <f>AX32</f>
        <v/>
      </c>
      <c r="AT33">
        <f>AS33*Plan!D13/100/12</f>
        <v/>
      </c>
      <c r="AU33">
        <f>MIN(Plan!E13,AS33+AT33)</f>
        <v/>
      </c>
      <c r="AV33">
        <f>AS33+AT33-AU33</f>
        <v/>
      </c>
      <c r="AW33">
        <f>MIN(AV33,MAX(0,$B33-((E$5&lt;AU$5)*F33+(K$5&lt;AU$5)*L33+(Q$5&lt;AU$5)*R33+(W$5&lt;AU$5)*X33+(AC$5&lt;AU$5)*AD33+(AI$5&lt;AU$5)*AJ33+(AO$5&lt;AU$5)*AP33)))</f>
        <v/>
      </c>
      <c r="AX33">
        <f>IF(AV33-AW33&lt;0.005,0,AV33-AW33)</f>
        <v/>
      </c>
      <c r="BC33">
        <f>H33+N33+T33+Z33+AF33+AL33+AR33+AX33</f>
        <v/>
      </c>
    </row>
    <row r="34">
      <c r="A34" t="n">
        <v>28</v>
      </c>
      <c r="B34" s="19">
        <f>MAX(0,$B$3-(E34+K34+Q34+W34+AC34+AI34+AO34+AU34))</f>
        <v/>
      </c>
      <c r="C34">
        <f>H33</f>
        <v/>
      </c>
      <c r="D34">
        <f>C34*Plan!D6/100/12</f>
        <v/>
      </c>
      <c r="E34">
        <f>MIN(Plan!E6,C34+D34)</f>
        <v/>
      </c>
      <c r="F34">
        <f>C34+D34-E34</f>
        <v/>
      </c>
      <c r="G34">
        <f>MIN(F34,MAX(0,$B34-((K$5&lt;E$5)*L34+(Q$5&lt;E$5)*R34+(W$5&lt;E$5)*X34+(AC$5&lt;E$5)*AD34+(AI$5&lt;E$5)*AJ34+(AO$5&lt;E$5)*AP34+(AU$5&lt;E$5)*AV34)))</f>
        <v/>
      </c>
      <c r="H34">
        <f>IF(F34-G34&lt;0.005,0,F34-G34)</f>
        <v/>
      </c>
      <c r="I34">
        <f>N33</f>
        <v/>
      </c>
      <c r="J34">
        <f>I34*Plan!D7/100/12</f>
        <v/>
      </c>
      <c r="K34">
        <f>MIN(Plan!E7,I34+J34)</f>
        <v/>
      </c>
      <c r="L34">
        <f>I34+J34-K34</f>
        <v/>
      </c>
      <c r="M34">
        <f>MIN(L34,MAX(0,$B34-((E$5&lt;K$5)*F34+(Q$5&lt;K$5)*R34+(W$5&lt;K$5)*X34+(AC$5&lt;K$5)*AD34+(AI$5&lt;K$5)*AJ34+(AO$5&lt;K$5)*AP34+(AU$5&lt;K$5)*AV34)))</f>
        <v/>
      </c>
      <c r="N34">
        <f>IF(L34-M34&lt;0.005,0,L34-M34)</f>
        <v/>
      </c>
      <c r="O34">
        <f>T33</f>
        <v/>
      </c>
      <c r="P34">
        <f>O34*Plan!D8/100/12</f>
        <v/>
      </c>
      <c r="Q34">
        <f>MIN(Plan!E8,O34+P34)</f>
        <v/>
      </c>
      <c r="R34">
        <f>O34+P34-Q34</f>
        <v/>
      </c>
      <c r="S34">
        <f>MIN(R34,MAX(0,$B34-((E$5&lt;Q$5)*F34+(K$5&lt;Q$5)*L34+(W$5&lt;Q$5)*X34+(AC$5&lt;Q$5)*AD34+(AI$5&lt;Q$5)*AJ34+(AO$5&lt;Q$5)*AP34+(AU$5&lt;Q$5)*AV34)))</f>
        <v/>
      </c>
      <c r="T34">
        <f>IF(R34-S34&lt;0.005,0,R34-S34)</f>
        <v/>
      </c>
      <c r="U34">
        <f>Z33</f>
        <v/>
      </c>
      <c r="V34">
        <f>U34*Plan!D9/100/12</f>
        <v/>
      </c>
      <c r="W34">
        <f>MIN(Plan!E9,U34+V34)</f>
        <v/>
      </c>
      <c r="X34">
        <f>U34+V34-W34</f>
        <v/>
      </c>
      <c r="Y34">
        <f>MIN(X34,MAX(0,$B34-((E$5&lt;W$5)*F34+(K$5&lt;W$5)*L34+(Q$5&lt;W$5)*R34+(AC$5&lt;W$5)*AD34+(AI$5&lt;W$5)*AJ34+(AO$5&lt;W$5)*AP34+(AU$5&lt;W$5)*AV34)))</f>
        <v/>
      </c>
      <c r="Z34">
        <f>IF(X34-Y34&lt;0.005,0,X34-Y34)</f>
        <v/>
      </c>
      <c r="AA34">
        <f>AF33</f>
        <v/>
      </c>
      <c r="AB34">
        <f>AA34*Plan!D10/100/12</f>
        <v/>
      </c>
      <c r="AC34">
        <f>MIN(Plan!E10,AA34+AB34)</f>
        <v/>
      </c>
      <c r="AD34">
        <f>AA34+AB34-AC34</f>
        <v/>
      </c>
      <c r="AE34">
        <f>MIN(AD34,MAX(0,$B34-((E$5&lt;AC$5)*F34+(K$5&lt;AC$5)*L34+(Q$5&lt;AC$5)*R34+(W$5&lt;AC$5)*X34+(AI$5&lt;AC$5)*AJ34+(AO$5&lt;AC$5)*AP34+(AU$5&lt;AC$5)*AV34)))</f>
        <v/>
      </c>
      <c r="AF34">
        <f>IF(AD34-AE34&lt;0.005,0,AD34-AE34)</f>
        <v/>
      </c>
      <c r="AG34">
        <f>AL33</f>
        <v/>
      </c>
      <c r="AH34">
        <f>AG34*Plan!D11/100/12</f>
        <v/>
      </c>
      <c r="AI34">
        <f>MIN(Plan!E11,AG34+AH34)</f>
        <v/>
      </c>
      <c r="AJ34">
        <f>AG34+AH34-AI34</f>
        <v/>
      </c>
      <c r="AK34">
        <f>MIN(AJ34,MAX(0,$B34-((E$5&lt;AI$5)*F34+(K$5&lt;AI$5)*L34+(Q$5&lt;AI$5)*R34+(W$5&lt;AI$5)*X34+(AC$5&lt;AI$5)*AD34+(AO$5&lt;AI$5)*AP34+(AU$5&lt;AI$5)*AV34)))</f>
        <v/>
      </c>
      <c r="AL34">
        <f>IF(AJ34-AK34&lt;0.005,0,AJ34-AK34)</f>
        <v/>
      </c>
      <c r="AM34">
        <f>AR33</f>
        <v/>
      </c>
      <c r="AN34">
        <f>AM34*Plan!D12/100/12</f>
        <v/>
      </c>
      <c r="AO34">
        <f>MIN(Plan!E12,AM34+AN34)</f>
        <v/>
      </c>
      <c r="AP34">
        <f>AM34+AN34-AO34</f>
        <v/>
      </c>
      <c r="AQ34">
        <f>MIN(AP34,MAX(0,$B34-((E$5&lt;AO$5)*F34+(K$5&lt;AO$5)*L34+(Q$5&lt;AO$5)*R34+(W$5&lt;AO$5)*X34+(AC$5&lt;AO$5)*AD34+(AI$5&lt;AO$5)*AJ34+(AU$5&lt;AO$5)*AV34)))</f>
        <v/>
      </c>
      <c r="AR34">
        <f>IF(AP34-AQ34&lt;0.005,0,AP34-AQ34)</f>
        <v/>
      </c>
      <c r="AS34">
        <f>AX33</f>
        <v/>
      </c>
      <c r="AT34">
        <f>AS34*Plan!D13/100/12</f>
        <v/>
      </c>
      <c r="AU34">
        <f>MIN(Plan!E13,AS34+AT34)</f>
        <v/>
      </c>
      <c r="AV34">
        <f>AS34+AT34-AU34</f>
        <v/>
      </c>
      <c r="AW34">
        <f>MIN(AV34,MAX(0,$B34-((E$5&lt;AU$5)*F34+(K$5&lt;AU$5)*L34+(Q$5&lt;AU$5)*R34+(W$5&lt;AU$5)*X34+(AC$5&lt;AU$5)*AD34+(AI$5&lt;AU$5)*AJ34+(AO$5&lt;AU$5)*AP34)))</f>
        <v/>
      </c>
      <c r="AX34">
        <f>IF(AV34-AW34&lt;0.005,0,AV34-AW34)</f>
        <v/>
      </c>
      <c r="BC34">
        <f>H34+N34+T34+Z34+AF34+AL34+AR34+AX34</f>
        <v/>
      </c>
    </row>
    <row r="35">
      <c r="A35" t="n">
        <v>29</v>
      </c>
      <c r="B35" s="19">
        <f>MAX(0,$B$3-(E35+K35+Q35+W35+AC35+AI35+AO35+AU35))</f>
        <v/>
      </c>
      <c r="C35">
        <f>H34</f>
        <v/>
      </c>
      <c r="D35">
        <f>C35*Plan!D6/100/12</f>
        <v/>
      </c>
      <c r="E35">
        <f>MIN(Plan!E6,C35+D35)</f>
        <v/>
      </c>
      <c r="F35">
        <f>C35+D35-E35</f>
        <v/>
      </c>
      <c r="G35">
        <f>MIN(F35,MAX(0,$B35-((K$5&lt;E$5)*L35+(Q$5&lt;E$5)*R35+(W$5&lt;E$5)*X35+(AC$5&lt;E$5)*AD35+(AI$5&lt;E$5)*AJ35+(AO$5&lt;E$5)*AP35+(AU$5&lt;E$5)*AV35)))</f>
        <v/>
      </c>
      <c r="H35">
        <f>IF(F35-G35&lt;0.005,0,F35-G35)</f>
        <v/>
      </c>
      <c r="I35">
        <f>N34</f>
        <v/>
      </c>
      <c r="J35">
        <f>I35*Plan!D7/100/12</f>
        <v/>
      </c>
      <c r="K35">
        <f>MIN(Plan!E7,I35+J35)</f>
        <v/>
      </c>
      <c r="L35">
        <f>I35+J35-K35</f>
        <v/>
      </c>
      <c r="M35">
        <f>MIN(L35,MAX(0,$B35-((E$5&lt;K$5)*F35+(Q$5&lt;K$5)*R35+(W$5&lt;K$5)*X35+(AC$5&lt;K$5)*AD35+(AI$5&lt;K$5)*AJ35+(AO$5&lt;K$5)*AP35+(AU$5&lt;K$5)*AV35)))</f>
        <v/>
      </c>
      <c r="N35">
        <f>IF(L35-M35&lt;0.005,0,L35-M35)</f>
        <v/>
      </c>
      <c r="O35">
        <f>T34</f>
        <v/>
      </c>
      <c r="P35">
        <f>O35*Plan!D8/100/12</f>
        <v/>
      </c>
      <c r="Q35">
        <f>MIN(Plan!E8,O35+P35)</f>
        <v/>
      </c>
      <c r="R35">
        <f>O35+P35-Q35</f>
        <v/>
      </c>
      <c r="S35">
        <f>MIN(R35,MAX(0,$B35-((E$5&lt;Q$5)*F35+(K$5&lt;Q$5)*L35+(W$5&lt;Q$5)*X35+(AC$5&lt;Q$5)*AD35+(AI$5&lt;Q$5)*AJ35+(AO$5&lt;Q$5)*AP35+(AU$5&lt;Q$5)*AV35)))</f>
        <v/>
      </c>
      <c r="T35">
        <f>IF(R35-S35&lt;0.005,0,R35-S35)</f>
        <v/>
      </c>
      <c r="U35">
        <f>Z34</f>
        <v/>
      </c>
      <c r="V35">
        <f>U35*Plan!D9/100/12</f>
        <v/>
      </c>
      <c r="W35">
        <f>MIN(Plan!E9,U35+V35)</f>
        <v/>
      </c>
      <c r="X35">
        <f>U35+V35-W35</f>
        <v/>
      </c>
      <c r="Y35">
        <f>MIN(X35,MAX(0,$B35-((E$5&lt;W$5)*F35+(K$5&lt;W$5)*L35+(Q$5&lt;W$5)*R35+(AC$5&lt;W$5)*AD35+(AI$5&lt;W$5)*AJ35+(AO$5&lt;W$5)*AP35+(AU$5&lt;W$5)*AV35)))</f>
        <v/>
      </c>
      <c r="Z35">
        <f>IF(X35-Y35&lt;0.005,0,X35-Y35)</f>
        <v/>
      </c>
      <c r="AA35">
        <f>AF34</f>
        <v/>
      </c>
      <c r="AB35">
        <f>AA35*Plan!D10/100/12</f>
        <v/>
      </c>
      <c r="AC35">
        <f>MIN(Plan!E10,AA35+AB35)</f>
        <v/>
      </c>
      <c r="AD35">
        <f>AA35+AB35-AC35</f>
        <v/>
      </c>
      <c r="AE35">
        <f>MIN(AD35,MAX(0,$B35-((E$5&lt;AC$5)*F35+(K$5&lt;AC$5)*L35+(Q$5&lt;AC$5)*R35+(W$5&lt;AC$5)*X35+(AI$5&lt;AC$5)*AJ35+(AO$5&lt;AC$5)*AP35+(AU$5&lt;AC$5)*AV35)))</f>
        <v/>
      </c>
      <c r="AF35">
        <f>IF(AD35-AE35&lt;0.005,0,AD35-AE35)</f>
        <v/>
      </c>
      <c r="AG35">
        <f>AL34</f>
        <v/>
      </c>
      <c r="AH35">
        <f>AG35*Plan!D11/100/12</f>
        <v/>
      </c>
      <c r="AI35">
        <f>MIN(Plan!E11,AG35+AH35)</f>
        <v/>
      </c>
      <c r="AJ35">
        <f>AG35+AH35-AI35</f>
        <v/>
      </c>
      <c r="AK35">
        <f>MIN(AJ35,MAX(0,$B35-((E$5&lt;AI$5)*F35+(K$5&lt;AI$5)*L35+(Q$5&lt;AI$5)*R35+(W$5&lt;AI$5)*X35+(AC$5&lt;AI$5)*AD35+(AO$5&lt;AI$5)*AP35+(AU$5&lt;AI$5)*AV35)))</f>
        <v/>
      </c>
      <c r="AL35">
        <f>IF(AJ35-AK35&lt;0.005,0,AJ35-AK35)</f>
        <v/>
      </c>
      <c r="AM35">
        <f>AR34</f>
        <v/>
      </c>
      <c r="AN35">
        <f>AM35*Plan!D12/100/12</f>
        <v/>
      </c>
      <c r="AO35">
        <f>MIN(Plan!E12,AM35+AN35)</f>
        <v/>
      </c>
      <c r="AP35">
        <f>AM35+AN35-AO35</f>
        <v/>
      </c>
      <c r="AQ35">
        <f>MIN(AP35,MAX(0,$B35-((E$5&lt;AO$5)*F35+(K$5&lt;AO$5)*L35+(Q$5&lt;AO$5)*R35+(W$5&lt;AO$5)*X35+(AC$5&lt;AO$5)*AD35+(AI$5&lt;AO$5)*AJ35+(AU$5&lt;AO$5)*AV35)))</f>
        <v/>
      </c>
      <c r="AR35">
        <f>IF(AP35-AQ35&lt;0.005,0,AP35-AQ35)</f>
        <v/>
      </c>
      <c r="AS35">
        <f>AX34</f>
        <v/>
      </c>
      <c r="AT35">
        <f>AS35*Plan!D13/100/12</f>
        <v/>
      </c>
      <c r="AU35">
        <f>MIN(Plan!E13,AS35+AT35)</f>
        <v/>
      </c>
      <c r="AV35">
        <f>AS35+AT35-AU35</f>
        <v/>
      </c>
      <c r="AW35">
        <f>MIN(AV35,MAX(0,$B35-((E$5&lt;AU$5)*F35+(K$5&lt;AU$5)*L35+(Q$5&lt;AU$5)*R35+(W$5&lt;AU$5)*X35+(AC$5&lt;AU$5)*AD35+(AI$5&lt;AU$5)*AJ35+(AO$5&lt;AU$5)*AP35)))</f>
        <v/>
      </c>
      <c r="AX35">
        <f>IF(AV35-AW35&lt;0.005,0,AV35-AW35)</f>
        <v/>
      </c>
      <c r="BC35">
        <f>H35+N35+T35+Z35+AF35+AL35+AR35+AX35</f>
        <v/>
      </c>
    </row>
    <row r="36">
      <c r="A36" t="n">
        <v>30</v>
      </c>
      <c r="B36" s="19">
        <f>MAX(0,$B$3-(E36+K36+Q36+W36+AC36+AI36+AO36+AU36))</f>
        <v/>
      </c>
      <c r="C36">
        <f>H35</f>
        <v/>
      </c>
      <c r="D36">
        <f>C36*Plan!D6/100/12</f>
        <v/>
      </c>
      <c r="E36">
        <f>MIN(Plan!E6,C36+D36)</f>
        <v/>
      </c>
      <c r="F36">
        <f>C36+D36-E36</f>
        <v/>
      </c>
      <c r="G36">
        <f>MIN(F36,MAX(0,$B36-((K$5&lt;E$5)*L36+(Q$5&lt;E$5)*R36+(W$5&lt;E$5)*X36+(AC$5&lt;E$5)*AD36+(AI$5&lt;E$5)*AJ36+(AO$5&lt;E$5)*AP36+(AU$5&lt;E$5)*AV36)))</f>
        <v/>
      </c>
      <c r="H36">
        <f>IF(F36-G36&lt;0.005,0,F36-G36)</f>
        <v/>
      </c>
      <c r="I36">
        <f>N35</f>
        <v/>
      </c>
      <c r="J36">
        <f>I36*Plan!D7/100/12</f>
        <v/>
      </c>
      <c r="K36">
        <f>MIN(Plan!E7,I36+J36)</f>
        <v/>
      </c>
      <c r="L36">
        <f>I36+J36-K36</f>
        <v/>
      </c>
      <c r="M36">
        <f>MIN(L36,MAX(0,$B36-((E$5&lt;K$5)*F36+(Q$5&lt;K$5)*R36+(W$5&lt;K$5)*X36+(AC$5&lt;K$5)*AD36+(AI$5&lt;K$5)*AJ36+(AO$5&lt;K$5)*AP36+(AU$5&lt;K$5)*AV36)))</f>
        <v/>
      </c>
      <c r="N36">
        <f>IF(L36-M36&lt;0.005,0,L36-M36)</f>
        <v/>
      </c>
      <c r="O36">
        <f>T35</f>
        <v/>
      </c>
      <c r="P36">
        <f>O36*Plan!D8/100/12</f>
        <v/>
      </c>
      <c r="Q36">
        <f>MIN(Plan!E8,O36+P36)</f>
        <v/>
      </c>
      <c r="R36">
        <f>O36+P36-Q36</f>
        <v/>
      </c>
      <c r="S36">
        <f>MIN(R36,MAX(0,$B36-((E$5&lt;Q$5)*F36+(K$5&lt;Q$5)*L36+(W$5&lt;Q$5)*X36+(AC$5&lt;Q$5)*AD36+(AI$5&lt;Q$5)*AJ36+(AO$5&lt;Q$5)*AP36+(AU$5&lt;Q$5)*AV36)))</f>
        <v/>
      </c>
      <c r="T36">
        <f>IF(R36-S36&lt;0.005,0,R36-S36)</f>
        <v/>
      </c>
      <c r="U36">
        <f>Z35</f>
        <v/>
      </c>
      <c r="V36">
        <f>U36*Plan!D9/100/12</f>
        <v/>
      </c>
      <c r="W36">
        <f>MIN(Plan!E9,U36+V36)</f>
        <v/>
      </c>
      <c r="X36">
        <f>U36+V36-W36</f>
        <v/>
      </c>
      <c r="Y36">
        <f>MIN(X36,MAX(0,$B36-((E$5&lt;W$5)*F36+(K$5&lt;W$5)*L36+(Q$5&lt;W$5)*R36+(AC$5&lt;W$5)*AD36+(AI$5&lt;W$5)*AJ36+(AO$5&lt;W$5)*AP36+(AU$5&lt;W$5)*AV36)))</f>
        <v/>
      </c>
      <c r="Z36">
        <f>IF(X36-Y36&lt;0.005,0,X36-Y36)</f>
        <v/>
      </c>
      <c r="AA36">
        <f>AF35</f>
        <v/>
      </c>
      <c r="AB36">
        <f>AA36*Plan!D10/100/12</f>
        <v/>
      </c>
      <c r="AC36">
        <f>MIN(Plan!E10,AA36+AB36)</f>
        <v/>
      </c>
      <c r="AD36">
        <f>AA36+AB36-AC36</f>
        <v/>
      </c>
      <c r="AE36">
        <f>MIN(AD36,MAX(0,$B36-((E$5&lt;AC$5)*F36+(K$5&lt;AC$5)*L36+(Q$5&lt;AC$5)*R36+(W$5&lt;AC$5)*X36+(AI$5&lt;AC$5)*AJ36+(AO$5&lt;AC$5)*AP36+(AU$5&lt;AC$5)*AV36)))</f>
        <v/>
      </c>
      <c r="AF36">
        <f>IF(AD36-AE36&lt;0.005,0,AD36-AE36)</f>
        <v/>
      </c>
      <c r="AG36">
        <f>AL35</f>
        <v/>
      </c>
      <c r="AH36">
        <f>AG36*Plan!D11/100/12</f>
        <v/>
      </c>
      <c r="AI36">
        <f>MIN(Plan!E11,AG36+AH36)</f>
        <v/>
      </c>
      <c r="AJ36">
        <f>AG36+AH36-AI36</f>
        <v/>
      </c>
      <c r="AK36">
        <f>MIN(AJ36,MAX(0,$B36-((E$5&lt;AI$5)*F36+(K$5&lt;AI$5)*L36+(Q$5&lt;AI$5)*R36+(W$5&lt;AI$5)*X36+(AC$5&lt;AI$5)*AD36+(AO$5&lt;AI$5)*AP36+(AU$5&lt;AI$5)*AV36)))</f>
        <v/>
      </c>
      <c r="AL36">
        <f>IF(AJ36-AK36&lt;0.005,0,AJ36-AK36)</f>
        <v/>
      </c>
      <c r="AM36">
        <f>AR35</f>
        <v/>
      </c>
      <c r="AN36">
        <f>AM36*Plan!D12/100/12</f>
        <v/>
      </c>
      <c r="AO36">
        <f>MIN(Plan!E12,AM36+AN36)</f>
        <v/>
      </c>
      <c r="AP36">
        <f>AM36+AN36-AO36</f>
        <v/>
      </c>
      <c r="AQ36">
        <f>MIN(AP36,MAX(0,$B36-((E$5&lt;AO$5)*F36+(K$5&lt;AO$5)*L36+(Q$5&lt;AO$5)*R36+(W$5&lt;AO$5)*X36+(AC$5&lt;AO$5)*AD36+(AI$5&lt;AO$5)*AJ36+(AU$5&lt;AO$5)*AV36)))</f>
        <v/>
      </c>
      <c r="AR36">
        <f>IF(AP36-AQ36&lt;0.005,0,AP36-AQ36)</f>
        <v/>
      </c>
      <c r="AS36">
        <f>AX35</f>
        <v/>
      </c>
      <c r="AT36">
        <f>AS36*Plan!D13/100/12</f>
        <v/>
      </c>
      <c r="AU36">
        <f>MIN(Plan!E13,AS36+AT36)</f>
        <v/>
      </c>
      <c r="AV36">
        <f>AS36+AT36-AU36</f>
        <v/>
      </c>
      <c r="AW36">
        <f>MIN(AV36,MAX(0,$B36-((E$5&lt;AU$5)*F36+(K$5&lt;AU$5)*L36+(Q$5&lt;AU$5)*R36+(W$5&lt;AU$5)*X36+(AC$5&lt;AU$5)*AD36+(AI$5&lt;AU$5)*AJ36+(AO$5&lt;AU$5)*AP36)))</f>
        <v/>
      </c>
      <c r="AX36">
        <f>IF(AV36-AW36&lt;0.005,0,AV36-AW36)</f>
        <v/>
      </c>
      <c r="BC36">
        <f>H36+N36+T36+Z36+AF36+AL36+AR36+AX36</f>
        <v/>
      </c>
    </row>
    <row r="37">
      <c r="A37" t="n">
        <v>31</v>
      </c>
      <c r="B37" s="19">
        <f>MAX(0,$B$3-(E37+K37+Q37+W37+AC37+AI37+AO37+AU37))</f>
        <v/>
      </c>
      <c r="C37">
        <f>H36</f>
        <v/>
      </c>
      <c r="D37">
        <f>C37*Plan!D6/100/12</f>
        <v/>
      </c>
      <c r="E37">
        <f>MIN(Plan!E6,C37+D37)</f>
        <v/>
      </c>
      <c r="F37">
        <f>C37+D37-E37</f>
        <v/>
      </c>
      <c r="G37">
        <f>MIN(F37,MAX(0,$B37-((K$5&lt;E$5)*L37+(Q$5&lt;E$5)*R37+(W$5&lt;E$5)*X37+(AC$5&lt;E$5)*AD37+(AI$5&lt;E$5)*AJ37+(AO$5&lt;E$5)*AP37+(AU$5&lt;E$5)*AV37)))</f>
        <v/>
      </c>
      <c r="H37">
        <f>IF(F37-G37&lt;0.005,0,F37-G37)</f>
        <v/>
      </c>
      <c r="I37">
        <f>N36</f>
        <v/>
      </c>
      <c r="J37">
        <f>I37*Plan!D7/100/12</f>
        <v/>
      </c>
      <c r="K37">
        <f>MIN(Plan!E7,I37+J37)</f>
        <v/>
      </c>
      <c r="L37">
        <f>I37+J37-K37</f>
        <v/>
      </c>
      <c r="M37">
        <f>MIN(L37,MAX(0,$B37-((E$5&lt;K$5)*F37+(Q$5&lt;K$5)*R37+(W$5&lt;K$5)*X37+(AC$5&lt;K$5)*AD37+(AI$5&lt;K$5)*AJ37+(AO$5&lt;K$5)*AP37+(AU$5&lt;K$5)*AV37)))</f>
        <v/>
      </c>
      <c r="N37">
        <f>IF(L37-M37&lt;0.005,0,L37-M37)</f>
        <v/>
      </c>
      <c r="O37">
        <f>T36</f>
        <v/>
      </c>
      <c r="P37">
        <f>O37*Plan!D8/100/12</f>
        <v/>
      </c>
      <c r="Q37">
        <f>MIN(Plan!E8,O37+P37)</f>
        <v/>
      </c>
      <c r="R37">
        <f>O37+P37-Q37</f>
        <v/>
      </c>
      <c r="S37">
        <f>MIN(R37,MAX(0,$B37-((E$5&lt;Q$5)*F37+(K$5&lt;Q$5)*L37+(W$5&lt;Q$5)*X37+(AC$5&lt;Q$5)*AD37+(AI$5&lt;Q$5)*AJ37+(AO$5&lt;Q$5)*AP37+(AU$5&lt;Q$5)*AV37)))</f>
        <v/>
      </c>
      <c r="T37">
        <f>IF(R37-S37&lt;0.005,0,R37-S37)</f>
        <v/>
      </c>
      <c r="U37">
        <f>Z36</f>
        <v/>
      </c>
      <c r="V37">
        <f>U37*Plan!D9/100/12</f>
        <v/>
      </c>
      <c r="W37">
        <f>MIN(Plan!E9,U37+V37)</f>
        <v/>
      </c>
      <c r="X37">
        <f>U37+V37-W37</f>
        <v/>
      </c>
      <c r="Y37">
        <f>MIN(X37,MAX(0,$B37-((E$5&lt;W$5)*F37+(K$5&lt;W$5)*L37+(Q$5&lt;W$5)*R37+(AC$5&lt;W$5)*AD37+(AI$5&lt;W$5)*AJ37+(AO$5&lt;W$5)*AP37+(AU$5&lt;W$5)*AV37)))</f>
        <v/>
      </c>
      <c r="Z37">
        <f>IF(X37-Y37&lt;0.005,0,X37-Y37)</f>
        <v/>
      </c>
      <c r="AA37">
        <f>AF36</f>
        <v/>
      </c>
      <c r="AB37">
        <f>AA37*Plan!D10/100/12</f>
        <v/>
      </c>
      <c r="AC37">
        <f>MIN(Plan!E10,AA37+AB37)</f>
        <v/>
      </c>
      <c r="AD37">
        <f>AA37+AB37-AC37</f>
        <v/>
      </c>
      <c r="AE37">
        <f>MIN(AD37,MAX(0,$B37-((E$5&lt;AC$5)*F37+(K$5&lt;AC$5)*L37+(Q$5&lt;AC$5)*R37+(W$5&lt;AC$5)*X37+(AI$5&lt;AC$5)*AJ37+(AO$5&lt;AC$5)*AP37+(AU$5&lt;AC$5)*AV37)))</f>
        <v/>
      </c>
      <c r="AF37">
        <f>IF(AD37-AE37&lt;0.005,0,AD37-AE37)</f>
        <v/>
      </c>
      <c r="AG37">
        <f>AL36</f>
        <v/>
      </c>
      <c r="AH37">
        <f>AG37*Plan!D11/100/12</f>
        <v/>
      </c>
      <c r="AI37">
        <f>MIN(Plan!E11,AG37+AH37)</f>
        <v/>
      </c>
      <c r="AJ37">
        <f>AG37+AH37-AI37</f>
        <v/>
      </c>
      <c r="AK37">
        <f>MIN(AJ37,MAX(0,$B37-((E$5&lt;AI$5)*F37+(K$5&lt;AI$5)*L37+(Q$5&lt;AI$5)*R37+(W$5&lt;AI$5)*X37+(AC$5&lt;AI$5)*AD37+(AO$5&lt;AI$5)*AP37+(AU$5&lt;AI$5)*AV37)))</f>
        <v/>
      </c>
      <c r="AL37">
        <f>IF(AJ37-AK37&lt;0.005,0,AJ37-AK37)</f>
        <v/>
      </c>
      <c r="AM37">
        <f>AR36</f>
        <v/>
      </c>
      <c r="AN37">
        <f>AM37*Plan!D12/100/12</f>
        <v/>
      </c>
      <c r="AO37">
        <f>MIN(Plan!E12,AM37+AN37)</f>
        <v/>
      </c>
      <c r="AP37">
        <f>AM37+AN37-AO37</f>
        <v/>
      </c>
      <c r="AQ37">
        <f>MIN(AP37,MAX(0,$B37-((E$5&lt;AO$5)*F37+(K$5&lt;AO$5)*L37+(Q$5&lt;AO$5)*R37+(W$5&lt;AO$5)*X37+(AC$5&lt;AO$5)*AD37+(AI$5&lt;AO$5)*AJ37+(AU$5&lt;AO$5)*AV37)))</f>
        <v/>
      </c>
      <c r="AR37">
        <f>IF(AP37-AQ37&lt;0.005,0,AP37-AQ37)</f>
        <v/>
      </c>
      <c r="AS37">
        <f>AX36</f>
        <v/>
      </c>
      <c r="AT37">
        <f>AS37*Plan!D13/100/12</f>
        <v/>
      </c>
      <c r="AU37">
        <f>MIN(Plan!E13,AS37+AT37)</f>
        <v/>
      </c>
      <c r="AV37">
        <f>AS37+AT37-AU37</f>
        <v/>
      </c>
      <c r="AW37">
        <f>MIN(AV37,MAX(0,$B37-((E$5&lt;AU$5)*F37+(K$5&lt;AU$5)*L37+(Q$5&lt;AU$5)*R37+(W$5&lt;AU$5)*X37+(AC$5&lt;AU$5)*AD37+(AI$5&lt;AU$5)*AJ37+(AO$5&lt;AU$5)*AP37)))</f>
        <v/>
      </c>
      <c r="AX37">
        <f>IF(AV37-AW37&lt;0.005,0,AV37-AW37)</f>
        <v/>
      </c>
      <c r="BC37">
        <f>H37+N37+T37+Z37+AF37+AL37+AR37+AX37</f>
        <v/>
      </c>
    </row>
    <row r="38">
      <c r="A38" t="n">
        <v>32</v>
      </c>
      <c r="B38" s="19">
        <f>MAX(0,$B$3-(E38+K38+Q38+W38+AC38+AI38+AO38+AU38))</f>
        <v/>
      </c>
      <c r="C38">
        <f>H37</f>
        <v/>
      </c>
      <c r="D38">
        <f>C38*Plan!D6/100/12</f>
        <v/>
      </c>
      <c r="E38">
        <f>MIN(Plan!E6,C38+D38)</f>
        <v/>
      </c>
      <c r="F38">
        <f>C38+D38-E38</f>
        <v/>
      </c>
      <c r="G38">
        <f>MIN(F38,MAX(0,$B38-((K$5&lt;E$5)*L38+(Q$5&lt;E$5)*R38+(W$5&lt;E$5)*X38+(AC$5&lt;E$5)*AD38+(AI$5&lt;E$5)*AJ38+(AO$5&lt;E$5)*AP38+(AU$5&lt;E$5)*AV38)))</f>
        <v/>
      </c>
      <c r="H38">
        <f>IF(F38-G38&lt;0.005,0,F38-G38)</f>
        <v/>
      </c>
      <c r="I38">
        <f>N37</f>
        <v/>
      </c>
      <c r="J38">
        <f>I38*Plan!D7/100/12</f>
        <v/>
      </c>
      <c r="K38">
        <f>MIN(Plan!E7,I38+J38)</f>
        <v/>
      </c>
      <c r="L38">
        <f>I38+J38-K38</f>
        <v/>
      </c>
      <c r="M38">
        <f>MIN(L38,MAX(0,$B38-((E$5&lt;K$5)*F38+(Q$5&lt;K$5)*R38+(W$5&lt;K$5)*X38+(AC$5&lt;K$5)*AD38+(AI$5&lt;K$5)*AJ38+(AO$5&lt;K$5)*AP38+(AU$5&lt;K$5)*AV38)))</f>
        <v/>
      </c>
      <c r="N38">
        <f>IF(L38-M38&lt;0.005,0,L38-M38)</f>
        <v/>
      </c>
      <c r="O38">
        <f>T37</f>
        <v/>
      </c>
      <c r="P38">
        <f>O38*Plan!D8/100/12</f>
        <v/>
      </c>
      <c r="Q38">
        <f>MIN(Plan!E8,O38+P38)</f>
        <v/>
      </c>
      <c r="R38">
        <f>O38+P38-Q38</f>
        <v/>
      </c>
      <c r="S38">
        <f>MIN(R38,MAX(0,$B38-((E$5&lt;Q$5)*F38+(K$5&lt;Q$5)*L38+(W$5&lt;Q$5)*X38+(AC$5&lt;Q$5)*AD38+(AI$5&lt;Q$5)*AJ38+(AO$5&lt;Q$5)*AP38+(AU$5&lt;Q$5)*AV38)))</f>
        <v/>
      </c>
      <c r="T38">
        <f>IF(R38-S38&lt;0.005,0,R38-S38)</f>
        <v/>
      </c>
      <c r="U38">
        <f>Z37</f>
        <v/>
      </c>
      <c r="V38">
        <f>U38*Plan!D9/100/12</f>
        <v/>
      </c>
      <c r="W38">
        <f>MIN(Plan!E9,U38+V38)</f>
        <v/>
      </c>
      <c r="X38">
        <f>U38+V38-W38</f>
        <v/>
      </c>
      <c r="Y38">
        <f>MIN(X38,MAX(0,$B38-((E$5&lt;W$5)*F38+(K$5&lt;W$5)*L38+(Q$5&lt;W$5)*R38+(AC$5&lt;W$5)*AD38+(AI$5&lt;W$5)*AJ38+(AO$5&lt;W$5)*AP38+(AU$5&lt;W$5)*AV38)))</f>
        <v/>
      </c>
      <c r="Z38">
        <f>IF(X38-Y38&lt;0.005,0,X38-Y38)</f>
        <v/>
      </c>
      <c r="AA38">
        <f>AF37</f>
        <v/>
      </c>
      <c r="AB38">
        <f>AA38*Plan!D10/100/12</f>
        <v/>
      </c>
      <c r="AC38">
        <f>MIN(Plan!E10,AA38+AB38)</f>
        <v/>
      </c>
      <c r="AD38">
        <f>AA38+AB38-AC38</f>
        <v/>
      </c>
      <c r="AE38">
        <f>MIN(AD38,MAX(0,$B38-((E$5&lt;AC$5)*F38+(K$5&lt;AC$5)*L38+(Q$5&lt;AC$5)*R38+(W$5&lt;AC$5)*X38+(AI$5&lt;AC$5)*AJ38+(AO$5&lt;AC$5)*AP38+(AU$5&lt;AC$5)*AV38)))</f>
        <v/>
      </c>
      <c r="AF38">
        <f>IF(AD38-AE38&lt;0.005,0,AD38-AE38)</f>
        <v/>
      </c>
      <c r="AG38">
        <f>AL37</f>
        <v/>
      </c>
      <c r="AH38">
        <f>AG38*Plan!D11/100/12</f>
        <v/>
      </c>
      <c r="AI38">
        <f>MIN(Plan!E11,AG38+AH38)</f>
        <v/>
      </c>
      <c r="AJ38">
        <f>AG38+AH38-AI38</f>
        <v/>
      </c>
      <c r="AK38">
        <f>MIN(AJ38,MAX(0,$B38-((E$5&lt;AI$5)*F38+(K$5&lt;AI$5)*L38+(Q$5&lt;AI$5)*R38+(W$5&lt;AI$5)*X38+(AC$5&lt;AI$5)*AD38+(AO$5&lt;AI$5)*AP38+(AU$5&lt;AI$5)*AV38)))</f>
        <v/>
      </c>
      <c r="AL38">
        <f>IF(AJ38-AK38&lt;0.005,0,AJ38-AK38)</f>
        <v/>
      </c>
      <c r="AM38">
        <f>AR37</f>
        <v/>
      </c>
      <c r="AN38">
        <f>AM38*Plan!D12/100/12</f>
        <v/>
      </c>
      <c r="AO38">
        <f>MIN(Plan!E12,AM38+AN38)</f>
        <v/>
      </c>
      <c r="AP38">
        <f>AM38+AN38-AO38</f>
        <v/>
      </c>
      <c r="AQ38">
        <f>MIN(AP38,MAX(0,$B38-((E$5&lt;AO$5)*F38+(K$5&lt;AO$5)*L38+(Q$5&lt;AO$5)*R38+(W$5&lt;AO$5)*X38+(AC$5&lt;AO$5)*AD38+(AI$5&lt;AO$5)*AJ38+(AU$5&lt;AO$5)*AV38)))</f>
        <v/>
      </c>
      <c r="AR38">
        <f>IF(AP38-AQ38&lt;0.005,0,AP38-AQ38)</f>
        <v/>
      </c>
      <c r="AS38">
        <f>AX37</f>
        <v/>
      </c>
      <c r="AT38">
        <f>AS38*Plan!D13/100/12</f>
        <v/>
      </c>
      <c r="AU38">
        <f>MIN(Plan!E13,AS38+AT38)</f>
        <v/>
      </c>
      <c r="AV38">
        <f>AS38+AT38-AU38</f>
        <v/>
      </c>
      <c r="AW38">
        <f>MIN(AV38,MAX(0,$B38-((E$5&lt;AU$5)*F38+(K$5&lt;AU$5)*L38+(Q$5&lt;AU$5)*R38+(W$5&lt;AU$5)*X38+(AC$5&lt;AU$5)*AD38+(AI$5&lt;AU$5)*AJ38+(AO$5&lt;AU$5)*AP38)))</f>
        <v/>
      </c>
      <c r="AX38">
        <f>IF(AV38-AW38&lt;0.005,0,AV38-AW38)</f>
        <v/>
      </c>
      <c r="BC38">
        <f>H38+N38+T38+Z38+AF38+AL38+AR38+AX38</f>
        <v/>
      </c>
    </row>
    <row r="39">
      <c r="A39" t="n">
        <v>33</v>
      </c>
      <c r="B39" s="19">
        <f>MAX(0,$B$3-(E39+K39+Q39+W39+AC39+AI39+AO39+AU39))</f>
        <v/>
      </c>
      <c r="C39">
        <f>H38</f>
        <v/>
      </c>
      <c r="D39">
        <f>C39*Plan!D6/100/12</f>
        <v/>
      </c>
      <c r="E39">
        <f>MIN(Plan!E6,C39+D39)</f>
        <v/>
      </c>
      <c r="F39">
        <f>C39+D39-E39</f>
        <v/>
      </c>
      <c r="G39">
        <f>MIN(F39,MAX(0,$B39-((K$5&lt;E$5)*L39+(Q$5&lt;E$5)*R39+(W$5&lt;E$5)*X39+(AC$5&lt;E$5)*AD39+(AI$5&lt;E$5)*AJ39+(AO$5&lt;E$5)*AP39+(AU$5&lt;E$5)*AV39)))</f>
        <v/>
      </c>
      <c r="H39">
        <f>IF(F39-G39&lt;0.005,0,F39-G39)</f>
        <v/>
      </c>
      <c r="I39">
        <f>N38</f>
        <v/>
      </c>
      <c r="J39">
        <f>I39*Plan!D7/100/12</f>
        <v/>
      </c>
      <c r="K39">
        <f>MIN(Plan!E7,I39+J39)</f>
        <v/>
      </c>
      <c r="L39">
        <f>I39+J39-K39</f>
        <v/>
      </c>
      <c r="M39">
        <f>MIN(L39,MAX(0,$B39-((E$5&lt;K$5)*F39+(Q$5&lt;K$5)*R39+(W$5&lt;K$5)*X39+(AC$5&lt;K$5)*AD39+(AI$5&lt;K$5)*AJ39+(AO$5&lt;K$5)*AP39+(AU$5&lt;K$5)*AV39)))</f>
        <v/>
      </c>
      <c r="N39">
        <f>IF(L39-M39&lt;0.005,0,L39-M39)</f>
        <v/>
      </c>
      <c r="O39">
        <f>T38</f>
        <v/>
      </c>
      <c r="P39">
        <f>O39*Plan!D8/100/12</f>
        <v/>
      </c>
      <c r="Q39">
        <f>MIN(Plan!E8,O39+P39)</f>
        <v/>
      </c>
      <c r="R39">
        <f>O39+P39-Q39</f>
        <v/>
      </c>
      <c r="S39">
        <f>MIN(R39,MAX(0,$B39-((E$5&lt;Q$5)*F39+(K$5&lt;Q$5)*L39+(W$5&lt;Q$5)*X39+(AC$5&lt;Q$5)*AD39+(AI$5&lt;Q$5)*AJ39+(AO$5&lt;Q$5)*AP39+(AU$5&lt;Q$5)*AV39)))</f>
        <v/>
      </c>
      <c r="T39">
        <f>IF(R39-S39&lt;0.005,0,R39-S39)</f>
        <v/>
      </c>
      <c r="U39">
        <f>Z38</f>
        <v/>
      </c>
      <c r="V39">
        <f>U39*Plan!D9/100/12</f>
        <v/>
      </c>
      <c r="W39">
        <f>MIN(Plan!E9,U39+V39)</f>
        <v/>
      </c>
      <c r="X39">
        <f>U39+V39-W39</f>
        <v/>
      </c>
      <c r="Y39">
        <f>MIN(X39,MAX(0,$B39-((E$5&lt;W$5)*F39+(K$5&lt;W$5)*L39+(Q$5&lt;W$5)*R39+(AC$5&lt;W$5)*AD39+(AI$5&lt;W$5)*AJ39+(AO$5&lt;W$5)*AP39+(AU$5&lt;W$5)*AV39)))</f>
        <v/>
      </c>
      <c r="Z39">
        <f>IF(X39-Y39&lt;0.005,0,X39-Y39)</f>
        <v/>
      </c>
      <c r="AA39">
        <f>AF38</f>
        <v/>
      </c>
      <c r="AB39">
        <f>AA39*Plan!D10/100/12</f>
        <v/>
      </c>
      <c r="AC39">
        <f>MIN(Plan!E10,AA39+AB39)</f>
        <v/>
      </c>
      <c r="AD39">
        <f>AA39+AB39-AC39</f>
        <v/>
      </c>
      <c r="AE39">
        <f>MIN(AD39,MAX(0,$B39-((E$5&lt;AC$5)*F39+(K$5&lt;AC$5)*L39+(Q$5&lt;AC$5)*R39+(W$5&lt;AC$5)*X39+(AI$5&lt;AC$5)*AJ39+(AO$5&lt;AC$5)*AP39+(AU$5&lt;AC$5)*AV39)))</f>
        <v/>
      </c>
      <c r="AF39">
        <f>IF(AD39-AE39&lt;0.005,0,AD39-AE39)</f>
        <v/>
      </c>
      <c r="AG39">
        <f>AL38</f>
        <v/>
      </c>
      <c r="AH39">
        <f>AG39*Plan!D11/100/12</f>
        <v/>
      </c>
      <c r="AI39">
        <f>MIN(Plan!E11,AG39+AH39)</f>
        <v/>
      </c>
      <c r="AJ39">
        <f>AG39+AH39-AI39</f>
        <v/>
      </c>
      <c r="AK39">
        <f>MIN(AJ39,MAX(0,$B39-((E$5&lt;AI$5)*F39+(K$5&lt;AI$5)*L39+(Q$5&lt;AI$5)*R39+(W$5&lt;AI$5)*X39+(AC$5&lt;AI$5)*AD39+(AO$5&lt;AI$5)*AP39+(AU$5&lt;AI$5)*AV39)))</f>
        <v/>
      </c>
      <c r="AL39">
        <f>IF(AJ39-AK39&lt;0.005,0,AJ39-AK39)</f>
        <v/>
      </c>
      <c r="AM39">
        <f>AR38</f>
        <v/>
      </c>
      <c r="AN39">
        <f>AM39*Plan!D12/100/12</f>
        <v/>
      </c>
      <c r="AO39">
        <f>MIN(Plan!E12,AM39+AN39)</f>
        <v/>
      </c>
      <c r="AP39">
        <f>AM39+AN39-AO39</f>
        <v/>
      </c>
      <c r="AQ39">
        <f>MIN(AP39,MAX(0,$B39-((E$5&lt;AO$5)*F39+(K$5&lt;AO$5)*L39+(Q$5&lt;AO$5)*R39+(W$5&lt;AO$5)*X39+(AC$5&lt;AO$5)*AD39+(AI$5&lt;AO$5)*AJ39+(AU$5&lt;AO$5)*AV39)))</f>
        <v/>
      </c>
      <c r="AR39">
        <f>IF(AP39-AQ39&lt;0.005,0,AP39-AQ39)</f>
        <v/>
      </c>
      <c r="AS39">
        <f>AX38</f>
        <v/>
      </c>
      <c r="AT39">
        <f>AS39*Plan!D13/100/12</f>
        <v/>
      </c>
      <c r="AU39">
        <f>MIN(Plan!E13,AS39+AT39)</f>
        <v/>
      </c>
      <c r="AV39">
        <f>AS39+AT39-AU39</f>
        <v/>
      </c>
      <c r="AW39">
        <f>MIN(AV39,MAX(0,$B39-((E$5&lt;AU$5)*F39+(K$5&lt;AU$5)*L39+(Q$5&lt;AU$5)*R39+(W$5&lt;AU$5)*X39+(AC$5&lt;AU$5)*AD39+(AI$5&lt;AU$5)*AJ39+(AO$5&lt;AU$5)*AP39)))</f>
        <v/>
      </c>
      <c r="AX39">
        <f>IF(AV39-AW39&lt;0.005,0,AV39-AW39)</f>
        <v/>
      </c>
      <c r="BC39">
        <f>H39+N39+T39+Z39+AF39+AL39+AR39+AX39</f>
        <v/>
      </c>
    </row>
    <row r="40">
      <c r="A40" t="n">
        <v>34</v>
      </c>
      <c r="B40" s="19">
        <f>MAX(0,$B$3-(E40+K40+Q40+W40+AC40+AI40+AO40+AU40))</f>
        <v/>
      </c>
      <c r="C40">
        <f>H39</f>
        <v/>
      </c>
      <c r="D40">
        <f>C40*Plan!D6/100/12</f>
        <v/>
      </c>
      <c r="E40">
        <f>MIN(Plan!E6,C40+D40)</f>
        <v/>
      </c>
      <c r="F40">
        <f>C40+D40-E40</f>
        <v/>
      </c>
      <c r="G40">
        <f>MIN(F40,MAX(0,$B40-((K$5&lt;E$5)*L40+(Q$5&lt;E$5)*R40+(W$5&lt;E$5)*X40+(AC$5&lt;E$5)*AD40+(AI$5&lt;E$5)*AJ40+(AO$5&lt;E$5)*AP40+(AU$5&lt;E$5)*AV40)))</f>
        <v/>
      </c>
      <c r="H40">
        <f>IF(F40-G40&lt;0.005,0,F40-G40)</f>
        <v/>
      </c>
      <c r="I40">
        <f>N39</f>
        <v/>
      </c>
      <c r="J40">
        <f>I40*Plan!D7/100/12</f>
        <v/>
      </c>
      <c r="K40">
        <f>MIN(Plan!E7,I40+J40)</f>
        <v/>
      </c>
      <c r="L40">
        <f>I40+J40-K40</f>
        <v/>
      </c>
      <c r="M40">
        <f>MIN(L40,MAX(0,$B40-((E$5&lt;K$5)*F40+(Q$5&lt;K$5)*R40+(W$5&lt;K$5)*X40+(AC$5&lt;K$5)*AD40+(AI$5&lt;K$5)*AJ40+(AO$5&lt;K$5)*AP40+(AU$5&lt;K$5)*AV40)))</f>
        <v/>
      </c>
      <c r="N40">
        <f>IF(L40-M40&lt;0.005,0,L40-M40)</f>
        <v/>
      </c>
      <c r="O40">
        <f>T39</f>
        <v/>
      </c>
      <c r="P40">
        <f>O40*Plan!D8/100/12</f>
        <v/>
      </c>
      <c r="Q40">
        <f>MIN(Plan!E8,O40+P40)</f>
        <v/>
      </c>
      <c r="R40">
        <f>O40+P40-Q40</f>
        <v/>
      </c>
      <c r="S40">
        <f>MIN(R40,MAX(0,$B40-((E$5&lt;Q$5)*F40+(K$5&lt;Q$5)*L40+(W$5&lt;Q$5)*X40+(AC$5&lt;Q$5)*AD40+(AI$5&lt;Q$5)*AJ40+(AO$5&lt;Q$5)*AP40+(AU$5&lt;Q$5)*AV40)))</f>
        <v/>
      </c>
      <c r="T40">
        <f>IF(R40-S40&lt;0.005,0,R40-S40)</f>
        <v/>
      </c>
      <c r="U40">
        <f>Z39</f>
        <v/>
      </c>
      <c r="V40">
        <f>U40*Plan!D9/100/12</f>
        <v/>
      </c>
      <c r="W40">
        <f>MIN(Plan!E9,U40+V40)</f>
        <v/>
      </c>
      <c r="X40">
        <f>U40+V40-W40</f>
        <v/>
      </c>
      <c r="Y40">
        <f>MIN(X40,MAX(0,$B40-((E$5&lt;W$5)*F40+(K$5&lt;W$5)*L40+(Q$5&lt;W$5)*R40+(AC$5&lt;W$5)*AD40+(AI$5&lt;W$5)*AJ40+(AO$5&lt;W$5)*AP40+(AU$5&lt;W$5)*AV40)))</f>
        <v/>
      </c>
      <c r="Z40">
        <f>IF(X40-Y40&lt;0.005,0,X40-Y40)</f>
        <v/>
      </c>
      <c r="AA40">
        <f>AF39</f>
        <v/>
      </c>
      <c r="AB40">
        <f>AA40*Plan!D10/100/12</f>
        <v/>
      </c>
      <c r="AC40">
        <f>MIN(Plan!E10,AA40+AB40)</f>
        <v/>
      </c>
      <c r="AD40">
        <f>AA40+AB40-AC40</f>
        <v/>
      </c>
      <c r="AE40">
        <f>MIN(AD40,MAX(0,$B40-((E$5&lt;AC$5)*F40+(K$5&lt;AC$5)*L40+(Q$5&lt;AC$5)*R40+(W$5&lt;AC$5)*X40+(AI$5&lt;AC$5)*AJ40+(AO$5&lt;AC$5)*AP40+(AU$5&lt;AC$5)*AV40)))</f>
        <v/>
      </c>
      <c r="AF40">
        <f>IF(AD40-AE40&lt;0.005,0,AD40-AE40)</f>
        <v/>
      </c>
      <c r="AG40">
        <f>AL39</f>
        <v/>
      </c>
      <c r="AH40">
        <f>AG40*Plan!D11/100/12</f>
        <v/>
      </c>
      <c r="AI40">
        <f>MIN(Plan!E11,AG40+AH40)</f>
        <v/>
      </c>
      <c r="AJ40">
        <f>AG40+AH40-AI40</f>
        <v/>
      </c>
      <c r="AK40">
        <f>MIN(AJ40,MAX(0,$B40-((E$5&lt;AI$5)*F40+(K$5&lt;AI$5)*L40+(Q$5&lt;AI$5)*R40+(W$5&lt;AI$5)*X40+(AC$5&lt;AI$5)*AD40+(AO$5&lt;AI$5)*AP40+(AU$5&lt;AI$5)*AV40)))</f>
        <v/>
      </c>
      <c r="AL40">
        <f>IF(AJ40-AK40&lt;0.005,0,AJ40-AK40)</f>
        <v/>
      </c>
      <c r="AM40">
        <f>AR39</f>
        <v/>
      </c>
      <c r="AN40">
        <f>AM40*Plan!D12/100/12</f>
        <v/>
      </c>
      <c r="AO40">
        <f>MIN(Plan!E12,AM40+AN40)</f>
        <v/>
      </c>
      <c r="AP40">
        <f>AM40+AN40-AO40</f>
        <v/>
      </c>
      <c r="AQ40">
        <f>MIN(AP40,MAX(0,$B40-((E$5&lt;AO$5)*F40+(K$5&lt;AO$5)*L40+(Q$5&lt;AO$5)*R40+(W$5&lt;AO$5)*X40+(AC$5&lt;AO$5)*AD40+(AI$5&lt;AO$5)*AJ40+(AU$5&lt;AO$5)*AV40)))</f>
        <v/>
      </c>
      <c r="AR40">
        <f>IF(AP40-AQ40&lt;0.005,0,AP40-AQ40)</f>
        <v/>
      </c>
      <c r="AS40">
        <f>AX39</f>
        <v/>
      </c>
      <c r="AT40">
        <f>AS40*Plan!D13/100/12</f>
        <v/>
      </c>
      <c r="AU40">
        <f>MIN(Plan!E13,AS40+AT40)</f>
        <v/>
      </c>
      <c r="AV40">
        <f>AS40+AT40-AU40</f>
        <v/>
      </c>
      <c r="AW40">
        <f>MIN(AV40,MAX(0,$B40-((E$5&lt;AU$5)*F40+(K$5&lt;AU$5)*L40+(Q$5&lt;AU$5)*R40+(W$5&lt;AU$5)*X40+(AC$5&lt;AU$5)*AD40+(AI$5&lt;AU$5)*AJ40+(AO$5&lt;AU$5)*AP40)))</f>
        <v/>
      </c>
      <c r="AX40">
        <f>IF(AV40-AW40&lt;0.005,0,AV40-AW40)</f>
        <v/>
      </c>
      <c r="BC40">
        <f>H40+N40+T40+Z40+AF40+AL40+AR40+AX40</f>
        <v/>
      </c>
    </row>
    <row r="41">
      <c r="A41" t="n">
        <v>35</v>
      </c>
      <c r="B41" s="19">
        <f>MAX(0,$B$3-(E41+K41+Q41+W41+AC41+AI41+AO41+AU41))</f>
        <v/>
      </c>
      <c r="C41">
        <f>H40</f>
        <v/>
      </c>
      <c r="D41">
        <f>C41*Plan!D6/100/12</f>
        <v/>
      </c>
      <c r="E41">
        <f>MIN(Plan!E6,C41+D41)</f>
        <v/>
      </c>
      <c r="F41">
        <f>C41+D41-E41</f>
        <v/>
      </c>
      <c r="G41">
        <f>MIN(F41,MAX(0,$B41-((K$5&lt;E$5)*L41+(Q$5&lt;E$5)*R41+(W$5&lt;E$5)*X41+(AC$5&lt;E$5)*AD41+(AI$5&lt;E$5)*AJ41+(AO$5&lt;E$5)*AP41+(AU$5&lt;E$5)*AV41)))</f>
        <v/>
      </c>
      <c r="H41">
        <f>IF(F41-G41&lt;0.005,0,F41-G41)</f>
        <v/>
      </c>
      <c r="I41">
        <f>N40</f>
        <v/>
      </c>
      <c r="J41">
        <f>I41*Plan!D7/100/12</f>
        <v/>
      </c>
      <c r="K41">
        <f>MIN(Plan!E7,I41+J41)</f>
        <v/>
      </c>
      <c r="L41">
        <f>I41+J41-K41</f>
        <v/>
      </c>
      <c r="M41">
        <f>MIN(L41,MAX(0,$B41-((E$5&lt;K$5)*F41+(Q$5&lt;K$5)*R41+(W$5&lt;K$5)*X41+(AC$5&lt;K$5)*AD41+(AI$5&lt;K$5)*AJ41+(AO$5&lt;K$5)*AP41+(AU$5&lt;K$5)*AV41)))</f>
        <v/>
      </c>
      <c r="N41">
        <f>IF(L41-M41&lt;0.005,0,L41-M41)</f>
        <v/>
      </c>
      <c r="O41">
        <f>T40</f>
        <v/>
      </c>
      <c r="P41">
        <f>O41*Plan!D8/100/12</f>
        <v/>
      </c>
      <c r="Q41">
        <f>MIN(Plan!E8,O41+P41)</f>
        <v/>
      </c>
      <c r="R41">
        <f>O41+P41-Q41</f>
        <v/>
      </c>
      <c r="S41">
        <f>MIN(R41,MAX(0,$B41-((E$5&lt;Q$5)*F41+(K$5&lt;Q$5)*L41+(W$5&lt;Q$5)*X41+(AC$5&lt;Q$5)*AD41+(AI$5&lt;Q$5)*AJ41+(AO$5&lt;Q$5)*AP41+(AU$5&lt;Q$5)*AV41)))</f>
        <v/>
      </c>
      <c r="T41">
        <f>IF(R41-S41&lt;0.005,0,R41-S41)</f>
        <v/>
      </c>
      <c r="U41">
        <f>Z40</f>
        <v/>
      </c>
      <c r="V41">
        <f>U41*Plan!D9/100/12</f>
        <v/>
      </c>
      <c r="W41">
        <f>MIN(Plan!E9,U41+V41)</f>
        <v/>
      </c>
      <c r="X41">
        <f>U41+V41-W41</f>
        <v/>
      </c>
      <c r="Y41">
        <f>MIN(X41,MAX(0,$B41-((E$5&lt;W$5)*F41+(K$5&lt;W$5)*L41+(Q$5&lt;W$5)*R41+(AC$5&lt;W$5)*AD41+(AI$5&lt;W$5)*AJ41+(AO$5&lt;W$5)*AP41+(AU$5&lt;W$5)*AV41)))</f>
        <v/>
      </c>
      <c r="Z41">
        <f>IF(X41-Y41&lt;0.005,0,X41-Y41)</f>
        <v/>
      </c>
      <c r="AA41">
        <f>AF40</f>
        <v/>
      </c>
      <c r="AB41">
        <f>AA41*Plan!D10/100/12</f>
        <v/>
      </c>
      <c r="AC41">
        <f>MIN(Plan!E10,AA41+AB41)</f>
        <v/>
      </c>
      <c r="AD41">
        <f>AA41+AB41-AC41</f>
        <v/>
      </c>
      <c r="AE41">
        <f>MIN(AD41,MAX(0,$B41-((E$5&lt;AC$5)*F41+(K$5&lt;AC$5)*L41+(Q$5&lt;AC$5)*R41+(W$5&lt;AC$5)*X41+(AI$5&lt;AC$5)*AJ41+(AO$5&lt;AC$5)*AP41+(AU$5&lt;AC$5)*AV41)))</f>
        <v/>
      </c>
      <c r="AF41">
        <f>IF(AD41-AE41&lt;0.005,0,AD41-AE41)</f>
        <v/>
      </c>
      <c r="AG41">
        <f>AL40</f>
        <v/>
      </c>
      <c r="AH41">
        <f>AG41*Plan!D11/100/12</f>
        <v/>
      </c>
      <c r="AI41">
        <f>MIN(Plan!E11,AG41+AH41)</f>
        <v/>
      </c>
      <c r="AJ41">
        <f>AG41+AH41-AI41</f>
        <v/>
      </c>
      <c r="AK41">
        <f>MIN(AJ41,MAX(0,$B41-((E$5&lt;AI$5)*F41+(K$5&lt;AI$5)*L41+(Q$5&lt;AI$5)*R41+(W$5&lt;AI$5)*X41+(AC$5&lt;AI$5)*AD41+(AO$5&lt;AI$5)*AP41+(AU$5&lt;AI$5)*AV41)))</f>
        <v/>
      </c>
      <c r="AL41">
        <f>IF(AJ41-AK41&lt;0.005,0,AJ41-AK41)</f>
        <v/>
      </c>
      <c r="AM41">
        <f>AR40</f>
        <v/>
      </c>
      <c r="AN41">
        <f>AM41*Plan!D12/100/12</f>
        <v/>
      </c>
      <c r="AO41">
        <f>MIN(Plan!E12,AM41+AN41)</f>
        <v/>
      </c>
      <c r="AP41">
        <f>AM41+AN41-AO41</f>
        <v/>
      </c>
      <c r="AQ41">
        <f>MIN(AP41,MAX(0,$B41-((E$5&lt;AO$5)*F41+(K$5&lt;AO$5)*L41+(Q$5&lt;AO$5)*R41+(W$5&lt;AO$5)*X41+(AC$5&lt;AO$5)*AD41+(AI$5&lt;AO$5)*AJ41+(AU$5&lt;AO$5)*AV41)))</f>
        <v/>
      </c>
      <c r="AR41">
        <f>IF(AP41-AQ41&lt;0.005,0,AP41-AQ41)</f>
        <v/>
      </c>
      <c r="AS41">
        <f>AX40</f>
        <v/>
      </c>
      <c r="AT41">
        <f>AS41*Plan!D13/100/12</f>
        <v/>
      </c>
      <c r="AU41">
        <f>MIN(Plan!E13,AS41+AT41)</f>
        <v/>
      </c>
      <c r="AV41">
        <f>AS41+AT41-AU41</f>
        <v/>
      </c>
      <c r="AW41">
        <f>MIN(AV41,MAX(0,$B41-((E$5&lt;AU$5)*F41+(K$5&lt;AU$5)*L41+(Q$5&lt;AU$5)*R41+(W$5&lt;AU$5)*X41+(AC$5&lt;AU$5)*AD41+(AI$5&lt;AU$5)*AJ41+(AO$5&lt;AU$5)*AP41)))</f>
        <v/>
      </c>
      <c r="AX41">
        <f>IF(AV41-AW41&lt;0.005,0,AV41-AW41)</f>
        <v/>
      </c>
      <c r="BC41">
        <f>H41+N41+T41+Z41+AF41+AL41+AR41+AX41</f>
        <v/>
      </c>
    </row>
    <row r="42">
      <c r="A42" t="n">
        <v>36</v>
      </c>
      <c r="B42" s="19">
        <f>MAX(0,$B$3-(E42+K42+Q42+W42+AC42+AI42+AO42+AU42))</f>
        <v/>
      </c>
      <c r="C42">
        <f>H41</f>
        <v/>
      </c>
      <c r="D42">
        <f>C42*Plan!D6/100/12</f>
        <v/>
      </c>
      <c r="E42">
        <f>MIN(Plan!E6,C42+D42)</f>
        <v/>
      </c>
      <c r="F42">
        <f>C42+D42-E42</f>
        <v/>
      </c>
      <c r="G42">
        <f>MIN(F42,MAX(0,$B42-((K$5&lt;E$5)*L42+(Q$5&lt;E$5)*R42+(W$5&lt;E$5)*X42+(AC$5&lt;E$5)*AD42+(AI$5&lt;E$5)*AJ42+(AO$5&lt;E$5)*AP42+(AU$5&lt;E$5)*AV42)))</f>
        <v/>
      </c>
      <c r="H42">
        <f>IF(F42-G42&lt;0.005,0,F42-G42)</f>
        <v/>
      </c>
      <c r="I42">
        <f>N41</f>
        <v/>
      </c>
      <c r="J42">
        <f>I42*Plan!D7/100/12</f>
        <v/>
      </c>
      <c r="K42">
        <f>MIN(Plan!E7,I42+J42)</f>
        <v/>
      </c>
      <c r="L42">
        <f>I42+J42-K42</f>
        <v/>
      </c>
      <c r="M42">
        <f>MIN(L42,MAX(0,$B42-((E$5&lt;K$5)*F42+(Q$5&lt;K$5)*R42+(W$5&lt;K$5)*X42+(AC$5&lt;K$5)*AD42+(AI$5&lt;K$5)*AJ42+(AO$5&lt;K$5)*AP42+(AU$5&lt;K$5)*AV42)))</f>
        <v/>
      </c>
      <c r="N42">
        <f>IF(L42-M42&lt;0.005,0,L42-M42)</f>
        <v/>
      </c>
      <c r="O42">
        <f>T41</f>
        <v/>
      </c>
      <c r="P42">
        <f>O42*Plan!D8/100/12</f>
        <v/>
      </c>
      <c r="Q42">
        <f>MIN(Plan!E8,O42+P42)</f>
        <v/>
      </c>
      <c r="R42">
        <f>O42+P42-Q42</f>
        <v/>
      </c>
      <c r="S42">
        <f>MIN(R42,MAX(0,$B42-((E$5&lt;Q$5)*F42+(K$5&lt;Q$5)*L42+(W$5&lt;Q$5)*X42+(AC$5&lt;Q$5)*AD42+(AI$5&lt;Q$5)*AJ42+(AO$5&lt;Q$5)*AP42+(AU$5&lt;Q$5)*AV42)))</f>
        <v/>
      </c>
      <c r="T42">
        <f>IF(R42-S42&lt;0.005,0,R42-S42)</f>
        <v/>
      </c>
      <c r="U42">
        <f>Z41</f>
        <v/>
      </c>
      <c r="V42">
        <f>U42*Plan!D9/100/12</f>
        <v/>
      </c>
      <c r="W42">
        <f>MIN(Plan!E9,U42+V42)</f>
        <v/>
      </c>
      <c r="X42">
        <f>U42+V42-W42</f>
        <v/>
      </c>
      <c r="Y42">
        <f>MIN(X42,MAX(0,$B42-((E$5&lt;W$5)*F42+(K$5&lt;W$5)*L42+(Q$5&lt;W$5)*R42+(AC$5&lt;W$5)*AD42+(AI$5&lt;W$5)*AJ42+(AO$5&lt;W$5)*AP42+(AU$5&lt;W$5)*AV42)))</f>
        <v/>
      </c>
      <c r="Z42">
        <f>IF(X42-Y42&lt;0.005,0,X42-Y42)</f>
        <v/>
      </c>
      <c r="AA42">
        <f>AF41</f>
        <v/>
      </c>
      <c r="AB42">
        <f>AA42*Plan!D10/100/12</f>
        <v/>
      </c>
      <c r="AC42">
        <f>MIN(Plan!E10,AA42+AB42)</f>
        <v/>
      </c>
      <c r="AD42">
        <f>AA42+AB42-AC42</f>
        <v/>
      </c>
      <c r="AE42">
        <f>MIN(AD42,MAX(0,$B42-((E$5&lt;AC$5)*F42+(K$5&lt;AC$5)*L42+(Q$5&lt;AC$5)*R42+(W$5&lt;AC$5)*X42+(AI$5&lt;AC$5)*AJ42+(AO$5&lt;AC$5)*AP42+(AU$5&lt;AC$5)*AV42)))</f>
        <v/>
      </c>
      <c r="AF42">
        <f>IF(AD42-AE42&lt;0.005,0,AD42-AE42)</f>
        <v/>
      </c>
      <c r="AG42">
        <f>AL41</f>
        <v/>
      </c>
      <c r="AH42">
        <f>AG42*Plan!D11/100/12</f>
        <v/>
      </c>
      <c r="AI42">
        <f>MIN(Plan!E11,AG42+AH42)</f>
        <v/>
      </c>
      <c r="AJ42">
        <f>AG42+AH42-AI42</f>
        <v/>
      </c>
      <c r="AK42">
        <f>MIN(AJ42,MAX(0,$B42-((E$5&lt;AI$5)*F42+(K$5&lt;AI$5)*L42+(Q$5&lt;AI$5)*R42+(W$5&lt;AI$5)*X42+(AC$5&lt;AI$5)*AD42+(AO$5&lt;AI$5)*AP42+(AU$5&lt;AI$5)*AV42)))</f>
        <v/>
      </c>
      <c r="AL42">
        <f>IF(AJ42-AK42&lt;0.005,0,AJ42-AK42)</f>
        <v/>
      </c>
      <c r="AM42">
        <f>AR41</f>
        <v/>
      </c>
      <c r="AN42">
        <f>AM42*Plan!D12/100/12</f>
        <v/>
      </c>
      <c r="AO42">
        <f>MIN(Plan!E12,AM42+AN42)</f>
        <v/>
      </c>
      <c r="AP42">
        <f>AM42+AN42-AO42</f>
        <v/>
      </c>
      <c r="AQ42">
        <f>MIN(AP42,MAX(0,$B42-((E$5&lt;AO$5)*F42+(K$5&lt;AO$5)*L42+(Q$5&lt;AO$5)*R42+(W$5&lt;AO$5)*X42+(AC$5&lt;AO$5)*AD42+(AI$5&lt;AO$5)*AJ42+(AU$5&lt;AO$5)*AV42)))</f>
        <v/>
      </c>
      <c r="AR42">
        <f>IF(AP42-AQ42&lt;0.005,0,AP42-AQ42)</f>
        <v/>
      </c>
      <c r="AS42">
        <f>AX41</f>
        <v/>
      </c>
      <c r="AT42">
        <f>AS42*Plan!D13/100/12</f>
        <v/>
      </c>
      <c r="AU42">
        <f>MIN(Plan!E13,AS42+AT42)</f>
        <v/>
      </c>
      <c r="AV42">
        <f>AS42+AT42-AU42</f>
        <v/>
      </c>
      <c r="AW42">
        <f>MIN(AV42,MAX(0,$B42-((E$5&lt;AU$5)*F42+(K$5&lt;AU$5)*L42+(Q$5&lt;AU$5)*R42+(W$5&lt;AU$5)*X42+(AC$5&lt;AU$5)*AD42+(AI$5&lt;AU$5)*AJ42+(AO$5&lt;AU$5)*AP42)))</f>
        <v/>
      </c>
      <c r="AX42">
        <f>IF(AV42-AW42&lt;0.005,0,AV42-AW42)</f>
        <v/>
      </c>
      <c r="BC42">
        <f>H42+N42+T42+Z42+AF42+AL42+AR42+AX42</f>
        <v/>
      </c>
    </row>
    <row r="43">
      <c r="A43" t="n">
        <v>37</v>
      </c>
      <c r="B43" s="19">
        <f>MAX(0,$B$3-(E43+K43+Q43+W43+AC43+AI43+AO43+AU43))</f>
        <v/>
      </c>
      <c r="C43">
        <f>H42</f>
        <v/>
      </c>
      <c r="D43">
        <f>C43*Plan!D6/100/12</f>
        <v/>
      </c>
      <c r="E43">
        <f>MIN(Plan!E6,C43+D43)</f>
        <v/>
      </c>
      <c r="F43">
        <f>C43+D43-E43</f>
        <v/>
      </c>
      <c r="G43">
        <f>MIN(F43,MAX(0,$B43-((K$5&lt;E$5)*L43+(Q$5&lt;E$5)*R43+(W$5&lt;E$5)*X43+(AC$5&lt;E$5)*AD43+(AI$5&lt;E$5)*AJ43+(AO$5&lt;E$5)*AP43+(AU$5&lt;E$5)*AV43)))</f>
        <v/>
      </c>
      <c r="H43">
        <f>IF(F43-G43&lt;0.005,0,F43-G43)</f>
        <v/>
      </c>
      <c r="I43">
        <f>N42</f>
        <v/>
      </c>
      <c r="J43">
        <f>I43*Plan!D7/100/12</f>
        <v/>
      </c>
      <c r="K43">
        <f>MIN(Plan!E7,I43+J43)</f>
        <v/>
      </c>
      <c r="L43">
        <f>I43+J43-K43</f>
        <v/>
      </c>
      <c r="M43">
        <f>MIN(L43,MAX(0,$B43-((E$5&lt;K$5)*F43+(Q$5&lt;K$5)*R43+(W$5&lt;K$5)*X43+(AC$5&lt;K$5)*AD43+(AI$5&lt;K$5)*AJ43+(AO$5&lt;K$5)*AP43+(AU$5&lt;K$5)*AV43)))</f>
        <v/>
      </c>
      <c r="N43">
        <f>IF(L43-M43&lt;0.005,0,L43-M43)</f>
        <v/>
      </c>
      <c r="O43">
        <f>T42</f>
        <v/>
      </c>
      <c r="P43">
        <f>O43*Plan!D8/100/12</f>
        <v/>
      </c>
      <c r="Q43">
        <f>MIN(Plan!E8,O43+P43)</f>
        <v/>
      </c>
      <c r="R43">
        <f>O43+P43-Q43</f>
        <v/>
      </c>
      <c r="S43">
        <f>MIN(R43,MAX(0,$B43-((E$5&lt;Q$5)*F43+(K$5&lt;Q$5)*L43+(W$5&lt;Q$5)*X43+(AC$5&lt;Q$5)*AD43+(AI$5&lt;Q$5)*AJ43+(AO$5&lt;Q$5)*AP43+(AU$5&lt;Q$5)*AV43)))</f>
        <v/>
      </c>
      <c r="T43">
        <f>IF(R43-S43&lt;0.005,0,R43-S43)</f>
        <v/>
      </c>
      <c r="U43">
        <f>Z42</f>
        <v/>
      </c>
      <c r="V43">
        <f>U43*Plan!D9/100/12</f>
        <v/>
      </c>
      <c r="W43">
        <f>MIN(Plan!E9,U43+V43)</f>
        <v/>
      </c>
      <c r="X43">
        <f>U43+V43-W43</f>
        <v/>
      </c>
      <c r="Y43">
        <f>MIN(X43,MAX(0,$B43-((E$5&lt;W$5)*F43+(K$5&lt;W$5)*L43+(Q$5&lt;W$5)*R43+(AC$5&lt;W$5)*AD43+(AI$5&lt;W$5)*AJ43+(AO$5&lt;W$5)*AP43+(AU$5&lt;W$5)*AV43)))</f>
        <v/>
      </c>
      <c r="Z43">
        <f>IF(X43-Y43&lt;0.005,0,X43-Y43)</f>
        <v/>
      </c>
      <c r="AA43">
        <f>AF42</f>
        <v/>
      </c>
      <c r="AB43">
        <f>AA43*Plan!D10/100/12</f>
        <v/>
      </c>
      <c r="AC43">
        <f>MIN(Plan!E10,AA43+AB43)</f>
        <v/>
      </c>
      <c r="AD43">
        <f>AA43+AB43-AC43</f>
        <v/>
      </c>
      <c r="AE43">
        <f>MIN(AD43,MAX(0,$B43-((E$5&lt;AC$5)*F43+(K$5&lt;AC$5)*L43+(Q$5&lt;AC$5)*R43+(W$5&lt;AC$5)*X43+(AI$5&lt;AC$5)*AJ43+(AO$5&lt;AC$5)*AP43+(AU$5&lt;AC$5)*AV43)))</f>
        <v/>
      </c>
      <c r="AF43">
        <f>IF(AD43-AE43&lt;0.005,0,AD43-AE43)</f>
        <v/>
      </c>
      <c r="AG43">
        <f>AL42</f>
        <v/>
      </c>
      <c r="AH43">
        <f>AG43*Plan!D11/100/12</f>
        <v/>
      </c>
      <c r="AI43">
        <f>MIN(Plan!E11,AG43+AH43)</f>
        <v/>
      </c>
      <c r="AJ43">
        <f>AG43+AH43-AI43</f>
        <v/>
      </c>
      <c r="AK43">
        <f>MIN(AJ43,MAX(0,$B43-((E$5&lt;AI$5)*F43+(K$5&lt;AI$5)*L43+(Q$5&lt;AI$5)*R43+(W$5&lt;AI$5)*X43+(AC$5&lt;AI$5)*AD43+(AO$5&lt;AI$5)*AP43+(AU$5&lt;AI$5)*AV43)))</f>
        <v/>
      </c>
      <c r="AL43">
        <f>IF(AJ43-AK43&lt;0.005,0,AJ43-AK43)</f>
        <v/>
      </c>
      <c r="AM43">
        <f>AR42</f>
        <v/>
      </c>
      <c r="AN43">
        <f>AM43*Plan!D12/100/12</f>
        <v/>
      </c>
      <c r="AO43">
        <f>MIN(Plan!E12,AM43+AN43)</f>
        <v/>
      </c>
      <c r="AP43">
        <f>AM43+AN43-AO43</f>
        <v/>
      </c>
      <c r="AQ43">
        <f>MIN(AP43,MAX(0,$B43-((E$5&lt;AO$5)*F43+(K$5&lt;AO$5)*L43+(Q$5&lt;AO$5)*R43+(W$5&lt;AO$5)*X43+(AC$5&lt;AO$5)*AD43+(AI$5&lt;AO$5)*AJ43+(AU$5&lt;AO$5)*AV43)))</f>
        <v/>
      </c>
      <c r="AR43">
        <f>IF(AP43-AQ43&lt;0.005,0,AP43-AQ43)</f>
        <v/>
      </c>
      <c r="AS43">
        <f>AX42</f>
        <v/>
      </c>
      <c r="AT43">
        <f>AS43*Plan!D13/100/12</f>
        <v/>
      </c>
      <c r="AU43">
        <f>MIN(Plan!E13,AS43+AT43)</f>
        <v/>
      </c>
      <c r="AV43">
        <f>AS43+AT43-AU43</f>
        <v/>
      </c>
      <c r="AW43">
        <f>MIN(AV43,MAX(0,$B43-((E$5&lt;AU$5)*F43+(K$5&lt;AU$5)*L43+(Q$5&lt;AU$5)*R43+(W$5&lt;AU$5)*X43+(AC$5&lt;AU$5)*AD43+(AI$5&lt;AU$5)*AJ43+(AO$5&lt;AU$5)*AP43)))</f>
        <v/>
      </c>
      <c r="AX43">
        <f>IF(AV43-AW43&lt;0.005,0,AV43-AW43)</f>
        <v/>
      </c>
      <c r="BC43">
        <f>H43+N43+T43+Z43+AF43+AL43+AR43+AX43</f>
        <v/>
      </c>
    </row>
    <row r="44">
      <c r="A44" t="n">
        <v>38</v>
      </c>
      <c r="B44" s="19">
        <f>MAX(0,$B$3-(E44+K44+Q44+W44+AC44+AI44+AO44+AU44))</f>
        <v/>
      </c>
      <c r="C44">
        <f>H43</f>
        <v/>
      </c>
      <c r="D44">
        <f>C44*Plan!D6/100/12</f>
        <v/>
      </c>
      <c r="E44">
        <f>MIN(Plan!E6,C44+D44)</f>
        <v/>
      </c>
      <c r="F44">
        <f>C44+D44-E44</f>
        <v/>
      </c>
      <c r="G44">
        <f>MIN(F44,MAX(0,$B44-((K$5&lt;E$5)*L44+(Q$5&lt;E$5)*R44+(W$5&lt;E$5)*X44+(AC$5&lt;E$5)*AD44+(AI$5&lt;E$5)*AJ44+(AO$5&lt;E$5)*AP44+(AU$5&lt;E$5)*AV44)))</f>
        <v/>
      </c>
      <c r="H44">
        <f>IF(F44-G44&lt;0.005,0,F44-G44)</f>
        <v/>
      </c>
      <c r="I44">
        <f>N43</f>
        <v/>
      </c>
      <c r="J44">
        <f>I44*Plan!D7/100/12</f>
        <v/>
      </c>
      <c r="K44">
        <f>MIN(Plan!E7,I44+J44)</f>
        <v/>
      </c>
      <c r="L44">
        <f>I44+J44-K44</f>
        <v/>
      </c>
      <c r="M44">
        <f>MIN(L44,MAX(0,$B44-((E$5&lt;K$5)*F44+(Q$5&lt;K$5)*R44+(W$5&lt;K$5)*X44+(AC$5&lt;K$5)*AD44+(AI$5&lt;K$5)*AJ44+(AO$5&lt;K$5)*AP44+(AU$5&lt;K$5)*AV44)))</f>
        <v/>
      </c>
      <c r="N44">
        <f>IF(L44-M44&lt;0.005,0,L44-M44)</f>
        <v/>
      </c>
      <c r="O44">
        <f>T43</f>
        <v/>
      </c>
      <c r="P44">
        <f>O44*Plan!D8/100/12</f>
        <v/>
      </c>
      <c r="Q44">
        <f>MIN(Plan!E8,O44+P44)</f>
        <v/>
      </c>
      <c r="R44">
        <f>O44+P44-Q44</f>
        <v/>
      </c>
      <c r="S44">
        <f>MIN(R44,MAX(0,$B44-((E$5&lt;Q$5)*F44+(K$5&lt;Q$5)*L44+(W$5&lt;Q$5)*X44+(AC$5&lt;Q$5)*AD44+(AI$5&lt;Q$5)*AJ44+(AO$5&lt;Q$5)*AP44+(AU$5&lt;Q$5)*AV44)))</f>
        <v/>
      </c>
      <c r="T44">
        <f>IF(R44-S44&lt;0.005,0,R44-S44)</f>
        <v/>
      </c>
      <c r="U44">
        <f>Z43</f>
        <v/>
      </c>
      <c r="V44">
        <f>U44*Plan!D9/100/12</f>
        <v/>
      </c>
      <c r="W44">
        <f>MIN(Plan!E9,U44+V44)</f>
        <v/>
      </c>
      <c r="X44">
        <f>U44+V44-W44</f>
        <v/>
      </c>
      <c r="Y44">
        <f>MIN(X44,MAX(0,$B44-((E$5&lt;W$5)*F44+(K$5&lt;W$5)*L44+(Q$5&lt;W$5)*R44+(AC$5&lt;W$5)*AD44+(AI$5&lt;W$5)*AJ44+(AO$5&lt;W$5)*AP44+(AU$5&lt;W$5)*AV44)))</f>
        <v/>
      </c>
      <c r="Z44">
        <f>IF(X44-Y44&lt;0.005,0,X44-Y44)</f>
        <v/>
      </c>
      <c r="AA44">
        <f>AF43</f>
        <v/>
      </c>
      <c r="AB44">
        <f>AA44*Plan!D10/100/12</f>
        <v/>
      </c>
      <c r="AC44">
        <f>MIN(Plan!E10,AA44+AB44)</f>
        <v/>
      </c>
      <c r="AD44">
        <f>AA44+AB44-AC44</f>
        <v/>
      </c>
      <c r="AE44">
        <f>MIN(AD44,MAX(0,$B44-((E$5&lt;AC$5)*F44+(K$5&lt;AC$5)*L44+(Q$5&lt;AC$5)*R44+(W$5&lt;AC$5)*X44+(AI$5&lt;AC$5)*AJ44+(AO$5&lt;AC$5)*AP44+(AU$5&lt;AC$5)*AV44)))</f>
        <v/>
      </c>
      <c r="AF44">
        <f>IF(AD44-AE44&lt;0.005,0,AD44-AE44)</f>
        <v/>
      </c>
      <c r="AG44">
        <f>AL43</f>
        <v/>
      </c>
      <c r="AH44">
        <f>AG44*Plan!D11/100/12</f>
        <v/>
      </c>
      <c r="AI44">
        <f>MIN(Plan!E11,AG44+AH44)</f>
        <v/>
      </c>
      <c r="AJ44">
        <f>AG44+AH44-AI44</f>
        <v/>
      </c>
      <c r="AK44">
        <f>MIN(AJ44,MAX(0,$B44-((E$5&lt;AI$5)*F44+(K$5&lt;AI$5)*L44+(Q$5&lt;AI$5)*R44+(W$5&lt;AI$5)*X44+(AC$5&lt;AI$5)*AD44+(AO$5&lt;AI$5)*AP44+(AU$5&lt;AI$5)*AV44)))</f>
        <v/>
      </c>
      <c r="AL44">
        <f>IF(AJ44-AK44&lt;0.005,0,AJ44-AK44)</f>
        <v/>
      </c>
      <c r="AM44">
        <f>AR43</f>
        <v/>
      </c>
      <c r="AN44">
        <f>AM44*Plan!D12/100/12</f>
        <v/>
      </c>
      <c r="AO44">
        <f>MIN(Plan!E12,AM44+AN44)</f>
        <v/>
      </c>
      <c r="AP44">
        <f>AM44+AN44-AO44</f>
        <v/>
      </c>
      <c r="AQ44">
        <f>MIN(AP44,MAX(0,$B44-((E$5&lt;AO$5)*F44+(K$5&lt;AO$5)*L44+(Q$5&lt;AO$5)*R44+(W$5&lt;AO$5)*X44+(AC$5&lt;AO$5)*AD44+(AI$5&lt;AO$5)*AJ44+(AU$5&lt;AO$5)*AV44)))</f>
        <v/>
      </c>
      <c r="AR44">
        <f>IF(AP44-AQ44&lt;0.005,0,AP44-AQ44)</f>
        <v/>
      </c>
      <c r="AS44">
        <f>AX43</f>
        <v/>
      </c>
      <c r="AT44">
        <f>AS44*Plan!D13/100/12</f>
        <v/>
      </c>
      <c r="AU44">
        <f>MIN(Plan!E13,AS44+AT44)</f>
        <v/>
      </c>
      <c r="AV44">
        <f>AS44+AT44-AU44</f>
        <v/>
      </c>
      <c r="AW44">
        <f>MIN(AV44,MAX(0,$B44-((E$5&lt;AU$5)*F44+(K$5&lt;AU$5)*L44+(Q$5&lt;AU$5)*R44+(W$5&lt;AU$5)*X44+(AC$5&lt;AU$5)*AD44+(AI$5&lt;AU$5)*AJ44+(AO$5&lt;AU$5)*AP44)))</f>
        <v/>
      </c>
      <c r="AX44">
        <f>IF(AV44-AW44&lt;0.005,0,AV44-AW44)</f>
        <v/>
      </c>
      <c r="BC44">
        <f>H44+N44+T44+Z44+AF44+AL44+AR44+AX44</f>
        <v/>
      </c>
    </row>
    <row r="45">
      <c r="A45" t="n">
        <v>39</v>
      </c>
      <c r="B45" s="19">
        <f>MAX(0,$B$3-(E45+K45+Q45+W45+AC45+AI45+AO45+AU45))</f>
        <v/>
      </c>
      <c r="C45">
        <f>H44</f>
        <v/>
      </c>
      <c r="D45">
        <f>C45*Plan!D6/100/12</f>
        <v/>
      </c>
      <c r="E45">
        <f>MIN(Plan!E6,C45+D45)</f>
        <v/>
      </c>
      <c r="F45">
        <f>C45+D45-E45</f>
        <v/>
      </c>
      <c r="G45">
        <f>MIN(F45,MAX(0,$B45-((K$5&lt;E$5)*L45+(Q$5&lt;E$5)*R45+(W$5&lt;E$5)*X45+(AC$5&lt;E$5)*AD45+(AI$5&lt;E$5)*AJ45+(AO$5&lt;E$5)*AP45+(AU$5&lt;E$5)*AV45)))</f>
        <v/>
      </c>
      <c r="H45">
        <f>IF(F45-G45&lt;0.005,0,F45-G45)</f>
        <v/>
      </c>
      <c r="I45">
        <f>N44</f>
        <v/>
      </c>
      <c r="J45">
        <f>I45*Plan!D7/100/12</f>
        <v/>
      </c>
      <c r="K45">
        <f>MIN(Plan!E7,I45+J45)</f>
        <v/>
      </c>
      <c r="L45">
        <f>I45+J45-K45</f>
        <v/>
      </c>
      <c r="M45">
        <f>MIN(L45,MAX(0,$B45-((E$5&lt;K$5)*F45+(Q$5&lt;K$5)*R45+(W$5&lt;K$5)*X45+(AC$5&lt;K$5)*AD45+(AI$5&lt;K$5)*AJ45+(AO$5&lt;K$5)*AP45+(AU$5&lt;K$5)*AV45)))</f>
        <v/>
      </c>
      <c r="N45">
        <f>IF(L45-M45&lt;0.005,0,L45-M45)</f>
        <v/>
      </c>
      <c r="O45">
        <f>T44</f>
        <v/>
      </c>
      <c r="P45">
        <f>O45*Plan!D8/100/12</f>
        <v/>
      </c>
      <c r="Q45">
        <f>MIN(Plan!E8,O45+P45)</f>
        <v/>
      </c>
      <c r="R45">
        <f>O45+P45-Q45</f>
        <v/>
      </c>
      <c r="S45">
        <f>MIN(R45,MAX(0,$B45-((E$5&lt;Q$5)*F45+(K$5&lt;Q$5)*L45+(W$5&lt;Q$5)*X45+(AC$5&lt;Q$5)*AD45+(AI$5&lt;Q$5)*AJ45+(AO$5&lt;Q$5)*AP45+(AU$5&lt;Q$5)*AV45)))</f>
        <v/>
      </c>
      <c r="T45">
        <f>IF(R45-S45&lt;0.005,0,R45-S45)</f>
        <v/>
      </c>
      <c r="U45">
        <f>Z44</f>
        <v/>
      </c>
      <c r="V45">
        <f>U45*Plan!D9/100/12</f>
        <v/>
      </c>
      <c r="W45">
        <f>MIN(Plan!E9,U45+V45)</f>
        <v/>
      </c>
      <c r="X45">
        <f>U45+V45-W45</f>
        <v/>
      </c>
      <c r="Y45">
        <f>MIN(X45,MAX(0,$B45-((E$5&lt;W$5)*F45+(K$5&lt;W$5)*L45+(Q$5&lt;W$5)*R45+(AC$5&lt;W$5)*AD45+(AI$5&lt;W$5)*AJ45+(AO$5&lt;W$5)*AP45+(AU$5&lt;W$5)*AV45)))</f>
        <v/>
      </c>
      <c r="Z45">
        <f>IF(X45-Y45&lt;0.005,0,X45-Y45)</f>
        <v/>
      </c>
      <c r="AA45">
        <f>AF44</f>
        <v/>
      </c>
      <c r="AB45">
        <f>AA45*Plan!D10/100/12</f>
        <v/>
      </c>
      <c r="AC45">
        <f>MIN(Plan!E10,AA45+AB45)</f>
        <v/>
      </c>
      <c r="AD45">
        <f>AA45+AB45-AC45</f>
        <v/>
      </c>
      <c r="AE45">
        <f>MIN(AD45,MAX(0,$B45-((E$5&lt;AC$5)*F45+(K$5&lt;AC$5)*L45+(Q$5&lt;AC$5)*R45+(W$5&lt;AC$5)*X45+(AI$5&lt;AC$5)*AJ45+(AO$5&lt;AC$5)*AP45+(AU$5&lt;AC$5)*AV45)))</f>
        <v/>
      </c>
      <c r="AF45">
        <f>IF(AD45-AE45&lt;0.005,0,AD45-AE45)</f>
        <v/>
      </c>
      <c r="AG45">
        <f>AL44</f>
        <v/>
      </c>
      <c r="AH45">
        <f>AG45*Plan!D11/100/12</f>
        <v/>
      </c>
      <c r="AI45">
        <f>MIN(Plan!E11,AG45+AH45)</f>
        <v/>
      </c>
      <c r="AJ45">
        <f>AG45+AH45-AI45</f>
        <v/>
      </c>
      <c r="AK45">
        <f>MIN(AJ45,MAX(0,$B45-((E$5&lt;AI$5)*F45+(K$5&lt;AI$5)*L45+(Q$5&lt;AI$5)*R45+(W$5&lt;AI$5)*X45+(AC$5&lt;AI$5)*AD45+(AO$5&lt;AI$5)*AP45+(AU$5&lt;AI$5)*AV45)))</f>
        <v/>
      </c>
      <c r="AL45">
        <f>IF(AJ45-AK45&lt;0.005,0,AJ45-AK45)</f>
        <v/>
      </c>
      <c r="AM45">
        <f>AR44</f>
        <v/>
      </c>
      <c r="AN45">
        <f>AM45*Plan!D12/100/12</f>
        <v/>
      </c>
      <c r="AO45">
        <f>MIN(Plan!E12,AM45+AN45)</f>
        <v/>
      </c>
      <c r="AP45">
        <f>AM45+AN45-AO45</f>
        <v/>
      </c>
      <c r="AQ45">
        <f>MIN(AP45,MAX(0,$B45-((E$5&lt;AO$5)*F45+(K$5&lt;AO$5)*L45+(Q$5&lt;AO$5)*R45+(W$5&lt;AO$5)*X45+(AC$5&lt;AO$5)*AD45+(AI$5&lt;AO$5)*AJ45+(AU$5&lt;AO$5)*AV45)))</f>
        <v/>
      </c>
      <c r="AR45">
        <f>IF(AP45-AQ45&lt;0.005,0,AP45-AQ45)</f>
        <v/>
      </c>
      <c r="AS45">
        <f>AX44</f>
        <v/>
      </c>
      <c r="AT45">
        <f>AS45*Plan!D13/100/12</f>
        <v/>
      </c>
      <c r="AU45">
        <f>MIN(Plan!E13,AS45+AT45)</f>
        <v/>
      </c>
      <c r="AV45">
        <f>AS45+AT45-AU45</f>
        <v/>
      </c>
      <c r="AW45">
        <f>MIN(AV45,MAX(0,$B45-((E$5&lt;AU$5)*F45+(K$5&lt;AU$5)*L45+(Q$5&lt;AU$5)*R45+(W$5&lt;AU$5)*X45+(AC$5&lt;AU$5)*AD45+(AI$5&lt;AU$5)*AJ45+(AO$5&lt;AU$5)*AP45)))</f>
        <v/>
      </c>
      <c r="AX45">
        <f>IF(AV45-AW45&lt;0.005,0,AV45-AW45)</f>
        <v/>
      </c>
      <c r="BC45">
        <f>H45+N45+T45+Z45+AF45+AL45+AR45+AX45</f>
        <v/>
      </c>
    </row>
    <row r="46">
      <c r="A46" t="n">
        <v>40</v>
      </c>
      <c r="B46" s="19">
        <f>MAX(0,$B$3-(E46+K46+Q46+W46+AC46+AI46+AO46+AU46))</f>
        <v/>
      </c>
      <c r="C46">
        <f>H45</f>
        <v/>
      </c>
      <c r="D46">
        <f>C46*Plan!D6/100/12</f>
        <v/>
      </c>
      <c r="E46">
        <f>MIN(Plan!E6,C46+D46)</f>
        <v/>
      </c>
      <c r="F46">
        <f>C46+D46-E46</f>
        <v/>
      </c>
      <c r="G46">
        <f>MIN(F46,MAX(0,$B46-((K$5&lt;E$5)*L46+(Q$5&lt;E$5)*R46+(W$5&lt;E$5)*X46+(AC$5&lt;E$5)*AD46+(AI$5&lt;E$5)*AJ46+(AO$5&lt;E$5)*AP46+(AU$5&lt;E$5)*AV46)))</f>
        <v/>
      </c>
      <c r="H46">
        <f>IF(F46-G46&lt;0.005,0,F46-G46)</f>
        <v/>
      </c>
      <c r="I46">
        <f>N45</f>
        <v/>
      </c>
      <c r="J46">
        <f>I46*Plan!D7/100/12</f>
        <v/>
      </c>
      <c r="K46">
        <f>MIN(Plan!E7,I46+J46)</f>
        <v/>
      </c>
      <c r="L46">
        <f>I46+J46-K46</f>
        <v/>
      </c>
      <c r="M46">
        <f>MIN(L46,MAX(0,$B46-((E$5&lt;K$5)*F46+(Q$5&lt;K$5)*R46+(W$5&lt;K$5)*X46+(AC$5&lt;K$5)*AD46+(AI$5&lt;K$5)*AJ46+(AO$5&lt;K$5)*AP46+(AU$5&lt;K$5)*AV46)))</f>
        <v/>
      </c>
      <c r="N46">
        <f>IF(L46-M46&lt;0.005,0,L46-M46)</f>
        <v/>
      </c>
      <c r="O46">
        <f>T45</f>
        <v/>
      </c>
      <c r="P46">
        <f>O46*Plan!D8/100/12</f>
        <v/>
      </c>
      <c r="Q46">
        <f>MIN(Plan!E8,O46+P46)</f>
        <v/>
      </c>
      <c r="R46">
        <f>O46+P46-Q46</f>
        <v/>
      </c>
      <c r="S46">
        <f>MIN(R46,MAX(0,$B46-((E$5&lt;Q$5)*F46+(K$5&lt;Q$5)*L46+(W$5&lt;Q$5)*X46+(AC$5&lt;Q$5)*AD46+(AI$5&lt;Q$5)*AJ46+(AO$5&lt;Q$5)*AP46+(AU$5&lt;Q$5)*AV46)))</f>
        <v/>
      </c>
      <c r="T46">
        <f>IF(R46-S46&lt;0.005,0,R46-S46)</f>
        <v/>
      </c>
      <c r="U46">
        <f>Z45</f>
        <v/>
      </c>
      <c r="V46">
        <f>U46*Plan!D9/100/12</f>
        <v/>
      </c>
      <c r="W46">
        <f>MIN(Plan!E9,U46+V46)</f>
        <v/>
      </c>
      <c r="X46">
        <f>U46+V46-W46</f>
        <v/>
      </c>
      <c r="Y46">
        <f>MIN(X46,MAX(0,$B46-((E$5&lt;W$5)*F46+(K$5&lt;W$5)*L46+(Q$5&lt;W$5)*R46+(AC$5&lt;W$5)*AD46+(AI$5&lt;W$5)*AJ46+(AO$5&lt;W$5)*AP46+(AU$5&lt;W$5)*AV46)))</f>
        <v/>
      </c>
      <c r="Z46">
        <f>IF(X46-Y46&lt;0.005,0,X46-Y46)</f>
        <v/>
      </c>
      <c r="AA46">
        <f>AF45</f>
        <v/>
      </c>
      <c r="AB46">
        <f>AA46*Plan!D10/100/12</f>
        <v/>
      </c>
      <c r="AC46">
        <f>MIN(Plan!E10,AA46+AB46)</f>
        <v/>
      </c>
      <c r="AD46">
        <f>AA46+AB46-AC46</f>
        <v/>
      </c>
      <c r="AE46">
        <f>MIN(AD46,MAX(0,$B46-((E$5&lt;AC$5)*F46+(K$5&lt;AC$5)*L46+(Q$5&lt;AC$5)*R46+(W$5&lt;AC$5)*X46+(AI$5&lt;AC$5)*AJ46+(AO$5&lt;AC$5)*AP46+(AU$5&lt;AC$5)*AV46)))</f>
        <v/>
      </c>
      <c r="AF46">
        <f>IF(AD46-AE46&lt;0.005,0,AD46-AE46)</f>
        <v/>
      </c>
      <c r="AG46">
        <f>AL45</f>
        <v/>
      </c>
      <c r="AH46">
        <f>AG46*Plan!D11/100/12</f>
        <v/>
      </c>
      <c r="AI46">
        <f>MIN(Plan!E11,AG46+AH46)</f>
        <v/>
      </c>
      <c r="AJ46">
        <f>AG46+AH46-AI46</f>
        <v/>
      </c>
      <c r="AK46">
        <f>MIN(AJ46,MAX(0,$B46-((E$5&lt;AI$5)*F46+(K$5&lt;AI$5)*L46+(Q$5&lt;AI$5)*R46+(W$5&lt;AI$5)*X46+(AC$5&lt;AI$5)*AD46+(AO$5&lt;AI$5)*AP46+(AU$5&lt;AI$5)*AV46)))</f>
        <v/>
      </c>
      <c r="AL46">
        <f>IF(AJ46-AK46&lt;0.005,0,AJ46-AK46)</f>
        <v/>
      </c>
      <c r="AM46">
        <f>AR45</f>
        <v/>
      </c>
      <c r="AN46">
        <f>AM46*Plan!D12/100/12</f>
        <v/>
      </c>
      <c r="AO46">
        <f>MIN(Plan!E12,AM46+AN46)</f>
        <v/>
      </c>
      <c r="AP46">
        <f>AM46+AN46-AO46</f>
        <v/>
      </c>
      <c r="AQ46">
        <f>MIN(AP46,MAX(0,$B46-((E$5&lt;AO$5)*F46+(K$5&lt;AO$5)*L46+(Q$5&lt;AO$5)*R46+(W$5&lt;AO$5)*X46+(AC$5&lt;AO$5)*AD46+(AI$5&lt;AO$5)*AJ46+(AU$5&lt;AO$5)*AV46)))</f>
        <v/>
      </c>
      <c r="AR46">
        <f>IF(AP46-AQ46&lt;0.005,0,AP46-AQ46)</f>
        <v/>
      </c>
      <c r="AS46">
        <f>AX45</f>
        <v/>
      </c>
      <c r="AT46">
        <f>AS46*Plan!D13/100/12</f>
        <v/>
      </c>
      <c r="AU46">
        <f>MIN(Plan!E13,AS46+AT46)</f>
        <v/>
      </c>
      <c r="AV46">
        <f>AS46+AT46-AU46</f>
        <v/>
      </c>
      <c r="AW46">
        <f>MIN(AV46,MAX(0,$B46-((E$5&lt;AU$5)*F46+(K$5&lt;AU$5)*L46+(Q$5&lt;AU$5)*R46+(W$5&lt;AU$5)*X46+(AC$5&lt;AU$5)*AD46+(AI$5&lt;AU$5)*AJ46+(AO$5&lt;AU$5)*AP46)))</f>
        <v/>
      </c>
      <c r="AX46">
        <f>IF(AV46-AW46&lt;0.005,0,AV46-AW46)</f>
        <v/>
      </c>
      <c r="BC46">
        <f>H46+N46+T46+Z46+AF46+AL46+AR46+AX46</f>
        <v/>
      </c>
    </row>
    <row r="47">
      <c r="A47" t="n">
        <v>41</v>
      </c>
      <c r="B47" s="19">
        <f>MAX(0,$B$3-(E47+K47+Q47+W47+AC47+AI47+AO47+AU47))</f>
        <v/>
      </c>
      <c r="C47">
        <f>H46</f>
        <v/>
      </c>
      <c r="D47">
        <f>C47*Plan!D6/100/12</f>
        <v/>
      </c>
      <c r="E47">
        <f>MIN(Plan!E6,C47+D47)</f>
        <v/>
      </c>
      <c r="F47">
        <f>C47+D47-E47</f>
        <v/>
      </c>
      <c r="G47">
        <f>MIN(F47,MAX(0,$B47-((K$5&lt;E$5)*L47+(Q$5&lt;E$5)*R47+(W$5&lt;E$5)*X47+(AC$5&lt;E$5)*AD47+(AI$5&lt;E$5)*AJ47+(AO$5&lt;E$5)*AP47+(AU$5&lt;E$5)*AV47)))</f>
        <v/>
      </c>
      <c r="H47">
        <f>IF(F47-G47&lt;0.005,0,F47-G47)</f>
        <v/>
      </c>
      <c r="I47">
        <f>N46</f>
        <v/>
      </c>
      <c r="J47">
        <f>I47*Plan!D7/100/12</f>
        <v/>
      </c>
      <c r="K47">
        <f>MIN(Plan!E7,I47+J47)</f>
        <v/>
      </c>
      <c r="L47">
        <f>I47+J47-K47</f>
        <v/>
      </c>
      <c r="M47">
        <f>MIN(L47,MAX(0,$B47-((E$5&lt;K$5)*F47+(Q$5&lt;K$5)*R47+(W$5&lt;K$5)*X47+(AC$5&lt;K$5)*AD47+(AI$5&lt;K$5)*AJ47+(AO$5&lt;K$5)*AP47+(AU$5&lt;K$5)*AV47)))</f>
        <v/>
      </c>
      <c r="N47">
        <f>IF(L47-M47&lt;0.005,0,L47-M47)</f>
        <v/>
      </c>
      <c r="O47">
        <f>T46</f>
        <v/>
      </c>
      <c r="P47">
        <f>O47*Plan!D8/100/12</f>
        <v/>
      </c>
      <c r="Q47">
        <f>MIN(Plan!E8,O47+P47)</f>
        <v/>
      </c>
      <c r="R47">
        <f>O47+P47-Q47</f>
        <v/>
      </c>
      <c r="S47">
        <f>MIN(R47,MAX(0,$B47-((E$5&lt;Q$5)*F47+(K$5&lt;Q$5)*L47+(W$5&lt;Q$5)*X47+(AC$5&lt;Q$5)*AD47+(AI$5&lt;Q$5)*AJ47+(AO$5&lt;Q$5)*AP47+(AU$5&lt;Q$5)*AV47)))</f>
        <v/>
      </c>
      <c r="T47">
        <f>IF(R47-S47&lt;0.005,0,R47-S47)</f>
        <v/>
      </c>
      <c r="U47">
        <f>Z46</f>
        <v/>
      </c>
      <c r="V47">
        <f>U47*Plan!D9/100/12</f>
        <v/>
      </c>
      <c r="W47">
        <f>MIN(Plan!E9,U47+V47)</f>
        <v/>
      </c>
      <c r="X47">
        <f>U47+V47-W47</f>
        <v/>
      </c>
      <c r="Y47">
        <f>MIN(X47,MAX(0,$B47-((E$5&lt;W$5)*F47+(K$5&lt;W$5)*L47+(Q$5&lt;W$5)*R47+(AC$5&lt;W$5)*AD47+(AI$5&lt;W$5)*AJ47+(AO$5&lt;W$5)*AP47+(AU$5&lt;W$5)*AV47)))</f>
        <v/>
      </c>
      <c r="Z47">
        <f>IF(X47-Y47&lt;0.005,0,X47-Y47)</f>
        <v/>
      </c>
      <c r="AA47">
        <f>AF46</f>
        <v/>
      </c>
      <c r="AB47">
        <f>AA47*Plan!D10/100/12</f>
        <v/>
      </c>
      <c r="AC47">
        <f>MIN(Plan!E10,AA47+AB47)</f>
        <v/>
      </c>
      <c r="AD47">
        <f>AA47+AB47-AC47</f>
        <v/>
      </c>
      <c r="AE47">
        <f>MIN(AD47,MAX(0,$B47-((E$5&lt;AC$5)*F47+(K$5&lt;AC$5)*L47+(Q$5&lt;AC$5)*R47+(W$5&lt;AC$5)*X47+(AI$5&lt;AC$5)*AJ47+(AO$5&lt;AC$5)*AP47+(AU$5&lt;AC$5)*AV47)))</f>
        <v/>
      </c>
      <c r="AF47">
        <f>IF(AD47-AE47&lt;0.005,0,AD47-AE47)</f>
        <v/>
      </c>
      <c r="AG47">
        <f>AL46</f>
        <v/>
      </c>
      <c r="AH47">
        <f>AG47*Plan!D11/100/12</f>
        <v/>
      </c>
      <c r="AI47">
        <f>MIN(Plan!E11,AG47+AH47)</f>
        <v/>
      </c>
      <c r="AJ47">
        <f>AG47+AH47-AI47</f>
        <v/>
      </c>
      <c r="AK47">
        <f>MIN(AJ47,MAX(0,$B47-((E$5&lt;AI$5)*F47+(K$5&lt;AI$5)*L47+(Q$5&lt;AI$5)*R47+(W$5&lt;AI$5)*X47+(AC$5&lt;AI$5)*AD47+(AO$5&lt;AI$5)*AP47+(AU$5&lt;AI$5)*AV47)))</f>
        <v/>
      </c>
      <c r="AL47">
        <f>IF(AJ47-AK47&lt;0.005,0,AJ47-AK47)</f>
        <v/>
      </c>
      <c r="AM47">
        <f>AR46</f>
        <v/>
      </c>
      <c r="AN47">
        <f>AM47*Plan!D12/100/12</f>
        <v/>
      </c>
      <c r="AO47">
        <f>MIN(Plan!E12,AM47+AN47)</f>
        <v/>
      </c>
      <c r="AP47">
        <f>AM47+AN47-AO47</f>
        <v/>
      </c>
      <c r="AQ47">
        <f>MIN(AP47,MAX(0,$B47-((E$5&lt;AO$5)*F47+(K$5&lt;AO$5)*L47+(Q$5&lt;AO$5)*R47+(W$5&lt;AO$5)*X47+(AC$5&lt;AO$5)*AD47+(AI$5&lt;AO$5)*AJ47+(AU$5&lt;AO$5)*AV47)))</f>
        <v/>
      </c>
      <c r="AR47">
        <f>IF(AP47-AQ47&lt;0.005,0,AP47-AQ47)</f>
        <v/>
      </c>
      <c r="AS47">
        <f>AX46</f>
        <v/>
      </c>
      <c r="AT47">
        <f>AS47*Plan!D13/100/12</f>
        <v/>
      </c>
      <c r="AU47">
        <f>MIN(Plan!E13,AS47+AT47)</f>
        <v/>
      </c>
      <c r="AV47">
        <f>AS47+AT47-AU47</f>
        <v/>
      </c>
      <c r="AW47">
        <f>MIN(AV47,MAX(0,$B47-((E$5&lt;AU$5)*F47+(K$5&lt;AU$5)*L47+(Q$5&lt;AU$5)*R47+(W$5&lt;AU$5)*X47+(AC$5&lt;AU$5)*AD47+(AI$5&lt;AU$5)*AJ47+(AO$5&lt;AU$5)*AP47)))</f>
        <v/>
      </c>
      <c r="AX47">
        <f>IF(AV47-AW47&lt;0.005,0,AV47-AW47)</f>
        <v/>
      </c>
      <c r="BC47">
        <f>H47+N47+T47+Z47+AF47+AL47+AR47+AX47</f>
        <v/>
      </c>
    </row>
    <row r="48">
      <c r="A48" t="n">
        <v>42</v>
      </c>
      <c r="B48" s="19">
        <f>MAX(0,$B$3-(E48+K48+Q48+W48+AC48+AI48+AO48+AU48))</f>
        <v/>
      </c>
      <c r="C48">
        <f>H47</f>
        <v/>
      </c>
      <c r="D48">
        <f>C48*Plan!D6/100/12</f>
        <v/>
      </c>
      <c r="E48">
        <f>MIN(Plan!E6,C48+D48)</f>
        <v/>
      </c>
      <c r="F48">
        <f>C48+D48-E48</f>
        <v/>
      </c>
      <c r="G48">
        <f>MIN(F48,MAX(0,$B48-((K$5&lt;E$5)*L48+(Q$5&lt;E$5)*R48+(W$5&lt;E$5)*X48+(AC$5&lt;E$5)*AD48+(AI$5&lt;E$5)*AJ48+(AO$5&lt;E$5)*AP48+(AU$5&lt;E$5)*AV48)))</f>
        <v/>
      </c>
      <c r="H48">
        <f>IF(F48-G48&lt;0.005,0,F48-G48)</f>
        <v/>
      </c>
      <c r="I48">
        <f>N47</f>
        <v/>
      </c>
      <c r="J48">
        <f>I48*Plan!D7/100/12</f>
        <v/>
      </c>
      <c r="K48">
        <f>MIN(Plan!E7,I48+J48)</f>
        <v/>
      </c>
      <c r="L48">
        <f>I48+J48-K48</f>
        <v/>
      </c>
      <c r="M48">
        <f>MIN(L48,MAX(0,$B48-((E$5&lt;K$5)*F48+(Q$5&lt;K$5)*R48+(W$5&lt;K$5)*X48+(AC$5&lt;K$5)*AD48+(AI$5&lt;K$5)*AJ48+(AO$5&lt;K$5)*AP48+(AU$5&lt;K$5)*AV48)))</f>
        <v/>
      </c>
      <c r="N48">
        <f>IF(L48-M48&lt;0.005,0,L48-M48)</f>
        <v/>
      </c>
      <c r="O48">
        <f>T47</f>
        <v/>
      </c>
      <c r="P48">
        <f>O48*Plan!D8/100/12</f>
        <v/>
      </c>
      <c r="Q48">
        <f>MIN(Plan!E8,O48+P48)</f>
        <v/>
      </c>
      <c r="R48">
        <f>O48+P48-Q48</f>
        <v/>
      </c>
      <c r="S48">
        <f>MIN(R48,MAX(0,$B48-((E$5&lt;Q$5)*F48+(K$5&lt;Q$5)*L48+(W$5&lt;Q$5)*X48+(AC$5&lt;Q$5)*AD48+(AI$5&lt;Q$5)*AJ48+(AO$5&lt;Q$5)*AP48+(AU$5&lt;Q$5)*AV48)))</f>
        <v/>
      </c>
      <c r="T48">
        <f>IF(R48-S48&lt;0.005,0,R48-S48)</f>
        <v/>
      </c>
      <c r="U48">
        <f>Z47</f>
        <v/>
      </c>
      <c r="V48">
        <f>U48*Plan!D9/100/12</f>
        <v/>
      </c>
      <c r="W48">
        <f>MIN(Plan!E9,U48+V48)</f>
        <v/>
      </c>
      <c r="X48">
        <f>U48+V48-W48</f>
        <v/>
      </c>
      <c r="Y48">
        <f>MIN(X48,MAX(0,$B48-((E$5&lt;W$5)*F48+(K$5&lt;W$5)*L48+(Q$5&lt;W$5)*R48+(AC$5&lt;W$5)*AD48+(AI$5&lt;W$5)*AJ48+(AO$5&lt;W$5)*AP48+(AU$5&lt;W$5)*AV48)))</f>
        <v/>
      </c>
      <c r="Z48">
        <f>IF(X48-Y48&lt;0.005,0,X48-Y48)</f>
        <v/>
      </c>
      <c r="AA48">
        <f>AF47</f>
        <v/>
      </c>
      <c r="AB48">
        <f>AA48*Plan!D10/100/12</f>
        <v/>
      </c>
      <c r="AC48">
        <f>MIN(Plan!E10,AA48+AB48)</f>
        <v/>
      </c>
      <c r="AD48">
        <f>AA48+AB48-AC48</f>
        <v/>
      </c>
      <c r="AE48">
        <f>MIN(AD48,MAX(0,$B48-((E$5&lt;AC$5)*F48+(K$5&lt;AC$5)*L48+(Q$5&lt;AC$5)*R48+(W$5&lt;AC$5)*X48+(AI$5&lt;AC$5)*AJ48+(AO$5&lt;AC$5)*AP48+(AU$5&lt;AC$5)*AV48)))</f>
        <v/>
      </c>
      <c r="AF48">
        <f>IF(AD48-AE48&lt;0.005,0,AD48-AE48)</f>
        <v/>
      </c>
      <c r="AG48">
        <f>AL47</f>
        <v/>
      </c>
      <c r="AH48">
        <f>AG48*Plan!D11/100/12</f>
        <v/>
      </c>
      <c r="AI48">
        <f>MIN(Plan!E11,AG48+AH48)</f>
        <v/>
      </c>
      <c r="AJ48">
        <f>AG48+AH48-AI48</f>
        <v/>
      </c>
      <c r="AK48">
        <f>MIN(AJ48,MAX(0,$B48-((E$5&lt;AI$5)*F48+(K$5&lt;AI$5)*L48+(Q$5&lt;AI$5)*R48+(W$5&lt;AI$5)*X48+(AC$5&lt;AI$5)*AD48+(AO$5&lt;AI$5)*AP48+(AU$5&lt;AI$5)*AV48)))</f>
        <v/>
      </c>
      <c r="AL48">
        <f>IF(AJ48-AK48&lt;0.005,0,AJ48-AK48)</f>
        <v/>
      </c>
      <c r="AM48">
        <f>AR47</f>
        <v/>
      </c>
      <c r="AN48">
        <f>AM48*Plan!D12/100/12</f>
        <v/>
      </c>
      <c r="AO48">
        <f>MIN(Plan!E12,AM48+AN48)</f>
        <v/>
      </c>
      <c r="AP48">
        <f>AM48+AN48-AO48</f>
        <v/>
      </c>
      <c r="AQ48">
        <f>MIN(AP48,MAX(0,$B48-((E$5&lt;AO$5)*F48+(K$5&lt;AO$5)*L48+(Q$5&lt;AO$5)*R48+(W$5&lt;AO$5)*X48+(AC$5&lt;AO$5)*AD48+(AI$5&lt;AO$5)*AJ48+(AU$5&lt;AO$5)*AV48)))</f>
        <v/>
      </c>
      <c r="AR48">
        <f>IF(AP48-AQ48&lt;0.005,0,AP48-AQ48)</f>
        <v/>
      </c>
      <c r="AS48">
        <f>AX47</f>
        <v/>
      </c>
      <c r="AT48">
        <f>AS48*Plan!D13/100/12</f>
        <v/>
      </c>
      <c r="AU48">
        <f>MIN(Plan!E13,AS48+AT48)</f>
        <v/>
      </c>
      <c r="AV48">
        <f>AS48+AT48-AU48</f>
        <v/>
      </c>
      <c r="AW48">
        <f>MIN(AV48,MAX(0,$B48-((E$5&lt;AU$5)*F48+(K$5&lt;AU$5)*L48+(Q$5&lt;AU$5)*R48+(W$5&lt;AU$5)*X48+(AC$5&lt;AU$5)*AD48+(AI$5&lt;AU$5)*AJ48+(AO$5&lt;AU$5)*AP48)))</f>
        <v/>
      </c>
      <c r="AX48">
        <f>IF(AV48-AW48&lt;0.005,0,AV48-AW48)</f>
        <v/>
      </c>
      <c r="BC48">
        <f>H48+N48+T48+Z48+AF48+AL48+AR48+AX48</f>
        <v/>
      </c>
    </row>
    <row r="49">
      <c r="A49" t="n">
        <v>43</v>
      </c>
      <c r="B49" s="19">
        <f>MAX(0,$B$3-(E49+K49+Q49+W49+AC49+AI49+AO49+AU49))</f>
        <v/>
      </c>
      <c r="C49">
        <f>H48</f>
        <v/>
      </c>
      <c r="D49">
        <f>C49*Plan!D6/100/12</f>
        <v/>
      </c>
      <c r="E49">
        <f>MIN(Plan!E6,C49+D49)</f>
        <v/>
      </c>
      <c r="F49">
        <f>C49+D49-E49</f>
        <v/>
      </c>
      <c r="G49">
        <f>MIN(F49,MAX(0,$B49-((K$5&lt;E$5)*L49+(Q$5&lt;E$5)*R49+(W$5&lt;E$5)*X49+(AC$5&lt;E$5)*AD49+(AI$5&lt;E$5)*AJ49+(AO$5&lt;E$5)*AP49+(AU$5&lt;E$5)*AV49)))</f>
        <v/>
      </c>
      <c r="H49">
        <f>IF(F49-G49&lt;0.005,0,F49-G49)</f>
        <v/>
      </c>
      <c r="I49">
        <f>N48</f>
        <v/>
      </c>
      <c r="J49">
        <f>I49*Plan!D7/100/12</f>
        <v/>
      </c>
      <c r="K49">
        <f>MIN(Plan!E7,I49+J49)</f>
        <v/>
      </c>
      <c r="L49">
        <f>I49+J49-K49</f>
        <v/>
      </c>
      <c r="M49">
        <f>MIN(L49,MAX(0,$B49-((E$5&lt;K$5)*F49+(Q$5&lt;K$5)*R49+(W$5&lt;K$5)*X49+(AC$5&lt;K$5)*AD49+(AI$5&lt;K$5)*AJ49+(AO$5&lt;K$5)*AP49+(AU$5&lt;K$5)*AV49)))</f>
        <v/>
      </c>
      <c r="N49">
        <f>IF(L49-M49&lt;0.005,0,L49-M49)</f>
        <v/>
      </c>
      <c r="O49">
        <f>T48</f>
        <v/>
      </c>
      <c r="P49">
        <f>O49*Plan!D8/100/12</f>
        <v/>
      </c>
      <c r="Q49">
        <f>MIN(Plan!E8,O49+P49)</f>
        <v/>
      </c>
      <c r="R49">
        <f>O49+P49-Q49</f>
        <v/>
      </c>
      <c r="S49">
        <f>MIN(R49,MAX(0,$B49-((E$5&lt;Q$5)*F49+(K$5&lt;Q$5)*L49+(W$5&lt;Q$5)*X49+(AC$5&lt;Q$5)*AD49+(AI$5&lt;Q$5)*AJ49+(AO$5&lt;Q$5)*AP49+(AU$5&lt;Q$5)*AV49)))</f>
        <v/>
      </c>
      <c r="T49">
        <f>IF(R49-S49&lt;0.005,0,R49-S49)</f>
        <v/>
      </c>
      <c r="U49">
        <f>Z48</f>
        <v/>
      </c>
      <c r="V49">
        <f>U49*Plan!D9/100/12</f>
        <v/>
      </c>
      <c r="W49">
        <f>MIN(Plan!E9,U49+V49)</f>
        <v/>
      </c>
      <c r="X49">
        <f>U49+V49-W49</f>
        <v/>
      </c>
      <c r="Y49">
        <f>MIN(X49,MAX(0,$B49-((E$5&lt;W$5)*F49+(K$5&lt;W$5)*L49+(Q$5&lt;W$5)*R49+(AC$5&lt;W$5)*AD49+(AI$5&lt;W$5)*AJ49+(AO$5&lt;W$5)*AP49+(AU$5&lt;W$5)*AV49)))</f>
        <v/>
      </c>
      <c r="Z49">
        <f>IF(X49-Y49&lt;0.005,0,X49-Y49)</f>
        <v/>
      </c>
      <c r="AA49">
        <f>AF48</f>
        <v/>
      </c>
      <c r="AB49">
        <f>AA49*Plan!D10/100/12</f>
        <v/>
      </c>
      <c r="AC49">
        <f>MIN(Plan!E10,AA49+AB49)</f>
        <v/>
      </c>
      <c r="AD49">
        <f>AA49+AB49-AC49</f>
        <v/>
      </c>
      <c r="AE49">
        <f>MIN(AD49,MAX(0,$B49-((E$5&lt;AC$5)*F49+(K$5&lt;AC$5)*L49+(Q$5&lt;AC$5)*R49+(W$5&lt;AC$5)*X49+(AI$5&lt;AC$5)*AJ49+(AO$5&lt;AC$5)*AP49+(AU$5&lt;AC$5)*AV49)))</f>
        <v/>
      </c>
      <c r="AF49">
        <f>IF(AD49-AE49&lt;0.005,0,AD49-AE49)</f>
        <v/>
      </c>
      <c r="AG49">
        <f>AL48</f>
        <v/>
      </c>
      <c r="AH49">
        <f>AG49*Plan!D11/100/12</f>
        <v/>
      </c>
      <c r="AI49">
        <f>MIN(Plan!E11,AG49+AH49)</f>
        <v/>
      </c>
      <c r="AJ49">
        <f>AG49+AH49-AI49</f>
        <v/>
      </c>
      <c r="AK49">
        <f>MIN(AJ49,MAX(0,$B49-((E$5&lt;AI$5)*F49+(K$5&lt;AI$5)*L49+(Q$5&lt;AI$5)*R49+(W$5&lt;AI$5)*X49+(AC$5&lt;AI$5)*AD49+(AO$5&lt;AI$5)*AP49+(AU$5&lt;AI$5)*AV49)))</f>
        <v/>
      </c>
      <c r="AL49">
        <f>IF(AJ49-AK49&lt;0.005,0,AJ49-AK49)</f>
        <v/>
      </c>
      <c r="AM49">
        <f>AR48</f>
        <v/>
      </c>
      <c r="AN49">
        <f>AM49*Plan!D12/100/12</f>
        <v/>
      </c>
      <c r="AO49">
        <f>MIN(Plan!E12,AM49+AN49)</f>
        <v/>
      </c>
      <c r="AP49">
        <f>AM49+AN49-AO49</f>
        <v/>
      </c>
      <c r="AQ49">
        <f>MIN(AP49,MAX(0,$B49-((E$5&lt;AO$5)*F49+(K$5&lt;AO$5)*L49+(Q$5&lt;AO$5)*R49+(W$5&lt;AO$5)*X49+(AC$5&lt;AO$5)*AD49+(AI$5&lt;AO$5)*AJ49+(AU$5&lt;AO$5)*AV49)))</f>
        <v/>
      </c>
      <c r="AR49">
        <f>IF(AP49-AQ49&lt;0.005,0,AP49-AQ49)</f>
        <v/>
      </c>
      <c r="AS49">
        <f>AX48</f>
        <v/>
      </c>
      <c r="AT49">
        <f>AS49*Plan!D13/100/12</f>
        <v/>
      </c>
      <c r="AU49">
        <f>MIN(Plan!E13,AS49+AT49)</f>
        <v/>
      </c>
      <c r="AV49">
        <f>AS49+AT49-AU49</f>
        <v/>
      </c>
      <c r="AW49">
        <f>MIN(AV49,MAX(0,$B49-((E$5&lt;AU$5)*F49+(K$5&lt;AU$5)*L49+(Q$5&lt;AU$5)*R49+(W$5&lt;AU$5)*X49+(AC$5&lt;AU$5)*AD49+(AI$5&lt;AU$5)*AJ49+(AO$5&lt;AU$5)*AP49)))</f>
        <v/>
      </c>
      <c r="AX49">
        <f>IF(AV49-AW49&lt;0.005,0,AV49-AW49)</f>
        <v/>
      </c>
      <c r="BC49">
        <f>H49+N49+T49+Z49+AF49+AL49+AR49+AX49</f>
        <v/>
      </c>
    </row>
    <row r="50">
      <c r="A50" t="n">
        <v>44</v>
      </c>
      <c r="B50" s="19">
        <f>MAX(0,$B$3-(E50+K50+Q50+W50+AC50+AI50+AO50+AU50))</f>
        <v/>
      </c>
      <c r="C50">
        <f>H49</f>
        <v/>
      </c>
      <c r="D50">
        <f>C50*Plan!D6/100/12</f>
        <v/>
      </c>
      <c r="E50">
        <f>MIN(Plan!E6,C50+D50)</f>
        <v/>
      </c>
      <c r="F50">
        <f>C50+D50-E50</f>
        <v/>
      </c>
      <c r="G50">
        <f>MIN(F50,MAX(0,$B50-((K$5&lt;E$5)*L50+(Q$5&lt;E$5)*R50+(W$5&lt;E$5)*X50+(AC$5&lt;E$5)*AD50+(AI$5&lt;E$5)*AJ50+(AO$5&lt;E$5)*AP50+(AU$5&lt;E$5)*AV50)))</f>
        <v/>
      </c>
      <c r="H50">
        <f>IF(F50-G50&lt;0.005,0,F50-G50)</f>
        <v/>
      </c>
      <c r="I50">
        <f>N49</f>
        <v/>
      </c>
      <c r="J50">
        <f>I50*Plan!D7/100/12</f>
        <v/>
      </c>
      <c r="K50">
        <f>MIN(Plan!E7,I50+J50)</f>
        <v/>
      </c>
      <c r="L50">
        <f>I50+J50-K50</f>
        <v/>
      </c>
      <c r="M50">
        <f>MIN(L50,MAX(0,$B50-((E$5&lt;K$5)*F50+(Q$5&lt;K$5)*R50+(W$5&lt;K$5)*X50+(AC$5&lt;K$5)*AD50+(AI$5&lt;K$5)*AJ50+(AO$5&lt;K$5)*AP50+(AU$5&lt;K$5)*AV50)))</f>
        <v/>
      </c>
      <c r="N50">
        <f>IF(L50-M50&lt;0.005,0,L50-M50)</f>
        <v/>
      </c>
      <c r="O50">
        <f>T49</f>
        <v/>
      </c>
      <c r="P50">
        <f>O50*Plan!D8/100/12</f>
        <v/>
      </c>
      <c r="Q50">
        <f>MIN(Plan!E8,O50+P50)</f>
        <v/>
      </c>
      <c r="R50">
        <f>O50+P50-Q50</f>
        <v/>
      </c>
      <c r="S50">
        <f>MIN(R50,MAX(0,$B50-((E$5&lt;Q$5)*F50+(K$5&lt;Q$5)*L50+(W$5&lt;Q$5)*X50+(AC$5&lt;Q$5)*AD50+(AI$5&lt;Q$5)*AJ50+(AO$5&lt;Q$5)*AP50+(AU$5&lt;Q$5)*AV50)))</f>
        <v/>
      </c>
      <c r="T50">
        <f>IF(R50-S50&lt;0.005,0,R50-S50)</f>
        <v/>
      </c>
      <c r="U50">
        <f>Z49</f>
        <v/>
      </c>
      <c r="V50">
        <f>U50*Plan!D9/100/12</f>
        <v/>
      </c>
      <c r="W50">
        <f>MIN(Plan!E9,U50+V50)</f>
        <v/>
      </c>
      <c r="X50">
        <f>U50+V50-W50</f>
        <v/>
      </c>
      <c r="Y50">
        <f>MIN(X50,MAX(0,$B50-((E$5&lt;W$5)*F50+(K$5&lt;W$5)*L50+(Q$5&lt;W$5)*R50+(AC$5&lt;W$5)*AD50+(AI$5&lt;W$5)*AJ50+(AO$5&lt;W$5)*AP50+(AU$5&lt;W$5)*AV50)))</f>
        <v/>
      </c>
      <c r="Z50">
        <f>IF(X50-Y50&lt;0.005,0,X50-Y50)</f>
        <v/>
      </c>
      <c r="AA50">
        <f>AF49</f>
        <v/>
      </c>
      <c r="AB50">
        <f>AA50*Plan!D10/100/12</f>
        <v/>
      </c>
      <c r="AC50">
        <f>MIN(Plan!E10,AA50+AB50)</f>
        <v/>
      </c>
      <c r="AD50">
        <f>AA50+AB50-AC50</f>
        <v/>
      </c>
      <c r="AE50">
        <f>MIN(AD50,MAX(0,$B50-((E$5&lt;AC$5)*F50+(K$5&lt;AC$5)*L50+(Q$5&lt;AC$5)*R50+(W$5&lt;AC$5)*X50+(AI$5&lt;AC$5)*AJ50+(AO$5&lt;AC$5)*AP50+(AU$5&lt;AC$5)*AV50)))</f>
        <v/>
      </c>
      <c r="AF50">
        <f>IF(AD50-AE50&lt;0.005,0,AD50-AE50)</f>
        <v/>
      </c>
      <c r="AG50">
        <f>AL49</f>
        <v/>
      </c>
      <c r="AH50">
        <f>AG50*Plan!D11/100/12</f>
        <v/>
      </c>
      <c r="AI50">
        <f>MIN(Plan!E11,AG50+AH50)</f>
        <v/>
      </c>
      <c r="AJ50">
        <f>AG50+AH50-AI50</f>
        <v/>
      </c>
      <c r="AK50">
        <f>MIN(AJ50,MAX(0,$B50-((E$5&lt;AI$5)*F50+(K$5&lt;AI$5)*L50+(Q$5&lt;AI$5)*R50+(W$5&lt;AI$5)*X50+(AC$5&lt;AI$5)*AD50+(AO$5&lt;AI$5)*AP50+(AU$5&lt;AI$5)*AV50)))</f>
        <v/>
      </c>
      <c r="AL50">
        <f>IF(AJ50-AK50&lt;0.005,0,AJ50-AK50)</f>
        <v/>
      </c>
      <c r="AM50">
        <f>AR49</f>
        <v/>
      </c>
      <c r="AN50">
        <f>AM50*Plan!D12/100/12</f>
        <v/>
      </c>
      <c r="AO50">
        <f>MIN(Plan!E12,AM50+AN50)</f>
        <v/>
      </c>
      <c r="AP50">
        <f>AM50+AN50-AO50</f>
        <v/>
      </c>
      <c r="AQ50">
        <f>MIN(AP50,MAX(0,$B50-((E$5&lt;AO$5)*F50+(K$5&lt;AO$5)*L50+(Q$5&lt;AO$5)*R50+(W$5&lt;AO$5)*X50+(AC$5&lt;AO$5)*AD50+(AI$5&lt;AO$5)*AJ50+(AU$5&lt;AO$5)*AV50)))</f>
        <v/>
      </c>
      <c r="AR50">
        <f>IF(AP50-AQ50&lt;0.005,0,AP50-AQ50)</f>
        <v/>
      </c>
      <c r="AS50">
        <f>AX49</f>
        <v/>
      </c>
      <c r="AT50">
        <f>AS50*Plan!D13/100/12</f>
        <v/>
      </c>
      <c r="AU50">
        <f>MIN(Plan!E13,AS50+AT50)</f>
        <v/>
      </c>
      <c r="AV50">
        <f>AS50+AT50-AU50</f>
        <v/>
      </c>
      <c r="AW50">
        <f>MIN(AV50,MAX(0,$B50-((E$5&lt;AU$5)*F50+(K$5&lt;AU$5)*L50+(Q$5&lt;AU$5)*R50+(W$5&lt;AU$5)*X50+(AC$5&lt;AU$5)*AD50+(AI$5&lt;AU$5)*AJ50+(AO$5&lt;AU$5)*AP50)))</f>
        <v/>
      </c>
      <c r="AX50">
        <f>IF(AV50-AW50&lt;0.005,0,AV50-AW50)</f>
        <v/>
      </c>
      <c r="BC50">
        <f>H50+N50+T50+Z50+AF50+AL50+AR50+AX50</f>
        <v/>
      </c>
    </row>
    <row r="51">
      <c r="A51" t="n">
        <v>45</v>
      </c>
      <c r="B51" s="19">
        <f>MAX(0,$B$3-(E51+K51+Q51+W51+AC51+AI51+AO51+AU51))</f>
        <v/>
      </c>
      <c r="C51">
        <f>H50</f>
        <v/>
      </c>
      <c r="D51">
        <f>C51*Plan!D6/100/12</f>
        <v/>
      </c>
      <c r="E51">
        <f>MIN(Plan!E6,C51+D51)</f>
        <v/>
      </c>
      <c r="F51">
        <f>C51+D51-E51</f>
        <v/>
      </c>
      <c r="G51">
        <f>MIN(F51,MAX(0,$B51-((K$5&lt;E$5)*L51+(Q$5&lt;E$5)*R51+(W$5&lt;E$5)*X51+(AC$5&lt;E$5)*AD51+(AI$5&lt;E$5)*AJ51+(AO$5&lt;E$5)*AP51+(AU$5&lt;E$5)*AV51)))</f>
        <v/>
      </c>
      <c r="H51">
        <f>IF(F51-G51&lt;0.005,0,F51-G51)</f>
        <v/>
      </c>
      <c r="I51">
        <f>N50</f>
        <v/>
      </c>
      <c r="J51">
        <f>I51*Plan!D7/100/12</f>
        <v/>
      </c>
      <c r="K51">
        <f>MIN(Plan!E7,I51+J51)</f>
        <v/>
      </c>
      <c r="L51">
        <f>I51+J51-K51</f>
        <v/>
      </c>
      <c r="M51">
        <f>MIN(L51,MAX(0,$B51-((E$5&lt;K$5)*F51+(Q$5&lt;K$5)*R51+(W$5&lt;K$5)*X51+(AC$5&lt;K$5)*AD51+(AI$5&lt;K$5)*AJ51+(AO$5&lt;K$5)*AP51+(AU$5&lt;K$5)*AV51)))</f>
        <v/>
      </c>
      <c r="N51">
        <f>IF(L51-M51&lt;0.005,0,L51-M51)</f>
        <v/>
      </c>
      <c r="O51">
        <f>T50</f>
        <v/>
      </c>
      <c r="P51">
        <f>O51*Plan!D8/100/12</f>
        <v/>
      </c>
      <c r="Q51">
        <f>MIN(Plan!E8,O51+P51)</f>
        <v/>
      </c>
      <c r="R51">
        <f>O51+P51-Q51</f>
        <v/>
      </c>
      <c r="S51">
        <f>MIN(R51,MAX(0,$B51-((E$5&lt;Q$5)*F51+(K$5&lt;Q$5)*L51+(W$5&lt;Q$5)*X51+(AC$5&lt;Q$5)*AD51+(AI$5&lt;Q$5)*AJ51+(AO$5&lt;Q$5)*AP51+(AU$5&lt;Q$5)*AV51)))</f>
        <v/>
      </c>
      <c r="T51">
        <f>IF(R51-S51&lt;0.005,0,R51-S51)</f>
        <v/>
      </c>
      <c r="U51">
        <f>Z50</f>
        <v/>
      </c>
      <c r="V51">
        <f>U51*Plan!D9/100/12</f>
        <v/>
      </c>
      <c r="W51">
        <f>MIN(Plan!E9,U51+V51)</f>
        <v/>
      </c>
      <c r="X51">
        <f>U51+V51-W51</f>
        <v/>
      </c>
      <c r="Y51">
        <f>MIN(X51,MAX(0,$B51-((E$5&lt;W$5)*F51+(K$5&lt;W$5)*L51+(Q$5&lt;W$5)*R51+(AC$5&lt;W$5)*AD51+(AI$5&lt;W$5)*AJ51+(AO$5&lt;W$5)*AP51+(AU$5&lt;W$5)*AV51)))</f>
        <v/>
      </c>
      <c r="Z51">
        <f>IF(X51-Y51&lt;0.005,0,X51-Y51)</f>
        <v/>
      </c>
      <c r="AA51">
        <f>AF50</f>
        <v/>
      </c>
      <c r="AB51">
        <f>AA51*Plan!D10/100/12</f>
        <v/>
      </c>
      <c r="AC51">
        <f>MIN(Plan!E10,AA51+AB51)</f>
        <v/>
      </c>
      <c r="AD51">
        <f>AA51+AB51-AC51</f>
        <v/>
      </c>
      <c r="AE51">
        <f>MIN(AD51,MAX(0,$B51-((E$5&lt;AC$5)*F51+(K$5&lt;AC$5)*L51+(Q$5&lt;AC$5)*R51+(W$5&lt;AC$5)*X51+(AI$5&lt;AC$5)*AJ51+(AO$5&lt;AC$5)*AP51+(AU$5&lt;AC$5)*AV51)))</f>
        <v/>
      </c>
      <c r="AF51">
        <f>IF(AD51-AE51&lt;0.005,0,AD51-AE51)</f>
        <v/>
      </c>
      <c r="AG51">
        <f>AL50</f>
        <v/>
      </c>
      <c r="AH51">
        <f>AG51*Plan!D11/100/12</f>
        <v/>
      </c>
      <c r="AI51">
        <f>MIN(Plan!E11,AG51+AH51)</f>
        <v/>
      </c>
      <c r="AJ51">
        <f>AG51+AH51-AI51</f>
        <v/>
      </c>
      <c r="AK51">
        <f>MIN(AJ51,MAX(0,$B51-((E$5&lt;AI$5)*F51+(K$5&lt;AI$5)*L51+(Q$5&lt;AI$5)*R51+(W$5&lt;AI$5)*X51+(AC$5&lt;AI$5)*AD51+(AO$5&lt;AI$5)*AP51+(AU$5&lt;AI$5)*AV51)))</f>
        <v/>
      </c>
      <c r="AL51">
        <f>IF(AJ51-AK51&lt;0.005,0,AJ51-AK51)</f>
        <v/>
      </c>
      <c r="AM51">
        <f>AR50</f>
        <v/>
      </c>
      <c r="AN51">
        <f>AM51*Plan!D12/100/12</f>
        <v/>
      </c>
      <c r="AO51">
        <f>MIN(Plan!E12,AM51+AN51)</f>
        <v/>
      </c>
      <c r="AP51">
        <f>AM51+AN51-AO51</f>
        <v/>
      </c>
      <c r="AQ51">
        <f>MIN(AP51,MAX(0,$B51-((E$5&lt;AO$5)*F51+(K$5&lt;AO$5)*L51+(Q$5&lt;AO$5)*R51+(W$5&lt;AO$5)*X51+(AC$5&lt;AO$5)*AD51+(AI$5&lt;AO$5)*AJ51+(AU$5&lt;AO$5)*AV51)))</f>
        <v/>
      </c>
      <c r="AR51">
        <f>IF(AP51-AQ51&lt;0.005,0,AP51-AQ51)</f>
        <v/>
      </c>
      <c r="AS51">
        <f>AX50</f>
        <v/>
      </c>
      <c r="AT51">
        <f>AS51*Plan!D13/100/12</f>
        <v/>
      </c>
      <c r="AU51">
        <f>MIN(Plan!E13,AS51+AT51)</f>
        <v/>
      </c>
      <c r="AV51">
        <f>AS51+AT51-AU51</f>
        <v/>
      </c>
      <c r="AW51">
        <f>MIN(AV51,MAX(0,$B51-((E$5&lt;AU$5)*F51+(K$5&lt;AU$5)*L51+(Q$5&lt;AU$5)*R51+(W$5&lt;AU$5)*X51+(AC$5&lt;AU$5)*AD51+(AI$5&lt;AU$5)*AJ51+(AO$5&lt;AU$5)*AP51)))</f>
        <v/>
      </c>
      <c r="AX51">
        <f>IF(AV51-AW51&lt;0.005,0,AV51-AW51)</f>
        <v/>
      </c>
      <c r="BC51">
        <f>H51+N51+T51+Z51+AF51+AL51+AR51+AX51</f>
        <v/>
      </c>
    </row>
    <row r="52">
      <c r="A52" t="n">
        <v>46</v>
      </c>
      <c r="B52" s="19">
        <f>MAX(0,$B$3-(E52+K52+Q52+W52+AC52+AI52+AO52+AU52))</f>
        <v/>
      </c>
      <c r="C52">
        <f>H51</f>
        <v/>
      </c>
      <c r="D52">
        <f>C52*Plan!D6/100/12</f>
        <v/>
      </c>
      <c r="E52">
        <f>MIN(Plan!E6,C52+D52)</f>
        <v/>
      </c>
      <c r="F52">
        <f>C52+D52-E52</f>
        <v/>
      </c>
      <c r="G52">
        <f>MIN(F52,MAX(0,$B52-((K$5&lt;E$5)*L52+(Q$5&lt;E$5)*R52+(W$5&lt;E$5)*X52+(AC$5&lt;E$5)*AD52+(AI$5&lt;E$5)*AJ52+(AO$5&lt;E$5)*AP52+(AU$5&lt;E$5)*AV52)))</f>
        <v/>
      </c>
      <c r="H52">
        <f>IF(F52-G52&lt;0.005,0,F52-G52)</f>
        <v/>
      </c>
      <c r="I52">
        <f>N51</f>
        <v/>
      </c>
      <c r="J52">
        <f>I52*Plan!D7/100/12</f>
        <v/>
      </c>
      <c r="K52">
        <f>MIN(Plan!E7,I52+J52)</f>
        <v/>
      </c>
      <c r="L52">
        <f>I52+J52-K52</f>
        <v/>
      </c>
      <c r="M52">
        <f>MIN(L52,MAX(0,$B52-((E$5&lt;K$5)*F52+(Q$5&lt;K$5)*R52+(W$5&lt;K$5)*X52+(AC$5&lt;K$5)*AD52+(AI$5&lt;K$5)*AJ52+(AO$5&lt;K$5)*AP52+(AU$5&lt;K$5)*AV52)))</f>
        <v/>
      </c>
      <c r="N52">
        <f>IF(L52-M52&lt;0.005,0,L52-M52)</f>
        <v/>
      </c>
      <c r="O52">
        <f>T51</f>
        <v/>
      </c>
      <c r="P52">
        <f>O52*Plan!D8/100/12</f>
        <v/>
      </c>
      <c r="Q52">
        <f>MIN(Plan!E8,O52+P52)</f>
        <v/>
      </c>
      <c r="R52">
        <f>O52+P52-Q52</f>
        <v/>
      </c>
      <c r="S52">
        <f>MIN(R52,MAX(0,$B52-((E$5&lt;Q$5)*F52+(K$5&lt;Q$5)*L52+(W$5&lt;Q$5)*X52+(AC$5&lt;Q$5)*AD52+(AI$5&lt;Q$5)*AJ52+(AO$5&lt;Q$5)*AP52+(AU$5&lt;Q$5)*AV52)))</f>
        <v/>
      </c>
      <c r="T52">
        <f>IF(R52-S52&lt;0.005,0,R52-S52)</f>
        <v/>
      </c>
      <c r="U52">
        <f>Z51</f>
        <v/>
      </c>
      <c r="V52">
        <f>U52*Plan!D9/100/12</f>
        <v/>
      </c>
      <c r="W52">
        <f>MIN(Plan!E9,U52+V52)</f>
        <v/>
      </c>
      <c r="X52">
        <f>U52+V52-W52</f>
        <v/>
      </c>
      <c r="Y52">
        <f>MIN(X52,MAX(0,$B52-((E$5&lt;W$5)*F52+(K$5&lt;W$5)*L52+(Q$5&lt;W$5)*R52+(AC$5&lt;W$5)*AD52+(AI$5&lt;W$5)*AJ52+(AO$5&lt;W$5)*AP52+(AU$5&lt;W$5)*AV52)))</f>
        <v/>
      </c>
      <c r="Z52">
        <f>IF(X52-Y52&lt;0.005,0,X52-Y52)</f>
        <v/>
      </c>
      <c r="AA52">
        <f>AF51</f>
        <v/>
      </c>
      <c r="AB52">
        <f>AA52*Plan!D10/100/12</f>
        <v/>
      </c>
      <c r="AC52">
        <f>MIN(Plan!E10,AA52+AB52)</f>
        <v/>
      </c>
      <c r="AD52">
        <f>AA52+AB52-AC52</f>
        <v/>
      </c>
      <c r="AE52">
        <f>MIN(AD52,MAX(0,$B52-((E$5&lt;AC$5)*F52+(K$5&lt;AC$5)*L52+(Q$5&lt;AC$5)*R52+(W$5&lt;AC$5)*X52+(AI$5&lt;AC$5)*AJ52+(AO$5&lt;AC$5)*AP52+(AU$5&lt;AC$5)*AV52)))</f>
        <v/>
      </c>
      <c r="AF52">
        <f>IF(AD52-AE52&lt;0.005,0,AD52-AE52)</f>
        <v/>
      </c>
      <c r="AG52">
        <f>AL51</f>
        <v/>
      </c>
      <c r="AH52">
        <f>AG52*Plan!D11/100/12</f>
        <v/>
      </c>
      <c r="AI52">
        <f>MIN(Plan!E11,AG52+AH52)</f>
        <v/>
      </c>
      <c r="AJ52">
        <f>AG52+AH52-AI52</f>
        <v/>
      </c>
      <c r="AK52">
        <f>MIN(AJ52,MAX(0,$B52-((E$5&lt;AI$5)*F52+(K$5&lt;AI$5)*L52+(Q$5&lt;AI$5)*R52+(W$5&lt;AI$5)*X52+(AC$5&lt;AI$5)*AD52+(AO$5&lt;AI$5)*AP52+(AU$5&lt;AI$5)*AV52)))</f>
        <v/>
      </c>
      <c r="AL52">
        <f>IF(AJ52-AK52&lt;0.005,0,AJ52-AK52)</f>
        <v/>
      </c>
      <c r="AM52">
        <f>AR51</f>
        <v/>
      </c>
      <c r="AN52">
        <f>AM52*Plan!D12/100/12</f>
        <v/>
      </c>
      <c r="AO52">
        <f>MIN(Plan!E12,AM52+AN52)</f>
        <v/>
      </c>
      <c r="AP52">
        <f>AM52+AN52-AO52</f>
        <v/>
      </c>
      <c r="AQ52">
        <f>MIN(AP52,MAX(0,$B52-((E$5&lt;AO$5)*F52+(K$5&lt;AO$5)*L52+(Q$5&lt;AO$5)*R52+(W$5&lt;AO$5)*X52+(AC$5&lt;AO$5)*AD52+(AI$5&lt;AO$5)*AJ52+(AU$5&lt;AO$5)*AV52)))</f>
        <v/>
      </c>
      <c r="AR52">
        <f>IF(AP52-AQ52&lt;0.005,0,AP52-AQ52)</f>
        <v/>
      </c>
      <c r="AS52">
        <f>AX51</f>
        <v/>
      </c>
      <c r="AT52">
        <f>AS52*Plan!D13/100/12</f>
        <v/>
      </c>
      <c r="AU52">
        <f>MIN(Plan!E13,AS52+AT52)</f>
        <v/>
      </c>
      <c r="AV52">
        <f>AS52+AT52-AU52</f>
        <v/>
      </c>
      <c r="AW52">
        <f>MIN(AV52,MAX(0,$B52-((E$5&lt;AU$5)*F52+(K$5&lt;AU$5)*L52+(Q$5&lt;AU$5)*R52+(W$5&lt;AU$5)*X52+(AC$5&lt;AU$5)*AD52+(AI$5&lt;AU$5)*AJ52+(AO$5&lt;AU$5)*AP52)))</f>
        <v/>
      </c>
      <c r="AX52">
        <f>IF(AV52-AW52&lt;0.005,0,AV52-AW52)</f>
        <v/>
      </c>
      <c r="BC52">
        <f>H52+N52+T52+Z52+AF52+AL52+AR52+AX52</f>
        <v/>
      </c>
    </row>
    <row r="53">
      <c r="A53" t="n">
        <v>47</v>
      </c>
      <c r="B53" s="19">
        <f>MAX(0,$B$3-(E53+K53+Q53+W53+AC53+AI53+AO53+AU53))</f>
        <v/>
      </c>
      <c r="C53">
        <f>H52</f>
        <v/>
      </c>
      <c r="D53">
        <f>C53*Plan!D6/100/12</f>
        <v/>
      </c>
      <c r="E53">
        <f>MIN(Plan!E6,C53+D53)</f>
        <v/>
      </c>
      <c r="F53">
        <f>C53+D53-E53</f>
        <v/>
      </c>
      <c r="G53">
        <f>MIN(F53,MAX(0,$B53-((K$5&lt;E$5)*L53+(Q$5&lt;E$5)*R53+(W$5&lt;E$5)*X53+(AC$5&lt;E$5)*AD53+(AI$5&lt;E$5)*AJ53+(AO$5&lt;E$5)*AP53+(AU$5&lt;E$5)*AV53)))</f>
        <v/>
      </c>
      <c r="H53">
        <f>IF(F53-G53&lt;0.005,0,F53-G53)</f>
        <v/>
      </c>
      <c r="I53">
        <f>N52</f>
        <v/>
      </c>
      <c r="J53">
        <f>I53*Plan!D7/100/12</f>
        <v/>
      </c>
      <c r="K53">
        <f>MIN(Plan!E7,I53+J53)</f>
        <v/>
      </c>
      <c r="L53">
        <f>I53+J53-K53</f>
        <v/>
      </c>
      <c r="M53">
        <f>MIN(L53,MAX(0,$B53-((E$5&lt;K$5)*F53+(Q$5&lt;K$5)*R53+(W$5&lt;K$5)*X53+(AC$5&lt;K$5)*AD53+(AI$5&lt;K$5)*AJ53+(AO$5&lt;K$5)*AP53+(AU$5&lt;K$5)*AV53)))</f>
        <v/>
      </c>
      <c r="N53">
        <f>IF(L53-M53&lt;0.005,0,L53-M53)</f>
        <v/>
      </c>
      <c r="O53">
        <f>T52</f>
        <v/>
      </c>
      <c r="P53">
        <f>O53*Plan!D8/100/12</f>
        <v/>
      </c>
      <c r="Q53">
        <f>MIN(Plan!E8,O53+P53)</f>
        <v/>
      </c>
      <c r="R53">
        <f>O53+P53-Q53</f>
        <v/>
      </c>
      <c r="S53">
        <f>MIN(R53,MAX(0,$B53-((E$5&lt;Q$5)*F53+(K$5&lt;Q$5)*L53+(W$5&lt;Q$5)*X53+(AC$5&lt;Q$5)*AD53+(AI$5&lt;Q$5)*AJ53+(AO$5&lt;Q$5)*AP53+(AU$5&lt;Q$5)*AV53)))</f>
        <v/>
      </c>
      <c r="T53">
        <f>IF(R53-S53&lt;0.005,0,R53-S53)</f>
        <v/>
      </c>
      <c r="U53">
        <f>Z52</f>
        <v/>
      </c>
      <c r="V53">
        <f>U53*Plan!D9/100/12</f>
        <v/>
      </c>
      <c r="W53">
        <f>MIN(Plan!E9,U53+V53)</f>
        <v/>
      </c>
      <c r="X53">
        <f>U53+V53-W53</f>
        <v/>
      </c>
      <c r="Y53">
        <f>MIN(X53,MAX(0,$B53-((E$5&lt;W$5)*F53+(K$5&lt;W$5)*L53+(Q$5&lt;W$5)*R53+(AC$5&lt;W$5)*AD53+(AI$5&lt;W$5)*AJ53+(AO$5&lt;W$5)*AP53+(AU$5&lt;W$5)*AV53)))</f>
        <v/>
      </c>
      <c r="Z53">
        <f>IF(X53-Y53&lt;0.005,0,X53-Y53)</f>
        <v/>
      </c>
      <c r="AA53">
        <f>AF52</f>
        <v/>
      </c>
      <c r="AB53">
        <f>AA53*Plan!D10/100/12</f>
        <v/>
      </c>
      <c r="AC53">
        <f>MIN(Plan!E10,AA53+AB53)</f>
        <v/>
      </c>
      <c r="AD53">
        <f>AA53+AB53-AC53</f>
        <v/>
      </c>
      <c r="AE53">
        <f>MIN(AD53,MAX(0,$B53-((E$5&lt;AC$5)*F53+(K$5&lt;AC$5)*L53+(Q$5&lt;AC$5)*R53+(W$5&lt;AC$5)*X53+(AI$5&lt;AC$5)*AJ53+(AO$5&lt;AC$5)*AP53+(AU$5&lt;AC$5)*AV53)))</f>
        <v/>
      </c>
      <c r="AF53">
        <f>IF(AD53-AE53&lt;0.005,0,AD53-AE53)</f>
        <v/>
      </c>
      <c r="AG53">
        <f>AL52</f>
        <v/>
      </c>
      <c r="AH53">
        <f>AG53*Plan!D11/100/12</f>
        <v/>
      </c>
      <c r="AI53">
        <f>MIN(Plan!E11,AG53+AH53)</f>
        <v/>
      </c>
      <c r="AJ53">
        <f>AG53+AH53-AI53</f>
        <v/>
      </c>
      <c r="AK53">
        <f>MIN(AJ53,MAX(0,$B53-((E$5&lt;AI$5)*F53+(K$5&lt;AI$5)*L53+(Q$5&lt;AI$5)*R53+(W$5&lt;AI$5)*X53+(AC$5&lt;AI$5)*AD53+(AO$5&lt;AI$5)*AP53+(AU$5&lt;AI$5)*AV53)))</f>
        <v/>
      </c>
      <c r="AL53">
        <f>IF(AJ53-AK53&lt;0.005,0,AJ53-AK53)</f>
        <v/>
      </c>
      <c r="AM53">
        <f>AR52</f>
        <v/>
      </c>
      <c r="AN53">
        <f>AM53*Plan!D12/100/12</f>
        <v/>
      </c>
      <c r="AO53">
        <f>MIN(Plan!E12,AM53+AN53)</f>
        <v/>
      </c>
      <c r="AP53">
        <f>AM53+AN53-AO53</f>
        <v/>
      </c>
      <c r="AQ53">
        <f>MIN(AP53,MAX(0,$B53-((E$5&lt;AO$5)*F53+(K$5&lt;AO$5)*L53+(Q$5&lt;AO$5)*R53+(W$5&lt;AO$5)*X53+(AC$5&lt;AO$5)*AD53+(AI$5&lt;AO$5)*AJ53+(AU$5&lt;AO$5)*AV53)))</f>
        <v/>
      </c>
      <c r="AR53">
        <f>IF(AP53-AQ53&lt;0.005,0,AP53-AQ53)</f>
        <v/>
      </c>
      <c r="AS53">
        <f>AX52</f>
        <v/>
      </c>
      <c r="AT53">
        <f>AS53*Plan!D13/100/12</f>
        <v/>
      </c>
      <c r="AU53">
        <f>MIN(Plan!E13,AS53+AT53)</f>
        <v/>
      </c>
      <c r="AV53">
        <f>AS53+AT53-AU53</f>
        <v/>
      </c>
      <c r="AW53">
        <f>MIN(AV53,MAX(0,$B53-((E$5&lt;AU$5)*F53+(K$5&lt;AU$5)*L53+(Q$5&lt;AU$5)*R53+(W$5&lt;AU$5)*X53+(AC$5&lt;AU$5)*AD53+(AI$5&lt;AU$5)*AJ53+(AO$5&lt;AU$5)*AP53)))</f>
        <v/>
      </c>
      <c r="AX53">
        <f>IF(AV53-AW53&lt;0.005,0,AV53-AW53)</f>
        <v/>
      </c>
      <c r="BC53">
        <f>H53+N53+T53+Z53+AF53+AL53+AR53+AX53</f>
        <v/>
      </c>
    </row>
    <row r="54">
      <c r="A54" t="n">
        <v>48</v>
      </c>
      <c r="B54" s="19">
        <f>MAX(0,$B$3-(E54+K54+Q54+W54+AC54+AI54+AO54+AU54))</f>
        <v/>
      </c>
      <c r="C54">
        <f>H53</f>
        <v/>
      </c>
      <c r="D54">
        <f>C54*Plan!D6/100/12</f>
        <v/>
      </c>
      <c r="E54">
        <f>MIN(Plan!E6,C54+D54)</f>
        <v/>
      </c>
      <c r="F54">
        <f>C54+D54-E54</f>
        <v/>
      </c>
      <c r="G54">
        <f>MIN(F54,MAX(0,$B54-((K$5&lt;E$5)*L54+(Q$5&lt;E$5)*R54+(W$5&lt;E$5)*X54+(AC$5&lt;E$5)*AD54+(AI$5&lt;E$5)*AJ54+(AO$5&lt;E$5)*AP54+(AU$5&lt;E$5)*AV54)))</f>
        <v/>
      </c>
      <c r="H54">
        <f>IF(F54-G54&lt;0.005,0,F54-G54)</f>
        <v/>
      </c>
      <c r="I54">
        <f>N53</f>
        <v/>
      </c>
      <c r="J54">
        <f>I54*Plan!D7/100/12</f>
        <v/>
      </c>
      <c r="K54">
        <f>MIN(Plan!E7,I54+J54)</f>
        <v/>
      </c>
      <c r="L54">
        <f>I54+J54-K54</f>
        <v/>
      </c>
      <c r="M54">
        <f>MIN(L54,MAX(0,$B54-((E$5&lt;K$5)*F54+(Q$5&lt;K$5)*R54+(W$5&lt;K$5)*X54+(AC$5&lt;K$5)*AD54+(AI$5&lt;K$5)*AJ54+(AO$5&lt;K$5)*AP54+(AU$5&lt;K$5)*AV54)))</f>
        <v/>
      </c>
      <c r="N54">
        <f>IF(L54-M54&lt;0.005,0,L54-M54)</f>
        <v/>
      </c>
      <c r="O54">
        <f>T53</f>
        <v/>
      </c>
      <c r="P54">
        <f>O54*Plan!D8/100/12</f>
        <v/>
      </c>
      <c r="Q54">
        <f>MIN(Plan!E8,O54+P54)</f>
        <v/>
      </c>
      <c r="R54">
        <f>O54+P54-Q54</f>
        <v/>
      </c>
      <c r="S54">
        <f>MIN(R54,MAX(0,$B54-((E$5&lt;Q$5)*F54+(K$5&lt;Q$5)*L54+(W$5&lt;Q$5)*X54+(AC$5&lt;Q$5)*AD54+(AI$5&lt;Q$5)*AJ54+(AO$5&lt;Q$5)*AP54+(AU$5&lt;Q$5)*AV54)))</f>
        <v/>
      </c>
      <c r="T54">
        <f>IF(R54-S54&lt;0.005,0,R54-S54)</f>
        <v/>
      </c>
      <c r="U54">
        <f>Z53</f>
        <v/>
      </c>
      <c r="V54">
        <f>U54*Plan!D9/100/12</f>
        <v/>
      </c>
      <c r="W54">
        <f>MIN(Plan!E9,U54+V54)</f>
        <v/>
      </c>
      <c r="X54">
        <f>U54+V54-W54</f>
        <v/>
      </c>
      <c r="Y54">
        <f>MIN(X54,MAX(0,$B54-((E$5&lt;W$5)*F54+(K$5&lt;W$5)*L54+(Q$5&lt;W$5)*R54+(AC$5&lt;W$5)*AD54+(AI$5&lt;W$5)*AJ54+(AO$5&lt;W$5)*AP54+(AU$5&lt;W$5)*AV54)))</f>
        <v/>
      </c>
      <c r="Z54">
        <f>IF(X54-Y54&lt;0.005,0,X54-Y54)</f>
        <v/>
      </c>
      <c r="AA54">
        <f>AF53</f>
        <v/>
      </c>
      <c r="AB54">
        <f>AA54*Plan!D10/100/12</f>
        <v/>
      </c>
      <c r="AC54">
        <f>MIN(Plan!E10,AA54+AB54)</f>
        <v/>
      </c>
      <c r="AD54">
        <f>AA54+AB54-AC54</f>
        <v/>
      </c>
      <c r="AE54">
        <f>MIN(AD54,MAX(0,$B54-((E$5&lt;AC$5)*F54+(K$5&lt;AC$5)*L54+(Q$5&lt;AC$5)*R54+(W$5&lt;AC$5)*X54+(AI$5&lt;AC$5)*AJ54+(AO$5&lt;AC$5)*AP54+(AU$5&lt;AC$5)*AV54)))</f>
        <v/>
      </c>
      <c r="AF54">
        <f>IF(AD54-AE54&lt;0.005,0,AD54-AE54)</f>
        <v/>
      </c>
      <c r="AG54">
        <f>AL53</f>
        <v/>
      </c>
      <c r="AH54">
        <f>AG54*Plan!D11/100/12</f>
        <v/>
      </c>
      <c r="AI54">
        <f>MIN(Plan!E11,AG54+AH54)</f>
        <v/>
      </c>
      <c r="AJ54">
        <f>AG54+AH54-AI54</f>
        <v/>
      </c>
      <c r="AK54">
        <f>MIN(AJ54,MAX(0,$B54-((E$5&lt;AI$5)*F54+(K$5&lt;AI$5)*L54+(Q$5&lt;AI$5)*R54+(W$5&lt;AI$5)*X54+(AC$5&lt;AI$5)*AD54+(AO$5&lt;AI$5)*AP54+(AU$5&lt;AI$5)*AV54)))</f>
        <v/>
      </c>
      <c r="AL54">
        <f>IF(AJ54-AK54&lt;0.005,0,AJ54-AK54)</f>
        <v/>
      </c>
      <c r="AM54">
        <f>AR53</f>
        <v/>
      </c>
      <c r="AN54">
        <f>AM54*Plan!D12/100/12</f>
        <v/>
      </c>
      <c r="AO54">
        <f>MIN(Plan!E12,AM54+AN54)</f>
        <v/>
      </c>
      <c r="AP54">
        <f>AM54+AN54-AO54</f>
        <v/>
      </c>
      <c r="AQ54">
        <f>MIN(AP54,MAX(0,$B54-((E$5&lt;AO$5)*F54+(K$5&lt;AO$5)*L54+(Q$5&lt;AO$5)*R54+(W$5&lt;AO$5)*X54+(AC$5&lt;AO$5)*AD54+(AI$5&lt;AO$5)*AJ54+(AU$5&lt;AO$5)*AV54)))</f>
        <v/>
      </c>
      <c r="AR54">
        <f>IF(AP54-AQ54&lt;0.005,0,AP54-AQ54)</f>
        <v/>
      </c>
      <c r="AS54">
        <f>AX53</f>
        <v/>
      </c>
      <c r="AT54">
        <f>AS54*Plan!D13/100/12</f>
        <v/>
      </c>
      <c r="AU54">
        <f>MIN(Plan!E13,AS54+AT54)</f>
        <v/>
      </c>
      <c r="AV54">
        <f>AS54+AT54-AU54</f>
        <v/>
      </c>
      <c r="AW54">
        <f>MIN(AV54,MAX(0,$B54-((E$5&lt;AU$5)*F54+(K$5&lt;AU$5)*L54+(Q$5&lt;AU$5)*R54+(W$5&lt;AU$5)*X54+(AC$5&lt;AU$5)*AD54+(AI$5&lt;AU$5)*AJ54+(AO$5&lt;AU$5)*AP54)))</f>
        <v/>
      </c>
      <c r="AX54">
        <f>IF(AV54-AW54&lt;0.005,0,AV54-AW54)</f>
        <v/>
      </c>
      <c r="BC54">
        <f>H54+N54+T54+Z54+AF54+AL54+AR54+AX54</f>
        <v/>
      </c>
    </row>
    <row r="55">
      <c r="A55" t="n">
        <v>49</v>
      </c>
      <c r="B55" s="19">
        <f>MAX(0,$B$3-(E55+K55+Q55+W55+AC55+AI55+AO55+AU55))</f>
        <v/>
      </c>
      <c r="C55">
        <f>H54</f>
        <v/>
      </c>
      <c r="D55">
        <f>C55*Plan!D6/100/12</f>
        <v/>
      </c>
      <c r="E55">
        <f>MIN(Plan!E6,C55+D55)</f>
        <v/>
      </c>
      <c r="F55">
        <f>C55+D55-E55</f>
        <v/>
      </c>
      <c r="G55">
        <f>MIN(F55,MAX(0,$B55-((K$5&lt;E$5)*L55+(Q$5&lt;E$5)*R55+(W$5&lt;E$5)*X55+(AC$5&lt;E$5)*AD55+(AI$5&lt;E$5)*AJ55+(AO$5&lt;E$5)*AP55+(AU$5&lt;E$5)*AV55)))</f>
        <v/>
      </c>
      <c r="H55">
        <f>IF(F55-G55&lt;0.005,0,F55-G55)</f>
        <v/>
      </c>
      <c r="I55">
        <f>N54</f>
        <v/>
      </c>
      <c r="J55">
        <f>I55*Plan!D7/100/12</f>
        <v/>
      </c>
      <c r="K55">
        <f>MIN(Plan!E7,I55+J55)</f>
        <v/>
      </c>
      <c r="L55">
        <f>I55+J55-K55</f>
        <v/>
      </c>
      <c r="M55">
        <f>MIN(L55,MAX(0,$B55-((E$5&lt;K$5)*F55+(Q$5&lt;K$5)*R55+(W$5&lt;K$5)*X55+(AC$5&lt;K$5)*AD55+(AI$5&lt;K$5)*AJ55+(AO$5&lt;K$5)*AP55+(AU$5&lt;K$5)*AV55)))</f>
        <v/>
      </c>
      <c r="N55">
        <f>IF(L55-M55&lt;0.005,0,L55-M55)</f>
        <v/>
      </c>
      <c r="O55">
        <f>T54</f>
        <v/>
      </c>
      <c r="P55">
        <f>O55*Plan!D8/100/12</f>
        <v/>
      </c>
      <c r="Q55">
        <f>MIN(Plan!E8,O55+P55)</f>
        <v/>
      </c>
      <c r="R55">
        <f>O55+P55-Q55</f>
        <v/>
      </c>
      <c r="S55">
        <f>MIN(R55,MAX(0,$B55-((E$5&lt;Q$5)*F55+(K$5&lt;Q$5)*L55+(W$5&lt;Q$5)*X55+(AC$5&lt;Q$5)*AD55+(AI$5&lt;Q$5)*AJ55+(AO$5&lt;Q$5)*AP55+(AU$5&lt;Q$5)*AV55)))</f>
        <v/>
      </c>
      <c r="T55">
        <f>IF(R55-S55&lt;0.005,0,R55-S55)</f>
        <v/>
      </c>
      <c r="U55">
        <f>Z54</f>
        <v/>
      </c>
      <c r="V55">
        <f>U55*Plan!D9/100/12</f>
        <v/>
      </c>
      <c r="W55">
        <f>MIN(Plan!E9,U55+V55)</f>
        <v/>
      </c>
      <c r="X55">
        <f>U55+V55-W55</f>
        <v/>
      </c>
      <c r="Y55">
        <f>MIN(X55,MAX(0,$B55-((E$5&lt;W$5)*F55+(K$5&lt;W$5)*L55+(Q$5&lt;W$5)*R55+(AC$5&lt;W$5)*AD55+(AI$5&lt;W$5)*AJ55+(AO$5&lt;W$5)*AP55+(AU$5&lt;W$5)*AV55)))</f>
        <v/>
      </c>
      <c r="Z55">
        <f>IF(X55-Y55&lt;0.005,0,X55-Y55)</f>
        <v/>
      </c>
      <c r="AA55">
        <f>AF54</f>
        <v/>
      </c>
      <c r="AB55">
        <f>AA55*Plan!D10/100/12</f>
        <v/>
      </c>
      <c r="AC55">
        <f>MIN(Plan!E10,AA55+AB55)</f>
        <v/>
      </c>
      <c r="AD55">
        <f>AA55+AB55-AC55</f>
        <v/>
      </c>
      <c r="AE55">
        <f>MIN(AD55,MAX(0,$B55-((E$5&lt;AC$5)*F55+(K$5&lt;AC$5)*L55+(Q$5&lt;AC$5)*R55+(W$5&lt;AC$5)*X55+(AI$5&lt;AC$5)*AJ55+(AO$5&lt;AC$5)*AP55+(AU$5&lt;AC$5)*AV55)))</f>
        <v/>
      </c>
      <c r="AF55">
        <f>IF(AD55-AE55&lt;0.005,0,AD55-AE55)</f>
        <v/>
      </c>
      <c r="AG55">
        <f>AL54</f>
        <v/>
      </c>
      <c r="AH55">
        <f>AG55*Plan!D11/100/12</f>
        <v/>
      </c>
      <c r="AI55">
        <f>MIN(Plan!E11,AG55+AH55)</f>
        <v/>
      </c>
      <c r="AJ55">
        <f>AG55+AH55-AI55</f>
        <v/>
      </c>
      <c r="AK55">
        <f>MIN(AJ55,MAX(0,$B55-((E$5&lt;AI$5)*F55+(K$5&lt;AI$5)*L55+(Q$5&lt;AI$5)*R55+(W$5&lt;AI$5)*X55+(AC$5&lt;AI$5)*AD55+(AO$5&lt;AI$5)*AP55+(AU$5&lt;AI$5)*AV55)))</f>
        <v/>
      </c>
      <c r="AL55">
        <f>IF(AJ55-AK55&lt;0.005,0,AJ55-AK55)</f>
        <v/>
      </c>
      <c r="AM55">
        <f>AR54</f>
        <v/>
      </c>
      <c r="AN55">
        <f>AM55*Plan!D12/100/12</f>
        <v/>
      </c>
      <c r="AO55">
        <f>MIN(Plan!E12,AM55+AN55)</f>
        <v/>
      </c>
      <c r="AP55">
        <f>AM55+AN55-AO55</f>
        <v/>
      </c>
      <c r="AQ55">
        <f>MIN(AP55,MAX(0,$B55-((E$5&lt;AO$5)*F55+(K$5&lt;AO$5)*L55+(Q$5&lt;AO$5)*R55+(W$5&lt;AO$5)*X55+(AC$5&lt;AO$5)*AD55+(AI$5&lt;AO$5)*AJ55+(AU$5&lt;AO$5)*AV55)))</f>
        <v/>
      </c>
      <c r="AR55">
        <f>IF(AP55-AQ55&lt;0.005,0,AP55-AQ55)</f>
        <v/>
      </c>
      <c r="AS55">
        <f>AX54</f>
        <v/>
      </c>
      <c r="AT55">
        <f>AS55*Plan!D13/100/12</f>
        <v/>
      </c>
      <c r="AU55">
        <f>MIN(Plan!E13,AS55+AT55)</f>
        <v/>
      </c>
      <c r="AV55">
        <f>AS55+AT55-AU55</f>
        <v/>
      </c>
      <c r="AW55">
        <f>MIN(AV55,MAX(0,$B55-((E$5&lt;AU$5)*F55+(K$5&lt;AU$5)*L55+(Q$5&lt;AU$5)*R55+(W$5&lt;AU$5)*X55+(AC$5&lt;AU$5)*AD55+(AI$5&lt;AU$5)*AJ55+(AO$5&lt;AU$5)*AP55)))</f>
        <v/>
      </c>
      <c r="AX55">
        <f>IF(AV55-AW55&lt;0.005,0,AV55-AW55)</f>
        <v/>
      </c>
      <c r="BC55">
        <f>H55+N55+T55+Z55+AF55+AL55+AR55+AX55</f>
        <v/>
      </c>
    </row>
    <row r="56">
      <c r="A56" t="n">
        <v>50</v>
      </c>
      <c r="B56" s="19">
        <f>MAX(0,$B$3-(E56+K56+Q56+W56+AC56+AI56+AO56+AU56))</f>
        <v/>
      </c>
      <c r="C56">
        <f>H55</f>
        <v/>
      </c>
      <c r="D56">
        <f>C56*Plan!D6/100/12</f>
        <v/>
      </c>
      <c r="E56">
        <f>MIN(Plan!E6,C56+D56)</f>
        <v/>
      </c>
      <c r="F56">
        <f>C56+D56-E56</f>
        <v/>
      </c>
      <c r="G56">
        <f>MIN(F56,MAX(0,$B56-((K$5&lt;E$5)*L56+(Q$5&lt;E$5)*R56+(W$5&lt;E$5)*X56+(AC$5&lt;E$5)*AD56+(AI$5&lt;E$5)*AJ56+(AO$5&lt;E$5)*AP56+(AU$5&lt;E$5)*AV56)))</f>
        <v/>
      </c>
      <c r="H56">
        <f>IF(F56-G56&lt;0.005,0,F56-G56)</f>
        <v/>
      </c>
      <c r="I56">
        <f>N55</f>
        <v/>
      </c>
      <c r="J56">
        <f>I56*Plan!D7/100/12</f>
        <v/>
      </c>
      <c r="K56">
        <f>MIN(Plan!E7,I56+J56)</f>
        <v/>
      </c>
      <c r="L56">
        <f>I56+J56-K56</f>
        <v/>
      </c>
      <c r="M56">
        <f>MIN(L56,MAX(0,$B56-((E$5&lt;K$5)*F56+(Q$5&lt;K$5)*R56+(W$5&lt;K$5)*X56+(AC$5&lt;K$5)*AD56+(AI$5&lt;K$5)*AJ56+(AO$5&lt;K$5)*AP56+(AU$5&lt;K$5)*AV56)))</f>
        <v/>
      </c>
      <c r="N56">
        <f>IF(L56-M56&lt;0.005,0,L56-M56)</f>
        <v/>
      </c>
      <c r="O56">
        <f>T55</f>
        <v/>
      </c>
      <c r="P56">
        <f>O56*Plan!D8/100/12</f>
        <v/>
      </c>
      <c r="Q56">
        <f>MIN(Plan!E8,O56+P56)</f>
        <v/>
      </c>
      <c r="R56">
        <f>O56+P56-Q56</f>
        <v/>
      </c>
      <c r="S56">
        <f>MIN(R56,MAX(0,$B56-((E$5&lt;Q$5)*F56+(K$5&lt;Q$5)*L56+(W$5&lt;Q$5)*X56+(AC$5&lt;Q$5)*AD56+(AI$5&lt;Q$5)*AJ56+(AO$5&lt;Q$5)*AP56+(AU$5&lt;Q$5)*AV56)))</f>
        <v/>
      </c>
      <c r="T56">
        <f>IF(R56-S56&lt;0.005,0,R56-S56)</f>
        <v/>
      </c>
      <c r="U56">
        <f>Z55</f>
        <v/>
      </c>
      <c r="V56">
        <f>U56*Plan!D9/100/12</f>
        <v/>
      </c>
      <c r="W56">
        <f>MIN(Plan!E9,U56+V56)</f>
        <v/>
      </c>
      <c r="X56">
        <f>U56+V56-W56</f>
        <v/>
      </c>
      <c r="Y56">
        <f>MIN(X56,MAX(0,$B56-((E$5&lt;W$5)*F56+(K$5&lt;W$5)*L56+(Q$5&lt;W$5)*R56+(AC$5&lt;W$5)*AD56+(AI$5&lt;W$5)*AJ56+(AO$5&lt;W$5)*AP56+(AU$5&lt;W$5)*AV56)))</f>
        <v/>
      </c>
      <c r="Z56">
        <f>IF(X56-Y56&lt;0.005,0,X56-Y56)</f>
        <v/>
      </c>
      <c r="AA56">
        <f>AF55</f>
        <v/>
      </c>
      <c r="AB56">
        <f>AA56*Plan!D10/100/12</f>
        <v/>
      </c>
      <c r="AC56">
        <f>MIN(Plan!E10,AA56+AB56)</f>
        <v/>
      </c>
      <c r="AD56">
        <f>AA56+AB56-AC56</f>
        <v/>
      </c>
      <c r="AE56">
        <f>MIN(AD56,MAX(0,$B56-((E$5&lt;AC$5)*F56+(K$5&lt;AC$5)*L56+(Q$5&lt;AC$5)*R56+(W$5&lt;AC$5)*X56+(AI$5&lt;AC$5)*AJ56+(AO$5&lt;AC$5)*AP56+(AU$5&lt;AC$5)*AV56)))</f>
        <v/>
      </c>
      <c r="AF56">
        <f>IF(AD56-AE56&lt;0.005,0,AD56-AE56)</f>
        <v/>
      </c>
      <c r="AG56">
        <f>AL55</f>
        <v/>
      </c>
      <c r="AH56">
        <f>AG56*Plan!D11/100/12</f>
        <v/>
      </c>
      <c r="AI56">
        <f>MIN(Plan!E11,AG56+AH56)</f>
        <v/>
      </c>
      <c r="AJ56">
        <f>AG56+AH56-AI56</f>
        <v/>
      </c>
      <c r="AK56">
        <f>MIN(AJ56,MAX(0,$B56-((E$5&lt;AI$5)*F56+(K$5&lt;AI$5)*L56+(Q$5&lt;AI$5)*R56+(W$5&lt;AI$5)*X56+(AC$5&lt;AI$5)*AD56+(AO$5&lt;AI$5)*AP56+(AU$5&lt;AI$5)*AV56)))</f>
        <v/>
      </c>
      <c r="AL56">
        <f>IF(AJ56-AK56&lt;0.005,0,AJ56-AK56)</f>
        <v/>
      </c>
      <c r="AM56">
        <f>AR55</f>
        <v/>
      </c>
      <c r="AN56">
        <f>AM56*Plan!D12/100/12</f>
        <v/>
      </c>
      <c r="AO56">
        <f>MIN(Plan!E12,AM56+AN56)</f>
        <v/>
      </c>
      <c r="AP56">
        <f>AM56+AN56-AO56</f>
        <v/>
      </c>
      <c r="AQ56">
        <f>MIN(AP56,MAX(0,$B56-((E$5&lt;AO$5)*F56+(K$5&lt;AO$5)*L56+(Q$5&lt;AO$5)*R56+(W$5&lt;AO$5)*X56+(AC$5&lt;AO$5)*AD56+(AI$5&lt;AO$5)*AJ56+(AU$5&lt;AO$5)*AV56)))</f>
        <v/>
      </c>
      <c r="AR56">
        <f>IF(AP56-AQ56&lt;0.005,0,AP56-AQ56)</f>
        <v/>
      </c>
      <c r="AS56">
        <f>AX55</f>
        <v/>
      </c>
      <c r="AT56">
        <f>AS56*Plan!D13/100/12</f>
        <v/>
      </c>
      <c r="AU56">
        <f>MIN(Plan!E13,AS56+AT56)</f>
        <v/>
      </c>
      <c r="AV56">
        <f>AS56+AT56-AU56</f>
        <v/>
      </c>
      <c r="AW56">
        <f>MIN(AV56,MAX(0,$B56-((E$5&lt;AU$5)*F56+(K$5&lt;AU$5)*L56+(Q$5&lt;AU$5)*R56+(W$5&lt;AU$5)*X56+(AC$5&lt;AU$5)*AD56+(AI$5&lt;AU$5)*AJ56+(AO$5&lt;AU$5)*AP56)))</f>
        <v/>
      </c>
      <c r="AX56">
        <f>IF(AV56-AW56&lt;0.005,0,AV56-AW56)</f>
        <v/>
      </c>
      <c r="BC56">
        <f>H56+N56+T56+Z56+AF56+AL56+AR56+AX56</f>
        <v/>
      </c>
    </row>
    <row r="57">
      <c r="A57" t="n">
        <v>51</v>
      </c>
      <c r="B57" s="19">
        <f>MAX(0,$B$3-(E57+K57+Q57+W57+AC57+AI57+AO57+AU57))</f>
        <v/>
      </c>
      <c r="C57">
        <f>H56</f>
        <v/>
      </c>
      <c r="D57">
        <f>C57*Plan!D6/100/12</f>
        <v/>
      </c>
      <c r="E57">
        <f>MIN(Plan!E6,C57+D57)</f>
        <v/>
      </c>
      <c r="F57">
        <f>C57+D57-E57</f>
        <v/>
      </c>
      <c r="G57">
        <f>MIN(F57,MAX(0,$B57-((K$5&lt;E$5)*L57+(Q$5&lt;E$5)*R57+(W$5&lt;E$5)*X57+(AC$5&lt;E$5)*AD57+(AI$5&lt;E$5)*AJ57+(AO$5&lt;E$5)*AP57+(AU$5&lt;E$5)*AV57)))</f>
        <v/>
      </c>
      <c r="H57">
        <f>IF(F57-G57&lt;0.005,0,F57-G57)</f>
        <v/>
      </c>
      <c r="I57">
        <f>N56</f>
        <v/>
      </c>
      <c r="J57">
        <f>I57*Plan!D7/100/12</f>
        <v/>
      </c>
      <c r="K57">
        <f>MIN(Plan!E7,I57+J57)</f>
        <v/>
      </c>
      <c r="L57">
        <f>I57+J57-K57</f>
        <v/>
      </c>
      <c r="M57">
        <f>MIN(L57,MAX(0,$B57-((E$5&lt;K$5)*F57+(Q$5&lt;K$5)*R57+(W$5&lt;K$5)*X57+(AC$5&lt;K$5)*AD57+(AI$5&lt;K$5)*AJ57+(AO$5&lt;K$5)*AP57+(AU$5&lt;K$5)*AV57)))</f>
        <v/>
      </c>
      <c r="N57">
        <f>IF(L57-M57&lt;0.005,0,L57-M57)</f>
        <v/>
      </c>
      <c r="O57">
        <f>T56</f>
        <v/>
      </c>
      <c r="P57">
        <f>O57*Plan!D8/100/12</f>
        <v/>
      </c>
      <c r="Q57">
        <f>MIN(Plan!E8,O57+P57)</f>
        <v/>
      </c>
      <c r="R57">
        <f>O57+P57-Q57</f>
        <v/>
      </c>
      <c r="S57">
        <f>MIN(R57,MAX(0,$B57-((E$5&lt;Q$5)*F57+(K$5&lt;Q$5)*L57+(W$5&lt;Q$5)*X57+(AC$5&lt;Q$5)*AD57+(AI$5&lt;Q$5)*AJ57+(AO$5&lt;Q$5)*AP57+(AU$5&lt;Q$5)*AV57)))</f>
        <v/>
      </c>
      <c r="T57">
        <f>IF(R57-S57&lt;0.005,0,R57-S57)</f>
        <v/>
      </c>
      <c r="U57">
        <f>Z56</f>
        <v/>
      </c>
      <c r="V57">
        <f>U57*Plan!D9/100/12</f>
        <v/>
      </c>
      <c r="W57">
        <f>MIN(Plan!E9,U57+V57)</f>
        <v/>
      </c>
      <c r="X57">
        <f>U57+V57-W57</f>
        <v/>
      </c>
      <c r="Y57">
        <f>MIN(X57,MAX(0,$B57-((E$5&lt;W$5)*F57+(K$5&lt;W$5)*L57+(Q$5&lt;W$5)*R57+(AC$5&lt;W$5)*AD57+(AI$5&lt;W$5)*AJ57+(AO$5&lt;W$5)*AP57+(AU$5&lt;W$5)*AV57)))</f>
        <v/>
      </c>
      <c r="Z57">
        <f>IF(X57-Y57&lt;0.005,0,X57-Y57)</f>
        <v/>
      </c>
      <c r="AA57">
        <f>AF56</f>
        <v/>
      </c>
      <c r="AB57">
        <f>AA57*Plan!D10/100/12</f>
        <v/>
      </c>
      <c r="AC57">
        <f>MIN(Plan!E10,AA57+AB57)</f>
        <v/>
      </c>
      <c r="AD57">
        <f>AA57+AB57-AC57</f>
        <v/>
      </c>
      <c r="AE57">
        <f>MIN(AD57,MAX(0,$B57-((E$5&lt;AC$5)*F57+(K$5&lt;AC$5)*L57+(Q$5&lt;AC$5)*R57+(W$5&lt;AC$5)*X57+(AI$5&lt;AC$5)*AJ57+(AO$5&lt;AC$5)*AP57+(AU$5&lt;AC$5)*AV57)))</f>
        <v/>
      </c>
      <c r="AF57">
        <f>IF(AD57-AE57&lt;0.005,0,AD57-AE57)</f>
        <v/>
      </c>
      <c r="AG57">
        <f>AL56</f>
        <v/>
      </c>
      <c r="AH57">
        <f>AG57*Plan!D11/100/12</f>
        <v/>
      </c>
      <c r="AI57">
        <f>MIN(Plan!E11,AG57+AH57)</f>
        <v/>
      </c>
      <c r="AJ57">
        <f>AG57+AH57-AI57</f>
        <v/>
      </c>
      <c r="AK57">
        <f>MIN(AJ57,MAX(0,$B57-((E$5&lt;AI$5)*F57+(K$5&lt;AI$5)*L57+(Q$5&lt;AI$5)*R57+(W$5&lt;AI$5)*X57+(AC$5&lt;AI$5)*AD57+(AO$5&lt;AI$5)*AP57+(AU$5&lt;AI$5)*AV57)))</f>
        <v/>
      </c>
      <c r="AL57">
        <f>IF(AJ57-AK57&lt;0.005,0,AJ57-AK57)</f>
        <v/>
      </c>
      <c r="AM57">
        <f>AR56</f>
        <v/>
      </c>
      <c r="AN57">
        <f>AM57*Plan!D12/100/12</f>
        <v/>
      </c>
      <c r="AO57">
        <f>MIN(Plan!E12,AM57+AN57)</f>
        <v/>
      </c>
      <c r="AP57">
        <f>AM57+AN57-AO57</f>
        <v/>
      </c>
      <c r="AQ57">
        <f>MIN(AP57,MAX(0,$B57-((E$5&lt;AO$5)*F57+(K$5&lt;AO$5)*L57+(Q$5&lt;AO$5)*R57+(W$5&lt;AO$5)*X57+(AC$5&lt;AO$5)*AD57+(AI$5&lt;AO$5)*AJ57+(AU$5&lt;AO$5)*AV57)))</f>
        <v/>
      </c>
      <c r="AR57">
        <f>IF(AP57-AQ57&lt;0.005,0,AP57-AQ57)</f>
        <v/>
      </c>
      <c r="AS57">
        <f>AX56</f>
        <v/>
      </c>
      <c r="AT57">
        <f>AS57*Plan!D13/100/12</f>
        <v/>
      </c>
      <c r="AU57">
        <f>MIN(Plan!E13,AS57+AT57)</f>
        <v/>
      </c>
      <c r="AV57">
        <f>AS57+AT57-AU57</f>
        <v/>
      </c>
      <c r="AW57">
        <f>MIN(AV57,MAX(0,$B57-((E$5&lt;AU$5)*F57+(K$5&lt;AU$5)*L57+(Q$5&lt;AU$5)*R57+(W$5&lt;AU$5)*X57+(AC$5&lt;AU$5)*AD57+(AI$5&lt;AU$5)*AJ57+(AO$5&lt;AU$5)*AP57)))</f>
        <v/>
      </c>
      <c r="AX57">
        <f>IF(AV57-AW57&lt;0.005,0,AV57-AW57)</f>
        <v/>
      </c>
      <c r="BC57">
        <f>H57+N57+T57+Z57+AF57+AL57+AR57+AX57</f>
        <v/>
      </c>
    </row>
    <row r="58">
      <c r="A58" t="n">
        <v>52</v>
      </c>
      <c r="B58" s="19">
        <f>MAX(0,$B$3-(E58+K58+Q58+W58+AC58+AI58+AO58+AU58))</f>
        <v/>
      </c>
      <c r="C58">
        <f>H57</f>
        <v/>
      </c>
      <c r="D58">
        <f>C58*Plan!D6/100/12</f>
        <v/>
      </c>
      <c r="E58">
        <f>MIN(Plan!E6,C58+D58)</f>
        <v/>
      </c>
      <c r="F58">
        <f>C58+D58-E58</f>
        <v/>
      </c>
      <c r="G58">
        <f>MIN(F58,MAX(0,$B58-((K$5&lt;E$5)*L58+(Q$5&lt;E$5)*R58+(W$5&lt;E$5)*X58+(AC$5&lt;E$5)*AD58+(AI$5&lt;E$5)*AJ58+(AO$5&lt;E$5)*AP58+(AU$5&lt;E$5)*AV58)))</f>
        <v/>
      </c>
      <c r="H58">
        <f>IF(F58-G58&lt;0.005,0,F58-G58)</f>
        <v/>
      </c>
      <c r="I58">
        <f>N57</f>
        <v/>
      </c>
      <c r="J58">
        <f>I58*Plan!D7/100/12</f>
        <v/>
      </c>
      <c r="K58">
        <f>MIN(Plan!E7,I58+J58)</f>
        <v/>
      </c>
      <c r="L58">
        <f>I58+J58-K58</f>
        <v/>
      </c>
      <c r="M58">
        <f>MIN(L58,MAX(0,$B58-((E$5&lt;K$5)*F58+(Q$5&lt;K$5)*R58+(W$5&lt;K$5)*X58+(AC$5&lt;K$5)*AD58+(AI$5&lt;K$5)*AJ58+(AO$5&lt;K$5)*AP58+(AU$5&lt;K$5)*AV58)))</f>
        <v/>
      </c>
      <c r="N58">
        <f>IF(L58-M58&lt;0.005,0,L58-M58)</f>
        <v/>
      </c>
      <c r="O58">
        <f>T57</f>
        <v/>
      </c>
      <c r="P58">
        <f>O58*Plan!D8/100/12</f>
        <v/>
      </c>
      <c r="Q58">
        <f>MIN(Plan!E8,O58+P58)</f>
        <v/>
      </c>
      <c r="R58">
        <f>O58+P58-Q58</f>
        <v/>
      </c>
      <c r="S58">
        <f>MIN(R58,MAX(0,$B58-((E$5&lt;Q$5)*F58+(K$5&lt;Q$5)*L58+(W$5&lt;Q$5)*X58+(AC$5&lt;Q$5)*AD58+(AI$5&lt;Q$5)*AJ58+(AO$5&lt;Q$5)*AP58+(AU$5&lt;Q$5)*AV58)))</f>
        <v/>
      </c>
      <c r="T58">
        <f>IF(R58-S58&lt;0.005,0,R58-S58)</f>
        <v/>
      </c>
      <c r="U58">
        <f>Z57</f>
        <v/>
      </c>
      <c r="V58">
        <f>U58*Plan!D9/100/12</f>
        <v/>
      </c>
      <c r="W58">
        <f>MIN(Plan!E9,U58+V58)</f>
        <v/>
      </c>
      <c r="X58">
        <f>U58+V58-W58</f>
        <v/>
      </c>
      <c r="Y58">
        <f>MIN(X58,MAX(0,$B58-((E$5&lt;W$5)*F58+(K$5&lt;W$5)*L58+(Q$5&lt;W$5)*R58+(AC$5&lt;W$5)*AD58+(AI$5&lt;W$5)*AJ58+(AO$5&lt;W$5)*AP58+(AU$5&lt;W$5)*AV58)))</f>
        <v/>
      </c>
      <c r="Z58">
        <f>IF(X58-Y58&lt;0.005,0,X58-Y58)</f>
        <v/>
      </c>
      <c r="AA58">
        <f>AF57</f>
        <v/>
      </c>
      <c r="AB58">
        <f>AA58*Plan!D10/100/12</f>
        <v/>
      </c>
      <c r="AC58">
        <f>MIN(Plan!E10,AA58+AB58)</f>
        <v/>
      </c>
      <c r="AD58">
        <f>AA58+AB58-AC58</f>
        <v/>
      </c>
      <c r="AE58">
        <f>MIN(AD58,MAX(0,$B58-((E$5&lt;AC$5)*F58+(K$5&lt;AC$5)*L58+(Q$5&lt;AC$5)*R58+(W$5&lt;AC$5)*X58+(AI$5&lt;AC$5)*AJ58+(AO$5&lt;AC$5)*AP58+(AU$5&lt;AC$5)*AV58)))</f>
        <v/>
      </c>
      <c r="AF58">
        <f>IF(AD58-AE58&lt;0.005,0,AD58-AE58)</f>
        <v/>
      </c>
      <c r="AG58">
        <f>AL57</f>
        <v/>
      </c>
      <c r="AH58">
        <f>AG58*Plan!D11/100/12</f>
        <v/>
      </c>
      <c r="AI58">
        <f>MIN(Plan!E11,AG58+AH58)</f>
        <v/>
      </c>
      <c r="AJ58">
        <f>AG58+AH58-AI58</f>
        <v/>
      </c>
      <c r="AK58">
        <f>MIN(AJ58,MAX(0,$B58-((E$5&lt;AI$5)*F58+(K$5&lt;AI$5)*L58+(Q$5&lt;AI$5)*R58+(W$5&lt;AI$5)*X58+(AC$5&lt;AI$5)*AD58+(AO$5&lt;AI$5)*AP58+(AU$5&lt;AI$5)*AV58)))</f>
        <v/>
      </c>
      <c r="AL58">
        <f>IF(AJ58-AK58&lt;0.005,0,AJ58-AK58)</f>
        <v/>
      </c>
      <c r="AM58">
        <f>AR57</f>
        <v/>
      </c>
      <c r="AN58">
        <f>AM58*Plan!D12/100/12</f>
        <v/>
      </c>
      <c r="AO58">
        <f>MIN(Plan!E12,AM58+AN58)</f>
        <v/>
      </c>
      <c r="AP58">
        <f>AM58+AN58-AO58</f>
        <v/>
      </c>
      <c r="AQ58">
        <f>MIN(AP58,MAX(0,$B58-((E$5&lt;AO$5)*F58+(K$5&lt;AO$5)*L58+(Q$5&lt;AO$5)*R58+(W$5&lt;AO$5)*X58+(AC$5&lt;AO$5)*AD58+(AI$5&lt;AO$5)*AJ58+(AU$5&lt;AO$5)*AV58)))</f>
        <v/>
      </c>
      <c r="AR58">
        <f>IF(AP58-AQ58&lt;0.005,0,AP58-AQ58)</f>
        <v/>
      </c>
      <c r="AS58">
        <f>AX57</f>
        <v/>
      </c>
      <c r="AT58">
        <f>AS58*Plan!D13/100/12</f>
        <v/>
      </c>
      <c r="AU58">
        <f>MIN(Plan!E13,AS58+AT58)</f>
        <v/>
      </c>
      <c r="AV58">
        <f>AS58+AT58-AU58</f>
        <v/>
      </c>
      <c r="AW58">
        <f>MIN(AV58,MAX(0,$B58-((E$5&lt;AU$5)*F58+(K$5&lt;AU$5)*L58+(Q$5&lt;AU$5)*R58+(W$5&lt;AU$5)*X58+(AC$5&lt;AU$5)*AD58+(AI$5&lt;AU$5)*AJ58+(AO$5&lt;AU$5)*AP58)))</f>
        <v/>
      </c>
      <c r="AX58">
        <f>IF(AV58-AW58&lt;0.005,0,AV58-AW58)</f>
        <v/>
      </c>
      <c r="BC58">
        <f>H58+N58+T58+Z58+AF58+AL58+AR58+AX58</f>
        <v/>
      </c>
    </row>
    <row r="59">
      <c r="A59" t="n">
        <v>53</v>
      </c>
      <c r="B59" s="19">
        <f>MAX(0,$B$3-(E59+K59+Q59+W59+AC59+AI59+AO59+AU59))</f>
        <v/>
      </c>
      <c r="C59">
        <f>H58</f>
        <v/>
      </c>
      <c r="D59">
        <f>C59*Plan!D6/100/12</f>
        <v/>
      </c>
      <c r="E59">
        <f>MIN(Plan!E6,C59+D59)</f>
        <v/>
      </c>
      <c r="F59">
        <f>C59+D59-E59</f>
        <v/>
      </c>
      <c r="G59">
        <f>MIN(F59,MAX(0,$B59-((K$5&lt;E$5)*L59+(Q$5&lt;E$5)*R59+(W$5&lt;E$5)*X59+(AC$5&lt;E$5)*AD59+(AI$5&lt;E$5)*AJ59+(AO$5&lt;E$5)*AP59+(AU$5&lt;E$5)*AV59)))</f>
        <v/>
      </c>
      <c r="H59">
        <f>IF(F59-G59&lt;0.005,0,F59-G59)</f>
        <v/>
      </c>
      <c r="I59">
        <f>N58</f>
        <v/>
      </c>
      <c r="J59">
        <f>I59*Plan!D7/100/12</f>
        <v/>
      </c>
      <c r="K59">
        <f>MIN(Plan!E7,I59+J59)</f>
        <v/>
      </c>
      <c r="L59">
        <f>I59+J59-K59</f>
        <v/>
      </c>
      <c r="M59">
        <f>MIN(L59,MAX(0,$B59-((E$5&lt;K$5)*F59+(Q$5&lt;K$5)*R59+(W$5&lt;K$5)*X59+(AC$5&lt;K$5)*AD59+(AI$5&lt;K$5)*AJ59+(AO$5&lt;K$5)*AP59+(AU$5&lt;K$5)*AV59)))</f>
        <v/>
      </c>
      <c r="N59">
        <f>IF(L59-M59&lt;0.005,0,L59-M59)</f>
        <v/>
      </c>
      <c r="O59">
        <f>T58</f>
        <v/>
      </c>
      <c r="P59">
        <f>O59*Plan!D8/100/12</f>
        <v/>
      </c>
      <c r="Q59">
        <f>MIN(Plan!E8,O59+P59)</f>
        <v/>
      </c>
      <c r="R59">
        <f>O59+P59-Q59</f>
        <v/>
      </c>
      <c r="S59">
        <f>MIN(R59,MAX(0,$B59-((E$5&lt;Q$5)*F59+(K$5&lt;Q$5)*L59+(W$5&lt;Q$5)*X59+(AC$5&lt;Q$5)*AD59+(AI$5&lt;Q$5)*AJ59+(AO$5&lt;Q$5)*AP59+(AU$5&lt;Q$5)*AV59)))</f>
        <v/>
      </c>
      <c r="T59">
        <f>IF(R59-S59&lt;0.005,0,R59-S59)</f>
        <v/>
      </c>
      <c r="U59">
        <f>Z58</f>
        <v/>
      </c>
      <c r="V59">
        <f>U59*Plan!D9/100/12</f>
        <v/>
      </c>
      <c r="W59">
        <f>MIN(Plan!E9,U59+V59)</f>
        <v/>
      </c>
      <c r="X59">
        <f>U59+V59-W59</f>
        <v/>
      </c>
      <c r="Y59">
        <f>MIN(X59,MAX(0,$B59-((E$5&lt;W$5)*F59+(K$5&lt;W$5)*L59+(Q$5&lt;W$5)*R59+(AC$5&lt;W$5)*AD59+(AI$5&lt;W$5)*AJ59+(AO$5&lt;W$5)*AP59+(AU$5&lt;W$5)*AV59)))</f>
        <v/>
      </c>
      <c r="Z59">
        <f>IF(X59-Y59&lt;0.005,0,X59-Y59)</f>
        <v/>
      </c>
      <c r="AA59">
        <f>AF58</f>
        <v/>
      </c>
      <c r="AB59">
        <f>AA59*Plan!D10/100/12</f>
        <v/>
      </c>
      <c r="AC59">
        <f>MIN(Plan!E10,AA59+AB59)</f>
        <v/>
      </c>
      <c r="AD59">
        <f>AA59+AB59-AC59</f>
        <v/>
      </c>
      <c r="AE59">
        <f>MIN(AD59,MAX(0,$B59-((E$5&lt;AC$5)*F59+(K$5&lt;AC$5)*L59+(Q$5&lt;AC$5)*R59+(W$5&lt;AC$5)*X59+(AI$5&lt;AC$5)*AJ59+(AO$5&lt;AC$5)*AP59+(AU$5&lt;AC$5)*AV59)))</f>
        <v/>
      </c>
      <c r="AF59">
        <f>IF(AD59-AE59&lt;0.005,0,AD59-AE59)</f>
        <v/>
      </c>
      <c r="AG59">
        <f>AL58</f>
        <v/>
      </c>
      <c r="AH59">
        <f>AG59*Plan!D11/100/12</f>
        <v/>
      </c>
      <c r="AI59">
        <f>MIN(Plan!E11,AG59+AH59)</f>
        <v/>
      </c>
      <c r="AJ59">
        <f>AG59+AH59-AI59</f>
        <v/>
      </c>
      <c r="AK59">
        <f>MIN(AJ59,MAX(0,$B59-((E$5&lt;AI$5)*F59+(K$5&lt;AI$5)*L59+(Q$5&lt;AI$5)*R59+(W$5&lt;AI$5)*X59+(AC$5&lt;AI$5)*AD59+(AO$5&lt;AI$5)*AP59+(AU$5&lt;AI$5)*AV59)))</f>
        <v/>
      </c>
      <c r="AL59">
        <f>IF(AJ59-AK59&lt;0.005,0,AJ59-AK59)</f>
        <v/>
      </c>
      <c r="AM59">
        <f>AR58</f>
        <v/>
      </c>
      <c r="AN59">
        <f>AM59*Plan!D12/100/12</f>
        <v/>
      </c>
      <c r="AO59">
        <f>MIN(Plan!E12,AM59+AN59)</f>
        <v/>
      </c>
      <c r="AP59">
        <f>AM59+AN59-AO59</f>
        <v/>
      </c>
      <c r="AQ59">
        <f>MIN(AP59,MAX(0,$B59-((E$5&lt;AO$5)*F59+(K$5&lt;AO$5)*L59+(Q$5&lt;AO$5)*R59+(W$5&lt;AO$5)*X59+(AC$5&lt;AO$5)*AD59+(AI$5&lt;AO$5)*AJ59+(AU$5&lt;AO$5)*AV59)))</f>
        <v/>
      </c>
      <c r="AR59">
        <f>IF(AP59-AQ59&lt;0.005,0,AP59-AQ59)</f>
        <v/>
      </c>
      <c r="AS59">
        <f>AX58</f>
        <v/>
      </c>
      <c r="AT59">
        <f>AS59*Plan!D13/100/12</f>
        <v/>
      </c>
      <c r="AU59">
        <f>MIN(Plan!E13,AS59+AT59)</f>
        <v/>
      </c>
      <c r="AV59">
        <f>AS59+AT59-AU59</f>
        <v/>
      </c>
      <c r="AW59">
        <f>MIN(AV59,MAX(0,$B59-((E$5&lt;AU$5)*F59+(K$5&lt;AU$5)*L59+(Q$5&lt;AU$5)*R59+(W$5&lt;AU$5)*X59+(AC$5&lt;AU$5)*AD59+(AI$5&lt;AU$5)*AJ59+(AO$5&lt;AU$5)*AP59)))</f>
        <v/>
      </c>
      <c r="AX59">
        <f>IF(AV59-AW59&lt;0.005,0,AV59-AW59)</f>
        <v/>
      </c>
      <c r="BC59">
        <f>H59+N59+T59+Z59+AF59+AL59+AR59+AX59</f>
        <v/>
      </c>
    </row>
    <row r="60">
      <c r="A60" t="n">
        <v>54</v>
      </c>
      <c r="B60" s="19">
        <f>MAX(0,$B$3-(E60+K60+Q60+W60+AC60+AI60+AO60+AU60))</f>
        <v/>
      </c>
      <c r="C60">
        <f>H59</f>
        <v/>
      </c>
      <c r="D60">
        <f>C60*Plan!D6/100/12</f>
        <v/>
      </c>
      <c r="E60">
        <f>MIN(Plan!E6,C60+D60)</f>
        <v/>
      </c>
      <c r="F60">
        <f>C60+D60-E60</f>
        <v/>
      </c>
      <c r="G60">
        <f>MIN(F60,MAX(0,$B60-((K$5&lt;E$5)*L60+(Q$5&lt;E$5)*R60+(W$5&lt;E$5)*X60+(AC$5&lt;E$5)*AD60+(AI$5&lt;E$5)*AJ60+(AO$5&lt;E$5)*AP60+(AU$5&lt;E$5)*AV60)))</f>
        <v/>
      </c>
      <c r="H60">
        <f>IF(F60-G60&lt;0.005,0,F60-G60)</f>
        <v/>
      </c>
      <c r="I60">
        <f>N59</f>
        <v/>
      </c>
      <c r="J60">
        <f>I60*Plan!D7/100/12</f>
        <v/>
      </c>
      <c r="K60">
        <f>MIN(Plan!E7,I60+J60)</f>
        <v/>
      </c>
      <c r="L60">
        <f>I60+J60-K60</f>
        <v/>
      </c>
      <c r="M60">
        <f>MIN(L60,MAX(0,$B60-((E$5&lt;K$5)*F60+(Q$5&lt;K$5)*R60+(W$5&lt;K$5)*X60+(AC$5&lt;K$5)*AD60+(AI$5&lt;K$5)*AJ60+(AO$5&lt;K$5)*AP60+(AU$5&lt;K$5)*AV60)))</f>
        <v/>
      </c>
      <c r="N60">
        <f>IF(L60-M60&lt;0.005,0,L60-M60)</f>
        <v/>
      </c>
      <c r="O60">
        <f>T59</f>
        <v/>
      </c>
      <c r="P60">
        <f>O60*Plan!D8/100/12</f>
        <v/>
      </c>
      <c r="Q60">
        <f>MIN(Plan!E8,O60+P60)</f>
        <v/>
      </c>
      <c r="R60">
        <f>O60+P60-Q60</f>
        <v/>
      </c>
      <c r="S60">
        <f>MIN(R60,MAX(0,$B60-((E$5&lt;Q$5)*F60+(K$5&lt;Q$5)*L60+(W$5&lt;Q$5)*X60+(AC$5&lt;Q$5)*AD60+(AI$5&lt;Q$5)*AJ60+(AO$5&lt;Q$5)*AP60+(AU$5&lt;Q$5)*AV60)))</f>
        <v/>
      </c>
      <c r="T60">
        <f>IF(R60-S60&lt;0.005,0,R60-S60)</f>
        <v/>
      </c>
      <c r="U60">
        <f>Z59</f>
        <v/>
      </c>
      <c r="V60">
        <f>U60*Plan!D9/100/12</f>
        <v/>
      </c>
      <c r="W60">
        <f>MIN(Plan!E9,U60+V60)</f>
        <v/>
      </c>
      <c r="X60">
        <f>U60+V60-W60</f>
        <v/>
      </c>
      <c r="Y60">
        <f>MIN(X60,MAX(0,$B60-((E$5&lt;W$5)*F60+(K$5&lt;W$5)*L60+(Q$5&lt;W$5)*R60+(AC$5&lt;W$5)*AD60+(AI$5&lt;W$5)*AJ60+(AO$5&lt;W$5)*AP60+(AU$5&lt;W$5)*AV60)))</f>
        <v/>
      </c>
      <c r="Z60">
        <f>IF(X60-Y60&lt;0.005,0,X60-Y60)</f>
        <v/>
      </c>
      <c r="AA60">
        <f>AF59</f>
        <v/>
      </c>
      <c r="AB60">
        <f>AA60*Plan!D10/100/12</f>
        <v/>
      </c>
      <c r="AC60">
        <f>MIN(Plan!E10,AA60+AB60)</f>
        <v/>
      </c>
      <c r="AD60">
        <f>AA60+AB60-AC60</f>
        <v/>
      </c>
      <c r="AE60">
        <f>MIN(AD60,MAX(0,$B60-((E$5&lt;AC$5)*F60+(K$5&lt;AC$5)*L60+(Q$5&lt;AC$5)*R60+(W$5&lt;AC$5)*X60+(AI$5&lt;AC$5)*AJ60+(AO$5&lt;AC$5)*AP60+(AU$5&lt;AC$5)*AV60)))</f>
        <v/>
      </c>
      <c r="AF60">
        <f>IF(AD60-AE60&lt;0.005,0,AD60-AE60)</f>
        <v/>
      </c>
      <c r="AG60">
        <f>AL59</f>
        <v/>
      </c>
      <c r="AH60">
        <f>AG60*Plan!D11/100/12</f>
        <v/>
      </c>
      <c r="AI60">
        <f>MIN(Plan!E11,AG60+AH60)</f>
        <v/>
      </c>
      <c r="AJ60">
        <f>AG60+AH60-AI60</f>
        <v/>
      </c>
      <c r="AK60">
        <f>MIN(AJ60,MAX(0,$B60-((E$5&lt;AI$5)*F60+(K$5&lt;AI$5)*L60+(Q$5&lt;AI$5)*R60+(W$5&lt;AI$5)*X60+(AC$5&lt;AI$5)*AD60+(AO$5&lt;AI$5)*AP60+(AU$5&lt;AI$5)*AV60)))</f>
        <v/>
      </c>
      <c r="AL60">
        <f>IF(AJ60-AK60&lt;0.005,0,AJ60-AK60)</f>
        <v/>
      </c>
      <c r="AM60">
        <f>AR59</f>
        <v/>
      </c>
      <c r="AN60">
        <f>AM60*Plan!D12/100/12</f>
        <v/>
      </c>
      <c r="AO60">
        <f>MIN(Plan!E12,AM60+AN60)</f>
        <v/>
      </c>
      <c r="AP60">
        <f>AM60+AN60-AO60</f>
        <v/>
      </c>
      <c r="AQ60">
        <f>MIN(AP60,MAX(0,$B60-((E$5&lt;AO$5)*F60+(K$5&lt;AO$5)*L60+(Q$5&lt;AO$5)*R60+(W$5&lt;AO$5)*X60+(AC$5&lt;AO$5)*AD60+(AI$5&lt;AO$5)*AJ60+(AU$5&lt;AO$5)*AV60)))</f>
        <v/>
      </c>
      <c r="AR60">
        <f>IF(AP60-AQ60&lt;0.005,0,AP60-AQ60)</f>
        <v/>
      </c>
      <c r="AS60">
        <f>AX59</f>
        <v/>
      </c>
      <c r="AT60">
        <f>AS60*Plan!D13/100/12</f>
        <v/>
      </c>
      <c r="AU60">
        <f>MIN(Plan!E13,AS60+AT60)</f>
        <v/>
      </c>
      <c r="AV60">
        <f>AS60+AT60-AU60</f>
        <v/>
      </c>
      <c r="AW60">
        <f>MIN(AV60,MAX(0,$B60-((E$5&lt;AU$5)*F60+(K$5&lt;AU$5)*L60+(Q$5&lt;AU$5)*R60+(W$5&lt;AU$5)*X60+(AC$5&lt;AU$5)*AD60+(AI$5&lt;AU$5)*AJ60+(AO$5&lt;AU$5)*AP60)))</f>
        <v/>
      </c>
      <c r="AX60">
        <f>IF(AV60-AW60&lt;0.005,0,AV60-AW60)</f>
        <v/>
      </c>
      <c r="BC60">
        <f>H60+N60+T60+Z60+AF60+AL60+AR60+AX60</f>
        <v/>
      </c>
    </row>
    <row r="61">
      <c r="A61" t="n">
        <v>55</v>
      </c>
      <c r="B61" s="19">
        <f>MAX(0,$B$3-(E61+K61+Q61+W61+AC61+AI61+AO61+AU61))</f>
        <v/>
      </c>
      <c r="C61">
        <f>H60</f>
        <v/>
      </c>
      <c r="D61">
        <f>C61*Plan!D6/100/12</f>
        <v/>
      </c>
      <c r="E61">
        <f>MIN(Plan!E6,C61+D61)</f>
        <v/>
      </c>
      <c r="F61">
        <f>C61+D61-E61</f>
        <v/>
      </c>
      <c r="G61">
        <f>MIN(F61,MAX(0,$B61-((K$5&lt;E$5)*L61+(Q$5&lt;E$5)*R61+(W$5&lt;E$5)*X61+(AC$5&lt;E$5)*AD61+(AI$5&lt;E$5)*AJ61+(AO$5&lt;E$5)*AP61+(AU$5&lt;E$5)*AV61)))</f>
        <v/>
      </c>
      <c r="H61">
        <f>IF(F61-G61&lt;0.005,0,F61-G61)</f>
        <v/>
      </c>
      <c r="I61">
        <f>N60</f>
        <v/>
      </c>
      <c r="J61">
        <f>I61*Plan!D7/100/12</f>
        <v/>
      </c>
      <c r="K61">
        <f>MIN(Plan!E7,I61+J61)</f>
        <v/>
      </c>
      <c r="L61">
        <f>I61+J61-K61</f>
        <v/>
      </c>
      <c r="M61">
        <f>MIN(L61,MAX(0,$B61-((E$5&lt;K$5)*F61+(Q$5&lt;K$5)*R61+(W$5&lt;K$5)*X61+(AC$5&lt;K$5)*AD61+(AI$5&lt;K$5)*AJ61+(AO$5&lt;K$5)*AP61+(AU$5&lt;K$5)*AV61)))</f>
        <v/>
      </c>
      <c r="N61">
        <f>IF(L61-M61&lt;0.005,0,L61-M61)</f>
        <v/>
      </c>
      <c r="O61">
        <f>T60</f>
        <v/>
      </c>
      <c r="P61">
        <f>O61*Plan!D8/100/12</f>
        <v/>
      </c>
      <c r="Q61">
        <f>MIN(Plan!E8,O61+P61)</f>
        <v/>
      </c>
      <c r="R61">
        <f>O61+P61-Q61</f>
        <v/>
      </c>
      <c r="S61">
        <f>MIN(R61,MAX(0,$B61-((E$5&lt;Q$5)*F61+(K$5&lt;Q$5)*L61+(W$5&lt;Q$5)*X61+(AC$5&lt;Q$5)*AD61+(AI$5&lt;Q$5)*AJ61+(AO$5&lt;Q$5)*AP61+(AU$5&lt;Q$5)*AV61)))</f>
        <v/>
      </c>
      <c r="T61">
        <f>IF(R61-S61&lt;0.005,0,R61-S61)</f>
        <v/>
      </c>
      <c r="U61">
        <f>Z60</f>
        <v/>
      </c>
      <c r="V61">
        <f>U61*Plan!D9/100/12</f>
        <v/>
      </c>
      <c r="W61">
        <f>MIN(Plan!E9,U61+V61)</f>
        <v/>
      </c>
      <c r="X61">
        <f>U61+V61-W61</f>
        <v/>
      </c>
      <c r="Y61">
        <f>MIN(X61,MAX(0,$B61-((E$5&lt;W$5)*F61+(K$5&lt;W$5)*L61+(Q$5&lt;W$5)*R61+(AC$5&lt;W$5)*AD61+(AI$5&lt;W$5)*AJ61+(AO$5&lt;W$5)*AP61+(AU$5&lt;W$5)*AV61)))</f>
        <v/>
      </c>
      <c r="Z61">
        <f>IF(X61-Y61&lt;0.005,0,X61-Y61)</f>
        <v/>
      </c>
      <c r="AA61">
        <f>AF60</f>
        <v/>
      </c>
      <c r="AB61">
        <f>AA61*Plan!D10/100/12</f>
        <v/>
      </c>
      <c r="AC61">
        <f>MIN(Plan!E10,AA61+AB61)</f>
        <v/>
      </c>
      <c r="AD61">
        <f>AA61+AB61-AC61</f>
        <v/>
      </c>
      <c r="AE61">
        <f>MIN(AD61,MAX(0,$B61-((E$5&lt;AC$5)*F61+(K$5&lt;AC$5)*L61+(Q$5&lt;AC$5)*R61+(W$5&lt;AC$5)*X61+(AI$5&lt;AC$5)*AJ61+(AO$5&lt;AC$5)*AP61+(AU$5&lt;AC$5)*AV61)))</f>
        <v/>
      </c>
      <c r="AF61">
        <f>IF(AD61-AE61&lt;0.005,0,AD61-AE61)</f>
        <v/>
      </c>
      <c r="AG61">
        <f>AL60</f>
        <v/>
      </c>
      <c r="AH61">
        <f>AG61*Plan!D11/100/12</f>
        <v/>
      </c>
      <c r="AI61">
        <f>MIN(Plan!E11,AG61+AH61)</f>
        <v/>
      </c>
      <c r="AJ61">
        <f>AG61+AH61-AI61</f>
        <v/>
      </c>
      <c r="AK61">
        <f>MIN(AJ61,MAX(0,$B61-((E$5&lt;AI$5)*F61+(K$5&lt;AI$5)*L61+(Q$5&lt;AI$5)*R61+(W$5&lt;AI$5)*X61+(AC$5&lt;AI$5)*AD61+(AO$5&lt;AI$5)*AP61+(AU$5&lt;AI$5)*AV61)))</f>
        <v/>
      </c>
      <c r="AL61">
        <f>IF(AJ61-AK61&lt;0.005,0,AJ61-AK61)</f>
        <v/>
      </c>
      <c r="AM61">
        <f>AR60</f>
        <v/>
      </c>
      <c r="AN61">
        <f>AM61*Plan!D12/100/12</f>
        <v/>
      </c>
      <c r="AO61">
        <f>MIN(Plan!E12,AM61+AN61)</f>
        <v/>
      </c>
      <c r="AP61">
        <f>AM61+AN61-AO61</f>
        <v/>
      </c>
      <c r="AQ61">
        <f>MIN(AP61,MAX(0,$B61-((E$5&lt;AO$5)*F61+(K$5&lt;AO$5)*L61+(Q$5&lt;AO$5)*R61+(W$5&lt;AO$5)*X61+(AC$5&lt;AO$5)*AD61+(AI$5&lt;AO$5)*AJ61+(AU$5&lt;AO$5)*AV61)))</f>
        <v/>
      </c>
      <c r="AR61">
        <f>IF(AP61-AQ61&lt;0.005,0,AP61-AQ61)</f>
        <v/>
      </c>
      <c r="AS61">
        <f>AX60</f>
        <v/>
      </c>
      <c r="AT61">
        <f>AS61*Plan!D13/100/12</f>
        <v/>
      </c>
      <c r="AU61">
        <f>MIN(Plan!E13,AS61+AT61)</f>
        <v/>
      </c>
      <c r="AV61">
        <f>AS61+AT61-AU61</f>
        <v/>
      </c>
      <c r="AW61">
        <f>MIN(AV61,MAX(0,$B61-((E$5&lt;AU$5)*F61+(K$5&lt;AU$5)*L61+(Q$5&lt;AU$5)*R61+(W$5&lt;AU$5)*X61+(AC$5&lt;AU$5)*AD61+(AI$5&lt;AU$5)*AJ61+(AO$5&lt;AU$5)*AP61)))</f>
        <v/>
      </c>
      <c r="AX61">
        <f>IF(AV61-AW61&lt;0.005,0,AV61-AW61)</f>
        <v/>
      </c>
      <c r="BC61">
        <f>H61+N61+T61+Z61+AF61+AL61+AR61+AX61</f>
        <v/>
      </c>
    </row>
    <row r="62">
      <c r="A62" t="n">
        <v>56</v>
      </c>
      <c r="B62" s="19">
        <f>MAX(0,$B$3-(E62+K62+Q62+W62+AC62+AI62+AO62+AU62))</f>
        <v/>
      </c>
      <c r="C62">
        <f>H61</f>
        <v/>
      </c>
      <c r="D62">
        <f>C62*Plan!D6/100/12</f>
        <v/>
      </c>
      <c r="E62">
        <f>MIN(Plan!E6,C62+D62)</f>
        <v/>
      </c>
      <c r="F62">
        <f>C62+D62-E62</f>
        <v/>
      </c>
      <c r="G62">
        <f>MIN(F62,MAX(0,$B62-((K$5&lt;E$5)*L62+(Q$5&lt;E$5)*R62+(W$5&lt;E$5)*X62+(AC$5&lt;E$5)*AD62+(AI$5&lt;E$5)*AJ62+(AO$5&lt;E$5)*AP62+(AU$5&lt;E$5)*AV62)))</f>
        <v/>
      </c>
      <c r="H62">
        <f>IF(F62-G62&lt;0.005,0,F62-G62)</f>
        <v/>
      </c>
      <c r="I62">
        <f>N61</f>
        <v/>
      </c>
      <c r="J62">
        <f>I62*Plan!D7/100/12</f>
        <v/>
      </c>
      <c r="K62">
        <f>MIN(Plan!E7,I62+J62)</f>
        <v/>
      </c>
      <c r="L62">
        <f>I62+J62-K62</f>
        <v/>
      </c>
      <c r="M62">
        <f>MIN(L62,MAX(0,$B62-((E$5&lt;K$5)*F62+(Q$5&lt;K$5)*R62+(W$5&lt;K$5)*X62+(AC$5&lt;K$5)*AD62+(AI$5&lt;K$5)*AJ62+(AO$5&lt;K$5)*AP62+(AU$5&lt;K$5)*AV62)))</f>
        <v/>
      </c>
      <c r="N62">
        <f>IF(L62-M62&lt;0.005,0,L62-M62)</f>
        <v/>
      </c>
      <c r="O62">
        <f>T61</f>
        <v/>
      </c>
      <c r="P62">
        <f>O62*Plan!D8/100/12</f>
        <v/>
      </c>
      <c r="Q62">
        <f>MIN(Plan!E8,O62+P62)</f>
        <v/>
      </c>
      <c r="R62">
        <f>O62+P62-Q62</f>
        <v/>
      </c>
      <c r="S62">
        <f>MIN(R62,MAX(0,$B62-((E$5&lt;Q$5)*F62+(K$5&lt;Q$5)*L62+(W$5&lt;Q$5)*X62+(AC$5&lt;Q$5)*AD62+(AI$5&lt;Q$5)*AJ62+(AO$5&lt;Q$5)*AP62+(AU$5&lt;Q$5)*AV62)))</f>
        <v/>
      </c>
      <c r="T62">
        <f>IF(R62-S62&lt;0.005,0,R62-S62)</f>
        <v/>
      </c>
      <c r="U62">
        <f>Z61</f>
        <v/>
      </c>
      <c r="V62">
        <f>U62*Plan!D9/100/12</f>
        <v/>
      </c>
      <c r="W62">
        <f>MIN(Plan!E9,U62+V62)</f>
        <v/>
      </c>
      <c r="X62">
        <f>U62+V62-W62</f>
        <v/>
      </c>
      <c r="Y62">
        <f>MIN(X62,MAX(0,$B62-((E$5&lt;W$5)*F62+(K$5&lt;W$5)*L62+(Q$5&lt;W$5)*R62+(AC$5&lt;W$5)*AD62+(AI$5&lt;W$5)*AJ62+(AO$5&lt;W$5)*AP62+(AU$5&lt;W$5)*AV62)))</f>
        <v/>
      </c>
      <c r="Z62">
        <f>IF(X62-Y62&lt;0.005,0,X62-Y62)</f>
        <v/>
      </c>
      <c r="AA62">
        <f>AF61</f>
        <v/>
      </c>
      <c r="AB62">
        <f>AA62*Plan!D10/100/12</f>
        <v/>
      </c>
      <c r="AC62">
        <f>MIN(Plan!E10,AA62+AB62)</f>
        <v/>
      </c>
      <c r="AD62">
        <f>AA62+AB62-AC62</f>
        <v/>
      </c>
      <c r="AE62">
        <f>MIN(AD62,MAX(0,$B62-((E$5&lt;AC$5)*F62+(K$5&lt;AC$5)*L62+(Q$5&lt;AC$5)*R62+(W$5&lt;AC$5)*X62+(AI$5&lt;AC$5)*AJ62+(AO$5&lt;AC$5)*AP62+(AU$5&lt;AC$5)*AV62)))</f>
        <v/>
      </c>
      <c r="AF62">
        <f>IF(AD62-AE62&lt;0.005,0,AD62-AE62)</f>
        <v/>
      </c>
      <c r="AG62">
        <f>AL61</f>
        <v/>
      </c>
      <c r="AH62">
        <f>AG62*Plan!D11/100/12</f>
        <v/>
      </c>
      <c r="AI62">
        <f>MIN(Plan!E11,AG62+AH62)</f>
        <v/>
      </c>
      <c r="AJ62">
        <f>AG62+AH62-AI62</f>
        <v/>
      </c>
      <c r="AK62">
        <f>MIN(AJ62,MAX(0,$B62-((E$5&lt;AI$5)*F62+(K$5&lt;AI$5)*L62+(Q$5&lt;AI$5)*R62+(W$5&lt;AI$5)*X62+(AC$5&lt;AI$5)*AD62+(AO$5&lt;AI$5)*AP62+(AU$5&lt;AI$5)*AV62)))</f>
        <v/>
      </c>
      <c r="AL62">
        <f>IF(AJ62-AK62&lt;0.005,0,AJ62-AK62)</f>
        <v/>
      </c>
      <c r="AM62">
        <f>AR61</f>
        <v/>
      </c>
      <c r="AN62">
        <f>AM62*Plan!D12/100/12</f>
        <v/>
      </c>
      <c r="AO62">
        <f>MIN(Plan!E12,AM62+AN62)</f>
        <v/>
      </c>
      <c r="AP62">
        <f>AM62+AN62-AO62</f>
        <v/>
      </c>
      <c r="AQ62">
        <f>MIN(AP62,MAX(0,$B62-((E$5&lt;AO$5)*F62+(K$5&lt;AO$5)*L62+(Q$5&lt;AO$5)*R62+(W$5&lt;AO$5)*X62+(AC$5&lt;AO$5)*AD62+(AI$5&lt;AO$5)*AJ62+(AU$5&lt;AO$5)*AV62)))</f>
        <v/>
      </c>
      <c r="AR62">
        <f>IF(AP62-AQ62&lt;0.005,0,AP62-AQ62)</f>
        <v/>
      </c>
      <c r="AS62">
        <f>AX61</f>
        <v/>
      </c>
      <c r="AT62">
        <f>AS62*Plan!D13/100/12</f>
        <v/>
      </c>
      <c r="AU62">
        <f>MIN(Plan!E13,AS62+AT62)</f>
        <v/>
      </c>
      <c r="AV62">
        <f>AS62+AT62-AU62</f>
        <v/>
      </c>
      <c r="AW62">
        <f>MIN(AV62,MAX(0,$B62-((E$5&lt;AU$5)*F62+(K$5&lt;AU$5)*L62+(Q$5&lt;AU$5)*R62+(W$5&lt;AU$5)*X62+(AC$5&lt;AU$5)*AD62+(AI$5&lt;AU$5)*AJ62+(AO$5&lt;AU$5)*AP62)))</f>
        <v/>
      </c>
      <c r="AX62">
        <f>IF(AV62-AW62&lt;0.005,0,AV62-AW62)</f>
        <v/>
      </c>
      <c r="BC62">
        <f>H62+N62+T62+Z62+AF62+AL62+AR62+AX62</f>
        <v/>
      </c>
    </row>
    <row r="63">
      <c r="A63" t="n">
        <v>57</v>
      </c>
      <c r="B63" s="19">
        <f>MAX(0,$B$3-(E63+K63+Q63+W63+AC63+AI63+AO63+AU63))</f>
        <v/>
      </c>
      <c r="C63">
        <f>H62</f>
        <v/>
      </c>
      <c r="D63">
        <f>C63*Plan!D6/100/12</f>
        <v/>
      </c>
      <c r="E63">
        <f>MIN(Plan!E6,C63+D63)</f>
        <v/>
      </c>
      <c r="F63">
        <f>C63+D63-E63</f>
        <v/>
      </c>
      <c r="G63">
        <f>MIN(F63,MAX(0,$B63-((K$5&lt;E$5)*L63+(Q$5&lt;E$5)*R63+(W$5&lt;E$5)*X63+(AC$5&lt;E$5)*AD63+(AI$5&lt;E$5)*AJ63+(AO$5&lt;E$5)*AP63+(AU$5&lt;E$5)*AV63)))</f>
        <v/>
      </c>
      <c r="H63">
        <f>IF(F63-G63&lt;0.005,0,F63-G63)</f>
        <v/>
      </c>
      <c r="I63">
        <f>N62</f>
        <v/>
      </c>
      <c r="J63">
        <f>I63*Plan!D7/100/12</f>
        <v/>
      </c>
      <c r="K63">
        <f>MIN(Plan!E7,I63+J63)</f>
        <v/>
      </c>
      <c r="L63">
        <f>I63+J63-K63</f>
        <v/>
      </c>
      <c r="M63">
        <f>MIN(L63,MAX(0,$B63-((E$5&lt;K$5)*F63+(Q$5&lt;K$5)*R63+(W$5&lt;K$5)*X63+(AC$5&lt;K$5)*AD63+(AI$5&lt;K$5)*AJ63+(AO$5&lt;K$5)*AP63+(AU$5&lt;K$5)*AV63)))</f>
        <v/>
      </c>
      <c r="N63">
        <f>IF(L63-M63&lt;0.005,0,L63-M63)</f>
        <v/>
      </c>
      <c r="O63">
        <f>T62</f>
        <v/>
      </c>
      <c r="P63">
        <f>O63*Plan!D8/100/12</f>
        <v/>
      </c>
      <c r="Q63">
        <f>MIN(Plan!E8,O63+P63)</f>
        <v/>
      </c>
      <c r="R63">
        <f>O63+P63-Q63</f>
        <v/>
      </c>
      <c r="S63">
        <f>MIN(R63,MAX(0,$B63-((E$5&lt;Q$5)*F63+(K$5&lt;Q$5)*L63+(W$5&lt;Q$5)*X63+(AC$5&lt;Q$5)*AD63+(AI$5&lt;Q$5)*AJ63+(AO$5&lt;Q$5)*AP63+(AU$5&lt;Q$5)*AV63)))</f>
        <v/>
      </c>
      <c r="T63">
        <f>IF(R63-S63&lt;0.005,0,R63-S63)</f>
        <v/>
      </c>
      <c r="U63">
        <f>Z62</f>
        <v/>
      </c>
      <c r="V63">
        <f>U63*Plan!D9/100/12</f>
        <v/>
      </c>
      <c r="W63">
        <f>MIN(Plan!E9,U63+V63)</f>
        <v/>
      </c>
      <c r="X63">
        <f>U63+V63-W63</f>
        <v/>
      </c>
      <c r="Y63">
        <f>MIN(X63,MAX(0,$B63-((E$5&lt;W$5)*F63+(K$5&lt;W$5)*L63+(Q$5&lt;W$5)*R63+(AC$5&lt;W$5)*AD63+(AI$5&lt;W$5)*AJ63+(AO$5&lt;W$5)*AP63+(AU$5&lt;W$5)*AV63)))</f>
        <v/>
      </c>
      <c r="Z63">
        <f>IF(X63-Y63&lt;0.005,0,X63-Y63)</f>
        <v/>
      </c>
      <c r="AA63">
        <f>AF62</f>
        <v/>
      </c>
      <c r="AB63">
        <f>AA63*Plan!D10/100/12</f>
        <v/>
      </c>
      <c r="AC63">
        <f>MIN(Plan!E10,AA63+AB63)</f>
        <v/>
      </c>
      <c r="AD63">
        <f>AA63+AB63-AC63</f>
        <v/>
      </c>
      <c r="AE63">
        <f>MIN(AD63,MAX(0,$B63-((E$5&lt;AC$5)*F63+(K$5&lt;AC$5)*L63+(Q$5&lt;AC$5)*R63+(W$5&lt;AC$5)*X63+(AI$5&lt;AC$5)*AJ63+(AO$5&lt;AC$5)*AP63+(AU$5&lt;AC$5)*AV63)))</f>
        <v/>
      </c>
      <c r="AF63">
        <f>IF(AD63-AE63&lt;0.005,0,AD63-AE63)</f>
        <v/>
      </c>
      <c r="AG63">
        <f>AL62</f>
        <v/>
      </c>
      <c r="AH63">
        <f>AG63*Plan!D11/100/12</f>
        <v/>
      </c>
      <c r="AI63">
        <f>MIN(Plan!E11,AG63+AH63)</f>
        <v/>
      </c>
      <c r="AJ63">
        <f>AG63+AH63-AI63</f>
        <v/>
      </c>
      <c r="AK63">
        <f>MIN(AJ63,MAX(0,$B63-((E$5&lt;AI$5)*F63+(K$5&lt;AI$5)*L63+(Q$5&lt;AI$5)*R63+(W$5&lt;AI$5)*X63+(AC$5&lt;AI$5)*AD63+(AO$5&lt;AI$5)*AP63+(AU$5&lt;AI$5)*AV63)))</f>
        <v/>
      </c>
      <c r="AL63">
        <f>IF(AJ63-AK63&lt;0.005,0,AJ63-AK63)</f>
        <v/>
      </c>
      <c r="AM63">
        <f>AR62</f>
        <v/>
      </c>
      <c r="AN63">
        <f>AM63*Plan!D12/100/12</f>
        <v/>
      </c>
      <c r="AO63">
        <f>MIN(Plan!E12,AM63+AN63)</f>
        <v/>
      </c>
      <c r="AP63">
        <f>AM63+AN63-AO63</f>
        <v/>
      </c>
      <c r="AQ63">
        <f>MIN(AP63,MAX(0,$B63-((E$5&lt;AO$5)*F63+(K$5&lt;AO$5)*L63+(Q$5&lt;AO$5)*R63+(W$5&lt;AO$5)*X63+(AC$5&lt;AO$5)*AD63+(AI$5&lt;AO$5)*AJ63+(AU$5&lt;AO$5)*AV63)))</f>
        <v/>
      </c>
      <c r="AR63">
        <f>IF(AP63-AQ63&lt;0.005,0,AP63-AQ63)</f>
        <v/>
      </c>
      <c r="AS63">
        <f>AX62</f>
        <v/>
      </c>
      <c r="AT63">
        <f>AS63*Plan!D13/100/12</f>
        <v/>
      </c>
      <c r="AU63">
        <f>MIN(Plan!E13,AS63+AT63)</f>
        <v/>
      </c>
      <c r="AV63">
        <f>AS63+AT63-AU63</f>
        <v/>
      </c>
      <c r="AW63">
        <f>MIN(AV63,MAX(0,$B63-((E$5&lt;AU$5)*F63+(K$5&lt;AU$5)*L63+(Q$5&lt;AU$5)*R63+(W$5&lt;AU$5)*X63+(AC$5&lt;AU$5)*AD63+(AI$5&lt;AU$5)*AJ63+(AO$5&lt;AU$5)*AP63)))</f>
        <v/>
      </c>
      <c r="AX63">
        <f>IF(AV63-AW63&lt;0.005,0,AV63-AW63)</f>
        <v/>
      </c>
      <c r="BC63">
        <f>H63+N63+T63+Z63+AF63+AL63+AR63+AX63</f>
        <v/>
      </c>
    </row>
    <row r="64">
      <c r="A64" t="n">
        <v>58</v>
      </c>
      <c r="B64" s="19">
        <f>MAX(0,$B$3-(E64+K64+Q64+W64+AC64+AI64+AO64+AU64))</f>
        <v/>
      </c>
      <c r="C64">
        <f>H63</f>
        <v/>
      </c>
      <c r="D64">
        <f>C64*Plan!D6/100/12</f>
        <v/>
      </c>
      <c r="E64">
        <f>MIN(Plan!E6,C64+D64)</f>
        <v/>
      </c>
      <c r="F64">
        <f>C64+D64-E64</f>
        <v/>
      </c>
      <c r="G64">
        <f>MIN(F64,MAX(0,$B64-((K$5&lt;E$5)*L64+(Q$5&lt;E$5)*R64+(W$5&lt;E$5)*X64+(AC$5&lt;E$5)*AD64+(AI$5&lt;E$5)*AJ64+(AO$5&lt;E$5)*AP64+(AU$5&lt;E$5)*AV64)))</f>
        <v/>
      </c>
      <c r="H64">
        <f>IF(F64-G64&lt;0.005,0,F64-G64)</f>
        <v/>
      </c>
      <c r="I64">
        <f>N63</f>
        <v/>
      </c>
      <c r="J64">
        <f>I64*Plan!D7/100/12</f>
        <v/>
      </c>
      <c r="K64">
        <f>MIN(Plan!E7,I64+J64)</f>
        <v/>
      </c>
      <c r="L64">
        <f>I64+J64-K64</f>
        <v/>
      </c>
      <c r="M64">
        <f>MIN(L64,MAX(0,$B64-((E$5&lt;K$5)*F64+(Q$5&lt;K$5)*R64+(W$5&lt;K$5)*X64+(AC$5&lt;K$5)*AD64+(AI$5&lt;K$5)*AJ64+(AO$5&lt;K$5)*AP64+(AU$5&lt;K$5)*AV64)))</f>
        <v/>
      </c>
      <c r="N64">
        <f>IF(L64-M64&lt;0.005,0,L64-M64)</f>
        <v/>
      </c>
      <c r="O64">
        <f>T63</f>
        <v/>
      </c>
      <c r="P64">
        <f>O64*Plan!D8/100/12</f>
        <v/>
      </c>
      <c r="Q64">
        <f>MIN(Plan!E8,O64+P64)</f>
        <v/>
      </c>
      <c r="R64">
        <f>O64+P64-Q64</f>
        <v/>
      </c>
      <c r="S64">
        <f>MIN(R64,MAX(0,$B64-((E$5&lt;Q$5)*F64+(K$5&lt;Q$5)*L64+(W$5&lt;Q$5)*X64+(AC$5&lt;Q$5)*AD64+(AI$5&lt;Q$5)*AJ64+(AO$5&lt;Q$5)*AP64+(AU$5&lt;Q$5)*AV64)))</f>
        <v/>
      </c>
      <c r="T64">
        <f>IF(R64-S64&lt;0.005,0,R64-S64)</f>
        <v/>
      </c>
      <c r="U64">
        <f>Z63</f>
        <v/>
      </c>
      <c r="V64">
        <f>U64*Plan!D9/100/12</f>
        <v/>
      </c>
      <c r="W64">
        <f>MIN(Plan!E9,U64+V64)</f>
        <v/>
      </c>
      <c r="X64">
        <f>U64+V64-W64</f>
        <v/>
      </c>
      <c r="Y64">
        <f>MIN(X64,MAX(0,$B64-((E$5&lt;W$5)*F64+(K$5&lt;W$5)*L64+(Q$5&lt;W$5)*R64+(AC$5&lt;W$5)*AD64+(AI$5&lt;W$5)*AJ64+(AO$5&lt;W$5)*AP64+(AU$5&lt;W$5)*AV64)))</f>
        <v/>
      </c>
      <c r="Z64">
        <f>IF(X64-Y64&lt;0.005,0,X64-Y64)</f>
        <v/>
      </c>
      <c r="AA64">
        <f>AF63</f>
        <v/>
      </c>
      <c r="AB64">
        <f>AA64*Plan!D10/100/12</f>
        <v/>
      </c>
      <c r="AC64">
        <f>MIN(Plan!E10,AA64+AB64)</f>
        <v/>
      </c>
      <c r="AD64">
        <f>AA64+AB64-AC64</f>
        <v/>
      </c>
      <c r="AE64">
        <f>MIN(AD64,MAX(0,$B64-((E$5&lt;AC$5)*F64+(K$5&lt;AC$5)*L64+(Q$5&lt;AC$5)*R64+(W$5&lt;AC$5)*X64+(AI$5&lt;AC$5)*AJ64+(AO$5&lt;AC$5)*AP64+(AU$5&lt;AC$5)*AV64)))</f>
        <v/>
      </c>
      <c r="AF64">
        <f>IF(AD64-AE64&lt;0.005,0,AD64-AE64)</f>
        <v/>
      </c>
      <c r="AG64">
        <f>AL63</f>
        <v/>
      </c>
      <c r="AH64">
        <f>AG64*Plan!D11/100/12</f>
        <v/>
      </c>
      <c r="AI64">
        <f>MIN(Plan!E11,AG64+AH64)</f>
        <v/>
      </c>
      <c r="AJ64">
        <f>AG64+AH64-AI64</f>
        <v/>
      </c>
      <c r="AK64">
        <f>MIN(AJ64,MAX(0,$B64-((E$5&lt;AI$5)*F64+(K$5&lt;AI$5)*L64+(Q$5&lt;AI$5)*R64+(W$5&lt;AI$5)*X64+(AC$5&lt;AI$5)*AD64+(AO$5&lt;AI$5)*AP64+(AU$5&lt;AI$5)*AV64)))</f>
        <v/>
      </c>
      <c r="AL64">
        <f>IF(AJ64-AK64&lt;0.005,0,AJ64-AK64)</f>
        <v/>
      </c>
      <c r="AM64">
        <f>AR63</f>
        <v/>
      </c>
      <c r="AN64">
        <f>AM64*Plan!D12/100/12</f>
        <v/>
      </c>
      <c r="AO64">
        <f>MIN(Plan!E12,AM64+AN64)</f>
        <v/>
      </c>
      <c r="AP64">
        <f>AM64+AN64-AO64</f>
        <v/>
      </c>
      <c r="AQ64">
        <f>MIN(AP64,MAX(0,$B64-((E$5&lt;AO$5)*F64+(K$5&lt;AO$5)*L64+(Q$5&lt;AO$5)*R64+(W$5&lt;AO$5)*X64+(AC$5&lt;AO$5)*AD64+(AI$5&lt;AO$5)*AJ64+(AU$5&lt;AO$5)*AV64)))</f>
        <v/>
      </c>
      <c r="AR64">
        <f>IF(AP64-AQ64&lt;0.005,0,AP64-AQ64)</f>
        <v/>
      </c>
      <c r="AS64">
        <f>AX63</f>
        <v/>
      </c>
      <c r="AT64">
        <f>AS64*Plan!D13/100/12</f>
        <v/>
      </c>
      <c r="AU64">
        <f>MIN(Plan!E13,AS64+AT64)</f>
        <v/>
      </c>
      <c r="AV64">
        <f>AS64+AT64-AU64</f>
        <v/>
      </c>
      <c r="AW64">
        <f>MIN(AV64,MAX(0,$B64-((E$5&lt;AU$5)*F64+(K$5&lt;AU$5)*L64+(Q$5&lt;AU$5)*R64+(W$5&lt;AU$5)*X64+(AC$5&lt;AU$5)*AD64+(AI$5&lt;AU$5)*AJ64+(AO$5&lt;AU$5)*AP64)))</f>
        <v/>
      </c>
      <c r="AX64">
        <f>IF(AV64-AW64&lt;0.005,0,AV64-AW64)</f>
        <v/>
      </c>
      <c r="BC64">
        <f>H64+N64+T64+Z64+AF64+AL64+AR64+AX64</f>
        <v/>
      </c>
    </row>
    <row r="65">
      <c r="A65" t="n">
        <v>59</v>
      </c>
      <c r="B65" s="19">
        <f>MAX(0,$B$3-(E65+K65+Q65+W65+AC65+AI65+AO65+AU65))</f>
        <v/>
      </c>
      <c r="C65">
        <f>H64</f>
        <v/>
      </c>
      <c r="D65">
        <f>C65*Plan!D6/100/12</f>
        <v/>
      </c>
      <c r="E65">
        <f>MIN(Plan!E6,C65+D65)</f>
        <v/>
      </c>
      <c r="F65">
        <f>C65+D65-E65</f>
        <v/>
      </c>
      <c r="G65">
        <f>MIN(F65,MAX(0,$B65-((K$5&lt;E$5)*L65+(Q$5&lt;E$5)*R65+(W$5&lt;E$5)*X65+(AC$5&lt;E$5)*AD65+(AI$5&lt;E$5)*AJ65+(AO$5&lt;E$5)*AP65+(AU$5&lt;E$5)*AV65)))</f>
        <v/>
      </c>
      <c r="H65">
        <f>IF(F65-G65&lt;0.005,0,F65-G65)</f>
        <v/>
      </c>
      <c r="I65">
        <f>N64</f>
        <v/>
      </c>
      <c r="J65">
        <f>I65*Plan!D7/100/12</f>
        <v/>
      </c>
      <c r="K65">
        <f>MIN(Plan!E7,I65+J65)</f>
        <v/>
      </c>
      <c r="L65">
        <f>I65+J65-K65</f>
        <v/>
      </c>
      <c r="M65">
        <f>MIN(L65,MAX(0,$B65-((E$5&lt;K$5)*F65+(Q$5&lt;K$5)*R65+(W$5&lt;K$5)*X65+(AC$5&lt;K$5)*AD65+(AI$5&lt;K$5)*AJ65+(AO$5&lt;K$5)*AP65+(AU$5&lt;K$5)*AV65)))</f>
        <v/>
      </c>
      <c r="N65">
        <f>IF(L65-M65&lt;0.005,0,L65-M65)</f>
        <v/>
      </c>
      <c r="O65">
        <f>T64</f>
        <v/>
      </c>
      <c r="P65">
        <f>O65*Plan!D8/100/12</f>
        <v/>
      </c>
      <c r="Q65">
        <f>MIN(Plan!E8,O65+P65)</f>
        <v/>
      </c>
      <c r="R65">
        <f>O65+P65-Q65</f>
        <v/>
      </c>
      <c r="S65">
        <f>MIN(R65,MAX(0,$B65-((E$5&lt;Q$5)*F65+(K$5&lt;Q$5)*L65+(W$5&lt;Q$5)*X65+(AC$5&lt;Q$5)*AD65+(AI$5&lt;Q$5)*AJ65+(AO$5&lt;Q$5)*AP65+(AU$5&lt;Q$5)*AV65)))</f>
        <v/>
      </c>
      <c r="T65">
        <f>IF(R65-S65&lt;0.005,0,R65-S65)</f>
        <v/>
      </c>
      <c r="U65">
        <f>Z64</f>
        <v/>
      </c>
      <c r="V65">
        <f>U65*Plan!D9/100/12</f>
        <v/>
      </c>
      <c r="W65">
        <f>MIN(Plan!E9,U65+V65)</f>
        <v/>
      </c>
      <c r="X65">
        <f>U65+V65-W65</f>
        <v/>
      </c>
      <c r="Y65">
        <f>MIN(X65,MAX(0,$B65-((E$5&lt;W$5)*F65+(K$5&lt;W$5)*L65+(Q$5&lt;W$5)*R65+(AC$5&lt;W$5)*AD65+(AI$5&lt;W$5)*AJ65+(AO$5&lt;W$5)*AP65+(AU$5&lt;W$5)*AV65)))</f>
        <v/>
      </c>
      <c r="Z65">
        <f>IF(X65-Y65&lt;0.005,0,X65-Y65)</f>
        <v/>
      </c>
      <c r="AA65">
        <f>AF64</f>
        <v/>
      </c>
      <c r="AB65">
        <f>AA65*Plan!D10/100/12</f>
        <v/>
      </c>
      <c r="AC65">
        <f>MIN(Plan!E10,AA65+AB65)</f>
        <v/>
      </c>
      <c r="AD65">
        <f>AA65+AB65-AC65</f>
        <v/>
      </c>
      <c r="AE65">
        <f>MIN(AD65,MAX(0,$B65-((E$5&lt;AC$5)*F65+(K$5&lt;AC$5)*L65+(Q$5&lt;AC$5)*R65+(W$5&lt;AC$5)*X65+(AI$5&lt;AC$5)*AJ65+(AO$5&lt;AC$5)*AP65+(AU$5&lt;AC$5)*AV65)))</f>
        <v/>
      </c>
      <c r="AF65">
        <f>IF(AD65-AE65&lt;0.005,0,AD65-AE65)</f>
        <v/>
      </c>
      <c r="AG65">
        <f>AL64</f>
        <v/>
      </c>
      <c r="AH65">
        <f>AG65*Plan!D11/100/12</f>
        <v/>
      </c>
      <c r="AI65">
        <f>MIN(Plan!E11,AG65+AH65)</f>
        <v/>
      </c>
      <c r="AJ65">
        <f>AG65+AH65-AI65</f>
        <v/>
      </c>
      <c r="AK65">
        <f>MIN(AJ65,MAX(0,$B65-((E$5&lt;AI$5)*F65+(K$5&lt;AI$5)*L65+(Q$5&lt;AI$5)*R65+(W$5&lt;AI$5)*X65+(AC$5&lt;AI$5)*AD65+(AO$5&lt;AI$5)*AP65+(AU$5&lt;AI$5)*AV65)))</f>
        <v/>
      </c>
      <c r="AL65">
        <f>IF(AJ65-AK65&lt;0.005,0,AJ65-AK65)</f>
        <v/>
      </c>
      <c r="AM65">
        <f>AR64</f>
        <v/>
      </c>
      <c r="AN65">
        <f>AM65*Plan!D12/100/12</f>
        <v/>
      </c>
      <c r="AO65">
        <f>MIN(Plan!E12,AM65+AN65)</f>
        <v/>
      </c>
      <c r="AP65">
        <f>AM65+AN65-AO65</f>
        <v/>
      </c>
      <c r="AQ65">
        <f>MIN(AP65,MAX(0,$B65-((E$5&lt;AO$5)*F65+(K$5&lt;AO$5)*L65+(Q$5&lt;AO$5)*R65+(W$5&lt;AO$5)*X65+(AC$5&lt;AO$5)*AD65+(AI$5&lt;AO$5)*AJ65+(AU$5&lt;AO$5)*AV65)))</f>
        <v/>
      </c>
      <c r="AR65">
        <f>IF(AP65-AQ65&lt;0.005,0,AP65-AQ65)</f>
        <v/>
      </c>
      <c r="AS65">
        <f>AX64</f>
        <v/>
      </c>
      <c r="AT65">
        <f>AS65*Plan!D13/100/12</f>
        <v/>
      </c>
      <c r="AU65">
        <f>MIN(Plan!E13,AS65+AT65)</f>
        <v/>
      </c>
      <c r="AV65">
        <f>AS65+AT65-AU65</f>
        <v/>
      </c>
      <c r="AW65">
        <f>MIN(AV65,MAX(0,$B65-((E$5&lt;AU$5)*F65+(K$5&lt;AU$5)*L65+(Q$5&lt;AU$5)*R65+(W$5&lt;AU$5)*X65+(AC$5&lt;AU$5)*AD65+(AI$5&lt;AU$5)*AJ65+(AO$5&lt;AU$5)*AP65)))</f>
        <v/>
      </c>
      <c r="AX65">
        <f>IF(AV65-AW65&lt;0.005,0,AV65-AW65)</f>
        <v/>
      </c>
      <c r="BC65">
        <f>H65+N65+T65+Z65+AF65+AL65+AR65+AX65</f>
        <v/>
      </c>
    </row>
    <row r="66">
      <c r="A66" t="n">
        <v>60</v>
      </c>
      <c r="B66" s="19">
        <f>MAX(0,$B$3-(E66+K66+Q66+W66+AC66+AI66+AO66+AU66))</f>
        <v/>
      </c>
      <c r="C66">
        <f>H65</f>
        <v/>
      </c>
      <c r="D66">
        <f>C66*Plan!D6/100/12</f>
        <v/>
      </c>
      <c r="E66">
        <f>MIN(Plan!E6,C66+D66)</f>
        <v/>
      </c>
      <c r="F66">
        <f>C66+D66-E66</f>
        <v/>
      </c>
      <c r="G66">
        <f>MIN(F66,MAX(0,$B66-((K$5&lt;E$5)*L66+(Q$5&lt;E$5)*R66+(W$5&lt;E$5)*X66+(AC$5&lt;E$5)*AD66+(AI$5&lt;E$5)*AJ66+(AO$5&lt;E$5)*AP66+(AU$5&lt;E$5)*AV66)))</f>
        <v/>
      </c>
      <c r="H66">
        <f>IF(F66-G66&lt;0.005,0,F66-G66)</f>
        <v/>
      </c>
      <c r="I66">
        <f>N65</f>
        <v/>
      </c>
      <c r="J66">
        <f>I66*Plan!D7/100/12</f>
        <v/>
      </c>
      <c r="K66">
        <f>MIN(Plan!E7,I66+J66)</f>
        <v/>
      </c>
      <c r="L66">
        <f>I66+J66-K66</f>
        <v/>
      </c>
      <c r="M66">
        <f>MIN(L66,MAX(0,$B66-((E$5&lt;K$5)*F66+(Q$5&lt;K$5)*R66+(W$5&lt;K$5)*X66+(AC$5&lt;K$5)*AD66+(AI$5&lt;K$5)*AJ66+(AO$5&lt;K$5)*AP66+(AU$5&lt;K$5)*AV66)))</f>
        <v/>
      </c>
      <c r="N66">
        <f>IF(L66-M66&lt;0.005,0,L66-M66)</f>
        <v/>
      </c>
      <c r="O66">
        <f>T65</f>
        <v/>
      </c>
      <c r="P66">
        <f>O66*Plan!D8/100/12</f>
        <v/>
      </c>
      <c r="Q66">
        <f>MIN(Plan!E8,O66+P66)</f>
        <v/>
      </c>
      <c r="R66">
        <f>O66+P66-Q66</f>
        <v/>
      </c>
      <c r="S66">
        <f>MIN(R66,MAX(0,$B66-((E$5&lt;Q$5)*F66+(K$5&lt;Q$5)*L66+(W$5&lt;Q$5)*X66+(AC$5&lt;Q$5)*AD66+(AI$5&lt;Q$5)*AJ66+(AO$5&lt;Q$5)*AP66+(AU$5&lt;Q$5)*AV66)))</f>
        <v/>
      </c>
      <c r="T66">
        <f>IF(R66-S66&lt;0.005,0,R66-S66)</f>
        <v/>
      </c>
      <c r="U66">
        <f>Z65</f>
        <v/>
      </c>
      <c r="V66">
        <f>U66*Plan!D9/100/12</f>
        <v/>
      </c>
      <c r="W66">
        <f>MIN(Plan!E9,U66+V66)</f>
        <v/>
      </c>
      <c r="X66">
        <f>U66+V66-W66</f>
        <v/>
      </c>
      <c r="Y66">
        <f>MIN(X66,MAX(0,$B66-((E$5&lt;W$5)*F66+(K$5&lt;W$5)*L66+(Q$5&lt;W$5)*R66+(AC$5&lt;W$5)*AD66+(AI$5&lt;W$5)*AJ66+(AO$5&lt;W$5)*AP66+(AU$5&lt;W$5)*AV66)))</f>
        <v/>
      </c>
      <c r="Z66">
        <f>IF(X66-Y66&lt;0.005,0,X66-Y66)</f>
        <v/>
      </c>
      <c r="AA66">
        <f>AF65</f>
        <v/>
      </c>
      <c r="AB66">
        <f>AA66*Plan!D10/100/12</f>
        <v/>
      </c>
      <c r="AC66">
        <f>MIN(Plan!E10,AA66+AB66)</f>
        <v/>
      </c>
      <c r="AD66">
        <f>AA66+AB66-AC66</f>
        <v/>
      </c>
      <c r="AE66">
        <f>MIN(AD66,MAX(0,$B66-((E$5&lt;AC$5)*F66+(K$5&lt;AC$5)*L66+(Q$5&lt;AC$5)*R66+(W$5&lt;AC$5)*X66+(AI$5&lt;AC$5)*AJ66+(AO$5&lt;AC$5)*AP66+(AU$5&lt;AC$5)*AV66)))</f>
        <v/>
      </c>
      <c r="AF66">
        <f>IF(AD66-AE66&lt;0.005,0,AD66-AE66)</f>
        <v/>
      </c>
      <c r="AG66">
        <f>AL65</f>
        <v/>
      </c>
      <c r="AH66">
        <f>AG66*Plan!D11/100/12</f>
        <v/>
      </c>
      <c r="AI66">
        <f>MIN(Plan!E11,AG66+AH66)</f>
        <v/>
      </c>
      <c r="AJ66">
        <f>AG66+AH66-AI66</f>
        <v/>
      </c>
      <c r="AK66">
        <f>MIN(AJ66,MAX(0,$B66-((E$5&lt;AI$5)*F66+(K$5&lt;AI$5)*L66+(Q$5&lt;AI$5)*R66+(W$5&lt;AI$5)*X66+(AC$5&lt;AI$5)*AD66+(AO$5&lt;AI$5)*AP66+(AU$5&lt;AI$5)*AV66)))</f>
        <v/>
      </c>
      <c r="AL66">
        <f>IF(AJ66-AK66&lt;0.005,0,AJ66-AK66)</f>
        <v/>
      </c>
      <c r="AM66">
        <f>AR65</f>
        <v/>
      </c>
      <c r="AN66">
        <f>AM66*Plan!D12/100/12</f>
        <v/>
      </c>
      <c r="AO66">
        <f>MIN(Plan!E12,AM66+AN66)</f>
        <v/>
      </c>
      <c r="AP66">
        <f>AM66+AN66-AO66</f>
        <v/>
      </c>
      <c r="AQ66">
        <f>MIN(AP66,MAX(0,$B66-((E$5&lt;AO$5)*F66+(K$5&lt;AO$5)*L66+(Q$5&lt;AO$5)*R66+(W$5&lt;AO$5)*X66+(AC$5&lt;AO$5)*AD66+(AI$5&lt;AO$5)*AJ66+(AU$5&lt;AO$5)*AV66)))</f>
        <v/>
      </c>
      <c r="AR66">
        <f>IF(AP66-AQ66&lt;0.005,0,AP66-AQ66)</f>
        <v/>
      </c>
      <c r="AS66">
        <f>AX65</f>
        <v/>
      </c>
      <c r="AT66">
        <f>AS66*Plan!D13/100/12</f>
        <v/>
      </c>
      <c r="AU66">
        <f>MIN(Plan!E13,AS66+AT66)</f>
        <v/>
      </c>
      <c r="AV66">
        <f>AS66+AT66-AU66</f>
        <v/>
      </c>
      <c r="AW66">
        <f>MIN(AV66,MAX(0,$B66-((E$5&lt;AU$5)*F66+(K$5&lt;AU$5)*L66+(Q$5&lt;AU$5)*R66+(W$5&lt;AU$5)*X66+(AC$5&lt;AU$5)*AD66+(AI$5&lt;AU$5)*AJ66+(AO$5&lt;AU$5)*AP66)))</f>
        <v/>
      </c>
      <c r="AX66">
        <f>IF(AV66-AW66&lt;0.005,0,AV66-AW66)</f>
        <v/>
      </c>
      <c r="BC66">
        <f>H66+N66+T66+Z66+AF66+AL66+AR66+AX66</f>
        <v/>
      </c>
    </row>
    <row r="67">
      <c r="A67" t="n">
        <v>61</v>
      </c>
      <c r="B67" s="19">
        <f>MAX(0,$B$3-(E67+K67+Q67+W67+AC67+AI67+AO67+AU67))</f>
        <v/>
      </c>
      <c r="C67">
        <f>H66</f>
        <v/>
      </c>
      <c r="D67">
        <f>C67*Plan!D6/100/12</f>
        <v/>
      </c>
      <c r="E67">
        <f>MIN(Plan!E6,C67+D67)</f>
        <v/>
      </c>
      <c r="F67">
        <f>C67+D67-E67</f>
        <v/>
      </c>
      <c r="G67">
        <f>MIN(F67,MAX(0,$B67-((K$5&lt;E$5)*L67+(Q$5&lt;E$5)*R67+(W$5&lt;E$5)*X67+(AC$5&lt;E$5)*AD67+(AI$5&lt;E$5)*AJ67+(AO$5&lt;E$5)*AP67+(AU$5&lt;E$5)*AV67)))</f>
        <v/>
      </c>
      <c r="H67">
        <f>IF(F67-G67&lt;0.005,0,F67-G67)</f>
        <v/>
      </c>
      <c r="I67">
        <f>N66</f>
        <v/>
      </c>
      <c r="J67">
        <f>I67*Plan!D7/100/12</f>
        <v/>
      </c>
      <c r="K67">
        <f>MIN(Plan!E7,I67+J67)</f>
        <v/>
      </c>
      <c r="L67">
        <f>I67+J67-K67</f>
        <v/>
      </c>
      <c r="M67">
        <f>MIN(L67,MAX(0,$B67-((E$5&lt;K$5)*F67+(Q$5&lt;K$5)*R67+(W$5&lt;K$5)*X67+(AC$5&lt;K$5)*AD67+(AI$5&lt;K$5)*AJ67+(AO$5&lt;K$5)*AP67+(AU$5&lt;K$5)*AV67)))</f>
        <v/>
      </c>
      <c r="N67">
        <f>IF(L67-M67&lt;0.005,0,L67-M67)</f>
        <v/>
      </c>
      <c r="O67">
        <f>T66</f>
        <v/>
      </c>
      <c r="P67">
        <f>O67*Plan!D8/100/12</f>
        <v/>
      </c>
      <c r="Q67">
        <f>MIN(Plan!E8,O67+P67)</f>
        <v/>
      </c>
      <c r="R67">
        <f>O67+P67-Q67</f>
        <v/>
      </c>
      <c r="S67">
        <f>MIN(R67,MAX(0,$B67-((E$5&lt;Q$5)*F67+(K$5&lt;Q$5)*L67+(W$5&lt;Q$5)*X67+(AC$5&lt;Q$5)*AD67+(AI$5&lt;Q$5)*AJ67+(AO$5&lt;Q$5)*AP67+(AU$5&lt;Q$5)*AV67)))</f>
        <v/>
      </c>
      <c r="T67">
        <f>IF(R67-S67&lt;0.005,0,R67-S67)</f>
        <v/>
      </c>
      <c r="U67">
        <f>Z66</f>
        <v/>
      </c>
      <c r="V67">
        <f>U67*Plan!D9/100/12</f>
        <v/>
      </c>
      <c r="W67">
        <f>MIN(Plan!E9,U67+V67)</f>
        <v/>
      </c>
      <c r="X67">
        <f>U67+V67-W67</f>
        <v/>
      </c>
      <c r="Y67">
        <f>MIN(X67,MAX(0,$B67-((E$5&lt;W$5)*F67+(K$5&lt;W$5)*L67+(Q$5&lt;W$5)*R67+(AC$5&lt;W$5)*AD67+(AI$5&lt;W$5)*AJ67+(AO$5&lt;W$5)*AP67+(AU$5&lt;W$5)*AV67)))</f>
        <v/>
      </c>
      <c r="Z67">
        <f>IF(X67-Y67&lt;0.005,0,X67-Y67)</f>
        <v/>
      </c>
      <c r="AA67">
        <f>AF66</f>
        <v/>
      </c>
      <c r="AB67">
        <f>AA67*Plan!D10/100/12</f>
        <v/>
      </c>
      <c r="AC67">
        <f>MIN(Plan!E10,AA67+AB67)</f>
        <v/>
      </c>
      <c r="AD67">
        <f>AA67+AB67-AC67</f>
        <v/>
      </c>
      <c r="AE67">
        <f>MIN(AD67,MAX(0,$B67-((E$5&lt;AC$5)*F67+(K$5&lt;AC$5)*L67+(Q$5&lt;AC$5)*R67+(W$5&lt;AC$5)*X67+(AI$5&lt;AC$5)*AJ67+(AO$5&lt;AC$5)*AP67+(AU$5&lt;AC$5)*AV67)))</f>
        <v/>
      </c>
      <c r="AF67">
        <f>IF(AD67-AE67&lt;0.005,0,AD67-AE67)</f>
        <v/>
      </c>
      <c r="AG67">
        <f>AL66</f>
        <v/>
      </c>
      <c r="AH67">
        <f>AG67*Plan!D11/100/12</f>
        <v/>
      </c>
      <c r="AI67">
        <f>MIN(Plan!E11,AG67+AH67)</f>
        <v/>
      </c>
      <c r="AJ67">
        <f>AG67+AH67-AI67</f>
        <v/>
      </c>
      <c r="AK67">
        <f>MIN(AJ67,MAX(0,$B67-((E$5&lt;AI$5)*F67+(K$5&lt;AI$5)*L67+(Q$5&lt;AI$5)*R67+(W$5&lt;AI$5)*X67+(AC$5&lt;AI$5)*AD67+(AO$5&lt;AI$5)*AP67+(AU$5&lt;AI$5)*AV67)))</f>
        <v/>
      </c>
      <c r="AL67">
        <f>IF(AJ67-AK67&lt;0.005,0,AJ67-AK67)</f>
        <v/>
      </c>
      <c r="AM67">
        <f>AR66</f>
        <v/>
      </c>
      <c r="AN67">
        <f>AM67*Plan!D12/100/12</f>
        <v/>
      </c>
      <c r="AO67">
        <f>MIN(Plan!E12,AM67+AN67)</f>
        <v/>
      </c>
      <c r="AP67">
        <f>AM67+AN67-AO67</f>
        <v/>
      </c>
      <c r="AQ67">
        <f>MIN(AP67,MAX(0,$B67-((E$5&lt;AO$5)*F67+(K$5&lt;AO$5)*L67+(Q$5&lt;AO$5)*R67+(W$5&lt;AO$5)*X67+(AC$5&lt;AO$5)*AD67+(AI$5&lt;AO$5)*AJ67+(AU$5&lt;AO$5)*AV67)))</f>
        <v/>
      </c>
      <c r="AR67">
        <f>IF(AP67-AQ67&lt;0.005,0,AP67-AQ67)</f>
        <v/>
      </c>
      <c r="AS67">
        <f>AX66</f>
        <v/>
      </c>
      <c r="AT67">
        <f>AS67*Plan!D13/100/12</f>
        <v/>
      </c>
      <c r="AU67">
        <f>MIN(Plan!E13,AS67+AT67)</f>
        <v/>
      </c>
      <c r="AV67">
        <f>AS67+AT67-AU67</f>
        <v/>
      </c>
      <c r="AW67">
        <f>MIN(AV67,MAX(0,$B67-((E$5&lt;AU$5)*F67+(K$5&lt;AU$5)*L67+(Q$5&lt;AU$5)*R67+(W$5&lt;AU$5)*X67+(AC$5&lt;AU$5)*AD67+(AI$5&lt;AU$5)*AJ67+(AO$5&lt;AU$5)*AP67)))</f>
        <v/>
      </c>
      <c r="AX67">
        <f>IF(AV67-AW67&lt;0.005,0,AV67-AW67)</f>
        <v/>
      </c>
      <c r="BC67">
        <f>H67+N67+T67+Z67+AF67+AL67+AR67+AX67</f>
        <v/>
      </c>
    </row>
    <row r="68">
      <c r="A68" t="n">
        <v>62</v>
      </c>
      <c r="B68" s="19">
        <f>MAX(0,$B$3-(E68+K68+Q68+W68+AC68+AI68+AO68+AU68))</f>
        <v/>
      </c>
      <c r="C68">
        <f>H67</f>
        <v/>
      </c>
      <c r="D68">
        <f>C68*Plan!D6/100/12</f>
        <v/>
      </c>
      <c r="E68">
        <f>MIN(Plan!E6,C68+D68)</f>
        <v/>
      </c>
      <c r="F68">
        <f>C68+D68-E68</f>
        <v/>
      </c>
      <c r="G68">
        <f>MIN(F68,MAX(0,$B68-((K$5&lt;E$5)*L68+(Q$5&lt;E$5)*R68+(W$5&lt;E$5)*X68+(AC$5&lt;E$5)*AD68+(AI$5&lt;E$5)*AJ68+(AO$5&lt;E$5)*AP68+(AU$5&lt;E$5)*AV68)))</f>
        <v/>
      </c>
      <c r="H68">
        <f>IF(F68-G68&lt;0.005,0,F68-G68)</f>
        <v/>
      </c>
      <c r="I68">
        <f>N67</f>
        <v/>
      </c>
      <c r="J68">
        <f>I68*Plan!D7/100/12</f>
        <v/>
      </c>
      <c r="K68">
        <f>MIN(Plan!E7,I68+J68)</f>
        <v/>
      </c>
      <c r="L68">
        <f>I68+J68-K68</f>
        <v/>
      </c>
      <c r="M68">
        <f>MIN(L68,MAX(0,$B68-((E$5&lt;K$5)*F68+(Q$5&lt;K$5)*R68+(W$5&lt;K$5)*X68+(AC$5&lt;K$5)*AD68+(AI$5&lt;K$5)*AJ68+(AO$5&lt;K$5)*AP68+(AU$5&lt;K$5)*AV68)))</f>
        <v/>
      </c>
      <c r="N68">
        <f>IF(L68-M68&lt;0.005,0,L68-M68)</f>
        <v/>
      </c>
      <c r="O68">
        <f>T67</f>
        <v/>
      </c>
      <c r="P68">
        <f>O68*Plan!D8/100/12</f>
        <v/>
      </c>
      <c r="Q68">
        <f>MIN(Plan!E8,O68+P68)</f>
        <v/>
      </c>
      <c r="R68">
        <f>O68+P68-Q68</f>
        <v/>
      </c>
      <c r="S68">
        <f>MIN(R68,MAX(0,$B68-((E$5&lt;Q$5)*F68+(K$5&lt;Q$5)*L68+(W$5&lt;Q$5)*X68+(AC$5&lt;Q$5)*AD68+(AI$5&lt;Q$5)*AJ68+(AO$5&lt;Q$5)*AP68+(AU$5&lt;Q$5)*AV68)))</f>
        <v/>
      </c>
      <c r="T68">
        <f>IF(R68-S68&lt;0.005,0,R68-S68)</f>
        <v/>
      </c>
      <c r="U68">
        <f>Z67</f>
        <v/>
      </c>
      <c r="V68">
        <f>U68*Plan!D9/100/12</f>
        <v/>
      </c>
      <c r="W68">
        <f>MIN(Plan!E9,U68+V68)</f>
        <v/>
      </c>
      <c r="X68">
        <f>U68+V68-W68</f>
        <v/>
      </c>
      <c r="Y68">
        <f>MIN(X68,MAX(0,$B68-((E$5&lt;W$5)*F68+(K$5&lt;W$5)*L68+(Q$5&lt;W$5)*R68+(AC$5&lt;W$5)*AD68+(AI$5&lt;W$5)*AJ68+(AO$5&lt;W$5)*AP68+(AU$5&lt;W$5)*AV68)))</f>
        <v/>
      </c>
      <c r="Z68">
        <f>IF(X68-Y68&lt;0.005,0,X68-Y68)</f>
        <v/>
      </c>
      <c r="AA68">
        <f>AF67</f>
        <v/>
      </c>
      <c r="AB68">
        <f>AA68*Plan!D10/100/12</f>
        <v/>
      </c>
      <c r="AC68">
        <f>MIN(Plan!E10,AA68+AB68)</f>
        <v/>
      </c>
      <c r="AD68">
        <f>AA68+AB68-AC68</f>
        <v/>
      </c>
      <c r="AE68">
        <f>MIN(AD68,MAX(0,$B68-((E$5&lt;AC$5)*F68+(K$5&lt;AC$5)*L68+(Q$5&lt;AC$5)*R68+(W$5&lt;AC$5)*X68+(AI$5&lt;AC$5)*AJ68+(AO$5&lt;AC$5)*AP68+(AU$5&lt;AC$5)*AV68)))</f>
        <v/>
      </c>
      <c r="AF68">
        <f>IF(AD68-AE68&lt;0.005,0,AD68-AE68)</f>
        <v/>
      </c>
      <c r="AG68">
        <f>AL67</f>
        <v/>
      </c>
      <c r="AH68">
        <f>AG68*Plan!D11/100/12</f>
        <v/>
      </c>
      <c r="AI68">
        <f>MIN(Plan!E11,AG68+AH68)</f>
        <v/>
      </c>
      <c r="AJ68">
        <f>AG68+AH68-AI68</f>
        <v/>
      </c>
      <c r="AK68">
        <f>MIN(AJ68,MAX(0,$B68-((E$5&lt;AI$5)*F68+(K$5&lt;AI$5)*L68+(Q$5&lt;AI$5)*R68+(W$5&lt;AI$5)*X68+(AC$5&lt;AI$5)*AD68+(AO$5&lt;AI$5)*AP68+(AU$5&lt;AI$5)*AV68)))</f>
        <v/>
      </c>
      <c r="AL68">
        <f>IF(AJ68-AK68&lt;0.005,0,AJ68-AK68)</f>
        <v/>
      </c>
      <c r="AM68">
        <f>AR67</f>
        <v/>
      </c>
      <c r="AN68">
        <f>AM68*Plan!D12/100/12</f>
        <v/>
      </c>
      <c r="AO68">
        <f>MIN(Plan!E12,AM68+AN68)</f>
        <v/>
      </c>
      <c r="AP68">
        <f>AM68+AN68-AO68</f>
        <v/>
      </c>
      <c r="AQ68">
        <f>MIN(AP68,MAX(0,$B68-((E$5&lt;AO$5)*F68+(K$5&lt;AO$5)*L68+(Q$5&lt;AO$5)*R68+(W$5&lt;AO$5)*X68+(AC$5&lt;AO$5)*AD68+(AI$5&lt;AO$5)*AJ68+(AU$5&lt;AO$5)*AV68)))</f>
        <v/>
      </c>
      <c r="AR68">
        <f>IF(AP68-AQ68&lt;0.005,0,AP68-AQ68)</f>
        <v/>
      </c>
      <c r="AS68">
        <f>AX67</f>
        <v/>
      </c>
      <c r="AT68">
        <f>AS68*Plan!D13/100/12</f>
        <v/>
      </c>
      <c r="AU68">
        <f>MIN(Plan!E13,AS68+AT68)</f>
        <v/>
      </c>
      <c r="AV68">
        <f>AS68+AT68-AU68</f>
        <v/>
      </c>
      <c r="AW68">
        <f>MIN(AV68,MAX(0,$B68-((E$5&lt;AU$5)*F68+(K$5&lt;AU$5)*L68+(Q$5&lt;AU$5)*R68+(W$5&lt;AU$5)*X68+(AC$5&lt;AU$5)*AD68+(AI$5&lt;AU$5)*AJ68+(AO$5&lt;AU$5)*AP68)))</f>
        <v/>
      </c>
      <c r="AX68">
        <f>IF(AV68-AW68&lt;0.005,0,AV68-AW68)</f>
        <v/>
      </c>
      <c r="BC68">
        <f>H68+N68+T68+Z68+AF68+AL68+AR68+AX68</f>
        <v/>
      </c>
    </row>
    <row r="69">
      <c r="A69" t="n">
        <v>63</v>
      </c>
      <c r="B69" s="19">
        <f>MAX(0,$B$3-(E69+K69+Q69+W69+AC69+AI69+AO69+AU69))</f>
        <v/>
      </c>
      <c r="C69">
        <f>H68</f>
        <v/>
      </c>
      <c r="D69">
        <f>C69*Plan!D6/100/12</f>
        <v/>
      </c>
      <c r="E69">
        <f>MIN(Plan!E6,C69+D69)</f>
        <v/>
      </c>
      <c r="F69">
        <f>C69+D69-E69</f>
        <v/>
      </c>
      <c r="G69">
        <f>MIN(F69,MAX(0,$B69-((K$5&lt;E$5)*L69+(Q$5&lt;E$5)*R69+(W$5&lt;E$5)*X69+(AC$5&lt;E$5)*AD69+(AI$5&lt;E$5)*AJ69+(AO$5&lt;E$5)*AP69+(AU$5&lt;E$5)*AV69)))</f>
        <v/>
      </c>
      <c r="H69">
        <f>IF(F69-G69&lt;0.005,0,F69-G69)</f>
        <v/>
      </c>
      <c r="I69">
        <f>N68</f>
        <v/>
      </c>
      <c r="J69">
        <f>I69*Plan!D7/100/12</f>
        <v/>
      </c>
      <c r="K69">
        <f>MIN(Plan!E7,I69+J69)</f>
        <v/>
      </c>
      <c r="L69">
        <f>I69+J69-K69</f>
        <v/>
      </c>
      <c r="M69">
        <f>MIN(L69,MAX(0,$B69-((E$5&lt;K$5)*F69+(Q$5&lt;K$5)*R69+(W$5&lt;K$5)*X69+(AC$5&lt;K$5)*AD69+(AI$5&lt;K$5)*AJ69+(AO$5&lt;K$5)*AP69+(AU$5&lt;K$5)*AV69)))</f>
        <v/>
      </c>
      <c r="N69">
        <f>IF(L69-M69&lt;0.005,0,L69-M69)</f>
        <v/>
      </c>
      <c r="O69">
        <f>T68</f>
        <v/>
      </c>
      <c r="P69">
        <f>O69*Plan!D8/100/12</f>
        <v/>
      </c>
      <c r="Q69">
        <f>MIN(Plan!E8,O69+P69)</f>
        <v/>
      </c>
      <c r="R69">
        <f>O69+P69-Q69</f>
        <v/>
      </c>
      <c r="S69">
        <f>MIN(R69,MAX(0,$B69-((E$5&lt;Q$5)*F69+(K$5&lt;Q$5)*L69+(W$5&lt;Q$5)*X69+(AC$5&lt;Q$5)*AD69+(AI$5&lt;Q$5)*AJ69+(AO$5&lt;Q$5)*AP69+(AU$5&lt;Q$5)*AV69)))</f>
        <v/>
      </c>
      <c r="T69">
        <f>IF(R69-S69&lt;0.005,0,R69-S69)</f>
        <v/>
      </c>
      <c r="U69">
        <f>Z68</f>
        <v/>
      </c>
      <c r="V69">
        <f>U69*Plan!D9/100/12</f>
        <v/>
      </c>
      <c r="W69">
        <f>MIN(Plan!E9,U69+V69)</f>
        <v/>
      </c>
      <c r="X69">
        <f>U69+V69-W69</f>
        <v/>
      </c>
      <c r="Y69">
        <f>MIN(X69,MAX(0,$B69-((E$5&lt;W$5)*F69+(K$5&lt;W$5)*L69+(Q$5&lt;W$5)*R69+(AC$5&lt;W$5)*AD69+(AI$5&lt;W$5)*AJ69+(AO$5&lt;W$5)*AP69+(AU$5&lt;W$5)*AV69)))</f>
        <v/>
      </c>
      <c r="Z69">
        <f>IF(X69-Y69&lt;0.005,0,X69-Y69)</f>
        <v/>
      </c>
      <c r="AA69">
        <f>AF68</f>
        <v/>
      </c>
      <c r="AB69">
        <f>AA69*Plan!D10/100/12</f>
        <v/>
      </c>
      <c r="AC69">
        <f>MIN(Plan!E10,AA69+AB69)</f>
        <v/>
      </c>
      <c r="AD69">
        <f>AA69+AB69-AC69</f>
        <v/>
      </c>
      <c r="AE69">
        <f>MIN(AD69,MAX(0,$B69-((E$5&lt;AC$5)*F69+(K$5&lt;AC$5)*L69+(Q$5&lt;AC$5)*R69+(W$5&lt;AC$5)*X69+(AI$5&lt;AC$5)*AJ69+(AO$5&lt;AC$5)*AP69+(AU$5&lt;AC$5)*AV69)))</f>
        <v/>
      </c>
      <c r="AF69">
        <f>IF(AD69-AE69&lt;0.005,0,AD69-AE69)</f>
        <v/>
      </c>
      <c r="AG69">
        <f>AL68</f>
        <v/>
      </c>
      <c r="AH69">
        <f>AG69*Plan!D11/100/12</f>
        <v/>
      </c>
      <c r="AI69">
        <f>MIN(Plan!E11,AG69+AH69)</f>
        <v/>
      </c>
      <c r="AJ69">
        <f>AG69+AH69-AI69</f>
        <v/>
      </c>
      <c r="AK69">
        <f>MIN(AJ69,MAX(0,$B69-((E$5&lt;AI$5)*F69+(K$5&lt;AI$5)*L69+(Q$5&lt;AI$5)*R69+(W$5&lt;AI$5)*X69+(AC$5&lt;AI$5)*AD69+(AO$5&lt;AI$5)*AP69+(AU$5&lt;AI$5)*AV69)))</f>
        <v/>
      </c>
      <c r="AL69">
        <f>IF(AJ69-AK69&lt;0.005,0,AJ69-AK69)</f>
        <v/>
      </c>
      <c r="AM69">
        <f>AR68</f>
        <v/>
      </c>
      <c r="AN69">
        <f>AM69*Plan!D12/100/12</f>
        <v/>
      </c>
      <c r="AO69">
        <f>MIN(Plan!E12,AM69+AN69)</f>
        <v/>
      </c>
      <c r="AP69">
        <f>AM69+AN69-AO69</f>
        <v/>
      </c>
      <c r="AQ69">
        <f>MIN(AP69,MAX(0,$B69-((E$5&lt;AO$5)*F69+(K$5&lt;AO$5)*L69+(Q$5&lt;AO$5)*R69+(W$5&lt;AO$5)*X69+(AC$5&lt;AO$5)*AD69+(AI$5&lt;AO$5)*AJ69+(AU$5&lt;AO$5)*AV69)))</f>
        <v/>
      </c>
      <c r="AR69">
        <f>IF(AP69-AQ69&lt;0.005,0,AP69-AQ69)</f>
        <v/>
      </c>
      <c r="AS69">
        <f>AX68</f>
        <v/>
      </c>
      <c r="AT69">
        <f>AS69*Plan!D13/100/12</f>
        <v/>
      </c>
      <c r="AU69">
        <f>MIN(Plan!E13,AS69+AT69)</f>
        <v/>
      </c>
      <c r="AV69">
        <f>AS69+AT69-AU69</f>
        <v/>
      </c>
      <c r="AW69">
        <f>MIN(AV69,MAX(0,$B69-((E$5&lt;AU$5)*F69+(K$5&lt;AU$5)*L69+(Q$5&lt;AU$5)*R69+(W$5&lt;AU$5)*X69+(AC$5&lt;AU$5)*AD69+(AI$5&lt;AU$5)*AJ69+(AO$5&lt;AU$5)*AP69)))</f>
        <v/>
      </c>
      <c r="AX69">
        <f>IF(AV69-AW69&lt;0.005,0,AV69-AW69)</f>
        <v/>
      </c>
      <c r="BC69">
        <f>H69+N69+T69+Z69+AF69+AL69+AR69+AX69</f>
        <v/>
      </c>
    </row>
    <row r="70">
      <c r="A70" t="n">
        <v>64</v>
      </c>
      <c r="B70" s="19">
        <f>MAX(0,$B$3-(E70+K70+Q70+W70+AC70+AI70+AO70+AU70))</f>
        <v/>
      </c>
      <c r="C70">
        <f>H69</f>
        <v/>
      </c>
      <c r="D70">
        <f>C70*Plan!D6/100/12</f>
        <v/>
      </c>
      <c r="E70">
        <f>MIN(Plan!E6,C70+D70)</f>
        <v/>
      </c>
      <c r="F70">
        <f>C70+D70-E70</f>
        <v/>
      </c>
      <c r="G70">
        <f>MIN(F70,MAX(0,$B70-((K$5&lt;E$5)*L70+(Q$5&lt;E$5)*R70+(W$5&lt;E$5)*X70+(AC$5&lt;E$5)*AD70+(AI$5&lt;E$5)*AJ70+(AO$5&lt;E$5)*AP70+(AU$5&lt;E$5)*AV70)))</f>
        <v/>
      </c>
      <c r="H70">
        <f>IF(F70-G70&lt;0.005,0,F70-G70)</f>
        <v/>
      </c>
      <c r="I70">
        <f>N69</f>
        <v/>
      </c>
      <c r="J70">
        <f>I70*Plan!D7/100/12</f>
        <v/>
      </c>
      <c r="K70">
        <f>MIN(Plan!E7,I70+J70)</f>
        <v/>
      </c>
      <c r="L70">
        <f>I70+J70-K70</f>
        <v/>
      </c>
      <c r="M70">
        <f>MIN(L70,MAX(0,$B70-((E$5&lt;K$5)*F70+(Q$5&lt;K$5)*R70+(W$5&lt;K$5)*X70+(AC$5&lt;K$5)*AD70+(AI$5&lt;K$5)*AJ70+(AO$5&lt;K$5)*AP70+(AU$5&lt;K$5)*AV70)))</f>
        <v/>
      </c>
      <c r="N70">
        <f>IF(L70-M70&lt;0.005,0,L70-M70)</f>
        <v/>
      </c>
      <c r="O70">
        <f>T69</f>
        <v/>
      </c>
      <c r="P70">
        <f>O70*Plan!D8/100/12</f>
        <v/>
      </c>
      <c r="Q70">
        <f>MIN(Plan!E8,O70+P70)</f>
        <v/>
      </c>
      <c r="R70">
        <f>O70+P70-Q70</f>
        <v/>
      </c>
      <c r="S70">
        <f>MIN(R70,MAX(0,$B70-((E$5&lt;Q$5)*F70+(K$5&lt;Q$5)*L70+(W$5&lt;Q$5)*X70+(AC$5&lt;Q$5)*AD70+(AI$5&lt;Q$5)*AJ70+(AO$5&lt;Q$5)*AP70+(AU$5&lt;Q$5)*AV70)))</f>
        <v/>
      </c>
      <c r="T70">
        <f>IF(R70-S70&lt;0.005,0,R70-S70)</f>
        <v/>
      </c>
      <c r="U70">
        <f>Z69</f>
        <v/>
      </c>
      <c r="V70">
        <f>U70*Plan!D9/100/12</f>
        <v/>
      </c>
      <c r="W70">
        <f>MIN(Plan!E9,U70+V70)</f>
        <v/>
      </c>
      <c r="X70">
        <f>U70+V70-W70</f>
        <v/>
      </c>
      <c r="Y70">
        <f>MIN(X70,MAX(0,$B70-((E$5&lt;W$5)*F70+(K$5&lt;W$5)*L70+(Q$5&lt;W$5)*R70+(AC$5&lt;W$5)*AD70+(AI$5&lt;W$5)*AJ70+(AO$5&lt;W$5)*AP70+(AU$5&lt;W$5)*AV70)))</f>
        <v/>
      </c>
      <c r="Z70">
        <f>IF(X70-Y70&lt;0.005,0,X70-Y70)</f>
        <v/>
      </c>
      <c r="AA70">
        <f>AF69</f>
        <v/>
      </c>
      <c r="AB70">
        <f>AA70*Plan!D10/100/12</f>
        <v/>
      </c>
      <c r="AC70">
        <f>MIN(Plan!E10,AA70+AB70)</f>
        <v/>
      </c>
      <c r="AD70">
        <f>AA70+AB70-AC70</f>
        <v/>
      </c>
      <c r="AE70">
        <f>MIN(AD70,MAX(0,$B70-((E$5&lt;AC$5)*F70+(K$5&lt;AC$5)*L70+(Q$5&lt;AC$5)*R70+(W$5&lt;AC$5)*X70+(AI$5&lt;AC$5)*AJ70+(AO$5&lt;AC$5)*AP70+(AU$5&lt;AC$5)*AV70)))</f>
        <v/>
      </c>
      <c r="AF70">
        <f>IF(AD70-AE70&lt;0.005,0,AD70-AE70)</f>
        <v/>
      </c>
      <c r="AG70">
        <f>AL69</f>
        <v/>
      </c>
      <c r="AH70">
        <f>AG70*Plan!D11/100/12</f>
        <v/>
      </c>
      <c r="AI70">
        <f>MIN(Plan!E11,AG70+AH70)</f>
        <v/>
      </c>
      <c r="AJ70">
        <f>AG70+AH70-AI70</f>
        <v/>
      </c>
      <c r="AK70">
        <f>MIN(AJ70,MAX(0,$B70-((E$5&lt;AI$5)*F70+(K$5&lt;AI$5)*L70+(Q$5&lt;AI$5)*R70+(W$5&lt;AI$5)*X70+(AC$5&lt;AI$5)*AD70+(AO$5&lt;AI$5)*AP70+(AU$5&lt;AI$5)*AV70)))</f>
        <v/>
      </c>
      <c r="AL70">
        <f>IF(AJ70-AK70&lt;0.005,0,AJ70-AK70)</f>
        <v/>
      </c>
      <c r="AM70">
        <f>AR69</f>
        <v/>
      </c>
      <c r="AN70">
        <f>AM70*Plan!D12/100/12</f>
        <v/>
      </c>
      <c r="AO70">
        <f>MIN(Plan!E12,AM70+AN70)</f>
        <v/>
      </c>
      <c r="AP70">
        <f>AM70+AN70-AO70</f>
        <v/>
      </c>
      <c r="AQ70">
        <f>MIN(AP70,MAX(0,$B70-((E$5&lt;AO$5)*F70+(K$5&lt;AO$5)*L70+(Q$5&lt;AO$5)*R70+(W$5&lt;AO$5)*X70+(AC$5&lt;AO$5)*AD70+(AI$5&lt;AO$5)*AJ70+(AU$5&lt;AO$5)*AV70)))</f>
        <v/>
      </c>
      <c r="AR70">
        <f>IF(AP70-AQ70&lt;0.005,0,AP70-AQ70)</f>
        <v/>
      </c>
      <c r="AS70">
        <f>AX69</f>
        <v/>
      </c>
      <c r="AT70">
        <f>AS70*Plan!D13/100/12</f>
        <v/>
      </c>
      <c r="AU70">
        <f>MIN(Plan!E13,AS70+AT70)</f>
        <v/>
      </c>
      <c r="AV70">
        <f>AS70+AT70-AU70</f>
        <v/>
      </c>
      <c r="AW70">
        <f>MIN(AV70,MAX(0,$B70-((E$5&lt;AU$5)*F70+(K$5&lt;AU$5)*L70+(Q$5&lt;AU$5)*R70+(W$5&lt;AU$5)*X70+(AC$5&lt;AU$5)*AD70+(AI$5&lt;AU$5)*AJ70+(AO$5&lt;AU$5)*AP70)))</f>
        <v/>
      </c>
      <c r="AX70">
        <f>IF(AV70-AW70&lt;0.005,0,AV70-AW70)</f>
        <v/>
      </c>
      <c r="BC70">
        <f>H70+N70+T70+Z70+AF70+AL70+AR70+AX70</f>
        <v/>
      </c>
    </row>
    <row r="71">
      <c r="A71" t="n">
        <v>65</v>
      </c>
      <c r="B71" s="19">
        <f>MAX(0,$B$3-(E71+K71+Q71+W71+AC71+AI71+AO71+AU71))</f>
        <v/>
      </c>
      <c r="C71">
        <f>H70</f>
        <v/>
      </c>
      <c r="D71">
        <f>C71*Plan!D6/100/12</f>
        <v/>
      </c>
      <c r="E71">
        <f>MIN(Plan!E6,C71+D71)</f>
        <v/>
      </c>
      <c r="F71">
        <f>C71+D71-E71</f>
        <v/>
      </c>
      <c r="G71">
        <f>MIN(F71,MAX(0,$B71-((K$5&lt;E$5)*L71+(Q$5&lt;E$5)*R71+(W$5&lt;E$5)*X71+(AC$5&lt;E$5)*AD71+(AI$5&lt;E$5)*AJ71+(AO$5&lt;E$5)*AP71+(AU$5&lt;E$5)*AV71)))</f>
        <v/>
      </c>
      <c r="H71">
        <f>IF(F71-G71&lt;0.005,0,F71-G71)</f>
        <v/>
      </c>
      <c r="I71">
        <f>N70</f>
        <v/>
      </c>
      <c r="J71">
        <f>I71*Plan!D7/100/12</f>
        <v/>
      </c>
      <c r="K71">
        <f>MIN(Plan!E7,I71+J71)</f>
        <v/>
      </c>
      <c r="L71">
        <f>I71+J71-K71</f>
        <v/>
      </c>
      <c r="M71">
        <f>MIN(L71,MAX(0,$B71-((E$5&lt;K$5)*F71+(Q$5&lt;K$5)*R71+(W$5&lt;K$5)*X71+(AC$5&lt;K$5)*AD71+(AI$5&lt;K$5)*AJ71+(AO$5&lt;K$5)*AP71+(AU$5&lt;K$5)*AV71)))</f>
        <v/>
      </c>
      <c r="N71">
        <f>IF(L71-M71&lt;0.005,0,L71-M71)</f>
        <v/>
      </c>
      <c r="O71">
        <f>T70</f>
        <v/>
      </c>
      <c r="P71">
        <f>O71*Plan!D8/100/12</f>
        <v/>
      </c>
      <c r="Q71">
        <f>MIN(Plan!E8,O71+P71)</f>
        <v/>
      </c>
      <c r="R71">
        <f>O71+P71-Q71</f>
        <v/>
      </c>
      <c r="S71">
        <f>MIN(R71,MAX(0,$B71-((E$5&lt;Q$5)*F71+(K$5&lt;Q$5)*L71+(W$5&lt;Q$5)*X71+(AC$5&lt;Q$5)*AD71+(AI$5&lt;Q$5)*AJ71+(AO$5&lt;Q$5)*AP71+(AU$5&lt;Q$5)*AV71)))</f>
        <v/>
      </c>
      <c r="T71">
        <f>IF(R71-S71&lt;0.005,0,R71-S71)</f>
        <v/>
      </c>
      <c r="U71">
        <f>Z70</f>
        <v/>
      </c>
      <c r="V71">
        <f>U71*Plan!D9/100/12</f>
        <v/>
      </c>
      <c r="W71">
        <f>MIN(Plan!E9,U71+V71)</f>
        <v/>
      </c>
      <c r="X71">
        <f>U71+V71-W71</f>
        <v/>
      </c>
      <c r="Y71">
        <f>MIN(X71,MAX(0,$B71-((E$5&lt;W$5)*F71+(K$5&lt;W$5)*L71+(Q$5&lt;W$5)*R71+(AC$5&lt;W$5)*AD71+(AI$5&lt;W$5)*AJ71+(AO$5&lt;W$5)*AP71+(AU$5&lt;W$5)*AV71)))</f>
        <v/>
      </c>
      <c r="Z71">
        <f>IF(X71-Y71&lt;0.005,0,X71-Y71)</f>
        <v/>
      </c>
      <c r="AA71">
        <f>AF70</f>
        <v/>
      </c>
      <c r="AB71">
        <f>AA71*Plan!D10/100/12</f>
        <v/>
      </c>
      <c r="AC71">
        <f>MIN(Plan!E10,AA71+AB71)</f>
        <v/>
      </c>
      <c r="AD71">
        <f>AA71+AB71-AC71</f>
        <v/>
      </c>
      <c r="AE71">
        <f>MIN(AD71,MAX(0,$B71-((E$5&lt;AC$5)*F71+(K$5&lt;AC$5)*L71+(Q$5&lt;AC$5)*R71+(W$5&lt;AC$5)*X71+(AI$5&lt;AC$5)*AJ71+(AO$5&lt;AC$5)*AP71+(AU$5&lt;AC$5)*AV71)))</f>
        <v/>
      </c>
      <c r="AF71">
        <f>IF(AD71-AE71&lt;0.005,0,AD71-AE71)</f>
        <v/>
      </c>
      <c r="AG71">
        <f>AL70</f>
        <v/>
      </c>
      <c r="AH71">
        <f>AG71*Plan!D11/100/12</f>
        <v/>
      </c>
      <c r="AI71">
        <f>MIN(Plan!E11,AG71+AH71)</f>
        <v/>
      </c>
      <c r="AJ71">
        <f>AG71+AH71-AI71</f>
        <v/>
      </c>
      <c r="AK71">
        <f>MIN(AJ71,MAX(0,$B71-((E$5&lt;AI$5)*F71+(K$5&lt;AI$5)*L71+(Q$5&lt;AI$5)*R71+(W$5&lt;AI$5)*X71+(AC$5&lt;AI$5)*AD71+(AO$5&lt;AI$5)*AP71+(AU$5&lt;AI$5)*AV71)))</f>
        <v/>
      </c>
      <c r="AL71">
        <f>IF(AJ71-AK71&lt;0.005,0,AJ71-AK71)</f>
        <v/>
      </c>
      <c r="AM71">
        <f>AR70</f>
        <v/>
      </c>
      <c r="AN71">
        <f>AM71*Plan!D12/100/12</f>
        <v/>
      </c>
      <c r="AO71">
        <f>MIN(Plan!E12,AM71+AN71)</f>
        <v/>
      </c>
      <c r="AP71">
        <f>AM71+AN71-AO71</f>
        <v/>
      </c>
      <c r="AQ71">
        <f>MIN(AP71,MAX(0,$B71-((E$5&lt;AO$5)*F71+(K$5&lt;AO$5)*L71+(Q$5&lt;AO$5)*R71+(W$5&lt;AO$5)*X71+(AC$5&lt;AO$5)*AD71+(AI$5&lt;AO$5)*AJ71+(AU$5&lt;AO$5)*AV71)))</f>
        <v/>
      </c>
      <c r="AR71">
        <f>IF(AP71-AQ71&lt;0.005,0,AP71-AQ71)</f>
        <v/>
      </c>
      <c r="AS71">
        <f>AX70</f>
        <v/>
      </c>
      <c r="AT71">
        <f>AS71*Plan!D13/100/12</f>
        <v/>
      </c>
      <c r="AU71">
        <f>MIN(Plan!E13,AS71+AT71)</f>
        <v/>
      </c>
      <c r="AV71">
        <f>AS71+AT71-AU71</f>
        <v/>
      </c>
      <c r="AW71">
        <f>MIN(AV71,MAX(0,$B71-((E$5&lt;AU$5)*F71+(K$5&lt;AU$5)*L71+(Q$5&lt;AU$5)*R71+(W$5&lt;AU$5)*X71+(AC$5&lt;AU$5)*AD71+(AI$5&lt;AU$5)*AJ71+(AO$5&lt;AU$5)*AP71)))</f>
        <v/>
      </c>
      <c r="AX71">
        <f>IF(AV71-AW71&lt;0.005,0,AV71-AW71)</f>
        <v/>
      </c>
      <c r="BC71">
        <f>H71+N71+T71+Z71+AF71+AL71+AR71+AX71</f>
        <v/>
      </c>
    </row>
    <row r="72">
      <c r="A72" t="n">
        <v>66</v>
      </c>
      <c r="B72" s="19">
        <f>MAX(0,$B$3-(E72+K72+Q72+W72+AC72+AI72+AO72+AU72))</f>
        <v/>
      </c>
      <c r="C72">
        <f>H71</f>
        <v/>
      </c>
      <c r="D72">
        <f>C72*Plan!D6/100/12</f>
        <v/>
      </c>
      <c r="E72">
        <f>MIN(Plan!E6,C72+D72)</f>
        <v/>
      </c>
      <c r="F72">
        <f>C72+D72-E72</f>
        <v/>
      </c>
      <c r="G72">
        <f>MIN(F72,MAX(0,$B72-((K$5&lt;E$5)*L72+(Q$5&lt;E$5)*R72+(W$5&lt;E$5)*X72+(AC$5&lt;E$5)*AD72+(AI$5&lt;E$5)*AJ72+(AO$5&lt;E$5)*AP72+(AU$5&lt;E$5)*AV72)))</f>
        <v/>
      </c>
      <c r="H72">
        <f>IF(F72-G72&lt;0.005,0,F72-G72)</f>
        <v/>
      </c>
      <c r="I72">
        <f>N71</f>
        <v/>
      </c>
      <c r="J72">
        <f>I72*Plan!D7/100/12</f>
        <v/>
      </c>
      <c r="K72">
        <f>MIN(Plan!E7,I72+J72)</f>
        <v/>
      </c>
      <c r="L72">
        <f>I72+J72-K72</f>
        <v/>
      </c>
      <c r="M72">
        <f>MIN(L72,MAX(0,$B72-((E$5&lt;K$5)*F72+(Q$5&lt;K$5)*R72+(W$5&lt;K$5)*X72+(AC$5&lt;K$5)*AD72+(AI$5&lt;K$5)*AJ72+(AO$5&lt;K$5)*AP72+(AU$5&lt;K$5)*AV72)))</f>
        <v/>
      </c>
      <c r="N72">
        <f>IF(L72-M72&lt;0.005,0,L72-M72)</f>
        <v/>
      </c>
      <c r="O72">
        <f>T71</f>
        <v/>
      </c>
      <c r="P72">
        <f>O72*Plan!D8/100/12</f>
        <v/>
      </c>
      <c r="Q72">
        <f>MIN(Plan!E8,O72+P72)</f>
        <v/>
      </c>
      <c r="R72">
        <f>O72+P72-Q72</f>
        <v/>
      </c>
      <c r="S72">
        <f>MIN(R72,MAX(0,$B72-((E$5&lt;Q$5)*F72+(K$5&lt;Q$5)*L72+(W$5&lt;Q$5)*X72+(AC$5&lt;Q$5)*AD72+(AI$5&lt;Q$5)*AJ72+(AO$5&lt;Q$5)*AP72+(AU$5&lt;Q$5)*AV72)))</f>
        <v/>
      </c>
      <c r="T72">
        <f>IF(R72-S72&lt;0.005,0,R72-S72)</f>
        <v/>
      </c>
      <c r="U72">
        <f>Z71</f>
        <v/>
      </c>
      <c r="V72">
        <f>U72*Plan!D9/100/12</f>
        <v/>
      </c>
      <c r="W72">
        <f>MIN(Plan!E9,U72+V72)</f>
        <v/>
      </c>
      <c r="X72">
        <f>U72+V72-W72</f>
        <v/>
      </c>
      <c r="Y72">
        <f>MIN(X72,MAX(0,$B72-((E$5&lt;W$5)*F72+(K$5&lt;W$5)*L72+(Q$5&lt;W$5)*R72+(AC$5&lt;W$5)*AD72+(AI$5&lt;W$5)*AJ72+(AO$5&lt;W$5)*AP72+(AU$5&lt;W$5)*AV72)))</f>
        <v/>
      </c>
      <c r="Z72">
        <f>IF(X72-Y72&lt;0.005,0,X72-Y72)</f>
        <v/>
      </c>
      <c r="AA72">
        <f>AF71</f>
        <v/>
      </c>
      <c r="AB72">
        <f>AA72*Plan!D10/100/12</f>
        <v/>
      </c>
      <c r="AC72">
        <f>MIN(Plan!E10,AA72+AB72)</f>
        <v/>
      </c>
      <c r="AD72">
        <f>AA72+AB72-AC72</f>
        <v/>
      </c>
      <c r="AE72">
        <f>MIN(AD72,MAX(0,$B72-((E$5&lt;AC$5)*F72+(K$5&lt;AC$5)*L72+(Q$5&lt;AC$5)*R72+(W$5&lt;AC$5)*X72+(AI$5&lt;AC$5)*AJ72+(AO$5&lt;AC$5)*AP72+(AU$5&lt;AC$5)*AV72)))</f>
        <v/>
      </c>
      <c r="AF72">
        <f>IF(AD72-AE72&lt;0.005,0,AD72-AE72)</f>
        <v/>
      </c>
      <c r="AG72">
        <f>AL71</f>
        <v/>
      </c>
      <c r="AH72">
        <f>AG72*Plan!D11/100/12</f>
        <v/>
      </c>
      <c r="AI72">
        <f>MIN(Plan!E11,AG72+AH72)</f>
        <v/>
      </c>
      <c r="AJ72">
        <f>AG72+AH72-AI72</f>
        <v/>
      </c>
      <c r="AK72">
        <f>MIN(AJ72,MAX(0,$B72-((E$5&lt;AI$5)*F72+(K$5&lt;AI$5)*L72+(Q$5&lt;AI$5)*R72+(W$5&lt;AI$5)*X72+(AC$5&lt;AI$5)*AD72+(AO$5&lt;AI$5)*AP72+(AU$5&lt;AI$5)*AV72)))</f>
        <v/>
      </c>
      <c r="AL72">
        <f>IF(AJ72-AK72&lt;0.005,0,AJ72-AK72)</f>
        <v/>
      </c>
      <c r="AM72">
        <f>AR71</f>
        <v/>
      </c>
      <c r="AN72">
        <f>AM72*Plan!D12/100/12</f>
        <v/>
      </c>
      <c r="AO72">
        <f>MIN(Plan!E12,AM72+AN72)</f>
        <v/>
      </c>
      <c r="AP72">
        <f>AM72+AN72-AO72</f>
        <v/>
      </c>
      <c r="AQ72">
        <f>MIN(AP72,MAX(0,$B72-((E$5&lt;AO$5)*F72+(K$5&lt;AO$5)*L72+(Q$5&lt;AO$5)*R72+(W$5&lt;AO$5)*X72+(AC$5&lt;AO$5)*AD72+(AI$5&lt;AO$5)*AJ72+(AU$5&lt;AO$5)*AV72)))</f>
        <v/>
      </c>
      <c r="AR72">
        <f>IF(AP72-AQ72&lt;0.005,0,AP72-AQ72)</f>
        <v/>
      </c>
      <c r="AS72">
        <f>AX71</f>
        <v/>
      </c>
      <c r="AT72">
        <f>AS72*Plan!D13/100/12</f>
        <v/>
      </c>
      <c r="AU72">
        <f>MIN(Plan!E13,AS72+AT72)</f>
        <v/>
      </c>
      <c r="AV72">
        <f>AS72+AT72-AU72</f>
        <v/>
      </c>
      <c r="AW72">
        <f>MIN(AV72,MAX(0,$B72-((E$5&lt;AU$5)*F72+(K$5&lt;AU$5)*L72+(Q$5&lt;AU$5)*R72+(W$5&lt;AU$5)*X72+(AC$5&lt;AU$5)*AD72+(AI$5&lt;AU$5)*AJ72+(AO$5&lt;AU$5)*AP72)))</f>
        <v/>
      </c>
      <c r="AX72">
        <f>IF(AV72-AW72&lt;0.005,0,AV72-AW72)</f>
        <v/>
      </c>
      <c r="BC72">
        <f>H72+N72+T72+Z72+AF72+AL72+AR72+AX72</f>
        <v/>
      </c>
    </row>
    <row r="73">
      <c r="A73" t="n">
        <v>67</v>
      </c>
      <c r="B73" s="19">
        <f>MAX(0,$B$3-(E73+K73+Q73+W73+AC73+AI73+AO73+AU73))</f>
        <v/>
      </c>
      <c r="C73">
        <f>H72</f>
        <v/>
      </c>
      <c r="D73">
        <f>C73*Plan!D6/100/12</f>
        <v/>
      </c>
      <c r="E73">
        <f>MIN(Plan!E6,C73+D73)</f>
        <v/>
      </c>
      <c r="F73">
        <f>C73+D73-E73</f>
        <v/>
      </c>
      <c r="G73">
        <f>MIN(F73,MAX(0,$B73-((K$5&lt;E$5)*L73+(Q$5&lt;E$5)*R73+(W$5&lt;E$5)*X73+(AC$5&lt;E$5)*AD73+(AI$5&lt;E$5)*AJ73+(AO$5&lt;E$5)*AP73+(AU$5&lt;E$5)*AV73)))</f>
        <v/>
      </c>
      <c r="H73">
        <f>IF(F73-G73&lt;0.005,0,F73-G73)</f>
        <v/>
      </c>
      <c r="I73">
        <f>N72</f>
        <v/>
      </c>
      <c r="J73">
        <f>I73*Plan!D7/100/12</f>
        <v/>
      </c>
      <c r="K73">
        <f>MIN(Plan!E7,I73+J73)</f>
        <v/>
      </c>
      <c r="L73">
        <f>I73+J73-K73</f>
        <v/>
      </c>
      <c r="M73">
        <f>MIN(L73,MAX(0,$B73-((E$5&lt;K$5)*F73+(Q$5&lt;K$5)*R73+(W$5&lt;K$5)*X73+(AC$5&lt;K$5)*AD73+(AI$5&lt;K$5)*AJ73+(AO$5&lt;K$5)*AP73+(AU$5&lt;K$5)*AV73)))</f>
        <v/>
      </c>
      <c r="N73">
        <f>IF(L73-M73&lt;0.005,0,L73-M73)</f>
        <v/>
      </c>
      <c r="O73">
        <f>T72</f>
        <v/>
      </c>
      <c r="P73">
        <f>O73*Plan!D8/100/12</f>
        <v/>
      </c>
      <c r="Q73">
        <f>MIN(Plan!E8,O73+P73)</f>
        <v/>
      </c>
      <c r="R73">
        <f>O73+P73-Q73</f>
        <v/>
      </c>
      <c r="S73">
        <f>MIN(R73,MAX(0,$B73-((E$5&lt;Q$5)*F73+(K$5&lt;Q$5)*L73+(W$5&lt;Q$5)*X73+(AC$5&lt;Q$5)*AD73+(AI$5&lt;Q$5)*AJ73+(AO$5&lt;Q$5)*AP73+(AU$5&lt;Q$5)*AV73)))</f>
        <v/>
      </c>
      <c r="T73">
        <f>IF(R73-S73&lt;0.005,0,R73-S73)</f>
        <v/>
      </c>
      <c r="U73">
        <f>Z72</f>
        <v/>
      </c>
      <c r="V73">
        <f>U73*Plan!D9/100/12</f>
        <v/>
      </c>
      <c r="W73">
        <f>MIN(Plan!E9,U73+V73)</f>
        <v/>
      </c>
      <c r="X73">
        <f>U73+V73-W73</f>
        <v/>
      </c>
      <c r="Y73">
        <f>MIN(X73,MAX(0,$B73-((E$5&lt;W$5)*F73+(K$5&lt;W$5)*L73+(Q$5&lt;W$5)*R73+(AC$5&lt;W$5)*AD73+(AI$5&lt;W$5)*AJ73+(AO$5&lt;W$5)*AP73+(AU$5&lt;W$5)*AV73)))</f>
        <v/>
      </c>
      <c r="Z73">
        <f>IF(X73-Y73&lt;0.005,0,X73-Y73)</f>
        <v/>
      </c>
      <c r="AA73">
        <f>AF72</f>
        <v/>
      </c>
      <c r="AB73">
        <f>AA73*Plan!D10/100/12</f>
        <v/>
      </c>
      <c r="AC73">
        <f>MIN(Plan!E10,AA73+AB73)</f>
        <v/>
      </c>
      <c r="AD73">
        <f>AA73+AB73-AC73</f>
        <v/>
      </c>
      <c r="AE73">
        <f>MIN(AD73,MAX(0,$B73-((E$5&lt;AC$5)*F73+(K$5&lt;AC$5)*L73+(Q$5&lt;AC$5)*R73+(W$5&lt;AC$5)*X73+(AI$5&lt;AC$5)*AJ73+(AO$5&lt;AC$5)*AP73+(AU$5&lt;AC$5)*AV73)))</f>
        <v/>
      </c>
      <c r="AF73">
        <f>IF(AD73-AE73&lt;0.005,0,AD73-AE73)</f>
        <v/>
      </c>
      <c r="AG73">
        <f>AL72</f>
        <v/>
      </c>
      <c r="AH73">
        <f>AG73*Plan!D11/100/12</f>
        <v/>
      </c>
      <c r="AI73">
        <f>MIN(Plan!E11,AG73+AH73)</f>
        <v/>
      </c>
      <c r="AJ73">
        <f>AG73+AH73-AI73</f>
        <v/>
      </c>
      <c r="AK73">
        <f>MIN(AJ73,MAX(0,$B73-((E$5&lt;AI$5)*F73+(K$5&lt;AI$5)*L73+(Q$5&lt;AI$5)*R73+(W$5&lt;AI$5)*X73+(AC$5&lt;AI$5)*AD73+(AO$5&lt;AI$5)*AP73+(AU$5&lt;AI$5)*AV73)))</f>
        <v/>
      </c>
      <c r="AL73">
        <f>IF(AJ73-AK73&lt;0.005,0,AJ73-AK73)</f>
        <v/>
      </c>
      <c r="AM73">
        <f>AR72</f>
        <v/>
      </c>
      <c r="AN73">
        <f>AM73*Plan!D12/100/12</f>
        <v/>
      </c>
      <c r="AO73">
        <f>MIN(Plan!E12,AM73+AN73)</f>
        <v/>
      </c>
      <c r="AP73">
        <f>AM73+AN73-AO73</f>
        <v/>
      </c>
      <c r="AQ73">
        <f>MIN(AP73,MAX(0,$B73-((E$5&lt;AO$5)*F73+(K$5&lt;AO$5)*L73+(Q$5&lt;AO$5)*R73+(W$5&lt;AO$5)*X73+(AC$5&lt;AO$5)*AD73+(AI$5&lt;AO$5)*AJ73+(AU$5&lt;AO$5)*AV73)))</f>
        <v/>
      </c>
      <c r="AR73">
        <f>IF(AP73-AQ73&lt;0.005,0,AP73-AQ73)</f>
        <v/>
      </c>
      <c r="AS73">
        <f>AX72</f>
        <v/>
      </c>
      <c r="AT73">
        <f>AS73*Plan!D13/100/12</f>
        <v/>
      </c>
      <c r="AU73">
        <f>MIN(Plan!E13,AS73+AT73)</f>
        <v/>
      </c>
      <c r="AV73">
        <f>AS73+AT73-AU73</f>
        <v/>
      </c>
      <c r="AW73">
        <f>MIN(AV73,MAX(0,$B73-((E$5&lt;AU$5)*F73+(K$5&lt;AU$5)*L73+(Q$5&lt;AU$5)*R73+(W$5&lt;AU$5)*X73+(AC$5&lt;AU$5)*AD73+(AI$5&lt;AU$5)*AJ73+(AO$5&lt;AU$5)*AP73)))</f>
        <v/>
      </c>
      <c r="AX73">
        <f>IF(AV73-AW73&lt;0.005,0,AV73-AW73)</f>
        <v/>
      </c>
      <c r="BC73">
        <f>H73+N73+T73+Z73+AF73+AL73+AR73+AX73</f>
        <v/>
      </c>
    </row>
    <row r="74">
      <c r="A74" t="n">
        <v>68</v>
      </c>
      <c r="B74" s="19">
        <f>MAX(0,$B$3-(E74+K74+Q74+W74+AC74+AI74+AO74+AU74))</f>
        <v/>
      </c>
      <c r="C74">
        <f>H73</f>
        <v/>
      </c>
      <c r="D74">
        <f>C74*Plan!D6/100/12</f>
        <v/>
      </c>
      <c r="E74">
        <f>MIN(Plan!E6,C74+D74)</f>
        <v/>
      </c>
      <c r="F74">
        <f>C74+D74-E74</f>
        <v/>
      </c>
      <c r="G74">
        <f>MIN(F74,MAX(0,$B74-((K$5&lt;E$5)*L74+(Q$5&lt;E$5)*R74+(W$5&lt;E$5)*X74+(AC$5&lt;E$5)*AD74+(AI$5&lt;E$5)*AJ74+(AO$5&lt;E$5)*AP74+(AU$5&lt;E$5)*AV74)))</f>
        <v/>
      </c>
      <c r="H74">
        <f>IF(F74-G74&lt;0.005,0,F74-G74)</f>
        <v/>
      </c>
      <c r="I74">
        <f>N73</f>
        <v/>
      </c>
      <c r="J74">
        <f>I74*Plan!D7/100/12</f>
        <v/>
      </c>
      <c r="K74">
        <f>MIN(Plan!E7,I74+J74)</f>
        <v/>
      </c>
      <c r="L74">
        <f>I74+J74-K74</f>
        <v/>
      </c>
      <c r="M74">
        <f>MIN(L74,MAX(0,$B74-((E$5&lt;K$5)*F74+(Q$5&lt;K$5)*R74+(W$5&lt;K$5)*X74+(AC$5&lt;K$5)*AD74+(AI$5&lt;K$5)*AJ74+(AO$5&lt;K$5)*AP74+(AU$5&lt;K$5)*AV74)))</f>
        <v/>
      </c>
      <c r="N74">
        <f>IF(L74-M74&lt;0.005,0,L74-M74)</f>
        <v/>
      </c>
      <c r="O74">
        <f>T73</f>
        <v/>
      </c>
      <c r="P74">
        <f>O74*Plan!D8/100/12</f>
        <v/>
      </c>
      <c r="Q74">
        <f>MIN(Plan!E8,O74+P74)</f>
        <v/>
      </c>
      <c r="R74">
        <f>O74+P74-Q74</f>
        <v/>
      </c>
      <c r="S74">
        <f>MIN(R74,MAX(0,$B74-((E$5&lt;Q$5)*F74+(K$5&lt;Q$5)*L74+(W$5&lt;Q$5)*X74+(AC$5&lt;Q$5)*AD74+(AI$5&lt;Q$5)*AJ74+(AO$5&lt;Q$5)*AP74+(AU$5&lt;Q$5)*AV74)))</f>
        <v/>
      </c>
      <c r="T74">
        <f>IF(R74-S74&lt;0.005,0,R74-S74)</f>
        <v/>
      </c>
      <c r="U74">
        <f>Z73</f>
        <v/>
      </c>
      <c r="V74">
        <f>U74*Plan!D9/100/12</f>
        <v/>
      </c>
      <c r="W74">
        <f>MIN(Plan!E9,U74+V74)</f>
        <v/>
      </c>
      <c r="X74">
        <f>U74+V74-W74</f>
        <v/>
      </c>
      <c r="Y74">
        <f>MIN(X74,MAX(0,$B74-((E$5&lt;W$5)*F74+(K$5&lt;W$5)*L74+(Q$5&lt;W$5)*R74+(AC$5&lt;W$5)*AD74+(AI$5&lt;W$5)*AJ74+(AO$5&lt;W$5)*AP74+(AU$5&lt;W$5)*AV74)))</f>
        <v/>
      </c>
      <c r="Z74">
        <f>IF(X74-Y74&lt;0.005,0,X74-Y74)</f>
        <v/>
      </c>
      <c r="AA74">
        <f>AF73</f>
        <v/>
      </c>
      <c r="AB74">
        <f>AA74*Plan!D10/100/12</f>
        <v/>
      </c>
      <c r="AC74">
        <f>MIN(Plan!E10,AA74+AB74)</f>
        <v/>
      </c>
      <c r="AD74">
        <f>AA74+AB74-AC74</f>
        <v/>
      </c>
      <c r="AE74">
        <f>MIN(AD74,MAX(0,$B74-((E$5&lt;AC$5)*F74+(K$5&lt;AC$5)*L74+(Q$5&lt;AC$5)*R74+(W$5&lt;AC$5)*X74+(AI$5&lt;AC$5)*AJ74+(AO$5&lt;AC$5)*AP74+(AU$5&lt;AC$5)*AV74)))</f>
        <v/>
      </c>
      <c r="AF74">
        <f>IF(AD74-AE74&lt;0.005,0,AD74-AE74)</f>
        <v/>
      </c>
      <c r="AG74">
        <f>AL73</f>
        <v/>
      </c>
      <c r="AH74">
        <f>AG74*Plan!D11/100/12</f>
        <v/>
      </c>
      <c r="AI74">
        <f>MIN(Plan!E11,AG74+AH74)</f>
        <v/>
      </c>
      <c r="AJ74">
        <f>AG74+AH74-AI74</f>
        <v/>
      </c>
      <c r="AK74">
        <f>MIN(AJ74,MAX(0,$B74-((E$5&lt;AI$5)*F74+(K$5&lt;AI$5)*L74+(Q$5&lt;AI$5)*R74+(W$5&lt;AI$5)*X74+(AC$5&lt;AI$5)*AD74+(AO$5&lt;AI$5)*AP74+(AU$5&lt;AI$5)*AV74)))</f>
        <v/>
      </c>
      <c r="AL74">
        <f>IF(AJ74-AK74&lt;0.005,0,AJ74-AK74)</f>
        <v/>
      </c>
      <c r="AM74">
        <f>AR73</f>
        <v/>
      </c>
      <c r="AN74">
        <f>AM74*Plan!D12/100/12</f>
        <v/>
      </c>
      <c r="AO74">
        <f>MIN(Plan!E12,AM74+AN74)</f>
        <v/>
      </c>
      <c r="AP74">
        <f>AM74+AN74-AO74</f>
        <v/>
      </c>
      <c r="AQ74">
        <f>MIN(AP74,MAX(0,$B74-((E$5&lt;AO$5)*F74+(K$5&lt;AO$5)*L74+(Q$5&lt;AO$5)*R74+(W$5&lt;AO$5)*X74+(AC$5&lt;AO$5)*AD74+(AI$5&lt;AO$5)*AJ74+(AU$5&lt;AO$5)*AV74)))</f>
        <v/>
      </c>
      <c r="AR74">
        <f>IF(AP74-AQ74&lt;0.005,0,AP74-AQ74)</f>
        <v/>
      </c>
      <c r="AS74">
        <f>AX73</f>
        <v/>
      </c>
      <c r="AT74">
        <f>AS74*Plan!D13/100/12</f>
        <v/>
      </c>
      <c r="AU74">
        <f>MIN(Plan!E13,AS74+AT74)</f>
        <v/>
      </c>
      <c r="AV74">
        <f>AS74+AT74-AU74</f>
        <v/>
      </c>
      <c r="AW74">
        <f>MIN(AV74,MAX(0,$B74-((E$5&lt;AU$5)*F74+(K$5&lt;AU$5)*L74+(Q$5&lt;AU$5)*R74+(W$5&lt;AU$5)*X74+(AC$5&lt;AU$5)*AD74+(AI$5&lt;AU$5)*AJ74+(AO$5&lt;AU$5)*AP74)))</f>
        <v/>
      </c>
      <c r="AX74">
        <f>IF(AV74-AW74&lt;0.005,0,AV74-AW74)</f>
        <v/>
      </c>
      <c r="BC74">
        <f>H74+N74+T74+Z74+AF74+AL74+AR74+AX74</f>
        <v/>
      </c>
    </row>
    <row r="75">
      <c r="A75" t="n">
        <v>69</v>
      </c>
      <c r="B75" s="19">
        <f>MAX(0,$B$3-(E75+K75+Q75+W75+AC75+AI75+AO75+AU75))</f>
        <v/>
      </c>
      <c r="C75">
        <f>H74</f>
        <v/>
      </c>
      <c r="D75">
        <f>C75*Plan!D6/100/12</f>
        <v/>
      </c>
      <c r="E75">
        <f>MIN(Plan!E6,C75+D75)</f>
        <v/>
      </c>
      <c r="F75">
        <f>C75+D75-E75</f>
        <v/>
      </c>
      <c r="G75">
        <f>MIN(F75,MAX(0,$B75-((K$5&lt;E$5)*L75+(Q$5&lt;E$5)*R75+(W$5&lt;E$5)*X75+(AC$5&lt;E$5)*AD75+(AI$5&lt;E$5)*AJ75+(AO$5&lt;E$5)*AP75+(AU$5&lt;E$5)*AV75)))</f>
        <v/>
      </c>
      <c r="H75">
        <f>IF(F75-G75&lt;0.005,0,F75-G75)</f>
        <v/>
      </c>
      <c r="I75">
        <f>N74</f>
        <v/>
      </c>
      <c r="J75">
        <f>I75*Plan!D7/100/12</f>
        <v/>
      </c>
      <c r="K75">
        <f>MIN(Plan!E7,I75+J75)</f>
        <v/>
      </c>
      <c r="L75">
        <f>I75+J75-K75</f>
        <v/>
      </c>
      <c r="M75">
        <f>MIN(L75,MAX(0,$B75-((E$5&lt;K$5)*F75+(Q$5&lt;K$5)*R75+(W$5&lt;K$5)*X75+(AC$5&lt;K$5)*AD75+(AI$5&lt;K$5)*AJ75+(AO$5&lt;K$5)*AP75+(AU$5&lt;K$5)*AV75)))</f>
        <v/>
      </c>
      <c r="N75">
        <f>IF(L75-M75&lt;0.005,0,L75-M75)</f>
        <v/>
      </c>
      <c r="O75">
        <f>T74</f>
        <v/>
      </c>
      <c r="P75">
        <f>O75*Plan!D8/100/12</f>
        <v/>
      </c>
      <c r="Q75">
        <f>MIN(Plan!E8,O75+P75)</f>
        <v/>
      </c>
      <c r="R75">
        <f>O75+P75-Q75</f>
        <v/>
      </c>
      <c r="S75">
        <f>MIN(R75,MAX(0,$B75-((E$5&lt;Q$5)*F75+(K$5&lt;Q$5)*L75+(W$5&lt;Q$5)*X75+(AC$5&lt;Q$5)*AD75+(AI$5&lt;Q$5)*AJ75+(AO$5&lt;Q$5)*AP75+(AU$5&lt;Q$5)*AV75)))</f>
        <v/>
      </c>
      <c r="T75">
        <f>IF(R75-S75&lt;0.005,0,R75-S75)</f>
        <v/>
      </c>
      <c r="U75">
        <f>Z74</f>
        <v/>
      </c>
      <c r="V75">
        <f>U75*Plan!D9/100/12</f>
        <v/>
      </c>
      <c r="W75">
        <f>MIN(Plan!E9,U75+V75)</f>
        <v/>
      </c>
      <c r="X75">
        <f>U75+V75-W75</f>
        <v/>
      </c>
      <c r="Y75">
        <f>MIN(X75,MAX(0,$B75-((E$5&lt;W$5)*F75+(K$5&lt;W$5)*L75+(Q$5&lt;W$5)*R75+(AC$5&lt;W$5)*AD75+(AI$5&lt;W$5)*AJ75+(AO$5&lt;W$5)*AP75+(AU$5&lt;W$5)*AV75)))</f>
        <v/>
      </c>
      <c r="Z75">
        <f>IF(X75-Y75&lt;0.005,0,X75-Y75)</f>
        <v/>
      </c>
      <c r="AA75">
        <f>AF74</f>
        <v/>
      </c>
      <c r="AB75">
        <f>AA75*Plan!D10/100/12</f>
        <v/>
      </c>
      <c r="AC75">
        <f>MIN(Plan!E10,AA75+AB75)</f>
        <v/>
      </c>
      <c r="AD75">
        <f>AA75+AB75-AC75</f>
        <v/>
      </c>
      <c r="AE75">
        <f>MIN(AD75,MAX(0,$B75-((E$5&lt;AC$5)*F75+(K$5&lt;AC$5)*L75+(Q$5&lt;AC$5)*R75+(W$5&lt;AC$5)*X75+(AI$5&lt;AC$5)*AJ75+(AO$5&lt;AC$5)*AP75+(AU$5&lt;AC$5)*AV75)))</f>
        <v/>
      </c>
      <c r="AF75">
        <f>IF(AD75-AE75&lt;0.005,0,AD75-AE75)</f>
        <v/>
      </c>
      <c r="AG75">
        <f>AL74</f>
        <v/>
      </c>
      <c r="AH75">
        <f>AG75*Plan!D11/100/12</f>
        <v/>
      </c>
      <c r="AI75">
        <f>MIN(Plan!E11,AG75+AH75)</f>
        <v/>
      </c>
      <c r="AJ75">
        <f>AG75+AH75-AI75</f>
        <v/>
      </c>
      <c r="AK75">
        <f>MIN(AJ75,MAX(0,$B75-((E$5&lt;AI$5)*F75+(K$5&lt;AI$5)*L75+(Q$5&lt;AI$5)*R75+(W$5&lt;AI$5)*X75+(AC$5&lt;AI$5)*AD75+(AO$5&lt;AI$5)*AP75+(AU$5&lt;AI$5)*AV75)))</f>
        <v/>
      </c>
      <c r="AL75">
        <f>IF(AJ75-AK75&lt;0.005,0,AJ75-AK75)</f>
        <v/>
      </c>
      <c r="AM75">
        <f>AR74</f>
        <v/>
      </c>
      <c r="AN75">
        <f>AM75*Plan!D12/100/12</f>
        <v/>
      </c>
      <c r="AO75">
        <f>MIN(Plan!E12,AM75+AN75)</f>
        <v/>
      </c>
      <c r="AP75">
        <f>AM75+AN75-AO75</f>
        <v/>
      </c>
      <c r="AQ75">
        <f>MIN(AP75,MAX(0,$B75-((E$5&lt;AO$5)*F75+(K$5&lt;AO$5)*L75+(Q$5&lt;AO$5)*R75+(W$5&lt;AO$5)*X75+(AC$5&lt;AO$5)*AD75+(AI$5&lt;AO$5)*AJ75+(AU$5&lt;AO$5)*AV75)))</f>
        <v/>
      </c>
      <c r="AR75">
        <f>IF(AP75-AQ75&lt;0.005,0,AP75-AQ75)</f>
        <v/>
      </c>
      <c r="AS75">
        <f>AX74</f>
        <v/>
      </c>
      <c r="AT75">
        <f>AS75*Plan!D13/100/12</f>
        <v/>
      </c>
      <c r="AU75">
        <f>MIN(Plan!E13,AS75+AT75)</f>
        <v/>
      </c>
      <c r="AV75">
        <f>AS75+AT75-AU75</f>
        <v/>
      </c>
      <c r="AW75">
        <f>MIN(AV75,MAX(0,$B75-((E$5&lt;AU$5)*F75+(K$5&lt;AU$5)*L75+(Q$5&lt;AU$5)*R75+(W$5&lt;AU$5)*X75+(AC$5&lt;AU$5)*AD75+(AI$5&lt;AU$5)*AJ75+(AO$5&lt;AU$5)*AP75)))</f>
        <v/>
      </c>
      <c r="AX75">
        <f>IF(AV75-AW75&lt;0.005,0,AV75-AW75)</f>
        <v/>
      </c>
      <c r="BC75">
        <f>H75+N75+T75+Z75+AF75+AL75+AR75+AX75</f>
        <v/>
      </c>
    </row>
    <row r="76">
      <c r="A76" t="n">
        <v>70</v>
      </c>
      <c r="B76" s="19">
        <f>MAX(0,$B$3-(E76+K76+Q76+W76+AC76+AI76+AO76+AU76))</f>
        <v/>
      </c>
      <c r="C76">
        <f>H75</f>
        <v/>
      </c>
      <c r="D76">
        <f>C76*Plan!D6/100/12</f>
        <v/>
      </c>
      <c r="E76">
        <f>MIN(Plan!E6,C76+D76)</f>
        <v/>
      </c>
      <c r="F76">
        <f>C76+D76-E76</f>
        <v/>
      </c>
      <c r="G76">
        <f>MIN(F76,MAX(0,$B76-((K$5&lt;E$5)*L76+(Q$5&lt;E$5)*R76+(W$5&lt;E$5)*X76+(AC$5&lt;E$5)*AD76+(AI$5&lt;E$5)*AJ76+(AO$5&lt;E$5)*AP76+(AU$5&lt;E$5)*AV76)))</f>
        <v/>
      </c>
      <c r="H76">
        <f>IF(F76-G76&lt;0.005,0,F76-G76)</f>
        <v/>
      </c>
      <c r="I76">
        <f>N75</f>
        <v/>
      </c>
      <c r="J76">
        <f>I76*Plan!D7/100/12</f>
        <v/>
      </c>
      <c r="K76">
        <f>MIN(Plan!E7,I76+J76)</f>
        <v/>
      </c>
      <c r="L76">
        <f>I76+J76-K76</f>
        <v/>
      </c>
      <c r="M76">
        <f>MIN(L76,MAX(0,$B76-((E$5&lt;K$5)*F76+(Q$5&lt;K$5)*R76+(W$5&lt;K$5)*X76+(AC$5&lt;K$5)*AD76+(AI$5&lt;K$5)*AJ76+(AO$5&lt;K$5)*AP76+(AU$5&lt;K$5)*AV76)))</f>
        <v/>
      </c>
      <c r="N76">
        <f>IF(L76-M76&lt;0.005,0,L76-M76)</f>
        <v/>
      </c>
      <c r="O76">
        <f>T75</f>
        <v/>
      </c>
      <c r="P76">
        <f>O76*Plan!D8/100/12</f>
        <v/>
      </c>
      <c r="Q76">
        <f>MIN(Plan!E8,O76+P76)</f>
        <v/>
      </c>
      <c r="R76">
        <f>O76+P76-Q76</f>
        <v/>
      </c>
      <c r="S76">
        <f>MIN(R76,MAX(0,$B76-((E$5&lt;Q$5)*F76+(K$5&lt;Q$5)*L76+(W$5&lt;Q$5)*X76+(AC$5&lt;Q$5)*AD76+(AI$5&lt;Q$5)*AJ76+(AO$5&lt;Q$5)*AP76+(AU$5&lt;Q$5)*AV76)))</f>
        <v/>
      </c>
      <c r="T76">
        <f>IF(R76-S76&lt;0.005,0,R76-S76)</f>
        <v/>
      </c>
      <c r="U76">
        <f>Z75</f>
        <v/>
      </c>
      <c r="V76">
        <f>U76*Plan!D9/100/12</f>
        <v/>
      </c>
      <c r="W76">
        <f>MIN(Plan!E9,U76+V76)</f>
        <v/>
      </c>
      <c r="X76">
        <f>U76+V76-W76</f>
        <v/>
      </c>
      <c r="Y76">
        <f>MIN(X76,MAX(0,$B76-((E$5&lt;W$5)*F76+(K$5&lt;W$5)*L76+(Q$5&lt;W$5)*R76+(AC$5&lt;W$5)*AD76+(AI$5&lt;W$5)*AJ76+(AO$5&lt;W$5)*AP76+(AU$5&lt;W$5)*AV76)))</f>
        <v/>
      </c>
      <c r="Z76">
        <f>IF(X76-Y76&lt;0.005,0,X76-Y76)</f>
        <v/>
      </c>
      <c r="AA76">
        <f>AF75</f>
        <v/>
      </c>
      <c r="AB76">
        <f>AA76*Plan!D10/100/12</f>
        <v/>
      </c>
      <c r="AC76">
        <f>MIN(Plan!E10,AA76+AB76)</f>
        <v/>
      </c>
      <c r="AD76">
        <f>AA76+AB76-AC76</f>
        <v/>
      </c>
      <c r="AE76">
        <f>MIN(AD76,MAX(0,$B76-((E$5&lt;AC$5)*F76+(K$5&lt;AC$5)*L76+(Q$5&lt;AC$5)*R76+(W$5&lt;AC$5)*X76+(AI$5&lt;AC$5)*AJ76+(AO$5&lt;AC$5)*AP76+(AU$5&lt;AC$5)*AV76)))</f>
        <v/>
      </c>
      <c r="AF76">
        <f>IF(AD76-AE76&lt;0.005,0,AD76-AE76)</f>
        <v/>
      </c>
      <c r="AG76">
        <f>AL75</f>
        <v/>
      </c>
      <c r="AH76">
        <f>AG76*Plan!D11/100/12</f>
        <v/>
      </c>
      <c r="AI76">
        <f>MIN(Plan!E11,AG76+AH76)</f>
        <v/>
      </c>
      <c r="AJ76">
        <f>AG76+AH76-AI76</f>
        <v/>
      </c>
      <c r="AK76">
        <f>MIN(AJ76,MAX(0,$B76-((E$5&lt;AI$5)*F76+(K$5&lt;AI$5)*L76+(Q$5&lt;AI$5)*R76+(W$5&lt;AI$5)*X76+(AC$5&lt;AI$5)*AD76+(AO$5&lt;AI$5)*AP76+(AU$5&lt;AI$5)*AV76)))</f>
        <v/>
      </c>
      <c r="AL76">
        <f>IF(AJ76-AK76&lt;0.005,0,AJ76-AK76)</f>
        <v/>
      </c>
      <c r="AM76">
        <f>AR75</f>
        <v/>
      </c>
      <c r="AN76">
        <f>AM76*Plan!D12/100/12</f>
        <v/>
      </c>
      <c r="AO76">
        <f>MIN(Plan!E12,AM76+AN76)</f>
        <v/>
      </c>
      <c r="AP76">
        <f>AM76+AN76-AO76</f>
        <v/>
      </c>
      <c r="AQ76">
        <f>MIN(AP76,MAX(0,$B76-((E$5&lt;AO$5)*F76+(K$5&lt;AO$5)*L76+(Q$5&lt;AO$5)*R76+(W$5&lt;AO$5)*X76+(AC$5&lt;AO$5)*AD76+(AI$5&lt;AO$5)*AJ76+(AU$5&lt;AO$5)*AV76)))</f>
        <v/>
      </c>
      <c r="AR76">
        <f>IF(AP76-AQ76&lt;0.005,0,AP76-AQ76)</f>
        <v/>
      </c>
      <c r="AS76">
        <f>AX75</f>
        <v/>
      </c>
      <c r="AT76">
        <f>AS76*Plan!D13/100/12</f>
        <v/>
      </c>
      <c r="AU76">
        <f>MIN(Plan!E13,AS76+AT76)</f>
        <v/>
      </c>
      <c r="AV76">
        <f>AS76+AT76-AU76</f>
        <v/>
      </c>
      <c r="AW76">
        <f>MIN(AV76,MAX(0,$B76-((E$5&lt;AU$5)*F76+(K$5&lt;AU$5)*L76+(Q$5&lt;AU$5)*R76+(W$5&lt;AU$5)*X76+(AC$5&lt;AU$5)*AD76+(AI$5&lt;AU$5)*AJ76+(AO$5&lt;AU$5)*AP76)))</f>
        <v/>
      </c>
      <c r="AX76">
        <f>IF(AV76-AW76&lt;0.005,0,AV76-AW76)</f>
        <v/>
      </c>
      <c r="BC76">
        <f>H76+N76+T76+Z76+AF76+AL76+AR76+AX76</f>
        <v/>
      </c>
    </row>
    <row r="77">
      <c r="A77" t="n">
        <v>71</v>
      </c>
      <c r="B77" s="19">
        <f>MAX(0,$B$3-(E77+K77+Q77+W77+AC77+AI77+AO77+AU77))</f>
        <v/>
      </c>
      <c r="C77">
        <f>H76</f>
        <v/>
      </c>
      <c r="D77">
        <f>C77*Plan!D6/100/12</f>
        <v/>
      </c>
      <c r="E77">
        <f>MIN(Plan!E6,C77+D77)</f>
        <v/>
      </c>
      <c r="F77">
        <f>C77+D77-E77</f>
        <v/>
      </c>
      <c r="G77">
        <f>MIN(F77,MAX(0,$B77-((K$5&lt;E$5)*L77+(Q$5&lt;E$5)*R77+(W$5&lt;E$5)*X77+(AC$5&lt;E$5)*AD77+(AI$5&lt;E$5)*AJ77+(AO$5&lt;E$5)*AP77+(AU$5&lt;E$5)*AV77)))</f>
        <v/>
      </c>
      <c r="H77">
        <f>IF(F77-G77&lt;0.005,0,F77-G77)</f>
        <v/>
      </c>
      <c r="I77">
        <f>N76</f>
        <v/>
      </c>
      <c r="J77">
        <f>I77*Plan!D7/100/12</f>
        <v/>
      </c>
      <c r="K77">
        <f>MIN(Plan!E7,I77+J77)</f>
        <v/>
      </c>
      <c r="L77">
        <f>I77+J77-K77</f>
        <v/>
      </c>
      <c r="M77">
        <f>MIN(L77,MAX(0,$B77-((E$5&lt;K$5)*F77+(Q$5&lt;K$5)*R77+(W$5&lt;K$5)*X77+(AC$5&lt;K$5)*AD77+(AI$5&lt;K$5)*AJ77+(AO$5&lt;K$5)*AP77+(AU$5&lt;K$5)*AV77)))</f>
        <v/>
      </c>
      <c r="N77">
        <f>IF(L77-M77&lt;0.005,0,L77-M77)</f>
        <v/>
      </c>
      <c r="O77">
        <f>T76</f>
        <v/>
      </c>
      <c r="P77">
        <f>O77*Plan!D8/100/12</f>
        <v/>
      </c>
      <c r="Q77">
        <f>MIN(Plan!E8,O77+P77)</f>
        <v/>
      </c>
      <c r="R77">
        <f>O77+P77-Q77</f>
        <v/>
      </c>
      <c r="S77">
        <f>MIN(R77,MAX(0,$B77-((E$5&lt;Q$5)*F77+(K$5&lt;Q$5)*L77+(W$5&lt;Q$5)*X77+(AC$5&lt;Q$5)*AD77+(AI$5&lt;Q$5)*AJ77+(AO$5&lt;Q$5)*AP77+(AU$5&lt;Q$5)*AV77)))</f>
        <v/>
      </c>
      <c r="T77">
        <f>IF(R77-S77&lt;0.005,0,R77-S77)</f>
        <v/>
      </c>
      <c r="U77">
        <f>Z76</f>
        <v/>
      </c>
      <c r="V77">
        <f>U77*Plan!D9/100/12</f>
        <v/>
      </c>
      <c r="W77">
        <f>MIN(Plan!E9,U77+V77)</f>
        <v/>
      </c>
      <c r="X77">
        <f>U77+V77-W77</f>
        <v/>
      </c>
      <c r="Y77">
        <f>MIN(X77,MAX(0,$B77-((E$5&lt;W$5)*F77+(K$5&lt;W$5)*L77+(Q$5&lt;W$5)*R77+(AC$5&lt;W$5)*AD77+(AI$5&lt;W$5)*AJ77+(AO$5&lt;W$5)*AP77+(AU$5&lt;W$5)*AV77)))</f>
        <v/>
      </c>
      <c r="Z77">
        <f>IF(X77-Y77&lt;0.005,0,X77-Y77)</f>
        <v/>
      </c>
      <c r="AA77">
        <f>AF76</f>
        <v/>
      </c>
      <c r="AB77">
        <f>AA77*Plan!D10/100/12</f>
        <v/>
      </c>
      <c r="AC77">
        <f>MIN(Plan!E10,AA77+AB77)</f>
        <v/>
      </c>
      <c r="AD77">
        <f>AA77+AB77-AC77</f>
        <v/>
      </c>
      <c r="AE77">
        <f>MIN(AD77,MAX(0,$B77-((E$5&lt;AC$5)*F77+(K$5&lt;AC$5)*L77+(Q$5&lt;AC$5)*R77+(W$5&lt;AC$5)*X77+(AI$5&lt;AC$5)*AJ77+(AO$5&lt;AC$5)*AP77+(AU$5&lt;AC$5)*AV77)))</f>
        <v/>
      </c>
      <c r="AF77">
        <f>IF(AD77-AE77&lt;0.005,0,AD77-AE77)</f>
        <v/>
      </c>
      <c r="AG77">
        <f>AL76</f>
        <v/>
      </c>
      <c r="AH77">
        <f>AG77*Plan!D11/100/12</f>
        <v/>
      </c>
      <c r="AI77">
        <f>MIN(Plan!E11,AG77+AH77)</f>
        <v/>
      </c>
      <c r="AJ77">
        <f>AG77+AH77-AI77</f>
        <v/>
      </c>
      <c r="AK77">
        <f>MIN(AJ77,MAX(0,$B77-((E$5&lt;AI$5)*F77+(K$5&lt;AI$5)*L77+(Q$5&lt;AI$5)*R77+(W$5&lt;AI$5)*X77+(AC$5&lt;AI$5)*AD77+(AO$5&lt;AI$5)*AP77+(AU$5&lt;AI$5)*AV77)))</f>
        <v/>
      </c>
      <c r="AL77">
        <f>IF(AJ77-AK77&lt;0.005,0,AJ77-AK77)</f>
        <v/>
      </c>
      <c r="AM77">
        <f>AR76</f>
        <v/>
      </c>
      <c r="AN77">
        <f>AM77*Plan!D12/100/12</f>
        <v/>
      </c>
      <c r="AO77">
        <f>MIN(Plan!E12,AM77+AN77)</f>
        <v/>
      </c>
      <c r="AP77">
        <f>AM77+AN77-AO77</f>
        <v/>
      </c>
      <c r="AQ77">
        <f>MIN(AP77,MAX(0,$B77-((E$5&lt;AO$5)*F77+(K$5&lt;AO$5)*L77+(Q$5&lt;AO$5)*R77+(W$5&lt;AO$5)*X77+(AC$5&lt;AO$5)*AD77+(AI$5&lt;AO$5)*AJ77+(AU$5&lt;AO$5)*AV77)))</f>
        <v/>
      </c>
      <c r="AR77">
        <f>IF(AP77-AQ77&lt;0.005,0,AP77-AQ77)</f>
        <v/>
      </c>
      <c r="AS77">
        <f>AX76</f>
        <v/>
      </c>
      <c r="AT77">
        <f>AS77*Plan!D13/100/12</f>
        <v/>
      </c>
      <c r="AU77">
        <f>MIN(Plan!E13,AS77+AT77)</f>
        <v/>
      </c>
      <c r="AV77">
        <f>AS77+AT77-AU77</f>
        <v/>
      </c>
      <c r="AW77">
        <f>MIN(AV77,MAX(0,$B77-((E$5&lt;AU$5)*F77+(K$5&lt;AU$5)*L77+(Q$5&lt;AU$5)*R77+(W$5&lt;AU$5)*X77+(AC$5&lt;AU$5)*AD77+(AI$5&lt;AU$5)*AJ77+(AO$5&lt;AU$5)*AP77)))</f>
        <v/>
      </c>
      <c r="AX77">
        <f>IF(AV77-AW77&lt;0.005,0,AV77-AW77)</f>
        <v/>
      </c>
      <c r="BC77">
        <f>H77+N77+T77+Z77+AF77+AL77+AR77+AX77</f>
        <v/>
      </c>
    </row>
    <row r="78">
      <c r="A78" t="n">
        <v>72</v>
      </c>
      <c r="B78" s="19">
        <f>MAX(0,$B$3-(E78+K78+Q78+W78+AC78+AI78+AO78+AU78))</f>
        <v/>
      </c>
      <c r="C78">
        <f>H77</f>
        <v/>
      </c>
      <c r="D78">
        <f>C78*Plan!D6/100/12</f>
        <v/>
      </c>
      <c r="E78">
        <f>MIN(Plan!E6,C78+D78)</f>
        <v/>
      </c>
      <c r="F78">
        <f>C78+D78-E78</f>
        <v/>
      </c>
      <c r="G78">
        <f>MIN(F78,MAX(0,$B78-((K$5&lt;E$5)*L78+(Q$5&lt;E$5)*R78+(W$5&lt;E$5)*X78+(AC$5&lt;E$5)*AD78+(AI$5&lt;E$5)*AJ78+(AO$5&lt;E$5)*AP78+(AU$5&lt;E$5)*AV78)))</f>
        <v/>
      </c>
      <c r="H78">
        <f>IF(F78-G78&lt;0.005,0,F78-G78)</f>
        <v/>
      </c>
      <c r="I78">
        <f>N77</f>
        <v/>
      </c>
      <c r="J78">
        <f>I78*Plan!D7/100/12</f>
        <v/>
      </c>
      <c r="K78">
        <f>MIN(Plan!E7,I78+J78)</f>
        <v/>
      </c>
      <c r="L78">
        <f>I78+J78-K78</f>
        <v/>
      </c>
      <c r="M78">
        <f>MIN(L78,MAX(0,$B78-((E$5&lt;K$5)*F78+(Q$5&lt;K$5)*R78+(W$5&lt;K$5)*X78+(AC$5&lt;K$5)*AD78+(AI$5&lt;K$5)*AJ78+(AO$5&lt;K$5)*AP78+(AU$5&lt;K$5)*AV78)))</f>
        <v/>
      </c>
      <c r="N78">
        <f>IF(L78-M78&lt;0.005,0,L78-M78)</f>
        <v/>
      </c>
      <c r="O78">
        <f>T77</f>
        <v/>
      </c>
      <c r="P78">
        <f>O78*Plan!D8/100/12</f>
        <v/>
      </c>
      <c r="Q78">
        <f>MIN(Plan!E8,O78+P78)</f>
        <v/>
      </c>
      <c r="R78">
        <f>O78+P78-Q78</f>
        <v/>
      </c>
      <c r="S78">
        <f>MIN(R78,MAX(0,$B78-((E$5&lt;Q$5)*F78+(K$5&lt;Q$5)*L78+(W$5&lt;Q$5)*X78+(AC$5&lt;Q$5)*AD78+(AI$5&lt;Q$5)*AJ78+(AO$5&lt;Q$5)*AP78+(AU$5&lt;Q$5)*AV78)))</f>
        <v/>
      </c>
      <c r="T78">
        <f>IF(R78-S78&lt;0.005,0,R78-S78)</f>
        <v/>
      </c>
      <c r="U78">
        <f>Z77</f>
        <v/>
      </c>
      <c r="V78">
        <f>U78*Plan!D9/100/12</f>
        <v/>
      </c>
      <c r="W78">
        <f>MIN(Plan!E9,U78+V78)</f>
        <v/>
      </c>
      <c r="X78">
        <f>U78+V78-W78</f>
        <v/>
      </c>
      <c r="Y78">
        <f>MIN(X78,MAX(0,$B78-((E$5&lt;W$5)*F78+(K$5&lt;W$5)*L78+(Q$5&lt;W$5)*R78+(AC$5&lt;W$5)*AD78+(AI$5&lt;W$5)*AJ78+(AO$5&lt;W$5)*AP78+(AU$5&lt;W$5)*AV78)))</f>
        <v/>
      </c>
      <c r="Z78">
        <f>IF(X78-Y78&lt;0.005,0,X78-Y78)</f>
        <v/>
      </c>
      <c r="AA78">
        <f>AF77</f>
        <v/>
      </c>
      <c r="AB78">
        <f>AA78*Plan!D10/100/12</f>
        <v/>
      </c>
      <c r="AC78">
        <f>MIN(Plan!E10,AA78+AB78)</f>
        <v/>
      </c>
      <c r="AD78">
        <f>AA78+AB78-AC78</f>
        <v/>
      </c>
      <c r="AE78">
        <f>MIN(AD78,MAX(0,$B78-((E$5&lt;AC$5)*F78+(K$5&lt;AC$5)*L78+(Q$5&lt;AC$5)*R78+(W$5&lt;AC$5)*X78+(AI$5&lt;AC$5)*AJ78+(AO$5&lt;AC$5)*AP78+(AU$5&lt;AC$5)*AV78)))</f>
        <v/>
      </c>
      <c r="AF78">
        <f>IF(AD78-AE78&lt;0.005,0,AD78-AE78)</f>
        <v/>
      </c>
      <c r="AG78">
        <f>AL77</f>
        <v/>
      </c>
      <c r="AH78">
        <f>AG78*Plan!D11/100/12</f>
        <v/>
      </c>
      <c r="AI78">
        <f>MIN(Plan!E11,AG78+AH78)</f>
        <v/>
      </c>
      <c r="AJ78">
        <f>AG78+AH78-AI78</f>
        <v/>
      </c>
      <c r="AK78">
        <f>MIN(AJ78,MAX(0,$B78-((E$5&lt;AI$5)*F78+(K$5&lt;AI$5)*L78+(Q$5&lt;AI$5)*R78+(W$5&lt;AI$5)*X78+(AC$5&lt;AI$5)*AD78+(AO$5&lt;AI$5)*AP78+(AU$5&lt;AI$5)*AV78)))</f>
        <v/>
      </c>
      <c r="AL78">
        <f>IF(AJ78-AK78&lt;0.005,0,AJ78-AK78)</f>
        <v/>
      </c>
      <c r="AM78">
        <f>AR77</f>
        <v/>
      </c>
      <c r="AN78">
        <f>AM78*Plan!D12/100/12</f>
        <v/>
      </c>
      <c r="AO78">
        <f>MIN(Plan!E12,AM78+AN78)</f>
        <v/>
      </c>
      <c r="AP78">
        <f>AM78+AN78-AO78</f>
        <v/>
      </c>
      <c r="AQ78">
        <f>MIN(AP78,MAX(0,$B78-((E$5&lt;AO$5)*F78+(K$5&lt;AO$5)*L78+(Q$5&lt;AO$5)*R78+(W$5&lt;AO$5)*X78+(AC$5&lt;AO$5)*AD78+(AI$5&lt;AO$5)*AJ78+(AU$5&lt;AO$5)*AV78)))</f>
        <v/>
      </c>
      <c r="AR78">
        <f>IF(AP78-AQ78&lt;0.005,0,AP78-AQ78)</f>
        <v/>
      </c>
      <c r="AS78">
        <f>AX77</f>
        <v/>
      </c>
      <c r="AT78">
        <f>AS78*Plan!D13/100/12</f>
        <v/>
      </c>
      <c r="AU78">
        <f>MIN(Plan!E13,AS78+AT78)</f>
        <v/>
      </c>
      <c r="AV78">
        <f>AS78+AT78-AU78</f>
        <v/>
      </c>
      <c r="AW78">
        <f>MIN(AV78,MAX(0,$B78-((E$5&lt;AU$5)*F78+(K$5&lt;AU$5)*L78+(Q$5&lt;AU$5)*R78+(W$5&lt;AU$5)*X78+(AC$5&lt;AU$5)*AD78+(AI$5&lt;AU$5)*AJ78+(AO$5&lt;AU$5)*AP78)))</f>
        <v/>
      </c>
      <c r="AX78">
        <f>IF(AV78-AW78&lt;0.005,0,AV78-AW78)</f>
        <v/>
      </c>
      <c r="BC78">
        <f>H78+N78+T78+Z78+AF78+AL78+AR78+AX78</f>
        <v/>
      </c>
    </row>
    <row r="79">
      <c r="A79" t="n">
        <v>73</v>
      </c>
      <c r="B79" s="19">
        <f>MAX(0,$B$3-(E79+K79+Q79+W79+AC79+AI79+AO79+AU79))</f>
        <v/>
      </c>
      <c r="C79">
        <f>H78</f>
        <v/>
      </c>
      <c r="D79">
        <f>C79*Plan!D6/100/12</f>
        <v/>
      </c>
      <c r="E79">
        <f>MIN(Plan!E6,C79+D79)</f>
        <v/>
      </c>
      <c r="F79">
        <f>C79+D79-E79</f>
        <v/>
      </c>
      <c r="G79">
        <f>MIN(F79,MAX(0,$B79-((K$5&lt;E$5)*L79+(Q$5&lt;E$5)*R79+(W$5&lt;E$5)*X79+(AC$5&lt;E$5)*AD79+(AI$5&lt;E$5)*AJ79+(AO$5&lt;E$5)*AP79+(AU$5&lt;E$5)*AV79)))</f>
        <v/>
      </c>
      <c r="H79">
        <f>IF(F79-G79&lt;0.005,0,F79-G79)</f>
        <v/>
      </c>
      <c r="I79">
        <f>N78</f>
        <v/>
      </c>
      <c r="J79">
        <f>I79*Plan!D7/100/12</f>
        <v/>
      </c>
      <c r="K79">
        <f>MIN(Plan!E7,I79+J79)</f>
        <v/>
      </c>
      <c r="L79">
        <f>I79+J79-K79</f>
        <v/>
      </c>
      <c r="M79">
        <f>MIN(L79,MAX(0,$B79-((E$5&lt;K$5)*F79+(Q$5&lt;K$5)*R79+(W$5&lt;K$5)*X79+(AC$5&lt;K$5)*AD79+(AI$5&lt;K$5)*AJ79+(AO$5&lt;K$5)*AP79+(AU$5&lt;K$5)*AV79)))</f>
        <v/>
      </c>
      <c r="N79">
        <f>IF(L79-M79&lt;0.005,0,L79-M79)</f>
        <v/>
      </c>
      <c r="O79">
        <f>T78</f>
        <v/>
      </c>
      <c r="P79">
        <f>O79*Plan!D8/100/12</f>
        <v/>
      </c>
      <c r="Q79">
        <f>MIN(Plan!E8,O79+P79)</f>
        <v/>
      </c>
      <c r="R79">
        <f>O79+P79-Q79</f>
        <v/>
      </c>
      <c r="S79">
        <f>MIN(R79,MAX(0,$B79-((E$5&lt;Q$5)*F79+(K$5&lt;Q$5)*L79+(W$5&lt;Q$5)*X79+(AC$5&lt;Q$5)*AD79+(AI$5&lt;Q$5)*AJ79+(AO$5&lt;Q$5)*AP79+(AU$5&lt;Q$5)*AV79)))</f>
        <v/>
      </c>
      <c r="T79">
        <f>IF(R79-S79&lt;0.005,0,R79-S79)</f>
        <v/>
      </c>
      <c r="U79">
        <f>Z78</f>
        <v/>
      </c>
      <c r="V79">
        <f>U79*Plan!D9/100/12</f>
        <v/>
      </c>
      <c r="W79">
        <f>MIN(Plan!E9,U79+V79)</f>
        <v/>
      </c>
      <c r="X79">
        <f>U79+V79-W79</f>
        <v/>
      </c>
      <c r="Y79">
        <f>MIN(X79,MAX(0,$B79-((E$5&lt;W$5)*F79+(K$5&lt;W$5)*L79+(Q$5&lt;W$5)*R79+(AC$5&lt;W$5)*AD79+(AI$5&lt;W$5)*AJ79+(AO$5&lt;W$5)*AP79+(AU$5&lt;W$5)*AV79)))</f>
        <v/>
      </c>
      <c r="Z79">
        <f>IF(X79-Y79&lt;0.005,0,X79-Y79)</f>
        <v/>
      </c>
      <c r="AA79">
        <f>AF78</f>
        <v/>
      </c>
      <c r="AB79">
        <f>AA79*Plan!D10/100/12</f>
        <v/>
      </c>
      <c r="AC79">
        <f>MIN(Plan!E10,AA79+AB79)</f>
        <v/>
      </c>
      <c r="AD79">
        <f>AA79+AB79-AC79</f>
        <v/>
      </c>
      <c r="AE79">
        <f>MIN(AD79,MAX(0,$B79-((E$5&lt;AC$5)*F79+(K$5&lt;AC$5)*L79+(Q$5&lt;AC$5)*R79+(W$5&lt;AC$5)*X79+(AI$5&lt;AC$5)*AJ79+(AO$5&lt;AC$5)*AP79+(AU$5&lt;AC$5)*AV79)))</f>
        <v/>
      </c>
      <c r="AF79">
        <f>IF(AD79-AE79&lt;0.005,0,AD79-AE79)</f>
        <v/>
      </c>
      <c r="AG79">
        <f>AL78</f>
        <v/>
      </c>
      <c r="AH79">
        <f>AG79*Plan!D11/100/12</f>
        <v/>
      </c>
      <c r="AI79">
        <f>MIN(Plan!E11,AG79+AH79)</f>
        <v/>
      </c>
      <c r="AJ79">
        <f>AG79+AH79-AI79</f>
        <v/>
      </c>
      <c r="AK79">
        <f>MIN(AJ79,MAX(0,$B79-((E$5&lt;AI$5)*F79+(K$5&lt;AI$5)*L79+(Q$5&lt;AI$5)*R79+(W$5&lt;AI$5)*X79+(AC$5&lt;AI$5)*AD79+(AO$5&lt;AI$5)*AP79+(AU$5&lt;AI$5)*AV79)))</f>
        <v/>
      </c>
      <c r="AL79">
        <f>IF(AJ79-AK79&lt;0.005,0,AJ79-AK79)</f>
        <v/>
      </c>
      <c r="AM79">
        <f>AR78</f>
        <v/>
      </c>
      <c r="AN79">
        <f>AM79*Plan!D12/100/12</f>
        <v/>
      </c>
      <c r="AO79">
        <f>MIN(Plan!E12,AM79+AN79)</f>
        <v/>
      </c>
      <c r="AP79">
        <f>AM79+AN79-AO79</f>
        <v/>
      </c>
      <c r="AQ79">
        <f>MIN(AP79,MAX(0,$B79-((E$5&lt;AO$5)*F79+(K$5&lt;AO$5)*L79+(Q$5&lt;AO$5)*R79+(W$5&lt;AO$5)*X79+(AC$5&lt;AO$5)*AD79+(AI$5&lt;AO$5)*AJ79+(AU$5&lt;AO$5)*AV79)))</f>
        <v/>
      </c>
      <c r="AR79">
        <f>IF(AP79-AQ79&lt;0.005,0,AP79-AQ79)</f>
        <v/>
      </c>
      <c r="AS79">
        <f>AX78</f>
        <v/>
      </c>
      <c r="AT79">
        <f>AS79*Plan!D13/100/12</f>
        <v/>
      </c>
      <c r="AU79">
        <f>MIN(Plan!E13,AS79+AT79)</f>
        <v/>
      </c>
      <c r="AV79">
        <f>AS79+AT79-AU79</f>
        <v/>
      </c>
      <c r="AW79">
        <f>MIN(AV79,MAX(0,$B79-((E$5&lt;AU$5)*F79+(K$5&lt;AU$5)*L79+(Q$5&lt;AU$5)*R79+(W$5&lt;AU$5)*X79+(AC$5&lt;AU$5)*AD79+(AI$5&lt;AU$5)*AJ79+(AO$5&lt;AU$5)*AP79)))</f>
        <v/>
      </c>
      <c r="AX79">
        <f>IF(AV79-AW79&lt;0.005,0,AV79-AW79)</f>
        <v/>
      </c>
      <c r="BC79">
        <f>H79+N79+T79+Z79+AF79+AL79+AR79+AX79</f>
        <v/>
      </c>
    </row>
    <row r="80">
      <c r="A80" t="n">
        <v>74</v>
      </c>
      <c r="B80" s="19">
        <f>MAX(0,$B$3-(E80+K80+Q80+W80+AC80+AI80+AO80+AU80))</f>
        <v/>
      </c>
      <c r="C80">
        <f>H79</f>
        <v/>
      </c>
      <c r="D80">
        <f>C80*Plan!D6/100/12</f>
        <v/>
      </c>
      <c r="E80">
        <f>MIN(Plan!E6,C80+D80)</f>
        <v/>
      </c>
      <c r="F80">
        <f>C80+D80-E80</f>
        <v/>
      </c>
      <c r="G80">
        <f>MIN(F80,MAX(0,$B80-((K$5&lt;E$5)*L80+(Q$5&lt;E$5)*R80+(W$5&lt;E$5)*X80+(AC$5&lt;E$5)*AD80+(AI$5&lt;E$5)*AJ80+(AO$5&lt;E$5)*AP80+(AU$5&lt;E$5)*AV80)))</f>
        <v/>
      </c>
      <c r="H80">
        <f>IF(F80-G80&lt;0.005,0,F80-G80)</f>
        <v/>
      </c>
      <c r="I80">
        <f>N79</f>
        <v/>
      </c>
      <c r="J80">
        <f>I80*Plan!D7/100/12</f>
        <v/>
      </c>
      <c r="K80">
        <f>MIN(Plan!E7,I80+J80)</f>
        <v/>
      </c>
      <c r="L80">
        <f>I80+J80-K80</f>
        <v/>
      </c>
      <c r="M80">
        <f>MIN(L80,MAX(0,$B80-((E$5&lt;K$5)*F80+(Q$5&lt;K$5)*R80+(W$5&lt;K$5)*X80+(AC$5&lt;K$5)*AD80+(AI$5&lt;K$5)*AJ80+(AO$5&lt;K$5)*AP80+(AU$5&lt;K$5)*AV80)))</f>
        <v/>
      </c>
      <c r="N80">
        <f>IF(L80-M80&lt;0.005,0,L80-M80)</f>
        <v/>
      </c>
      <c r="O80">
        <f>T79</f>
        <v/>
      </c>
      <c r="P80">
        <f>O80*Plan!D8/100/12</f>
        <v/>
      </c>
      <c r="Q80">
        <f>MIN(Plan!E8,O80+P80)</f>
        <v/>
      </c>
      <c r="R80">
        <f>O80+P80-Q80</f>
        <v/>
      </c>
      <c r="S80">
        <f>MIN(R80,MAX(0,$B80-((E$5&lt;Q$5)*F80+(K$5&lt;Q$5)*L80+(W$5&lt;Q$5)*X80+(AC$5&lt;Q$5)*AD80+(AI$5&lt;Q$5)*AJ80+(AO$5&lt;Q$5)*AP80+(AU$5&lt;Q$5)*AV80)))</f>
        <v/>
      </c>
      <c r="T80">
        <f>IF(R80-S80&lt;0.005,0,R80-S80)</f>
        <v/>
      </c>
      <c r="U80">
        <f>Z79</f>
        <v/>
      </c>
      <c r="V80">
        <f>U80*Plan!D9/100/12</f>
        <v/>
      </c>
      <c r="W80">
        <f>MIN(Plan!E9,U80+V80)</f>
        <v/>
      </c>
      <c r="X80">
        <f>U80+V80-W80</f>
        <v/>
      </c>
      <c r="Y80">
        <f>MIN(X80,MAX(0,$B80-((E$5&lt;W$5)*F80+(K$5&lt;W$5)*L80+(Q$5&lt;W$5)*R80+(AC$5&lt;W$5)*AD80+(AI$5&lt;W$5)*AJ80+(AO$5&lt;W$5)*AP80+(AU$5&lt;W$5)*AV80)))</f>
        <v/>
      </c>
      <c r="Z80">
        <f>IF(X80-Y80&lt;0.005,0,X80-Y80)</f>
        <v/>
      </c>
      <c r="AA80">
        <f>AF79</f>
        <v/>
      </c>
      <c r="AB80">
        <f>AA80*Plan!D10/100/12</f>
        <v/>
      </c>
      <c r="AC80">
        <f>MIN(Plan!E10,AA80+AB80)</f>
        <v/>
      </c>
      <c r="AD80">
        <f>AA80+AB80-AC80</f>
        <v/>
      </c>
      <c r="AE80">
        <f>MIN(AD80,MAX(0,$B80-((E$5&lt;AC$5)*F80+(K$5&lt;AC$5)*L80+(Q$5&lt;AC$5)*R80+(W$5&lt;AC$5)*X80+(AI$5&lt;AC$5)*AJ80+(AO$5&lt;AC$5)*AP80+(AU$5&lt;AC$5)*AV80)))</f>
        <v/>
      </c>
      <c r="AF80">
        <f>IF(AD80-AE80&lt;0.005,0,AD80-AE80)</f>
        <v/>
      </c>
      <c r="AG80">
        <f>AL79</f>
        <v/>
      </c>
      <c r="AH80">
        <f>AG80*Plan!D11/100/12</f>
        <v/>
      </c>
      <c r="AI80">
        <f>MIN(Plan!E11,AG80+AH80)</f>
        <v/>
      </c>
      <c r="AJ80">
        <f>AG80+AH80-AI80</f>
        <v/>
      </c>
      <c r="AK80">
        <f>MIN(AJ80,MAX(0,$B80-((E$5&lt;AI$5)*F80+(K$5&lt;AI$5)*L80+(Q$5&lt;AI$5)*R80+(W$5&lt;AI$5)*X80+(AC$5&lt;AI$5)*AD80+(AO$5&lt;AI$5)*AP80+(AU$5&lt;AI$5)*AV80)))</f>
        <v/>
      </c>
      <c r="AL80">
        <f>IF(AJ80-AK80&lt;0.005,0,AJ80-AK80)</f>
        <v/>
      </c>
      <c r="AM80">
        <f>AR79</f>
        <v/>
      </c>
      <c r="AN80">
        <f>AM80*Plan!D12/100/12</f>
        <v/>
      </c>
      <c r="AO80">
        <f>MIN(Plan!E12,AM80+AN80)</f>
        <v/>
      </c>
      <c r="AP80">
        <f>AM80+AN80-AO80</f>
        <v/>
      </c>
      <c r="AQ80">
        <f>MIN(AP80,MAX(0,$B80-((E$5&lt;AO$5)*F80+(K$5&lt;AO$5)*L80+(Q$5&lt;AO$5)*R80+(W$5&lt;AO$5)*X80+(AC$5&lt;AO$5)*AD80+(AI$5&lt;AO$5)*AJ80+(AU$5&lt;AO$5)*AV80)))</f>
        <v/>
      </c>
      <c r="AR80">
        <f>IF(AP80-AQ80&lt;0.005,0,AP80-AQ80)</f>
        <v/>
      </c>
      <c r="AS80">
        <f>AX79</f>
        <v/>
      </c>
      <c r="AT80">
        <f>AS80*Plan!D13/100/12</f>
        <v/>
      </c>
      <c r="AU80">
        <f>MIN(Plan!E13,AS80+AT80)</f>
        <v/>
      </c>
      <c r="AV80">
        <f>AS80+AT80-AU80</f>
        <v/>
      </c>
      <c r="AW80">
        <f>MIN(AV80,MAX(0,$B80-((E$5&lt;AU$5)*F80+(K$5&lt;AU$5)*L80+(Q$5&lt;AU$5)*R80+(W$5&lt;AU$5)*X80+(AC$5&lt;AU$5)*AD80+(AI$5&lt;AU$5)*AJ80+(AO$5&lt;AU$5)*AP80)))</f>
        <v/>
      </c>
      <c r="AX80">
        <f>IF(AV80-AW80&lt;0.005,0,AV80-AW80)</f>
        <v/>
      </c>
      <c r="BC80">
        <f>H80+N80+T80+Z80+AF80+AL80+AR80+AX80</f>
        <v/>
      </c>
    </row>
    <row r="81">
      <c r="A81" t="n">
        <v>75</v>
      </c>
      <c r="B81" s="19">
        <f>MAX(0,$B$3-(E81+K81+Q81+W81+AC81+AI81+AO81+AU81))</f>
        <v/>
      </c>
      <c r="C81">
        <f>H80</f>
        <v/>
      </c>
      <c r="D81">
        <f>C81*Plan!D6/100/12</f>
        <v/>
      </c>
      <c r="E81">
        <f>MIN(Plan!E6,C81+D81)</f>
        <v/>
      </c>
      <c r="F81">
        <f>C81+D81-E81</f>
        <v/>
      </c>
      <c r="G81">
        <f>MIN(F81,MAX(0,$B81-((K$5&lt;E$5)*L81+(Q$5&lt;E$5)*R81+(W$5&lt;E$5)*X81+(AC$5&lt;E$5)*AD81+(AI$5&lt;E$5)*AJ81+(AO$5&lt;E$5)*AP81+(AU$5&lt;E$5)*AV81)))</f>
        <v/>
      </c>
      <c r="H81">
        <f>IF(F81-G81&lt;0.005,0,F81-G81)</f>
        <v/>
      </c>
      <c r="I81">
        <f>N80</f>
        <v/>
      </c>
      <c r="J81">
        <f>I81*Plan!D7/100/12</f>
        <v/>
      </c>
      <c r="K81">
        <f>MIN(Plan!E7,I81+J81)</f>
        <v/>
      </c>
      <c r="L81">
        <f>I81+J81-K81</f>
        <v/>
      </c>
      <c r="M81">
        <f>MIN(L81,MAX(0,$B81-((E$5&lt;K$5)*F81+(Q$5&lt;K$5)*R81+(W$5&lt;K$5)*X81+(AC$5&lt;K$5)*AD81+(AI$5&lt;K$5)*AJ81+(AO$5&lt;K$5)*AP81+(AU$5&lt;K$5)*AV81)))</f>
        <v/>
      </c>
      <c r="N81">
        <f>IF(L81-M81&lt;0.005,0,L81-M81)</f>
        <v/>
      </c>
      <c r="O81">
        <f>T80</f>
        <v/>
      </c>
      <c r="P81">
        <f>O81*Plan!D8/100/12</f>
        <v/>
      </c>
      <c r="Q81">
        <f>MIN(Plan!E8,O81+P81)</f>
        <v/>
      </c>
      <c r="R81">
        <f>O81+P81-Q81</f>
        <v/>
      </c>
      <c r="S81">
        <f>MIN(R81,MAX(0,$B81-((E$5&lt;Q$5)*F81+(K$5&lt;Q$5)*L81+(W$5&lt;Q$5)*X81+(AC$5&lt;Q$5)*AD81+(AI$5&lt;Q$5)*AJ81+(AO$5&lt;Q$5)*AP81+(AU$5&lt;Q$5)*AV81)))</f>
        <v/>
      </c>
      <c r="T81">
        <f>IF(R81-S81&lt;0.005,0,R81-S81)</f>
        <v/>
      </c>
      <c r="U81">
        <f>Z80</f>
        <v/>
      </c>
      <c r="V81">
        <f>U81*Plan!D9/100/12</f>
        <v/>
      </c>
      <c r="W81">
        <f>MIN(Plan!E9,U81+V81)</f>
        <v/>
      </c>
      <c r="X81">
        <f>U81+V81-W81</f>
        <v/>
      </c>
      <c r="Y81">
        <f>MIN(X81,MAX(0,$B81-((E$5&lt;W$5)*F81+(K$5&lt;W$5)*L81+(Q$5&lt;W$5)*R81+(AC$5&lt;W$5)*AD81+(AI$5&lt;W$5)*AJ81+(AO$5&lt;W$5)*AP81+(AU$5&lt;W$5)*AV81)))</f>
        <v/>
      </c>
      <c r="Z81">
        <f>IF(X81-Y81&lt;0.005,0,X81-Y81)</f>
        <v/>
      </c>
      <c r="AA81">
        <f>AF80</f>
        <v/>
      </c>
      <c r="AB81">
        <f>AA81*Plan!D10/100/12</f>
        <v/>
      </c>
      <c r="AC81">
        <f>MIN(Plan!E10,AA81+AB81)</f>
        <v/>
      </c>
      <c r="AD81">
        <f>AA81+AB81-AC81</f>
        <v/>
      </c>
      <c r="AE81">
        <f>MIN(AD81,MAX(0,$B81-((E$5&lt;AC$5)*F81+(K$5&lt;AC$5)*L81+(Q$5&lt;AC$5)*R81+(W$5&lt;AC$5)*X81+(AI$5&lt;AC$5)*AJ81+(AO$5&lt;AC$5)*AP81+(AU$5&lt;AC$5)*AV81)))</f>
        <v/>
      </c>
      <c r="AF81">
        <f>IF(AD81-AE81&lt;0.005,0,AD81-AE81)</f>
        <v/>
      </c>
      <c r="AG81">
        <f>AL80</f>
        <v/>
      </c>
      <c r="AH81">
        <f>AG81*Plan!D11/100/12</f>
        <v/>
      </c>
      <c r="AI81">
        <f>MIN(Plan!E11,AG81+AH81)</f>
        <v/>
      </c>
      <c r="AJ81">
        <f>AG81+AH81-AI81</f>
        <v/>
      </c>
      <c r="AK81">
        <f>MIN(AJ81,MAX(0,$B81-((E$5&lt;AI$5)*F81+(K$5&lt;AI$5)*L81+(Q$5&lt;AI$5)*R81+(W$5&lt;AI$5)*X81+(AC$5&lt;AI$5)*AD81+(AO$5&lt;AI$5)*AP81+(AU$5&lt;AI$5)*AV81)))</f>
        <v/>
      </c>
      <c r="AL81">
        <f>IF(AJ81-AK81&lt;0.005,0,AJ81-AK81)</f>
        <v/>
      </c>
      <c r="AM81">
        <f>AR80</f>
        <v/>
      </c>
      <c r="AN81">
        <f>AM81*Plan!D12/100/12</f>
        <v/>
      </c>
      <c r="AO81">
        <f>MIN(Plan!E12,AM81+AN81)</f>
        <v/>
      </c>
      <c r="AP81">
        <f>AM81+AN81-AO81</f>
        <v/>
      </c>
      <c r="AQ81">
        <f>MIN(AP81,MAX(0,$B81-((E$5&lt;AO$5)*F81+(K$5&lt;AO$5)*L81+(Q$5&lt;AO$5)*R81+(W$5&lt;AO$5)*X81+(AC$5&lt;AO$5)*AD81+(AI$5&lt;AO$5)*AJ81+(AU$5&lt;AO$5)*AV81)))</f>
        <v/>
      </c>
      <c r="AR81">
        <f>IF(AP81-AQ81&lt;0.005,0,AP81-AQ81)</f>
        <v/>
      </c>
      <c r="AS81">
        <f>AX80</f>
        <v/>
      </c>
      <c r="AT81">
        <f>AS81*Plan!D13/100/12</f>
        <v/>
      </c>
      <c r="AU81">
        <f>MIN(Plan!E13,AS81+AT81)</f>
        <v/>
      </c>
      <c r="AV81">
        <f>AS81+AT81-AU81</f>
        <v/>
      </c>
      <c r="AW81">
        <f>MIN(AV81,MAX(0,$B81-((E$5&lt;AU$5)*F81+(K$5&lt;AU$5)*L81+(Q$5&lt;AU$5)*R81+(W$5&lt;AU$5)*X81+(AC$5&lt;AU$5)*AD81+(AI$5&lt;AU$5)*AJ81+(AO$5&lt;AU$5)*AP81)))</f>
        <v/>
      </c>
      <c r="AX81">
        <f>IF(AV81-AW81&lt;0.005,0,AV81-AW81)</f>
        <v/>
      </c>
      <c r="BC81">
        <f>H81+N81+T81+Z81+AF81+AL81+AR81+AX81</f>
        <v/>
      </c>
    </row>
    <row r="82">
      <c r="A82" t="n">
        <v>76</v>
      </c>
      <c r="B82" s="19">
        <f>MAX(0,$B$3-(E82+K82+Q82+W82+AC82+AI82+AO82+AU82))</f>
        <v/>
      </c>
      <c r="C82">
        <f>H81</f>
        <v/>
      </c>
      <c r="D82">
        <f>C82*Plan!D6/100/12</f>
        <v/>
      </c>
      <c r="E82">
        <f>MIN(Plan!E6,C82+D82)</f>
        <v/>
      </c>
      <c r="F82">
        <f>C82+D82-E82</f>
        <v/>
      </c>
      <c r="G82">
        <f>MIN(F82,MAX(0,$B82-((K$5&lt;E$5)*L82+(Q$5&lt;E$5)*R82+(W$5&lt;E$5)*X82+(AC$5&lt;E$5)*AD82+(AI$5&lt;E$5)*AJ82+(AO$5&lt;E$5)*AP82+(AU$5&lt;E$5)*AV82)))</f>
        <v/>
      </c>
      <c r="H82">
        <f>IF(F82-G82&lt;0.005,0,F82-G82)</f>
        <v/>
      </c>
      <c r="I82">
        <f>N81</f>
        <v/>
      </c>
      <c r="J82">
        <f>I82*Plan!D7/100/12</f>
        <v/>
      </c>
      <c r="K82">
        <f>MIN(Plan!E7,I82+J82)</f>
        <v/>
      </c>
      <c r="L82">
        <f>I82+J82-K82</f>
        <v/>
      </c>
      <c r="M82">
        <f>MIN(L82,MAX(0,$B82-((E$5&lt;K$5)*F82+(Q$5&lt;K$5)*R82+(W$5&lt;K$5)*X82+(AC$5&lt;K$5)*AD82+(AI$5&lt;K$5)*AJ82+(AO$5&lt;K$5)*AP82+(AU$5&lt;K$5)*AV82)))</f>
        <v/>
      </c>
      <c r="N82">
        <f>IF(L82-M82&lt;0.005,0,L82-M82)</f>
        <v/>
      </c>
      <c r="O82">
        <f>T81</f>
        <v/>
      </c>
      <c r="P82">
        <f>O82*Plan!D8/100/12</f>
        <v/>
      </c>
      <c r="Q82">
        <f>MIN(Plan!E8,O82+P82)</f>
        <v/>
      </c>
      <c r="R82">
        <f>O82+P82-Q82</f>
        <v/>
      </c>
      <c r="S82">
        <f>MIN(R82,MAX(0,$B82-((E$5&lt;Q$5)*F82+(K$5&lt;Q$5)*L82+(W$5&lt;Q$5)*X82+(AC$5&lt;Q$5)*AD82+(AI$5&lt;Q$5)*AJ82+(AO$5&lt;Q$5)*AP82+(AU$5&lt;Q$5)*AV82)))</f>
        <v/>
      </c>
      <c r="T82">
        <f>IF(R82-S82&lt;0.005,0,R82-S82)</f>
        <v/>
      </c>
      <c r="U82">
        <f>Z81</f>
        <v/>
      </c>
      <c r="V82">
        <f>U82*Plan!D9/100/12</f>
        <v/>
      </c>
      <c r="W82">
        <f>MIN(Plan!E9,U82+V82)</f>
        <v/>
      </c>
      <c r="X82">
        <f>U82+V82-W82</f>
        <v/>
      </c>
      <c r="Y82">
        <f>MIN(X82,MAX(0,$B82-((E$5&lt;W$5)*F82+(K$5&lt;W$5)*L82+(Q$5&lt;W$5)*R82+(AC$5&lt;W$5)*AD82+(AI$5&lt;W$5)*AJ82+(AO$5&lt;W$5)*AP82+(AU$5&lt;W$5)*AV82)))</f>
        <v/>
      </c>
      <c r="Z82">
        <f>IF(X82-Y82&lt;0.005,0,X82-Y82)</f>
        <v/>
      </c>
      <c r="AA82">
        <f>AF81</f>
        <v/>
      </c>
      <c r="AB82">
        <f>AA82*Plan!D10/100/12</f>
        <v/>
      </c>
      <c r="AC82">
        <f>MIN(Plan!E10,AA82+AB82)</f>
        <v/>
      </c>
      <c r="AD82">
        <f>AA82+AB82-AC82</f>
        <v/>
      </c>
      <c r="AE82">
        <f>MIN(AD82,MAX(0,$B82-((E$5&lt;AC$5)*F82+(K$5&lt;AC$5)*L82+(Q$5&lt;AC$5)*R82+(W$5&lt;AC$5)*X82+(AI$5&lt;AC$5)*AJ82+(AO$5&lt;AC$5)*AP82+(AU$5&lt;AC$5)*AV82)))</f>
        <v/>
      </c>
      <c r="AF82">
        <f>IF(AD82-AE82&lt;0.005,0,AD82-AE82)</f>
        <v/>
      </c>
      <c r="AG82">
        <f>AL81</f>
        <v/>
      </c>
      <c r="AH82">
        <f>AG82*Plan!D11/100/12</f>
        <v/>
      </c>
      <c r="AI82">
        <f>MIN(Plan!E11,AG82+AH82)</f>
        <v/>
      </c>
      <c r="AJ82">
        <f>AG82+AH82-AI82</f>
        <v/>
      </c>
      <c r="AK82">
        <f>MIN(AJ82,MAX(0,$B82-((E$5&lt;AI$5)*F82+(K$5&lt;AI$5)*L82+(Q$5&lt;AI$5)*R82+(W$5&lt;AI$5)*X82+(AC$5&lt;AI$5)*AD82+(AO$5&lt;AI$5)*AP82+(AU$5&lt;AI$5)*AV82)))</f>
        <v/>
      </c>
      <c r="AL82">
        <f>IF(AJ82-AK82&lt;0.005,0,AJ82-AK82)</f>
        <v/>
      </c>
      <c r="AM82">
        <f>AR81</f>
        <v/>
      </c>
      <c r="AN82">
        <f>AM82*Plan!D12/100/12</f>
        <v/>
      </c>
      <c r="AO82">
        <f>MIN(Plan!E12,AM82+AN82)</f>
        <v/>
      </c>
      <c r="AP82">
        <f>AM82+AN82-AO82</f>
        <v/>
      </c>
      <c r="AQ82">
        <f>MIN(AP82,MAX(0,$B82-((E$5&lt;AO$5)*F82+(K$5&lt;AO$5)*L82+(Q$5&lt;AO$5)*R82+(W$5&lt;AO$5)*X82+(AC$5&lt;AO$5)*AD82+(AI$5&lt;AO$5)*AJ82+(AU$5&lt;AO$5)*AV82)))</f>
        <v/>
      </c>
      <c r="AR82">
        <f>IF(AP82-AQ82&lt;0.005,0,AP82-AQ82)</f>
        <v/>
      </c>
      <c r="AS82">
        <f>AX81</f>
        <v/>
      </c>
      <c r="AT82">
        <f>AS82*Plan!D13/100/12</f>
        <v/>
      </c>
      <c r="AU82">
        <f>MIN(Plan!E13,AS82+AT82)</f>
        <v/>
      </c>
      <c r="AV82">
        <f>AS82+AT82-AU82</f>
        <v/>
      </c>
      <c r="AW82">
        <f>MIN(AV82,MAX(0,$B82-((E$5&lt;AU$5)*F82+(K$5&lt;AU$5)*L82+(Q$5&lt;AU$5)*R82+(W$5&lt;AU$5)*X82+(AC$5&lt;AU$5)*AD82+(AI$5&lt;AU$5)*AJ82+(AO$5&lt;AU$5)*AP82)))</f>
        <v/>
      </c>
      <c r="AX82">
        <f>IF(AV82-AW82&lt;0.005,0,AV82-AW82)</f>
        <v/>
      </c>
      <c r="BC82">
        <f>H82+N82+T82+Z82+AF82+AL82+AR82+AX82</f>
        <v/>
      </c>
    </row>
    <row r="83">
      <c r="A83" t="n">
        <v>77</v>
      </c>
      <c r="B83" s="19">
        <f>MAX(0,$B$3-(E83+K83+Q83+W83+AC83+AI83+AO83+AU83))</f>
        <v/>
      </c>
      <c r="C83">
        <f>H82</f>
        <v/>
      </c>
      <c r="D83">
        <f>C83*Plan!D6/100/12</f>
        <v/>
      </c>
      <c r="E83">
        <f>MIN(Plan!E6,C83+D83)</f>
        <v/>
      </c>
      <c r="F83">
        <f>C83+D83-E83</f>
        <v/>
      </c>
      <c r="G83">
        <f>MIN(F83,MAX(0,$B83-((K$5&lt;E$5)*L83+(Q$5&lt;E$5)*R83+(W$5&lt;E$5)*X83+(AC$5&lt;E$5)*AD83+(AI$5&lt;E$5)*AJ83+(AO$5&lt;E$5)*AP83+(AU$5&lt;E$5)*AV83)))</f>
        <v/>
      </c>
      <c r="H83">
        <f>IF(F83-G83&lt;0.005,0,F83-G83)</f>
        <v/>
      </c>
      <c r="I83">
        <f>N82</f>
        <v/>
      </c>
      <c r="J83">
        <f>I83*Plan!D7/100/12</f>
        <v/>
      </c>
      <c r="K83">
        <f>MIN(Plan!E7,I83+J83)</f>
        <v/>
      </c>
      <c r="L83">
        <f>I83+J83-K83</f>
        <v/>
      </c>
      <c r="M83">
        <f>MIN(L83,MAX(0,$B83-((E$5&lt;K$5)*F83+(Q$5&lt;K$5)*R83+(W$5&lt;K$5)*X83+(AC$5&lt;K$5)*AD83+(AI$5&lt;K$5)*AJ83+(AO$5&lt;K$5)*AP83+(AU$5&lt;K$5)*AV83)))</f>
        <v/>
      </c>
      <c r="N83">
        <f>IF(L83-M83&lt;0.005,0,L83-M83)</f>
        <v/>
      </c>
      <c r="O83">
        <f>T82</f>
        <v/>
      </c>
      <c r="P83">
        <f>O83*Plan!D8/100/12</f>
        <v/>
      </c>
      <c r="Q83">
        <f>MIN(Plan!E8,O83+P83)</f>
        <v/>
      </c>
      <c r="R83">
        <f>O83+P83-Q83</f>
        <v/>
      </c>
      <c r="S83">
        <f>MIN(R83,MAX(0,$B83-((E$5&lt;Q$5)*F83+(K$5&lt;Q$5)*L83+(W$5&lt;Q$5)*X83+(AC$5&lt;Q$5)*AD83+(AI$5&lt;Q$5)*AJ83+(AO$5&lt;Q$5)*AP83+(AU$5&lt;Q$5)*AV83)))</f>
        <v/>
      </c>
      <c r="T83">
        <f>IF(R83-S83&lt;0.005,0,R83-S83)</f>
        <v/>
      </c>
      <c r="U83">
        <f>Z82</f>
        <v/>
      </c>
      <c r="V83">
        <f>U83*Plan!D9/100/12</f>
        <v/>
      </c>
      <c r="W83">
        <f>MIN(Plan!E9,U83+V83)</f>
        <v/>
      </c>
      <c r="X83">
        <f>U83+V83-W83</f>
        <v/>
      </c>
      <c r="Y83">
        <f>MIN(X83,MAX(0,$B83-((E$5&lt;W$5)*F83+(K$5&lt;W$5)*L83+(Q$5&lt;W$5)*R83+(AC$5&lt;W$5)*AD83+(AI$5&lt;W$5)*AJ83+(AO$5&lt;W$5)*AP83+(AU$5&lt;W$5)*AV83)))</f>
        <v/>
      </c>
      <c r="Z83">
        <f>IF(X83-Y83&lt;0.005,0,X83-Y83)</f>
        <v/>
      </c>
      <c r="AA83">
        <f>AF82</f>
        <v/>
      </c>
      <c r="AB83">
        <f>AA83*Plan!D10/100/12</f>
        <v/>
      </c>
      <c r="AC83">
        <f>MIN(Plan!E10,AA83+AB83)</f>
        <v/>
      </c>
      <c r="AD83">
        <f>AA83+AB83-AC83</f>
        <v/>
      </c>
      <c r="AE83">
        <f>MIN(AD83,MAX(0,$B83-((E$5&lt;AC$5)*F83+(K$5&lt;AC$5)*L83+(Q$5&lt;AC$5)*R83+(W$5&lt;AC$5)*X83+(AI$5&lt;AC$5)*AJ83+(AO$5&lt;AC$5)*AP83+(AU$5&lt;AC$5)*AV83)))</f>
        <v/>
      </c>
      <c r="AF83">
        <f>IF(AD83-AE83&lt;0.005,0,AD83-AE83)</f>
        <v/>
      </c>
      <c r="AG83">
        <f>AL82</f>
        <v/>
      </c>
      <c r="AH83">
        <f>AG83*Plan!D11/100/12</f>
        <v/>
      </c>
      <c r="AI83">
        <f>MIN(Plan!E11,AG83+AH83)</f>
        <v/>
      </c>
      <c r="AJ83">
        <f>AG83+AH83-AI83</f>
        <v/>
      </c>
      <c r="AK83">
        <f>MIN(AJ83,MAX(0,$B83-((E$5&lt;AI$5)*F83+(K$5&lt;AI$5)*L83+(Q$5&lt;AI$5)*R83+(W$5&lt;AI$5)*X83+(AC$5&lt;AI$5)*AD83+(AO$5&lt;AI$5)*AP83+(AU$5&lt;AI$5)*AV83)))</f>
        <v/>
      </c>
      <c r="AL83">
        <f>IF(AJ83-AK83&lt;0.005,0,AJ83-AK83)</f>
        <v/>
      </c>
      <c r="AM83">
        <f>AR82</f>
        <v/>
      </c>
      <c r="AN83">
        <f>AM83*Plan!D12/100/12</f>
        <v/>
      </c>
      <c r="AO83">
        <f>MIN(Plan!E12,AM83+AN83)</f>
        <v/>
      </c>
      <c r="AP83">
        <f>AM83+AN83-AO83</f>
        <v/>
      </c>
      <c r="AQ83">
        <f>MIN(AP83,MAX(0,$B83-((E$5&lt;AO$5)*F83+(K$5&lt;AO$5)*L83+(Q$5&lt;AO$5)*R83+(W$5&lt;AO$5)*X83+(AC$5&lt;AO$5)*AD83+(AI$5&lt;AO$5)*AJ83+(AU$5&lt;AO$5)*AV83)))</f>
        <v/>
      </c>
      <c r="AR83">
        <f>IF(AP83-AQ83&lt;0.005,0,AP83-AQ83)</f>
        <v/>
      </c>
      <c r="AS83">
        <f>AX82</f>
        <v/>
      </c>
      <c r="AT83">
        <f>AS83*Plan!D13/100/12</f>
        <v/>
      </c>
      <c r="AU83">
        <f>MIN(Plan!E13,AS83+AT83)</f>
        <v/>
      </c>
      <c r="AV83">
        <f>AS83+AT83-AU83</f>
        <v/>
      </c>
      <c r="AW83">
        <f>MIN(AV83,MAX(0,$B83-((E$5&lt;AU$5)*F83+(K$5&lt;AU$5)*L83+(Q$5&lt;AU$5)*R83+(W$5&lt;AU$5)*X83+(AC$5&lt;AU$5)*AD83+(AI$5&lt;AU$5)*AJ83+(AO$5&lt;AU$5)*AP83)))</f>
        <v/>
      </c>
      <c r="AX83">
        <f>IF(AV83-AW83&lt;0.005,0,AV83-AW83)</f>
        <v/>
      </c>
      <c r="BC83">
        <f>H83+N83+T83+Z83+AF83+AL83+AR83+AX83</f>
        <v/>
      </c>
    </row>
    <row r="84">
      <c r="A84" t="n">
        <v>78</v>
      </c>
      <c r="B84" s="19">
        <f>MAX(0,$B$3-(E84+K84+Q84+W84+AC84+AI84+AO84+AU84))</f>
        <v/>
      </c>
      <c r="C84">
        <f>H83</f>
        <v/>
      </c>
      <c r="D84">
        <f>C84*Plan!D6/100/12</f>
        <v/>
      </c>
      <c r="E84">
        <f>MIN(Plan!E6,C84+D84)</f>
        <v/>
      </c>
      <c r="F84">
        <f>C84+D84-E84</f>
        <v/>
      </c>
      <c r="G84">
        <f>MIN(F84,MAX(0,$B84-((K$5&lt;E$5)*L84+(Q$5&lt;E$5)*R84+(W$5&lt;E$5)*X84+(AC$5&lt;E$5)*AD84+(AI$5&lt;E$5)*AJ84+(AO$5&lt;E$5)*AP84+(AU$5&lt;E$5)*AV84)))</f>
        <v/>
      </c>
      <c r="H84">
        <f>IF(F84-G84&lt;0.005,0,F84-G84)</f>
        <v/>
      </c>
      <c r="I84">
        <f>N83</f>
        <v/>
      </c>
      <c r="J84">
        <f>I84*Plan!D7/100/12</f>
        <v/>
      </c>
      <c r="K84">
        <f>MIN(Plan!E7,I84+J84)</f>
        <v/>
      </c>
      <c r="L84">
        <f>I84+J84-K84</f>
        <v/>
      </c>
      <c r="M84">
        <f>MIN(L84,MAX(0,$B84-((E$5&lt;K$5)*F84+(Q$5&lt;K$5)*R84+(W$5&lt;K$5)*X84+(AC$5&lt;K$5)*AD84+(AI$5&lt;K$5)*AJ84+(AO$5&lt;K$5)*AP84+(AU$5&lt;K$5)*AV84)))</f>
        <v/>
      </c>
      <c r="N84">
        <f>IF(L84-M84&lt;0.005,0,L84-M84)</f>
        <v/>
      </c>
      <c r="O84">
        <f>T83</f>
        <v/>
      </c>
      <c r="P84">
        <f>O84*Plan!D8/100/12</f>
        <v/>
      </c>
      <c r="Q84">
        <f>MIN(Plan!E8,O84+P84)</f>
        <v/>
      </c>
      <c r="R84">
        <f>O84+P84-Q84</f>
        <v/>
      </c>
      <c r="S84">
        <f>MIN(R84,MAX(0,$B84-((E$5&lt;Q$5)*F84+(K$5&lt;Q$5)*L84+(W$5&lt;Q$5)*X84+(AC$5&lt;Q$5)*AD84+(AI$5&lt;Q$5)*AJ84+(AO$5&lt;Q$5)*AP84+(AU$5&lt;Q$5)*AV84)))</f>
        <v/>
      </c>
      <c r="T84">
        <f>IF(R84-S84&lt;0.005,0,R84-S84)</f>
        <v/>
      </c>
      <c r="U84">
        <f>Z83</f>
        <v/>
      </c>
      <c r="V84">
        <f>U84*Plan!D9/100/12</f>
        <v/>
      </c>
      <c r="W84">
        <f>MIN(Plan!E9,U84+V84)</f>
        <v/>
      </c>
      <c r="X84">
        <f>U84+V84-W84</f>
        <v/>
      </c>
      <c r="Y84">
        <f>MIN(X84,MAX(0,$B84-((E$5&lt;W$5)*F84+(K$5&lt;W$5)*L84+(Q$5&lt;W$5)*R84+(AC$5&lt;W$5)*AD84+(AI$5&lt;W$5)*AJ84+(AO$5&lt;W$5)*AP84+(AU$5&lt;W$5)*AV84)))</f>
        <v/>
      </c>
      <c r="Z84">
        <f>IF(X84-Y84&lt;0.005,0,X84-Y84)</f>
        <v/>
      </c>
      <c r="AA84">
        <f>AF83</f>
        <v/>
      </c>
      <c r="AB84">
        <f>AA84*Plan!D10/100/12</f>
        <v/>
      </c>
      <c r="AC84">
        <f>MIN(Plan!E10,AA84+AB84)</f>
        <v/>
      </c>
      <c r="AD84">
        <f>AA84+AB84-AC84</f>
        <v/>
      </c>
      <c r="AE84">
        <f>MIN(AD84,MAX(0,$B84-((E$5&lt;AC$5)*F84+(K$5&lt;AC$5)*L84+(Q$5&lt;AC$5)*R84+(W$5&lt;AC$5)*X84+(AI$5&lt;AC$5)*AJ84+(AO$5&lt;AC$5)*AP84+(AU$5&lt;AC$5)*AV84)))</f>
        <v/>
      </c>
      <c r="AF84">
        <f>IF(AD84-AE84&lt;0.005,0,AD84-AE84)</f>
        <v/>
      </c>
      <c r="AG84">
        <f>AL83</f>
        <v/>
      </c>
      <c r="AH84">
        <f>AG84*Plan!D11/100/12</f>
        <v/>
      </c>
      <c r="AI84">
        <f>MIN(Plan!E11,AG84+AH84)</f>
        <v/>
      </c>
      <c r="AJ84">
        <f>AG84+AH84-AI84</f>
        <v/>
      </c>
      <c r="AK84">
        <f>MIN(AJ84,MAX(0,$B84-((E$5&lt;AI$5)*F84+(K$5&lt;AI$5)*L84+(Q$5&lt;AI$5)*R84+(W$5&lt;AI$5)*X84+(AC$5&lt;AI$5)*AD84+(AO$5&lt;AI$5)*AP84+(AU$5&lt;AI$5)*AV84)))</f>
        <v/>
      </c>
      <c r="AL84">
        <f>IF(AJ84-AK84&lt;0.005,0,AJ84-AK84)</f>
        <v/>
      </c>
      <c r="AM84">
        <f>AR83</f>
        <v/>
      </c>
      <c r="AN84">
        <f>AM84*Plan!D12/100/12</f>
        <v/>
      </c>
      <c r="AO84">
        <f>MIN(Plan!E12,AM84+AN84)</f>
        <v/>
      </c>
      <c r="AP84">
        <f>AM84+AN84-AO84</f>
        <v/>
      </c>
      <c r="AQ84">
        <f>MIN(AP84,MAX(0,$B84-((E$5&lt;AO$5)*F84+(K$5&lt;AO$5)*L84+(Q$5&lt;AO$5)*R84+(W$5&lt;AO$5)*X84+(AC$5&lt;AO$5)*AD84+(AI$5&lt;AO$5)*AJ84+(AU$5&lt;AO$5)*AV84)))</f>
        <v/>
      </c>
      <c r="AR84">
        <f>IF(AP84-AQ84&lt;0.005,0,AP84-AQ84)</f>
        <v/>
      </c>
      <c r="AS84">
        <f>AX83</f>
        <v/>
      </c>
      <c r="AT84">
        <f>AS84*Plan!D13/100/12</f>
        <v/>
      </c>
      <c r="AU84">
        <f>MIN(Plan!E13,AS84+AT84)</f>
        <v/>
      </c>
      <c r="AV84">
        <f>AS84+AT84-AU84</f>
        <v/>
      </c>
      <c r="AW84">
        <f>MIN(AV84,MAX(0,$B84-((E$5&lt;AU$5)*F84+(K$5&lt;AU$5)*L84+(Q$5&lt;AU$5)*R84+(W$5&lt;AU$5)*X84+(AC$5&lt;AU$5)*AD84+(AI$5&lt;AU$5)*AJ84+(AO$5&lt;AU$5)*AP84)))</f>
        <v/>
      </c>
      <c r="AX84">
        <f>IF(AV84-AW84&lt;0.005,0,AV84-AW84)</f>
        <v/>
      </c>
      <c r="BC84">
        <f>H84+N84+T84+Z84+AF84+AL84+AR84+AX84</f>
        <v/>
      </c>
    </row>
    <row r="85">
      <c r="A85" t="n">
        <v>79</v>
      </c>
      <c r="B85" s="19">
        <f>MAX(0,$B$3-(E85+K85+Q85+W85+AC85+AI85+AO85+AU85))</f>
        <v/>
      </c>
      <c r="C85">
        <f>H84</f>
        <v/>
      </c>
      <c r="D85">
        <f>C85*Plan!D6/100/12</f>
        <v/>
      </c>
      <c r="E85">
        <f>MIN(Plan!E6,C85+D85)</f>
        <v/>
      </c>
      <c r="F85">
        <f>C85+D85-E85</f>
        <v/>
      </c>
      <c r="G85">
        <f>MIN(F85,MAX(0,$B85-((K$5&lt;E$5)*L85+(Q$5&lt;E$5)*R85+(W$5&lt;E$5)*X85+(AC$5&lt;E$5)*AD85+(AI$5&lt;E$5)*AJ85+(AO$5&lt;E$5)*AP85+(AU$5&lt;E$5)*AV85)))</f>
        <v/>
      </c>
      <c r="H85">
        <f>IF(F85-G85&lt;0.005,0,F85-G85)</f>
        <v/>
      </c>
      <c r="I85">
        <f>N84</f>
        <v/>
      </c>
      <c r="J85">
        <f>I85*Plan!D7/100/12</f>
        <v/>
      </c>
      <c r="K85">
        <f>MIN(Plan!E7,I85+J85)</f>
        <v/>
      </c>
      <c r="L85">
        <f>I85+J85-K85</f>
        <v/>
      </c>
      <c r="M85">
        <f>MIN(L85,MAX(0,$B85-((E$5&lt;K$5)*F85+(Q$5&lt;K$5)*R85+(W$5&lt;K$5)*X85+(AC$5&lt;K$5)*AD85+(AI$5&lt;K$5)*AJ85+(AO$5&lt;K$5)*AP85+(AU$5&lt;K$5)*AV85)))</f>
        <v/>
      </c>
      <c r="N85">
        <f>IF(L85-M85&lt;0.005,0,L85-M85)</f>
        <v/>
      </c>
      <c r="O85">
        <f>T84</f>
        <v/>
      </c>
      <c r="P85">
        <f>O85*Plan!D8/100/12</f>
        <v/>
      </c>
      <c r="Q85">
        <f>MIN(Plan!E8,O85+P85)</f>
        <v/>
      </c>
      <c r="R85">
        <f>O85+P85-Q85</f>
        <v/>
      </c>
      <c r="S85">
        <f>MIN(R85,MAX(0,$B85-((E$5&lt;Q$5)*F85+(K$5&lt;Q$5)*L85+(W$5&lt;Q$5)*X85+(AC$5&lt;Q$5)*AD85+(AI$5&lt;Q$5)*AJ85+(AO$5&lt;Q$5)*AP85+(AU$5&lt;Q$5)*AV85)))</f>
        <v/>
      </c>
      <c r="T85">
        <f>IF(R85-S85&lt;0.005,0,R85-S85)</f>
        <v/>
      </c>
      <c r="U85">
        <f>Z84</f>
        <v/>
      </c>
      <c r="V85">
        <f>U85*Plan!D9/100/12</f>
        <v/>
      </c>
      <c r="W85">
        <f>MIN(Plan!E9,U85+V85)</f>
        <v/>
      </c>
      <c r="X85">
        <f>U85+V85-W85</f>
        <v/>
      </c>
      <c r="Y85">
        <f>MIN(X85,MAX(0,$B85-((E$5&lt;W$5)*F85+(K$5&lt;W$5)*L85+(Q$5&lt;W$5)*R85+(AC$5&lt;W$5)*AD85+(AI$5&lt;W$5)*AJ85+(AO$5&lt;W$5)*AP85+(AU$5&lt;W$5)*AV85)))</f>
        <v/>
      </c>
      <c r="Z85">
        <f>IF(X85-Y85&lt;0.005,0,X85-Y85)</f>
        <v/>
      </c>
      <c r="AA85">
        <f>AF84</f>
        <v/>
      </c>
      <c r="AB85">
        <f>AA85*Plan!D10/100/12</f>
        <v/>
      </c>
      <c r="AC85">
        <f>MIN(Plan!E10,AA85+AB85)</f>
        <v/>
      </c>
      <c r="AD85">
        <f>AA85+AB85-AC85</f>
        <v/>
      </c>
      <c r="AE85">
        <f>MIN(AD85,MAX(0,$B85-((E$5&lt;AC$5)*F85+(K$5&lt;AC$5)*L85+(Q$5&lt;AC$5)*R85+(W$5&lt;AC$5)*X85+(AI$5&lt;AC$5)*AJ85+(AO$5&lt;AC$5)*AP85+(AU$5&lt;AC$5)*AV85)))</f>
        <v/>
      </c>
      <c r="AF85">
        <f>IF(AD85-AE85&lt;0.005,0,AD85-AE85)</f>
        <v/>
      </c>
      <c r="AG85">
        <f>AL84</f>
        <v/>
      </c>
      <c r="AH85">
        <f>AG85*Plan!D11/100/12</f>
        <v/>
      </c>
      <c r="AI85">
        <f>MIN(Plan!E11,AG85+AH85)</f>
        <v/>
      </c>
      <c r="AJ85">
        <f>AG85+AH85-AI85</f>
        <v/>
      </c>
      <c r="AK85">
        <f>MIN(AJ85,MAX(0,$B85-((E$5&lt;AI$5)*F85+(K$5&lt;AI$5)*L85+(Q$5&lt;AI$5)*R85+(W$5&lt;AI$5)*X85+(AC$5&lt;AI$5)*AD85+(AO$5&lt;AI$5)*AP85+(AU$5&lt;AI$5)*AV85)))</f>
        <v/>
      </c>
      <c r="AL85">
        <f>IF(AJ85-AK85&lt;0.005,0,AJ85-AK85)</f>
        <v/>
      </c>
      <c r="AM85">
        <f>AR84</f>
        <v/>
      </c>
      <c r="AN85">
        <f>AM85*Plan!D12/100/12</f>
        <v/>
      </c>
      <c r="AO85">
        <f>MIN(Plan!E12,AM85+AN85)</f>
        <v/>
      </c>
      <c r="AP85">
        <f>AM85+AN85-AO85</f>
        <v/>
      </c>
      <c r="AQ85">
        <f>MIN(AP85,MAX(0,$B85-((E$5&lt;AO$5)*F85+(K$5&lt;AO$5)*L85+(Q$5&lt;AO$5)*R85+(W$5&lt;AO$5)*X85+(AC$5&lt;AO$5)*AD85+(AI$5&lt;AO$5)*AJ85+(AU$5&lt;AO$5)*AV85)))</f>
        <v/>
      </c>
      <c r="AR85">
        <f>IF(AP85-AQ85&lt;0.005,0,AP85-AQ85)</f>
        <v/>
      </c>
      <c r="AS85">
        <f>AX84</f>
        <v/>
      </c>
      <c r="AT85">
        <f>AS85*Plan!D13/100/12</f>
        <v/>
      </c>
      <c r="AU85">
        <f>MIN(Plan!E13,AS85+AT85)</f>
        <v/>
      </c>
      <c r="AV85">
        <f>AS85+AT85-AU85</f>
        <v/>
      </c>
      <c r="AW85">
        <f>MIN(AV85,MAX(0,$B85-((E$5&lt;AU$5)*F85+(K$5&lt;AU$5)*L85+(Q$5&lt;AU$5)*R85+(W$5&lt;AU$5)*X85+(AC$5&lt;AU$5)*AD85+(AI$5&lt;AU$5)*AJ85+(AO$5&lt;AU$5)*AP85)))</f>
        <v/>
      </c>
      <c r="AX85">
        <f>IF(AV85-AW85&lt;0.005,0,AV85-AW85)</f>
        <v/>
      </c>
      <c r="BC85">
        <f>H85+N85+T85+Z85+AF85+AL85+AR85+AX85</f>
        <v/>
      </c>
    </row>
    <row r="86">
      <c r="A86" t="n">
        <v>80</v>
      </c>
      <c r="B86" s="19">
        <f>MAX(0,$B$3-(E86+K86+Q86+W86+AC86+AI86+AO86+AU86))</f>
        <v/>
      </c>
      <c r="C86">
        <f>H85</f>
        <v/>
      </c>
      <c r="D86">
        <f>C86*Plan!D6/100/12</f>
        <v/>
      </c>
      <c r="E86">
        <f>MIN(Plan!E6,C86+D86)</f>
        <v/>
      </c>
      <c r="F86">
        <f>C86+D86-E86</f>
        <v/>
      </c>
      <c r="G86">
        <f>MIN(F86,MAX(0,$B86-((K$5&lt;E$5)*L86+(Q$5&lt;E$5)*R86+(W$5&lt;E$5)*X86+(AC$5&lt;E$5)*AD86+(AI$5&lt;E$5)*AJ86+(AO$5&lt;E$5)*AP86+(AU$5&lt;E$5)*AV86)))</f>
        <v/>
      </c>
      <c r="H86">
        <f>IF(F86-G86&lt;0.005,0,F86-G86)</f>
        <v/>
      </c>
      <c r="I86">
        <f>N85</f>
        <v/>
      </c>
      <c r="J86">
        <f>I86*Plan!D7/100/12</f>
        <v/>
      </c>
      <c r="K86">
        <f>MIN(Plan!E7,I86+J86)</f>
        <v/>
      </c>
      <c r="L86">
        <f>I86+J86-K86</f>
        <v/>
      </c>
      <c r="M86">
        <f>MIN(L86,MAX(0,$B86-((E$5&lt;K$5)*F86+(Q$5&lt;K$5)*R86+(W$5&lt;K$5)*X86+(AC$5&lt;K$5)*AD86+(AI$5&lt;K$5)*AJ86+(AO$5&lt;K$5)*AP86+(AU$5&lt;K$5)*AV86)))</f>
        <v/>
      </c>
      <c r="N86">
        <f>IF(L86-M86&lt;0.005,0,L86-M86)</f>
        <v/>
      </c>
      <c r="O86">
        <f>T85</f>
        <v/>
      </c>
      <c r="P86">
        <f>O86*Plan!D8/100/12</f>
        <v/>
      </c>
      <c r="Q86">
        <f>MIN(Plan!E8,O86+P86)</f>
        <v/>
      </c>
      <c r="R86">
        <f>O86+P86-Q86</f>
        <v/>
      </c>
      <c r="S86">
        <f>MIN(R86,MAX(0,$B86-((E$5&lt;Q$5)*F86+(K$5&lt;Q$5)*L86+(W$5&lt;Q$5)*X86+(AC$5&lt;Q$5)*AD86+(AI$5&lt;Q$5)*AJ86+(AO$5&lt;Q$5)*AP86+(AU$5&lt;Q$5)*AV86)))</f>
        <v/>
      </c>
      <c r="T86">
        <f>IF(R86-S86&lt;0.005,0,R86-S86)</f>
        <v/>
      </c>
      <c r="U86">
        <f>Z85</f>
        <v/>
      </c>
      <c r="V86">
        <f>U86*Plan!D9/100/12</f>
        <v/>
      </c>
      <c r="W86">
        <f>MIN(Plan!E9,U86+V86)</f>
        <v/>
      </c>
      <c r="X86">
        <f>U86+V86-W86</f>
        <v/>
      </c>
      <c r="Y86">
        <f>MIN(X86,MAX(0,$B86-((E$5&lt;W$5)*F86+(K$5&lt;W$5)*L86+(Q$5&lt;W$5)*R86+(AC$5&lt;W$5)*AD86+(AI$5&lt;W$5)*AJ86+(AO$5&lt;W$5)*AP86+(AU$5&lt;W$5)*AV86)))</f>
        <v/>
      </c>
      <c r="Z86">
        <f>IF(X86-Y86&lt;0.005,0,X86-Y86)</f>
        <v/>
      </c>
      <c r="AA86">
        <f>AF85</f>
        <v/>
      </c>
      <c r="AB86">
        <f>AA86*Plan!D10/100/12</f>
        <v/>
      </c>
      <c r="AC86">
        <f>MIN(Plan!E10,AA86+AB86)</f>
        <v/>
      </c>
      <c r="AD86">
        <f>AA86+AB86-AC86</f>
        <v/>
      </c>
      <c r="AE86">
        <f>MIN(AD86,MAX(0,$B86-((E$5&lt;AC$5)*F86+(K$5&lt;AC$5)*L86+(Q$5&lt;AC$5)*R86+(W$5&lt;AC$5)*X86+(AI$5&lt;AC$5)*AJ86+(AO$5&lt;AC$5)*AP86+(AU$5&lt;AC$5)*AV86)))</f>
        <v/>
      </c>
      <c r="AF86">
        <f>IF(AD86-AE86&lt;0.005,0,AD86-AE86)</f>
        <v/>
      </c>
      <c r="AG86">
        <f>AL85</f>
        <v/>
      </c>
      <c r="AH86">
        <f>AG86*Plan!D11/100/12</f>
        <v/>
      </c>
      <c r="AI86">
        <f>MIN(Plan!E11,AG86+AH86)</f>
        <v/>
      </c>
      <c r="AJ86">
        <f>AG86+AH86-AI86</f>
        <v/>
      </c>
      <c r="AK86">
        <f>MIN(AJ86,MAX(0,$B86-((E$5&lt;AI$5)*F86+(K$5&lt;AI$5)*L86+(Q$5&lt;AI$5)*R86+(W$5&lt;AI$5)*X86+(AC$5&lt;AI$5)*AD86+(AO$5&lt;AI$5)*AP86+(AU$5&lt;AI$5)*AV86)))</f>
        <v/>
      </c>
      <c r="AL86">
        <f>IF(AJ86-AK86&lt;0.005,0,AJ86-AK86)</f>
        <v/>
      </c>
      <c r="AM86">
        <f>AR85</f>
        <v/>
      </c>
      <c r="AN86">
        <f>AM86*Plan!D12/100/12</f>
        <v/>
      </c>
      <c r="AO86">
        <f>MIN(Plan!E12,AM86+AN86)</f>
        <v/>
      </c>
      <c r="AP86">
        <f>AM86+AN86-AO86</f>
        <v/>
      </c>
      <c r="AQ86">
        <f>MIN(AP86,MAX(0,$B86-((E$5&lt;AO$5)*F86+(K$5&lt;AO$5)*L86+(Q$5&lt;AO$5)*R86+(W$5&lt;AO$5)*X86+(AC$5&lt;AO$5)*AD86+(AI$5&lt;AO$5)*AJ86+(AU$5&lt;AO$5)*AV86)))</f>
        <v/>
      </c>
      <c r="AR86">
        <f>IF(AP86-AQ86&lt;0.005,0,AP86-AQ86)</f>
        <v/>
      </c>
      <c r="AS86">
        <f>AX85</f>
        <v/>
      </c>
      <c r="AT86">
        <f>AS86*Plan!D13/100/12</f>
        <v/>
      </c>
      <c r="AU86">
        <f>MIN(Plan!E13,AS86+AT86)</f>
        <v/>
      </c>
      <c r="AV86">
        <f>AS86+AT86-AU86</f>
        <v/>
      </c>
      <c r="AW86">
        <f>MIN(AV86,MAX(0,$B86-((E$5&lt;AU$5)*F86+(K$5&lt;AU$5)*L86+(Q$5&lt;AU$5)*R86+(W$5&lt;AU$5)*X86+(AC$5&lt;AU$5)*AD86+(AI$5&lt;AU$5)*AJ86+(AO$5&lt;AU$5)*AP86)))</f>
        <v/>
      </c>
      <c r="AX86">
        <f>IF(AV86-AW86&lt;0.005,0,AV86-AW86)</f>
        <v/>
      </c>
      <c r="BC86">
        <f>H86+N86+T86+Z86+AF86+AL86+AR86+AX86</f>
        <v/>
      </c>
    </row>
    <row r="87">
      <c r="A87" t="n">
        <v>81</v>
      </c>
      <c r="B87" s="19">
        <f>MAX(0,$B$3-(E87+K87+Q87+W87+AC87+AI87+AO87+AU87))</f>
        <v/>
      </c>
      <c r="C87">
        <f>H86</f>
        <v/>
      </c>
      <c r="D87">
        <f>C87*Plan!D6/100/12</f>
        <v/>
      </c>
      <c r="E87">
        <f>MIN(Plan!E6,C87+D87)</f>
        <v/>
      </c>
      <c r="F87">
        <f>C87+D87-E87</f>
        <v/>
      </c>
      <c r="G87">
        <f>MIN(F87,MAX(0,$B87-((K$5&lt;E$5)*L87+(Q$5&lt;E$5)*R87+(W$5&lt;E$5)*X87+(AC$5&lt;E$5)*AD87+(AI$5&lt;E$5)*AJ87+(AO$5&lt;E$5)*AP87+(AU$5&lt;E$5)*AV87)))</f>
        <v/>
      </c>
      <c r="H87">
        <f>IF(F87-G87&lt;0.005,0,F87-G87)</f>
        <v/>
      </c>
      <c r="I87">
        <f>N86</f>
        <v/>
      </c>
      <c r="J87">
        <f>I87*Plan!D7/100/12</f>
        <v/>
      </c>
      <c r="K87">
        <f>MIN(Plan!E7,I87+J87)</f>
        <v/>
      </c>
      <c r="L87">
        <f>I87+J87-K87</f>
        <v/>
      </c>
      <c r="M87">
        <f>MIN(L87,MAX(0,$B87-((E$5&lt;K$5)*F87+(Q$5&lt;K$5)*R87+(W$5&lt;K$5)*X87+(AC$5&lt;K$5)*AD87+(AI$5&lt;K$5)*AJ87+(AO$5&lt;K$5)*AP87+(AU$5&lt;K$5)*AV87)))</f>
        <v/>
      </c>
      <c r="N87">
        <f>IF(L87-M87&lt;0.005,0,L87-M87)</f>
        <v/>
      </c>
      <c r="O87">
        <f>T86</f>
        <v/>
      </c>
      <c r="P87">
        <f>O87*Plan!D8/100/12</f>
        <v/>
      </c>
      <c r="Q87">
        <f>MIN(Plan!E8,O87+P87)</f>
        <v/>
      </c>
      <c r="R87">
        <f>O87+P87-Q87</f>
        <v/>
      </c>
      <c r="S87">
        <f>MIN(R87,MAX(0,$B87-((E$5&lt;Q$5)*F87+(K$5&lt;Q$5)*L87+(W$5&lt;Q$5)*X87+(AC$5&lt;Q$5)*AD87+(AI$5&lt;Q$5)*AJ87+(AO$5&lt;Q$5)*AP87+(AU$5&lt;Q$5)*AV87)))</f>
        <v/>
      </c>
      <c r="T87">
        <f>IF(R87-S87&lt;0.005,0,R87-S87)</f>
        <v/>
      </c>
      <c r="U87">
        <f>Z86</f>
        <v/>
      </c>
      <c r="V87">
        <f>U87*Plan!D9/100/12</f>
        <v/>
      </c>
      <c r="W87">
        <f>MIN(Plan!E9,U87+V87)</f>
        <v/>
      </c>
      <c r="X87">
        <f>U87+V87-W87</f>
        <v/>
      </c>
      <c r="Y87">
        <f>MIN(X87,MAX(0,$B87-((E$5&lt;W$5)*F87+(K$5&lt;W$5)*L87+(Q$5&lt;W$5)*R87+(AC$5&lt;W$5)*AD87+(AI$5&lt;W$5)*AJ87+(AO$5&lt;W$5)*AP87+(AU$5&lt;W$5)*AV87)))</f>
        <v/>
      </c>
      <c r="Z87">
        <f>IF(X87-Y87&lt;0.005,0,X87-Y87)</f>
        <v/>
      </c>
      <c r="AA87">
        <f>AF86</f>
        <v/>
      </c>
      <c r="AB87">
        <f>AA87*Plan!D10/100/12</f>
        <v/>
      </c>
      <c r="AC87">
        <f>MIN(Plan!E10,AA87+AB87)</f>
        <v/>
      </c>
      <c r="AD87">
        <f>AA87+AB87-AC87</f>
        <v/>
      </c>
      <c r="AE87">
        <f>MIN(AD87,MAX(0,$B87-((E$5&lt;AC$5)*F87+(K$5&lt;AC$5)*L87+(Q$5&lt;AC$5)*R87+(W$5&lt;AC$5)*X87+(AI$5&lt;AC$5)*AJ87+(AO$5&lt;AC$5)*AP87+(AU$5&lt;AC$5)*AV87)))</f>
        <v/>
      </c>
      <c r="AF87">
        <f>IF(AD87-AE87&lt;0.005,0,AD87-AE87)</f>
        <v/>
      </c>
      <c r="AG87">
        <f>AL86</f>
        <v/>
      </c>
      <c r="AH87">
        <f>AG87*Plan!D11/100/12</f>
        <v/>
      </c>
      <c r="AI87">
        <f>MIN(Plan!E11,AG87+AH87)</f>
        <v/>
      </c>
      <c r="AJ87">
        <f>AG87+AH87-AI87</f>
        <v/>
      </c>
      <c r="AK87">
        <f>MIN(AJ87,MAX(0,$B87-((E$5&lt;AI$5)*F87+(K$5&lt;AI$5)*L87+(Q$5&lt;AI$5)*R87+(W$5&lt;AI$5)*X87+(AC$5&lt;AI$5)*AD87+(AO$5&lt;AI$5)*AP87+(AU$5&lt;AI$5)*AV87)))</f>
        <v/>
      </c>
      <c r="AL87">
        <f>IF(AJ87-AK87&lt;0.005,0,AJ87-AK87)</f>
        <v/>
      </c>
      <c r="AM87">
        <f>AR86</f>
        <v/>
      </c>
      <c r="AN87">
        <f>AM87*Plan!D12/100/12</f>
        <v/>
      </c>
      <c r="AO87">
        <f>MIN(Plan!E12,AM87+AN87)</f>
        <v/>
      </c>
      <c r="AP87">
        <f>AM87+AN87-AO87</f>
        <v/>
      </c>
      <c r="AQ87">
        <f>MIN(AP87,MAX(0,$B87-((E$5&lt;AO$5)*F87+(K$5&lt;AO$5)*L87+(Q$5&lt;AO$5)*R87+(W$5&lt;AO$5)*X87+(AC$5&lt;AO$5)*AD87+(AI$5&lt;AO$5)*AJ87+(AU$5&lt;AO$5)*AV87)))</f>
        <v/>
      </c>
      <c r="AR87">
        <f>IF(AP87-AQ87&lt;0.005,0,AP87-AQ87)</f>
        <v/>
      </c>
      <c r="AS87">
        <f>AX86</f>
        <v/>
      </c>
      <c r="AT87">
        <f>AS87*Plan!D13/100/12</f>
        <v/>
      </c>
      <c r="AU87">
        <f>MIN(Plan!E13,AS87+AT87)</f>
        <v/>
      </c>
      <c r="AV87">
        <f>AS87+AT87-AU87</f>
        <v/>
      </c>
      <c r="AW87">
        <f>MIN(AV87,MAX(0,$B87-((E$5&lt;AU$5)*F87+(K$5&lt;AU$5)*L87+(Q$5&lt;AU$5)*R87+(W$5&lt;AU$5)*X87+(AC$5&lt;AU$5)*AD87+(AI$5&lt;AU$5)*AJ87+(AO$5&lt;AU$5)*AP87)))</f>
        <v/>
      </c>
      <c r="AX87">
        <f>IF(AV87-AW87&lt;0.005,0,AV87-AW87)</f>
        <v/>
      </c>
      <c r="BC87">
        <f>H87+N87+T87+Z87+AF87+AL87+AR87+AX87</f>
        <v/>
      </c>
    </row>
    <row r="88">
      <c r="A88" t="n">
        <v>82</v>
      </c>
      <c r="B88" s="19">
        <f>MAX(0,$B$3-(E88+K88+Q88+W88+AC88+AI88+AO88+AU88))</f>
        <v/>
      </c>
      <c r="C88">
        <f>H87</f>
        <v/>
      </c>
      <c r="D88">
        <f>C88*Plan!D6/100/12</f>
        <v/>
      </c>
      <c r="E88">
        <f>MIN(Plan!E6,C88+D88)</f>
        <v/>
      </c>
      <c r="F88">
        <f>C88+D88-E88</f>
        <v/>
      </c>
      <c r="G88">
        <f>MIN(F88,MAX(0,$B88-((K$5&lt;E$5)*L88+(Q$5&lt;E$5)*R88+(W$5&lt;E$5)*X88+(AC$5&lt;E$5)*AD88+(AI$5&lt;E$5)*AJ88+(AO$5&lt;E$5)*AP88+(AU$5&lt;E$5)*AV88)))</f>
        <v/>
      </c>
      <c r="H88">
        <f>IF(F88-G88&lt;0.005,0,F88-G88)</f>
        <v/>
      </c>
      <c r="I88">
        <f>N87</f>
        <v/>
      </c>
      <c r="J88">
        <f>I88*Plan!D7/100/12</f>
        <v/>
      </c>
      <c r="K88">
        <f>MIN(Plan!E7,I88+J88)</f>
        <v/>
      </c>
      <c r="L88">
        <f>I88+J88-K88</f>
        <v/>
      </c>
      <c r="M88">
        <f>MIN(L88,MAX(0,$B88-((E$5&lt;K$5)*F88+(Q$5&lt;K$5)*R88+(W$5&lt;K$5)*X88+(AC$5&lt;K$5)*AD88+(AI$5&lt;K$5)*AJ88+(AO$5&lt;K$5)*AP88+(AU$5&lt;K$5)*AV88)))</f>
        <v/>
      </c>
      <c r="N88">
        <f>IF(L88-M88&lt;0.005,0,L88-M88)</f>
        <v/>
      </c>
      <c r="O88">
        <f>T87</f>
        <v/>
      </c>
      <c r="P88">
        <f>O88*Plan!D8/100/12</f>
        <v/>
      </c>
      <c r="Q88">
        <f>MIN(Plan!E8,O88+P88)</f>
        <v/>
      </c>
      <c r="R88">
        <f>O88+P88-Q88</f>
        <v/>
      </c>
      <c r="S88">
        <f>MIN(R88,MAX(0,$B88-((E$5&lt;Q$5)*F88+(K$5&lt;Q$5)*L88+(W$5&lt;Q$5)*X88+(AC$5&lt;Q$5)*AD88+(AI$5&lt;Q$5)*AJ88+(AO$5&lt;Q$5)*AP88+(AU$5&lt;Q$5)*AV88)))</f>
        <v/>
      </c>
      <c r="T88">
        <f>IF(R88-S88&lt;0.005,0,R88-S88)</f>
        <v/>
      </c>
      <c r="U88">
        <f>Z87</f>
        <v/>
      </c>
      <c r="V88">
        <f>U88*Plan!D9/100/12</f>
        <v/>
      </c>
      <c r="W88">
        <f>MIN(Plan!E9,U88+V88)</f>
        <v/>
      </c>
      <c r="X88">
        <f>U88+V88-W88</f>
        <v/>
      </c>
      <c r="Y88">
        <f>MIN(X88,MAX(0,$B88-((E$5&lt;W$5)*F88+(K$5&lt;W$5)*L88+(Q$5&lt;W$5)*R88+(AC$5&lt;W$5)*AD88+(AI$5&lt;W$5)*AJ88+(AO$5&lt;W$5)*AP88+(AU$5&lt;W$5)*AV88)))</f>
        <v/>
      </c>
      <c r="Z88">
        <f>IF(X88-Y88&lt;0.005,0,X88-Y88)</f>
        <v/>
      </c>
      <c r="AA88">
        <f>AF87</f>
        <v/>
      </c>
      <c r="AB88">
        <f>AA88*Plan!D10/100/12</f>
        <v/>
      </c>
      <c r="AC88">
        <f>MIN(Plan!E10,AA88+AB88)</f>
        <v/>
      </c>
      <c r="AD88">
        <f>AA88+AB88-AC88</f>
        <v/>
      </c>
      <c r="AE88">
        <f>MIN(AD88,MAX(0,$B88-((E$5&lt;AC$5)*F88+(K$5&lt;AC$5)*L88+(Q$5&lt;AC$5)*R88+(W$5&lt;AC$5)*X88+(AI$5&lt;AC$5)*AJ88+(AO$5&lt;AC$5)*AP88+(AU$5&lt;AC$5)*AV88)))</f>
        <v/>
      </c>
      <c r="AF88">
        <f>IF(AD88-AE88&lt;0.005,0,AD88-AE88)</f>
        <v/>
      </c>
      <c r="AG88">
        <f>AL87</f>
        <v/>
      </c>
      <c r="AH88">
        <f>AG88*Plan!D11/100/12</f>
        <v/>
      </c>
      <c r="AI88">
        <f>MIN(Plan!E11,AG88+AH88)</f>
        <v/>
      </c>
      <c r="AJ88">
        <f>AG88+AH88-AI88</f>
        <v/>
      </c>
      <c r="AK88">
        <f>MIN(AJ88,MAX(0,$B88-((E$5&lt;AI$5)*F88+(K$5&lt;AI$5)*L88+(Q$5&lt;AI$5)*R88+(W$5&lt;AI$5)*X88+(AC$5&lt;AI$5)*AD88+(AO$5&lt;AI$5)*AP88+(AU$5&lt;AI$5)*AV88)))</f>
        <v/>
      </c>
      <c r="AL88">
        <f>IF(AJ88-AK88&lt;0.005,0,AJ88-AK88)</f>
        <v/>
      </c>
      <c r="AM88">
        <f>AR87</f>
        <v/>
      </c>
      <c r="AN88">
        <f>AM88*Plan!D12/100/12</f>
        <v/>
      </c>
      <c r="AO88">
        <f>MIN(Plan!E12,AM88+AN88)</f>
        <v/>
      </c>
      <c r="AP88">
        <f>AM88+AN88-AO88</f>
        <v/>
      </c>
      <c r="AQ88">
        <f>MIN(AP88,MAX(0,$B88-((E$5&lt;AO$5)*F88+(K$5&lt;AO$5)*L88+(Q$5&lt;AO$5)*R88+(W$5&lt;AO$5)*X88+(AC$5&lt;AO$5)*AD88+(AI$5&lt;AO$5)*AJ88+(AU$5&lt;AO$5)*AV88)))</f>
        <v/>
      </c>
      <c r="AR88">
        <f>IF(AP88-AQ88&lt;0.005,0,AP88-AQ88)</f>
        <v/>
      </c>
      <c r="AS88">
        <f>AX87</f>
        <v/>
      </c>
      <c r="AT88">
        <f>AS88*Plan!D13/100/12</f>
        <v/>
      </c>
      <c r="AU88">
        <f>MIN(Plan!E13,AS88+AT88)</f>
        <v/>
      </c>
      <c r="AV88">
        <f>AS88+AT88-AU88</f>
        <v/>
      </c>
      <c r="AW88">
        <f>MIN(AV88,MAX(0,$B88-((E$5&lt;AU$5)*F88+(K$5&lt;AU$5)*L88+(Q$5&lt;AU$5)*R88+(W$5&lt;AU$5)*X88+(AC$5&lt;AU$5)*AD88+(AI$5&lt;AU$5)*AJ88+(AO$5&lt;AU$5)*AP88)))</f>
        <v/>
      </c>
      <c r="AX88">
        <f>IF(AV88-AW88&lt;0.005,0,AV88-AW88)</f>
        <v/>
      </c>
      <c r="BC88">
        <f>H88+N88+T88+Z88+AF88+AL88+AR88+AX88</f>
        <v/>
      </c>
    </row>
    <row r="89">
      <c r="A89" t="n">
        <v>83</v>
      </c>
      <c r="B89" s="19">
        <f>MAX(0,$B$3-(E89+K89+Q89+W89+AC89+AI89+AO89+AU89))</f>
        <v/>
      </c>
      <c r="C89">
        <f>H88</f>
        <v/>
      </c>
      <c r="D89">
        <f>C89*Plan!D6/100/12</f>
        <v/>
      </c>
      <c r="E89">
        <f>MIN(Plan!E6,C89+D89)</f>
        <v/>
      </c>
      <c r="F89">
        <f>C89+D89-E89</f>
        <v/>
      </c>
      <c r="G89">
        <f>MIN(F89,MAX(0,$B89-((K$5&lt;E$5)*L89+(Q$5&lt;E$5)*R89+(W$5&lt;E$5)*X89+(AC$5&lt;E$5)*AD89+(AI$5&lt;E$5)*AJ89+(AO$5&lt;E$5)*AP89+(AU$5&lt;E$5)*AV89)))</f>
        <v/>
      </c>
      <c r="H89">
        <f>IF(F89-G89&lt;0.005,0,F89-G89)</f>
        <v/>
      </c>
      <c r="I89">
        <f>N88</f>
        <v/>
      </c>
      <c r="J89">
        <f>I89*Plan!D7/100/12</f>
        <v/>
      </c>
      <c r="K89">
        <f>MIN(Plan!E7,I89+J89)</f>
        <v/>
      </c>
      <c r="L89">
        <f>I89+J89-K89</f>
        <v/>
      </c>
      <c r="M89">
        <f>MIN(L89,MAX(0,$B89-((E$5&lt;K$5)*F89+(Q$5&lt;K$5)*R89+(W$5&lt;K$5)*X89+(AC$5&lt;K$5)*AD89+(AI$5&lt;K$5)*AJ89+(AO$5&lt;K$5)*AP89+(AU$5&lt;K$5)*AV89)))</f>
        <v/>
      </c>
      <c r="N89">
        <f>IF(L89-M89&lt;0.005,0,L89-M89)</f>
        <v/>
      </c>
      <c r="O89">
        <f>T88</f>
        <v/>
      </c>
      <c r="P89">
        <f>O89*Plan!D8/100/12</f>
        <v/>
      </c>
      <c r="Q89">
        <f>MIN(Plan!E8,O89+P89)</f>
        <v/>
      </c>
      <c r="R89">
        <f>O89+P89-Q89</f>
        <v/>
      </c>
      <c r="S89">
        <f>MIN(R89,MAX(0,$B89-((E$5&lt;Q$5)*F89+(K$5&lt;Q$5)*L89+(W$5&lt;Q$5)*X89+(AC$5&lt;Q$5)*AD89+(AI$5&lt;Q$5)*AJ89+(AO$5&lt;Q$5)*AP89+(AU$5&lt;Q$5)*AV89)))</f>
        <v/>
      </c>
      <c r="T89">
        <f>IF(R89-S89&lt;0.005,0,R89-S89)</f>
        <v/>
      </c>
      <c r="U89">
        <f>Z88</f>
        <v/>
      </c>
      <c r="V89">
        <f>U89*Plan!D9/100/12</f>
        <v/>
      </c>
      <c r="W89">
        <f>MIN(Plan!E9,U89+V89)</f>
        <v/>
      </c>
      <c r="X89">
        <f>U89+V89-W89</f>
        <v/>
      </c>
      <c r="Y89">
        <f>MIN(X89,MAX(0,$B89-((E$5&lt;W$5)*F89+(K$5&lt;W$5)*L89+(Q$5&lt;W$5)*R89+(AC$5&lt;W$5)*AD89+(AI$5&lt;W$5)*AJ89+(AO$5&lt;W$5)*AP89+(AU$5&lt;W$5)*AV89)))</f>
        <v/>
      </c>
      <c r="Z89">
        <f>IF(X89-Y89&lt;0.005,0,X89-Y89)</f>
        <v/>
      </c>
      <c r="AA89">
        <f>AF88</f>
        <v/>
      </c>
      <c r="AB89">
        <f>AA89*Plan!D10/100/12</f>
        <v/>
      </c>
      <c r="AC89">
        <f>MIN(Plan!E10,AA89+AB89)</f>
        <v/>
      </c>
      <c r="AD89">
        <f>AA89+AB89-AC89</f>
        <v/>
      </c>
      <c r="AE89">
        <f>MIN(AD89,MAX(0,$B89-((E$5&lt;AC$5)*F89+(K$5&lt;AC$5)*L89+(Q$5&lt;AC$5)*R89+(W$5&lt;AC$5)*X89+(AI$5&lt;AC$5)*AJ89+(AO$5&lt;AC$5)*AP89+(AU$5&lt;AC$5)*AV89)))</f>
        <v/>
      </c>
      <c r="AF89">
        <f>IF(AD89-AE89&lt;0.005,0,AD89-AE89)</f>
        <v/>
      </c>
      <c r="AG89">
        <f>AL88</f>
        <v/>
      </c>
      <c r="AH89">
        <f>AG89*Plan!D11/100/12</f>
        <v/>
      </c>
      <c r="AI89">
        <f>MIN(Plan!E11,AG89+AH89)</f>
        <v/>
      </c>
      <c r="AJ89">
        <f>AG89+AH89-AI89</f>
        <v/>
      </c>
      <c r="AK89">
        <f>MIN(AJ89,MAX(0,$B89-((E$5&lt;AI$5)*F89+(K$5&lt;AI$5)*L89+(Q$5&lt;AI$5)*R89+(W$5&lt;AI$5)*X89+(AC$5&lt;AI$5)*AD89+(AO$5&lt;AI$5)*AP89+(AU$5&lt;AI$5)*AV89)))</f>
        <v/>
      </c>
      <c r="AL89">
        <f>IF(AJ89-AK89&lt;0.005,0,AJ89-AK89)</f>
        <v/>
      </c>
      <c r="AM89">
        <f>AR88</f>
        <v/>
      </c>
      <c r="AN89">
        <f>AM89*Plan!D12/100/12</f>
        <v/>
      </c>
      <c r="AO89">
        <f>MIN(Plan!E12,AM89+AN89)</f>
        <v/>
      </c>
      <c r="AP89">
        <f>AM89+AN89-AO89</f>
        <v/>
      </c>
      <c r="AQ89">
        <f>MIN(AP89,MAX(0,$B89-((E$5&lt;AO$5)*F89+(K$5&lt;AO$5)*L89+(Q$5&lt;AO$5)*R89+(W$5&lt;AO$5)*X89+(AC$5&lt;AO$5)*AD89+(AI$5&lt;AO$5)*AJ89+(AU$5&lt;AO$5)*AV89)))</f>
        <v/>
      </c>
      <c r="AR89">
        <f>IF(AP89-AQ89&lt;0.005,0,AP89-AQ89)</f>
        <v/>
      </c>
      <c r="AS89">
        <f>AX88</f>
        <v/>
      </c>
      <c r="AT89">
        <f>AS89*Plan!D13/100/12</f>
        <v/>
      </c>
      <c r="AU89">
        <f>MIN(Plan!E13,AS89+AT89)</f>
        <v/>
      </c>
      <c r="AV89">
        <f>AS89+AT89-AU89</f>
        <v/>
      </c>
      <c r="AW89">
        <f>MIN(AV89,MAX(0,$B89-((E$5&lt;AU$5)*F89+(K$5&lt;AU$5)*L89+(Q$5&lt;AU$5)*R89+(W$5&lt;AU$5)*X89+(AC$5&lt;AU$5)*AD89+(AI$5&lt;AU$5)*AJ89+(AO$5&lt;AU$5)*AP89)))</f>
        <v/>
      </c>
      <c r="AX89">
        <f>IF(AV89-AW89&lt;0.005,0,AV89-AW89)</f>
        <v/>
      </c>
      <c r="BC89">
        <f>H89+N89+T89+Z89+AF89+AL89+AR89+AX89</f>
        <v/>
      </c>
    </row>
    <row r="90">
      <c r="A90" t="n">
        <v>84</v>
      </c>
      <c r="B90" s="19">
        <f>MAX(0,$B$3-(E90+K90+Q90+W90+AC90+AI90+AO90+AU90))</f>
        <v/>
      </c>
      <c r="C90">
        <f>H89</f>
        <v/>
      </c>
      <c r="D90">
        <f>C90*Plan!D6/100/12</f>
        <v/>
      </c>
      <c r="E90">
        <f>MIN(Plan!E6,C90+D90)</f>
        <v/>
      </c>
      <c r="F90">
        <f>C90+D90-E90</f>
        <v/>
      </c>
      <c r="G90">
        <f>MIN(F90,MAX(0,$B90-((K$5&lt;E$5)*L90+(Q$5&lt;E$5)*R90+(W$5&lt;E$5)*X90+(AC$5&lt;E$5)*AD90+(AI$5&lt;E$5)*AJ90+(AO$5&lt;E$5)*AP90+(AU$5&lt;E$5)*AV90)))</f>
        <v/>
      </c>
      <c r="H90">
        <f>IF(F90-G90&lt;0.005,0,F90-G90)</f>
        <v/>
      </c>
      <c r="I90">
        <f>N89</f>
        <v/>
      </c>
      <c r="J90">
        <f>I90*Plan!D7/100/12</f>
        <v/>
      </c>
      <c r="K90">
        <f>MIN(Plan!E7,I90+J90)</f>
        <v/>
      </c>
      <c r="L90">
        <f>I90+J90-K90</f>
        <v/>
      </c>
      <c r="M90">
        <f>MIN(L90,MAX(0,$B90-((E$5&lt;K$5)*F90+(Q$5&lt;K$5)*R90+(W$5&lt;K$5)*X90+(AC$5&lt;K$5)*AD90+(AI$5&lt;K$5)*AJ90+(AO$5&lt;K$5)*AP90+(AU$5&lt;K$5)*AV90)))</f>
        <v/>
      </c>
      <c r="N90">
        <f>IF(L90-M90&lt;0.005,0,L90-M90)</f>
        <v/>
      </c>
      <c r="O90">
        <f>T89</f>
        <v/>
      </c>
      <c r="P90">
        <f>O90*Plan!D8/100/12</f>
        <v/>
      </c>
      <c r="Q90">
        <f>MIN(Plan!E8,O90+P90)</f>
        <v/>
      </c>
      <c r="R90">
        <f>O90+P90-Q90</f>
        <v/>
      </c>
      <c r="S90">
        <f>MIN(R90,MAX(0,$B90-((E$5&lt;Q$5)*F90+(K$5&lt;Q$5)*L90+(W$5&lt;Q$5)*X90+(AC$5&lt;Q$5)*AD90+(AI$5&lt;Q$5)*AJ90+(AO$5&lt;Q$5)*AP90+(AU$5&lt;Q$5)*AV90)))</f>
        <v/>
      </c>
      <c r="T90">
        <f>IF(R90-S90&lt;0.005,0,R90-S90)</f>
        <v/>
      </c>
      <c r="U90">
        <f>Z89</f>
        <v/>
      </c>
      <c r="V90">
        <f>U90*Plan!D9/100/12</f>
        <v/>
      </c>
      <c r="W90">
        <f>MIN(Plan!E9,U90+V90)</f>
        <v/>
      </c>
      <c r="X90">
        <f>U90+V90-W90</f>
        <v/>
      </c>
      <c r="Y90">
        <f>MIN(X90,MAX(0,$B90-((E$5&lt;W$5)*F90+(K$5&lt;W$5)*L90+(Q$5&lt;W$5)*R90+(AC$5&lt;W$5)*AD90+(AI$5&lt;W$5)*AJ90+(AO$5&lt;W$5)*AP90+(AU$5&lt;W$5)*AV90)))</f>
        <v/>
      </c>
      <c r="Z90">
        <f>IF(X90-Y90&lt;0.005,0,X90-Y90)</f>
        <v/>
      </c>
      <c r="AA90">
        <f>AF89</f>
        <v/>
      </c>
      <c r="AB90">
        <f>AA90*Plan!D10/100/12</f>
        <v/>
      </c>
      <c r="AC90">
        <f>MIN(Plan!E10,AA90+AB90)</f>
        <v/>
      </c>
      <c r="AD90">
        <f>AA90+AB90-AC90</f>
        <v/>
      </c>
      <c r="AE90">
        <f>MIN(AD90,MAX(0,$B90-((E$5&lt;AC$5)*F90+(K$5&lt;AC$5)*L90+(Q$5&lt;AC$5)*R90+(W$5&lt;AC$5)*X90+(AI$5&lt;AC$5)*AJ90+(AO$5&lt;AC$5)*AP90+(AU$5&lt;AC$5)*AV90)))</f>
        <v/>
      </c>
      <c r="AF90">
        <f>IF(AD90-AE90&lt;0.005,0,AD90-AE90)</f>
        <v/>
      </c>
      <c r="AG90">
        <f>AL89</f>
        <v/>
      </c>
      <c r="AH90">
        <f>AG90*Plan!D11/100/12</f>
        <v/>
      </c>
      <c r="AI90">
        <f>MIN(Plan!E11,AG90+AH90)</f>
        <v/>
      </c>
      <c r="AJ90">
        <f>AG90+AH90-AI90</f>
        <v/>
      </c>
      <c r="AK90">
        <f>MIN(AJ90,MAX(0,$B90-((E$5&lt;AI$5)*F90+(K$5&lt;AI$5)*L90+(Q$5&lt;AI$5)*R90+(W$5&lt;AI$5)*X90+(AC$5&lt;AI$5)*AD90+(AO$5&lt;AI$5)*AP90+(AU$5&lt;AI$5)*AV90)))</f>
        <v/>
      </c>
      <c r="AL90">
        <f>IF(AJ90-AK90&lt;0.005,0,AJ90-AK90)</f>
        <v/>
      </c>
      <c r="AM90">
        <f>AR89</f>
        <v/>
      </c>
      <c r="AN90">
        <f>AM90*Plan!D12/100/12</f>
        <v/>
      </c>
      <c r="AO90">
        <f>MIN(Plan!E12,AM90+AN90)</f>
        <v/>
      </c>
      <c r="AP90">
        <f>AM90+AN90-AO90</f>
        <v/>
      </c>
      <c r="AQ90">
        <f>MIN(AP90,MAX(0,$B90-((E$5&lt;AO$5)*F90+(K$5&lt;AO$5)*L90+(Q$5&lt;AO$5)*R90+(W$5&lt;AO$5)*X90+(AC$5&lt;AO$5)*AD90+(AI$5&lt;AO$5)*AJ90+(AU$5&lt;AO$5)*AV90)))</f>
        <v/>
      </c>
      <c r="AR90">
        <f>IF(AP90-AQ90&lt;0.005,0,AP90-AQ90)</f>
        <v/>
      </c>
      <c r="AS90">
        <f>AX89</f>
        <v/>
      </c>
      <c r="AT90">
        <f>AS90*Plan!D13/100/12</f>
        <v/>
      </c>
      <c r="AU90">
        <f>MIN(Plan!E13,AS90+AT90)</f>
        <v/>
      </c>
      <c r="AV90">
        <f>AS90+AT90-AU90</f>
        <v/>
      </c>
      <c r="AW90">
        <f>MIN(AV90,MAX(0,$B90-((E$5&lt;AU$5)*F90+(K$5&lt;AU$5)*L90+(Q$5&lt;AU$5)*R90+(W$5&lt;AU$5)*X90+(AC$5&lt;AU$5)*AD90+(AI$5&lt;AU$5)*AJ90+(AO$5&lt;AU$5)*AP90)))</f>
        <v/>
      </c>
      <c r="AX90">
        <f>IF(AV90-AW90&lt;0.005,0,AV90-AW90)</f>
        <v/>
      </c>
      <c r="BC90">
        <f>H90+N90+T90+Z90+AF90+AL90+AR90+AX90</f>
        <v/>
      </c>
    </row>
    <row r="91">
      <c r="A91" t="n">
        <v>85</v>
      </c>
      <c r="B91" s="19">
        <f>MAX(0,$B$3-(E91+K91+Q91+W91+AC91+AI91+AO91+AU91))</f>
        <v/>
      </c>
      <c r="C91">
        <f>H90</f>
        <v/>
      </c>
      <c r="D91">
        <f>C91*Plan!D6/100/12</f>
        <v/>
      </c>
      <c r="E91">
        <f>MIN(Plan!E6,C91+D91)</f>
        <v/>
      </c>
      <c r="F91">
        <f>C91+D91-E91</f>
        <v/>
      </c>
      <c r="G91">
        <f>MIN(F91,MAX(0,$B91-((K$5&lt;E$5)*L91+(Q$5&lt;E$5)*R91+(W$5&lt;E$5)*X91+(AC$5&lt;E$5)*AD91+(AI$5&lt;E$5)*AJ91+(AO$5&lt;E$5)*AP91+(AU$5&lt;E$5)*AV91)))</f>
        <v/>
      </c>
      <c r="H91">
        <f>IF(F91-G91&lt;0.005,0,F91-G91)</f>
        <v/>
      </c>
      <c r="I91">
        <f>N90</f>
        <v/>
      </c>
      <c r="J91">
        <f>I91*Plan!D7/100/12</f>
        <v/>
      </c>
      <c r="K91">
        <f>MIN(Plan!E7,I91+J91)</f>
        <v/>
      </c>
      <c r="L91">
        <f>I91+J91-K91</f>
        <v/>
      </c>
      <c r="M91">
        <f>MIN(L91,MAX(0,$B91-((E$5&lt;K$5)*F91+(Q$5&lt;K$5)*R91+(W$5&lt;K$5)*X91+(AC$5&lt;K$5)*AD91+(AI$5&lt;K$5)*AJ91+(AO$5&lt;K$5)*AP91+(AU$5&lt;K$5)*AV91)))</f>
        <v/>
      </c>
      <c r="N91">
        <f>IF(L91-M91&lt;0.005,0,L91-M91)</f>
        <v/>
      </c>
      <c r="O91">
        <f>T90</f>
        <v/>
      </c>
      <c r="P91">
        <f>O91*Plan!D8/100/12</f>
        <v/>
      </c>
      <c r="Q91">
        <f>MIN(Plan!E8,O91+P91)</f>
        <v/>
      </c>
      <c r="R91">
        <f>O91+P91-Q91</f>
        <v/>
      </c>
      <c r="S91">
        <f>MIN(R91,MAX(0,$B91-((E$5&lt;Q$5)*F91+(K$5&lt;Q$5)*L91+(W$5&lt;Q$5)*X91+(AC$5&lt;Q$5)*AD91+(AI$5&lt;Q$5)*AJ91+(AO$5&lt;Q$5)*AP91+(AU$5&lt;Q$5)*AV91)))</f>
        <v/>
      </c>
      <c r="T91">
        <f>IF(R91-S91&lt;0.005,0,R91-S91)</f>
        <v/>
      </c>
      <c r="U91">
        <f>Z90</f>
        <v/>
      </c>
      <c r="V91">
        <f>U91*Plan!D9/100/12</f>
        <v/>
      </c>
      <c r="W91">
        <f>MIN(Plan!E9,U91+V91)</f>
        <v/>
      </c>
      <c r="X91">
        <f>U91+V91-W91</f>
        <v/>
      </c>
      <c r="Y91">
        <f>MIN(X91,MAX(0,$B91-((E$5&lt;W$5)*F91+(K$5&lt;W$5)*L91+(Q$5&lt;W$5)*R91+(AC$5&lt;W$5)*AD91+(AI$5&lt;W$5)*AJ91+(AO$5&lt;W$5)*AP91+(AU$5&lt;W$5)*AV91)))</f>
        <v/>
      </c>
      <c r="Z91">
        <f>IF(X91-Y91&lt;0.005,0,X91-Y91)</f>
        <v/>
      </c>
      <c r="AA91">
        <f>AF90</f>
        <v/>
      </c>
      <c r="AB91">
        <f>AA91*Plan!D10/100/12</f>
        <v/>
      </c>
      <c r="AC91">
        <f>MIN(Plan!E10,AA91+AB91)</f>
        <v/>
      </c>
      <c r="AD91">
        <f>AA91+AB91-AC91</f>
        <v/>
      </c>
      <c r="AE91">
        <f>MIN(AD91,MAX(0,$B91-((E$5&lt;AC$5)*F91+(K$5&lt;AC$5)*L91+(Q$5&lt;AC$5)*R91+(W$5&lt;AC$5)*X91+(AI$5&lt;AC$5)*AJ91+(AO$5&lt;AC$5)*AP91+(AU$5&lt;AC$5)*AV91)))</f>
        <v/>
      </c>
      <c r="AF91">
        <f>IF(AD91-AE91&lt;0.005,0,AD91-AE91)</f>
        <v/>
      </c>
      <c r="AG91">
        <f>AL90</f>
        <v/>
      </c>
      <c r="AH91">
        <f>AG91*Plan!D11/100/12</f>
        <v/>
      </c>
      <c r="AI91">
        <f>MIN(Plan!E11,AG91+AH91)</f>
        <v/>
      </c>
      <c r="AJ91">
        <f>AG91+AH91-AI91</f>
        <v/>
      </c>
      <c r="AK91">
        <f>MIN(AJ91,MAX(0,$B91-((E$5&lt;AI$5)*F91+(K$5&lt;AI$5)*L91+(Q$5&lt;AI$5)*R91+(W$5&lt;AI$5)*X91+(AC$5&lt;AI$5)*AD91+(AO$5&lt;AI$5)*AP91+(AU$5&lt;AI$5)*AV91)))</f>
        <v/>
      </c>
      <c r="AL91">
        <f>IF(AJ91-AK91&lt;0.005,0,AJ91-AK91)</f>
        <v/>
      </c>
      <c r="AM91">
        <f>AR90</f>
        <v/>
      </c>
      <c r="AN91">
        <f>AM91*Plan!D12/100/12</f>
        <v/>
      </c>
      <c r="AO91">
        <f>MIN(Plan!E12,AM91+AN91)</f>
        <v/>
      </c>
      <c r="AP91">
        <f>AM91+AN91-AO91</f>
        <v/>
      </c>
      <c r="AQ91">
        <f>MIN(AP91,MAX(0,$B91-((E$5&lt;AO$5)*F91+(K$5&lt;AO$5)*L91+(Q$5&lt;AO$5)*R91+(W$5&lt;AO$5)*X91+(AC$5&lt;AO$5)*AD91+(AI$5&lt;AO$5)*AJ91+(AU$5&lt;AO$5)*AV91)))</f>
        <v/>
      </c>
      <c r="AR91">
        <f>IF(AP91-AQ91&lt;0.005,0,AP91-AQ91)</f>
        <v/>
      </c>
      <c r="AS91">
        <f>AX90</f>
        <v/>
      </c>
      <c r="AT91">
        <f>AS91*Plan!D13/100/12</f>
        <v/>
      </c>
      <c r="AU91">
        <f>MIN(Plan!E13,AS91+AT91)</f>
        <v/>
      </c>
      <c r="AV91">
        <f>AS91+AT91-AU91</f>
        <v/>
      </c>
      <c r="AW91">
        <f>MIN(AV91,MAX(0,$B91-((E$5&lt;AU$5)*F91+(K$5&lt;AU$5)*L91+(Q$5&lt;AU$5)*R91+(W$5&lt;AU$5)*X91+(AC$5&lt;AU$5)*AD91+(AI$5&lt;AU$5)*AJ91+(AO$5&lt;AU$5)*AP91)))</f>
        <v/>
      </c>
      <c r="AX91">
        <f>IF(AV91-AW91&lt;0.005,0,AV91-AW91)</f>
        <v/>
      </c>
      <c r="BC91">
        <f>H91+N91+T91+Z91+AF91+AL91+AR91+AX91</f>
        <v/>
      </c>
    </row>
    <row r="92">
      <c r="A92" t="n">
        <v>86</v>
      </c>
      <c r="B92" s="19">
        <f>MAX(0,$B$3-(E92+K92+Q92+W92+AC92+AI92+AO92+AU92))</f>
        <v/>
      </c>
      <c r="C92">
        <f>H91</f>
        <v/>
      </c>
      <c r="D92">
        <f>C92*Plan!D6/100/12</f>
        <v/>
      </c>
      <c r="E92">
        <f>MIN(Plan!E6,C92+D92)</f>
        <v/>
      </c>
      <c r="F92">
        <f>C92+D92-E92</f>
        <v/>
      </c>
      <c r="G92">
        <f>MIN(F92,MAX(0,$B92-((K$5&lt;E$5)*L92+(Q$5&lt;E$5)*R92+(W$5&lt;E$5)*X92+(AC$5&lt;E$5)*AD92+(AI$5&lt;E$5)*AJ92+(AO$5&lt;E$5)*AP92+(AU$5&lt;E$5)*AV92)))</f>
        <v/>
      </c>
      <c r="H92">
        <f>IF(F92-G92&lt;0.005,0,F92-G92)</f>
        <v/>
      </c>
      <c r="I92">
        <f>N91</f>
        <v/>
      </c>
      <c r="J92">
        <f>I92*Plan!D7/100/12</f>
        <v/>
      </c>
      <c r="K92">
        <f>MIN(Plan!E7,I92+J92)</f>
        <v/>
      </c>
      <c r="L92">
        <f>I92+J92-K92</f>
        <v/>
      </c>
      <c r="M92">
        <f>MIN(L92,MAX(0,$B92-((E$5&lt;K$5)*F92+(Q$5&lt;K$5)*R92+(W$5&lt;K$5)*X92+(AC$5&lt;K$5)*AD92+(AI$5&lt;K$5)*AJ92+(AO$5&lt;K$5)*AP92+(AU$5&lt;K$5)*AV92)))</f>
        <v/>
      </c>
      <c r="N92">
        <f>IF(L92-M92&lt;0.005,0,L92-M92)</f>
        <v/>
      </c>
      <c r="O92">
        <f>T91</f>
        <v/>
      </c>
      <c r="P92">
        <f>O92*Plan!D8/100/12</f>
        <v/>
      </c>
      <c r="Q92">
        <f>MIN(Plan!E8,O92+P92)</f>
        <v/>
      </c>
      <c r="R92">
        <f>O92+P92-Q92</f>
        <v/>
      </c>
      <c r="S92">
        <f>MIN(R92,MAX(0,$B92-((E$5&lt;Q$5)*F92+(K$5&lt;Q$5)*L92+(W$5&lt;Q$5)*X92+(AC$5&lt;Q$5)*AD92+(AI$5&lt;Q$5)*AJ92+(AO$5&lt;Q$5)*AP92+(AU$5&lt;Q$5)*AV92)))</f>
        <v/>
      </c>
      <c r="T92">
        <f>IF(R92-S92&lt;0.005,0,R92-S92)</f>
        <v/>
      </c>
      <c r="U92">
        <f>Z91</f>
        <v/>
      </c>
      <c r="V92">
        <f>U92*Plan!D9/100/12</f>
        <v/>
      </c>
      <c r="W92">
        <f>MIN(Plan!E9,U92+V92)</f>
        <v/>
      </c>
      <c r="X92">
        <f>U92+V92-W92</f>
        <v/>
      </c>
      <c r="Y92">
        <f>MIN(X92,MAX(0,$B92-((E$5&lt;W$5)*F92+(K$5&lt;W$5)*L92+(Q$5&lt;W$5)*R92+(AC$5&lt;W$5)*AD92+(AI$5&lt;W$5)*AJ92+(AO$5&lt;W$5)*AP92+(AU$5&lt;W$5)*AV92)))</f>
        <v/>
      </c>
      <c r="Z92">
        <f>IF(X92-Y92&lt;0.005,0,X92-Y92)</f>
        <v/>
      </c>
      <c r="AA92">
        <f>AF91</f>
        <v/>
      </c>
      <c r="AB92">
        <f>AA92*Plan!D10/100/12</f>
        <v/>
      </c>
      <c r="AC92">
        <f>MIN(Plan!E10,AA92+AB92)</f>
        <v/>
      </c>
      <c r="AD92">
        <f>AA92+AB92-AC92</f>
        <v/>
      </c>
      <c r="AE92">
        <f>MIN(AD92,MAX(0,$B92-((E$5&lt;AC$5)*F92+(K$5&lt;AC$5)*L92+(Q$5&lt;AC$5)*R92+(W$5&lt;AC$5)*X92+(AI$5&lt;AC$5)*AJ92+(AO$5&lt;AC$5)*AP92+(AU$5&lt;AC$5)*AV92)))</f>
        <v/>
      </c>
      <c r="AF92">
        <f>IF(AD92-AE92&lt;0.005,0,AD92-AE92)</f>
        <v/>
      </c>
      <c r="AG92">
        <f>AL91</f>
        <v/>
      </c>
      <c r="AH92">
        <f>AG92*Plan!D11/100/12</f>
        <v/>
      </c>
      <c r="AI92">
        <f>MIN(Plan!E11,AG92+AH92)</f>
        <v/>
      </c>
      <c r="AJ92">
        <f>AG92+AH92-AI92</f>
        <v/>
      </c>
      <c r="AK92">
        <f>MIN(AJ92,MAX(0,$B92-((E$5&lt;AI$5)*F92+(K$5&lt;AI$5)*L92+(Q$5&lt;AI$5)*R92+(W$5&lt;AI$5)*X92+(AC$5&lt;AI$5)*AD92+(AO$5&lt;AI$5)*AP92+(AU$5&lt;AI$5)*AV92)))</f>
        <v/>
      </c>
      <c r="AL92">
        <f>IF(AJ92-AK92&lt;0.005,0,AJ92-AK92)</f>
        <v/>
      </c>
      <c r="AM92">
        <f>AR91</f>
        <v/>
      </c>
      <c r="AN92">
        <f>AM92*Plan!D12/100/12</f>
        <v/>
      </c>
      <c r="AO92">
        <f>MIN(Plan!E12,AM92+AN92)</f>
        <v/>
      </c>
      <c r="AP92">
        <f>AM92+AN92-AO92</f>
        <v/>
      </c>
      <c r="AQ92">
        <f>MIN(AP92,MAX(0,$B92-((E$5&lt;AO$5)*F92+(K$5&lt;AO$5)*L92+(Q$5&lt;AO$5)*R92+(W$5&lt;AO$5)*X92+(AC$5&lt;AO$5)*AD92+(AI$5&lt;AO$5)*AJ92+(AU$5&lt;AO$5)*AV92)))</f>
        <v/>
      </c>
      <c r="AR92">
        <f>IF(AP92-AQ92&lt;0.005,0,AP92-AQ92)</f>
        <v/>
      </c>
      <c r="AS92">
        <f>AX91</f>
        <v/>
      </c>
      <c r="AT92">
        <f>AS92*Plan!D13/100/12</f>
        <v/>
      </c>
      <c r="AU92">
        <f>MIN(Plan!E13,AS92+AT92)</f>
        <v/>
      </c>
      <c r="AV92">
        <f>AS92+AT92-AU92</f>
        <v/>
      </c>
      <c r="AW92">
        <f>MIN(AV92,MAX(0,$B92-((E$5&lt;AU$5)*F92+(K$5&lt;AU$5)*L92+(Q$5&lt;AU$5)*R92+(W$5&lt;AU$5)*X92+(AC$5&lt;AU$5)*AD92+(AI$5&lt;AU$5)*AJ92+(AO$5&lt;AU$5)*AP92)))</f>
        <v/>
      </c>
      <c r="AX92">
        <f>IF(AV92-AW92&lt;0.005,0,AV92-AW92)</f>
        <v/>
      </c>
      <c r="BC92">
        <f>H92+N92+T92+Z92+AF92+AL92+AR92+AX92</f>
        <v/>
      </c>
    </row>
    <row r="93">
      <c r="A93" t="n">
        <v>87</v>
      </c>
      <c r="B93" s="19">
        <f>MAX(0,$B$3-(E93+K93+Q93+W93+AC93+AI93+AO93+AU93))</f>
        <v/>
      </c>
      <c r="C93">
        <f>H92</f>
        <v/>
      </c>
      <c r="D93">
        <f>C93*Plan!D6/100/12</f>
        <v/>
      </c>
      <c r="E93">
        <f>MIN(Plan!E6,C93+D93)</f>
        <v/>
      </c>
      <c r="F93">
        <f>C93+D93-E93</f>
        <v/>
      </c>
      <c r="G93">
        <f>MIN(F93,MAX(0,$B93-((K$5&lt;E$5)*L93+(Q$5&lt;E$5)*R93+(W$5&lt;E$5)*X93+(AC$5&lt;E$5)*AD93+(AI$5&lt;E$5)*AJ93+(AO$5&lt;E$5)*AP93+(AU$5&lt;E$5)*AV93)))</f>
        <v/>
      </c>
      <c r="H93">
        <f>IF(F93-G93&lt;0.005,0,F93-G93)</f>
        <v/>
      </c>
      <c r="I93">
        <f>N92</f>
        <v/>
      </c>
      <c r="J93">
        <f>I93*Plan!D7/100/12</f>
        <v/>
      </c>
      <c r="K93">
        <f>MIN(Plan!E7,I93+J93)</f>
        <v/>
      </c>
      <c r="L93">
        <f>I93+J93-K93</f>
        <v/>
      </c>
      <c r="M93">
        <f>MIN(L93,MAX(0,$B93-((E$5&lt;K$5)*F93+(Q$5&lt;K$5)*R93+(W$5&lt;K$5)*X93+(AC$5&lt;K$5)*AD93+(AI$5&lt;K$5)*AJ93+(AO$5&lt;K$5)*AP93+(AU$5&lt;K$5)*AV93)))</f>
        <v/>
      </c>
      <c r="N93">
        <f>IF(L93-M93&lt;0.005,0,L93-M93)</f>
        <v/>
      </c>
      <c r="O93">
        <f>T92</f>
        <v/>
      </c>
      <c r="P93">
        <f>O93*Plan!D8/100/12</f>
        <v/>
      </c>
      <c r="Q93">
        <f>MIN(Plan!E8,O93+P93)</f>
        <v/>
      </c>
      <c r="R93">
        <f>O93+P93-Q93</f>
        <v/>
      </c>
      <c r="S93">
        <f>MIN(R93,MAX(0,$B93-((E$5&lt;Q$5)*F93+(K$5&lt;Q$5)*L93+(W$5&lt;Q$5)*X93+(AC$5&lt;Q$5)*AD93+(AI$5&lt;Q$5)*AJ93+(AO$5&lt;Q$5)*AP93+(AU$5&lt;Q$5)*AV93)))</f>
        <v/>
      </c>
      <c r="T93">
        <f>IF(R93-S93&lt;0.005,0,R93-S93)</f>
        <v/>
      </c>
      <c r="U93">
        <f>Z92</f>
        <v/>
      </c>
      <c r="V93">
        <f>U93*Plan!D9/100/12</f>
        <v/>
      </c>
      <c r="W93">
        <f>MIN(Plan!E9,U93+V93)</f>
        <v/>
      </c>
      <c r="X93">
        <f>U93+V93-W93</f>
        <v/>
      </c>
      <c r="Y93">
        <f>MIN(X93,MAX(0,$B93-((E$5&lt;W$5)*F93+(K$5&lt;W$5)*L93+(Q$5&lt;W$5)*R93+(AC$5&lt;W$5)*AD93+(AI$5&lt;W$5)*AJ93+(AO$5&lt;W$5)*AP93+(AU$5&lt;W$5)*AV93)))</f>
        <v/>
      </c>
      <c r="Z93">
        <f>IF(X93-Y93&lt;0.005,0,X93-Y93)</f>
        <v/>
      </c>
      <c r="AA93">
        <f>AF92</f>
        <v/>
      </c>
      <c r="AB93">
        <f>AA93*Plan!D10/100/12</f>
        <v/>
      </c>
      <c r="AC93">
        <f>MIN(Plan!E10,AA93+AB93)</f>
        <v/>
      </c>
      <c r="AD93">
        <f>AA93+AB93-AC93</f>
        <v/>
      </c>
      <c r="AE93">
        <f>MIN(AD93,MAX(0,$B93-((E$5&lt;AC$5)*F93+(K$5&lt;AC$5)*L93+(Q$5&lt;AC$5)*R93+(W$5&lt;AC$5)*X93+(AI$5&lt;AC$5)*AJ93+(AO$5&lt;AC$5)*AP93+(AU$5&lt;AC$5)*AV93)))</f>
        <v/>
      </c>
      <c r="AF93">
        <f>IF(AD93-AE93&lt;0.005,0,AD93-AE93)</f>
        <v/>
      </c>
      <c r="AG93">
        <f>AL92</f>
        <v/>
      </c>
      <c r="AH93">
        <f>AG93*Plan!D11/100/12</f>
        <v/>
      </c>
      <c r="AI93">
        <f>MIN(Plan!E11,AG93+AH93)</f>
        <v/>
      </c>
      <c r="AJ93">
        <f>AG93+AH93-AI93</f>
        <v/>
      </c>
      <c r="AK93">
        <f>MIN(AJ93,MAX(0,$B93-((E$5&lt;AI$5)*F93+(K$5&lt;AI$5)*L93+(Q$5&lt;AI$5)*R93+(W$5&lt;AI$5)*X93+(AC$5&lt;AI$5)*AD93+(AO$5&lt;AI$5)*AP93+(AU$5&lt;AI$5)*AV93)))</f>
        <v/>
      </c>
      <c r="AL93">
        <f>IF(AJ93-AK93&lt;0.005,0,AJ93-AK93)</f>
        <v/>
      </c>
      <c r="AM93">
        <f>AR92</f>
        <v/>
      </c>
      <c r="AN93">
        <f>AM93*Plan!D12/100/12</f>
        <v/>
      </c>
      <c r="AO93">
        <f>MIN(Plan!E12,AM93+AN93)</f>
        <v/>
      </c>
      <c r="AP93">
        <f>AM93+AN93-AO93</f>
        <v/>
      </c>
      <c r="AQ93">
        <f>MIN(AP93,MAX(0,$B93-((E$5&lt;AO$5)*F93+(K$5&lt;AO$5)*L93+(Q$5&lt;AO$5)*R93+(W$5&lt;AO$5)*X93+(AC$5&lt;AO$5)*AD93+(AI$5&lt;AO$5)*AJ93+(AU$5&lt;AO$5)*AV93)))</f>
        <v/>
      </c>
      <c r="AR93">
        <f>IF(AP93-AQ93&lt;0.005,0,AP93-AQ93)</f>
        <v/>
      </c>
      <c r="AS93">
        <f>AX92</f>
        <v/>
      </c>
      <c r="AT93">
        <f>AS93*Plan!D13/100/12</f>
        <v/>
      </c>
      <c r="AU93">
        <f>MIN(Plan!E13,AS93+AT93)</f>
        <v/>
      </c>
      <c r="AV93">
        <f>AS93+AT93-AU93</f>
        <v/>
      </c>
      <c r="AW93">
        <f>MIN(AV93,MAX(0,$B93-((E$5&lt;AU$5)*F93+(K$5&lt;AU$5)*L93+(Q$5&lt;AU$5)*R93+(W$5&lt;AU$5)*X93+(AC$5&lt;AU$5)*AD93+(AI$5&lt;AU$5)*AJ93+(AO$5&lt;AU$5)*AP93)))</f>
        <v/>
      </c>
      <c r="AX93">
        <f>IF(AV93-AW93&lt;0.005,0,AV93-AW93)</f>
        <v/>
      </c>
      <c r="BC93">
        <f>H93+N93+T93+Z93+AF93+AL93+AR93+AX93</f>
        <v/>
      </c>
    </row>
    <row r="94">
      <c r="A94" t="n">
        <v>88</v>
      </c>
      <c r="B94" s="19">
        <f>MAX(0,$B$3-(E94+K94+Q94+W94+AC94+AI94+AO94+AU94))</f>
        <v/>
      </c>
      <c r="C94">
        <f>H93</f>
        <v/>
      </c>
      <c r="D94">
        <f>C94*Plan!D6/100/12</f>
        <v/>
      </c>
      <c r="E94">
        <f>MIN(Plan!E6,C94+D94)</f>
        <v/>
      </c>
      <c r="F94">
        <f>C94+D94-E94</f>
        <v/>
      </c>
      <c r="G94">
        <f>MIN(F94,MAX(0,$B94-((K$5&lt;E$5)*L94+(Q$5&lt;E$5)*R94+(W$5&lt;E$5)*X94+(AC$5&lt;E$5)*AD94+(AI$5&lt;E$5)*AJ94+(AO$5&lt;E$5)*AP94+(AU$5&lt;E$5)*AV94)))</f>
        <v/>
      </c>
      <c r="H94">
        <f>IF(F94-G94&lt;0.005,0,F94-G94)</f>
        <v/>
      </c>
      <c r="I94">
        <f>N93</f>
        <v/>
      </c>
      <c r="J94">
        <f>I94*Plan!D7/100/12</f>
        <v/>
      </c>
      <c r="K94">
        <f>MIN(Plan!E7,I94+J94)</f>
        <v/>
      </c>
      <c r="L94">
        <f>I94+J94-K94</f>
        <v/>
      </c>
      <c r="M94">
        <f>MIN(L94,MAX(0,$B94-((E$5&lt;K$5)*F94+(Q$5&lt;K$5)*R94+(W$5&lt;K$5)*X94+(AC$5&lt;K$5)*AD94+(AI$5&lt;K$5)*AJ94+(AO$5&lt;K$5)*AP94+(AU$5&lt;K$5)*AV94)))</f>
        <v/>
      </c>
      <c r="N94">
        <f>IF(L94-M94&lt;0.005,0,L94-M94)</f>
        <v/>
      </c>
      <c r="O94">
        <f>T93</f>
        <v/>
      </c>
      <c r="P94">
        <f>O94*Plan!D8/100/12</f>
        <v/>
      </c>
      <c r="Q94">
        <f>MIN(Plan!E8,O94+P94)</f>
        <v/>
      </c>
      <c r="R94">
        <f>O94+P94-Q94</f>
        <v/>
      </c>
      <c r="S94">
        <f>MIN(R94,MAX(0,$B94-((E$5&lt;Q$5)*F94+(K$5&lt;Q$5)*L94+(W$5&lt;Q$5)*X94+(AC$5&lt;Q$5)*AD94+(AI$5&lt;Q$5)*AJ94+(AO$5&lt;Q$5)*AP94+(AU$5&lt;Q$5)*AV94)))</f>
        <v/>
      </c>
      <c r="T94">
        <f>IF(R94-S94&lt;0.005,0,R94-S94)</f>
        <v/>
      </c>
      <c r="U94">
        <f>Z93</f>
        <v/>
      </c>
      <c r="V94">
        <f>U94*Plan!D9/100/12</f>
        <v/>
      </c>
      <c r="W94">
        <f>MIN(Plan!E9,U94+V94)</f>
        <v/>
      </c>
      <c r="X94">
        <f>U94+V94-W94</f>
        <v/>
      </c>
      <c r="Y94">
        <f>MIN(X94,MAX(0,$B94-((E$5&lt;W$5)*F94+(K$5&lt;W$5)*L94+(Q$5&lt;W$5)*R94+(AC$5&lt;W$5)*AD94+(AI$5&lt;W$5)*AJ94+(AO$5&lt;W$5)*AP94+(AU$5&lt;W$5)*AV94)))</f>
        <v/>
      </c>
      <c r="Z94">
        <f>IF(X94-Y94&lt;0.005,0,X94-Y94)</f>
        <v/>
      </c>
      <c r="AA94">
        <f>AF93</f>
        <v/>
      </c>
      <c r="AB94">
        <f>AA94*Plan!D10/100/12</f>
        <v/>
      </c>
      <c r="AC94">
        <f>MIN(Plan!E10,AA94+AB94)</f>
        <v/>
      </c>
      <c r="AD94">
        <f>AA94+AB94-AC94</f>
        <v/>
      </c>
      <c r="AE94">
        <f>MIN(AD94,MAX(0,$B94-((E$5&lt;AC$5)*F94+(K$5&lt;AC$5)*L94+(Q$5&lt;AC$5)*R94+(W$5&lt;AC$5)*X94+(AI$5&lt;AC$5)*AJ94+(AO$5&lt;AC$5)*AP94+(AU$5&lt;AC$5)*AV94)))</f>
        <v/>
      </c>
      <c r="AF94">
        <f>IF(AD94-AE94&lt;0.005,0,AD94-AE94)</f>
        <v/>
      </c>
      <c r="AG94">
        <f>AL93</f>
        <v/>
      </c>
      <c r="AH94">
        <f>AG94*Plan!D11/100/12</f>
        <v/>
      </c>
      <c r="AI94">
        <f>MIN(Plan!E11,AG94+AH94)</f>
        <v/>
      </c>
      <c r="AJ94">
        <f>AG94+AH94-AI94</f>
        <v/>
      </c>
      <c r="AK94">
        <f>MIN(AJ94,MAX(0,$B94-((E$5&lt;AI$5)*F94+(K$5&lt;AI$5)*L94+(Q$5&lt;AI$5)*R94+(W$5&lt;AI$5)*X94+(AC$5&lt;AI$5)*AD94+(AO$5&lt;AI$5)*AP94+(AU$5&lt;AI$5)*AV94)))</f>
        <v/>
      </c>
      <c r="AL94">
        <f>IF(AJ94-AK94&lt;0.005,0,AJ94-AK94)</f>
        <v/>
      </c>
      <c r="AM94">
        <f>AR93</f>
        <v/>
      </c>
      <c r="AN94">
        <f>AM94*Plan!D12/100/12</f>
        <v/>
      </c>
      <c r="AO94">
        <f>MIN(Plan!E12,AM94+AN94)</f>
        <v/>
      </c>
      <c r="AP94">
        <f>AM94+AN94-AO94</f>
        <v/>
      </c>
      <c r="AQ94">
        <f>MIN(AP94,MAX(0,$B94-((E$5&lt;AO$5)*F94+(K$5&lt;AO$5)*L94+(Q$5&lt;AO$5)*R94+(W$5&lt;AO$5)*X94+(AC$5&lt;AO$5)*AD94+(AI$5&lt;AO$5)*AJ94+(AU$5&lt;AO$5)*AV94)))</f>
        <v/>
      </c>
      <c r="AR94">
        <f>IF(AP94-AQ94&lt;0.005,0,AP94-AQ94)</f>
        <v/>
      </c>
      <c r="AS94">
        <f>AX93</f>
        <v/>
      </c>
      <c r="AT94">
        <f>AS94*Plan!D13/100/12</f>
        <v/>
      </c>
      <c r="AU94">
        <f>MIN(Plan!E13,AS94+AT94)</f>
        <v/>
      </c>
      <c r="AV94">
        <f>AS94+AT94-AU94</f>
        <v/>
      </c>
      <c r="AW94">
        <f>MIN(AV94,MAX(0,$B94-((E$5&lt;AU$5)*F94+(K$5&lt;AU$5)*L94+(Q$5&lt;AU$5)*R94+(W$5&lt;AU$5)*X94+(AC$5&lt;AU$5)*AD94+(AI$5&lt;AU$5)*AJ94+(AO$5&lt;AU$5)*AP94)))</f>
        <v/>
      </c>
      <c r="AX94">
        <f>IF(AV94-AW94&lt;0.005,0,AV94-AW94)</f>
        <v/>
      </c>
      <c r="BC94">
        <f>H94+N94+T94+Z94+AF94+AL94+AR94+AX94</f>
        <v/>
      </c>
    </row>
    <row r="95">
      <c r="A95" t="n">
        <v>89</v>
      </c>
      <c r="B95" s="19">
        <f>MAX(0,$B$3-(E95+K95+Q95+W95+AC95+AI95+AO95+AU95))</f>
        <v/>
      </c>
      <c r="C95">
        <f>H94</f>
        <v/>
      </c>
      <c r="D95">
        <f>C95*Plan!D6/100/12</f>
        <v/>
      </c>
      <c r="E95">
        <f>MIN(Plan!E6,C95+D95)</f>
        <v/>
      </c>
      <c r="F95">
        <f>C95+D95-E95</f>
        <v/>
      </c>
      <c r="G95">
        <f>MIN(F95,MAX(0,$B95-((K$5&lt;E$5)*L95+(Q$5&lt;E$5)*R95+(W$5&lt;E$5)*X95+(AC$5&lt;E$5)*AD95+(AI$5&lt;E$5)*AJ95+(AO$5&lt;E$5)*AP95+(AU$5&lt;E$5)*AV95)))</f>
        <v/>
      </c>
      <c r="H95">
        <f>IF(F95-G95&lt;0.005,0,F95-G95)</f>
        <v/>
      </c>
      <c r="I95">
        <f>N94</f>
        <v/>
      </c>
      <c r="J95">
        <f>I95*Plan!D7/100/12</f>
        <v/>
      </c>
      <c r="K95">
        <f>MIN(Plan!E7,I95+J95)</f>
        <v/>
      </c>
      <c r="L95">
        <f>I95+J95-K95</f>
        <v/>
      </c>
      <c r="M95">
        <f>MIN(L95,MAX(0,$B95-((E$5&lt;K$5)*F95+(Q$5&lt;K$5)*R95+(W$5&lt;K$5)*X95+(AC$5&lt;K$5)*AD95+(AI$5&lt;K$5)*AJ95+(AO$5&lt;K$5)*AP95+(AU$5&lt;K$5)*AV95)))</f>
        <v/>
      </c>
      <c r="N95">
        <f>IF(L95-M95&lt;0.005,0,L95-M95)</f>
        <v/>
      </c>
      <c r="O95">
        <f>T94</f>
        <v/>
      </c>
      <c r="P95">
        <f>O95*Plan!D8/100/12</f>
        <v/>
      </c>
      <c r="Q95">
        <f>MIN(Plan!E8,O95+P95)</f>
        <v/>
      </c>
      <c r="R95">
        <f>O95+P95-Q95</f>
        <v/>
      </c>
      <c r="S95">
        <f>MIN(R95,MAX(0,$B95-((E$5&lt;Q$5)*F95+(K$5&lt;Q$5)*L95+(W$5&lt;Q$5)*X95+(AC$5&lt;Q$5)*AD95+(AI$5&lt;Q$5)*AJ95+(AO$5&lt;Q$5)*AP95+(AU$5&lt;Q$5)*AV95)))</f>
        <v/>
      </c>
      <c r="T95">
        <f>IF(R95-S95&lt;0.005,0,R95-S95)</f>
        <v/>
      </c>
      <c r="U95">
        <f>Z94</f>
        <v/>
      </c>
      <c r="V95">
        <f>U95*Plan!D9/100/12</f>
        <v/>
      </c>
      <c r="W95">
        <f>MIN(Plan!E9,U95+V95)</f>
        <v/>
      </c>
      <c r="X95">
        <f>U95+V95-W95</f>
        <v/>
      </c>
      <c r="Y95">
        <f>MIN(X95,MAX(0,$B95-((E$5&lt;W$5)*F95+(K$5&lt;W$5)*L95+(Q$5&lt;W$5)*R95+(AC$5&lt;W$5)*AD95+(AI$5&lt;W$5)*AJ95+(AO$5&lt;W$5)*AP95+(AU$5&lt;W$5)*AV95)))</f>
        <v/>
      </c>
      <c r="Z95">
        <f>IF(X95-Y95&lt;0.005,0,X95-Y95)</f>
        <v/>
      </c>
      <c r="AA95">
        <f>AF94</f>
        <v/>
      </c>
      <c r="AB95">
        <f>AA95*Plan!D10/100/12</f>
        <v/>
      </c>
      <c r="AC95">
        <f>MIN(Plan!E10,AA95+AB95)</f>
        <v/>
      </c>
      <c r="AD95">
        <f>AA95+AB95-AC95</f>
        <v/>
      </c>
      <c r="AE95">
        <f>MIN(AD95,MAX(0,$B95-((E$5&lt;AC$5)*F95+(K$5&lt;AC$5)*L95+(Q$5&lt;AC$5)*R95+(W$5&lt;AC$5)*X95+(AI$5&lt;AC$5)*AJ95+(AO$5&lt;AC$5)*AP95+(AU$5&lt;AC$5)*AV95)))</f>
        <v/>
      </c>
      <c r="AF95">
        <f>IF(AD95-AE95&lt;0.005,0,AD95-AE95)</f>
        <v/>
      </c>
      <c r="AG95">
        <f>AL94</f>
        <v/>
      </c>
      <c r="AH95">
        <f>AG95*Plan!D11/100/12</f>
        <v/>
      </c>
      <c r="AI95">
        <f>MIN(Plan!E11,AG95+AH95)</f>
        <v/>
      </c>
      <c r="AJ95">
        <f>AG95+AH95-AI95</f>
        <v/>
      </c>
      <c r="AK95">
        <f>MIN(AJ95,MAX(0,$B95-((E$5&lt;AI$5)*F95+(K$5&lt;AI$5)*L95+(Q$5&lt;AI$5)*R95+(W$5&lt;AI$5)*X95+(AC$5&lt;AI$5)*AD95+(AO$5&lt;AI$5)*AP95+(AU$5&lt;AI$5)*AV95)))</f>
        <v/>
      </c>
      <c r="AL95">
        <f>IF(AJ95-AK95&lt;0.005,0,AJ95-AK95)</f>
        <v/>
      </c>
      <c r="AM95">
        <f>AR94</f>
        <v/>
      </c>
      <c r="AN95">
        <f>AM95*Plan!D12/100/12</f>
        <v/>
      </c>
      <c r="AO95">
        <f>MIN(Plan!E12,AM95+AN95)</f>
        <v/>
      </c>
      <c r="AP95">
        <f>AM95+AN95-AO95</f>
        <v/>
      </c>
      <c r="AQ95">
        <f>MIN(AP95,MAX(0,$B95-((E$5&lt;AO$5)*F95+(K$5&lt;AO$5)*L95+(Q$5&lt;AO$5)*R95+(W$5&lt;AO$5)*X95+(AC$5&lt;AO$5)*AD95+(AI$5&lt;AO$5)*AJ95+(AU$5&lt;AO$5)*AV95)))</f>
        <v/>
      </c>
      <c r="AR95">
        <f>IF(AP95-AQ95&lt;0.005,0,AP95-AQ95)</f>
        <v/>
      </c>
      <c r="AS95">
        <f>AX94</f>
        <v/>
      </c>
      <c r="AT95">
        <f>AS95*Plan!D13/100/12</f>
        <v/>
      </c>
      <c r="AU95">
        <f>MIN(Plan!E13,AS95+AT95)</f>
        <v/>
      </c>
      <c r="AV95">
        <f>AS95+AT95-AU95</f>
        <v/>
      </c>
      <c r="AW95">
        <f>MIN(AV95,MAX(0,$B95-((E$5&lt;AU$5)*F95+(K$5&lt;AU$5)*L95+(Q$5&lt;AU$5)*R95+(W$5&lt;AU$5)*X95+(AC$5&lt;AU$5)*AD95+(AI$5&lt;AU$5)*AJ95+(AO$5&lt;AU$5)*AP95)))</f>
        <v/>
      </c>
      <c r="AX95">
        <f>IF(AV95-AW95&lt;0.005,0,AV95-AW95)</f>
        <v/>
      </c>
      <c r="BC95">
        <f>H95+N95+T95+Z95+AF95+AL95+AR95+AX95</f>
        <v/>
      </c>
    </row>
    <row r="96">
      <c r="A96" t="n">
        <v>90</v>
      </c>
      <c r="B96" s="19">
        <f>MAX(0,$B$3-(E96+K96+Q96+W96+AC96+AI96+AO96+AU96))</f>
        <v/>
      </c>
      <c r="C96">
        <f>H95</f>
        <v/>
      </c>
      <c r="D96">
        <f>C96*Plan!D6/100/12</f>
        <v/>
      </c>
      <c r="E96">
        <f>MIN(Plan!E6,C96+D96)</f>
        <v/>
      </c>
      <c r="F96">
        <f>C96+D96-E96</f>
        <v/>
      </c>
      <c r="G96">
        <f>MIN(F96,MAX(0,$B96-((K$5&lt;E$5)*L96+(Q$5&lt;E$5)*R96+(W$5&lt;E$5)*X96+(AC$5&lt;E$5)*AD96+(AI$5&lt;E$5)*AJ96+(AO$5&lt;E$5)*AP96+(AU$5&lt;E$5)*AV96)))</f>
        <v/>
      </c>
      <c r="H96">
        <f>IF(F96-G96&lt;0.005,0,F96-G96)</f>
        <v/>
      </c>
      <c r="I96">
        <f>N95</f>
        <v/>
      </c>
      <c r="J96">
        <f>I96*Plan!D7/100/12</f>
        <v/>
      </c>
      <c r="K96">
        <f>MIN(Plan!E7,I96+J96)</f>
        <v/>
      </c>
      <c r="L96">
        <f>I96+J96-K96</f>
        <v/>
      </c>
      <c r="M96">
        <f>MIN(L96,MAX(0,$B96-((E$5&lt;K$5)*F96+(Q$5&lt;K$5)*R96+(W$5&lt;K$5)*X96+(AC$5&lt;K$5)*AD96+(AI$5&lt;K$5)*AJ96+(AO$5&lt;K$5)*AP96+(AU$5&lt;K$5)*AV96)))</f>
        <v/>
      </c>
      <c r="N96">
        <f>IF(L96-M96&lt;0.005,0,L96-M96)</f>
        <v/>
      </c>
      <c r="O96">
        <f>T95</f>
        <v/>
      </c>
      <c r="P96">
        <f>O96*Plan!D8/100/12</f>
        <v/>
      </c>
      <c r="Q96">
        <f>MIN(Plan!E8,O96+P96)</f>
        <v/>
      </c>
      <c r="R96">
        <f>O96+P96-Q96</f>
        <v/>
      </c>
      <c r="S96">
        <f>MIN(R96,MAX(0,$B96-((E$5&lt;Q$5)*F96+(K$5&lt;Q$5)*L96+(W$5&lt;Q$5)*X96+(AC$5&lt;Q$5)*AD96+(AI$5&lt;Q$5)*AJ96+(AO$5&lt;Q$5)*AP96+(AU$5&lt;Q$5)*AV96)))</f>
        <v/>
      </c>
      <c r="T96">
        <f>IF(R96-S96&lt;0.005,0,R96-S96)</f>
        <v/>
      </c>
      <c r="U96">
        <f>Z95</f>
        <v/>
      </c>
      <c r="V96">
        <f>U96*Plan!D9/100/12</f>
        <v/>
      </c>
      <c r="W96">
        <f>MIN(Plan!E9,U96+V96)</f>
        <v/>
      </c>
      <c r="X96">
        <f>U96+V96-W96</f>
        <v/>
      </c>
      <c r="Y96">
        <f>MIN(X96,MAX(0,$B96-((E$5&lt;W$5)*F96+(K$5&lt;W$5)*L96+(Q$5&lt;W$5)*R96+(AC$5&lt;W$5)*AD96+(AI$5&lt;W$5)*AJ96+(AO$5&lt;W$5)*AP96+(AU$5&lt;W$5)*AV96)))</f>
        <v/>
      </c>
      <c r="Z96">
        <f>IF(X96-Y96&lt;0.005,0,X96-Y96)</f>
        <v/>
      </c>
      <c r="AA96">
        <f>AF95</f>
        <v/>
      </c>
      <c r="AB96">
        <f>AA96*Plan!D10/100/12</f>
        <v/>
      </c>
      <c r="AC96">
        <f>MIN(Plan!E10,AA96+AB96)</f>
        <v/>
      </c>
      <c r="AD96">
        <f>AA96+AB96-AC96</f>
        <v/>
      </c>
      <c r="AE96">
        <f>MIN(AD96,MAX(0,$B96-((E$5&lt;AC$5)*F96+(K$5&lt;AC$5)*L96+(Q$5&lt;AC$5)*R96+(W$5&lt;AC$5)*X96+(AI$5&lt;AC$5)*AJ96+(AO$5&lt;AC$5)*AP96+(AU$5&lt;AC$5)*AV96)))</f>
        <v/>
      </c>
      <c r="AF96">
        <f>IF(AD96-AE96&lt;0.005,0,AD96-AE96)</f>
        <v/>
      </c>
      <c r="AG96">
        <f>AL95</f>
        <v/>
      </c>
      <c r="AH96">
        <f>AG96*Plan!D11/100/12</f>
        <v/>
      </c>
      <c r="AI96">
        <f>MIN(Plan!E11,AG96+AH96)</f>
        <v/>
      </c>
      <c r="AJ96">
        <f>AG96+AH96-AI96</f>
        <v/>
      </c>
      <c r="AK96">
        <f>MIN(AJ96,MAX(0,$B96-((E$5&lt;AI$5)*F96+(K$5&lt;AI$5)*L96+(Q$5&lt;AI$5)*R96+(W$5&lt;AI$5)*X96+(AC$5&lt;AI$5)*AD96+(AO$5&lt;AI$5)*AP96+(AU$5&lt;AI$5)*AV96)))</f>
        <v/>
      </c>
      <c r="AL96">
        <f>IF(AJ96-AK96&lt;0.005,0,AJ96-AK96)</f>
        <v/>
      </c>
      <c r="AM96">
        <f>AR95</f>
        <v/>
      </c>
      <c r="AN96">
        <f>AM96*Plan!D12/100/12</f>
        <v/>
      </c>
      <c r="AO96">
        <f>MIN(Plan!E12,AM96+AN96)</f>
        <v/>
      </c>
      <c r="AP96">
        <f>AM96+AN96-AO96</f>
        <v/>
      </c>
      <c r="AQ96">
        <f>MIN(AP96,MAX(0,$B96-((E$5&lt;AO$5)*F96+(K$5&lt;AO$5)*L96+(Q$5&lt;AO$5)*R96+(W$5&lt;AO$5)*X96+(AC$5&lt;AO$5)*AD96+(AI$5&lt;AO$5)*AJ96+(AU$5&lt;AO$5)*AV96)))</f>
        <v/>
      </c>
      <c r="AR96">
        <f>IF(AP96-AQ96&lt;0.005,0,AP96-AQ96)</f>
        <v/>
      </c>
      <c r="AS96">
        <f>AX95</f>
        <v/>
      </c>
      <c r="AT96">
        <f>AS96*Plan!D13/100/12</f>
        <v/>
      </c>
      <c r="AU96">
        <f>MIN(Plan!E13,AS96+AT96)</f>
        <v/>
      </c>
      <c r="AV96">
        <f>AS96+AT96-AU96</f>
        <v/>
      </c>
      <c r="AW96">
        <f>MIN(AV96,MAX(0,$B96-((E$5&lt;AU$5)*F96+(K$5&lt;AU$5)*L96+(Q$5&lt;AU$5)*R96+(W$5&lt;AU$5)*X96+(AC$5&lt;AU$5)*AD96+(AI$5&lt;AU$5)*AJ96+(AO$5&lt;AU$5)*AP96)))</f>
        <v/>
      </c>
      <c r="AX96">
        <f>IF(AV96-AW96&lt;0.005,0,AV96-AW96)</f>
        <v/>
      </c>
      <c r="BC96">
        <f>H96+N96+T96+Z96+AF96+AL96+AR96+AX96</f>
        <v/>
      </c>
    </row>
    <row r="97">
      <c r="A97" t="n">
        <v>91</v>
      </c>
      <c r="B97" s="19">
        <f>MAX(0,$B$3-(E97+K97+Q97+W97+AC97+AI97+AO97+AU97))</f>
        <v/>
      </c>
      <c r="C97">
        <f>H96</f>
        <v/>
      </c>
      <c r="D97">
        <f>C97*Plan!D6/100/12</f>
        <v/>
      </c>
      <c r="E97">
        <f>MIN(Plan!E6,C97+D97)</f>
        <v/>
      </c>
      <c r="F97">
        <f>C97+D97-E97</f>
        <v/>
      </c>
      <c r="G97">
        <f>MIN(F97,MAX(0,$B97-((K$5&lt;E$5)*L97+(Q$5&lt;E$5)*R97+(W$5&lt;E$5)*X97+(AC$5&lt;E$5)*AD97+(AI$5&lt;E$5)*AJ97+(AO$5&lt;E$5)*AP97+(AU$5&lt;E$5)*AV97)))</f>
        <v/>
      </c>
      <c r="H97">
        <f>IF(F97-G97&lt;0.005,0,F97-G97)</f>
        <v/>
      </c>
      <c r="I97">
        <f>N96</f>
        <v/>
      </c>
      <c r="J97">
        <f>I97*Plan!D7/100/12</f>
        <v/>
      </c>
      <c r="K97">
        <f>MIN(Plan!E7,I97+J97)</f>
        <v/>
      </c>
      <c r="L97">
        <f>I97+J97-K97</f>
        <v/>
      </c>
      <c r="M97">
        <f>MIN(L97,MAX(0,$B97-((E$5&lt;K$5)*F97+(Q$5&lt;K$5)*R97+(W$5&lt;K$5)*X97+(AC$5&lt;K$5)*AD97+(AI$5&lt;K$5)*AJ97+(AO$5&lt;K$5)*AP97+(AU$5&lt;K$5)*AV97)))</f>
        <v/>
      </c>
      <c r="N97">
        <f>IF(L97-M97&lt;0.005,0,L97-M97)</f>
        <v/>
      </c>
      <c r="O97">
        <f>T96</f>
        <v/>
      </c>
      <c r="P97">
        <f>O97*Plan!D8/100/12</f>
        <v/>
      </c>
      <c r="Q97">
        <f>MIN(Plan!E8,O97+P97)</f>
        <v/>
      </c>
      <c r="R97">
        <f>O97+P97-Q97</f>
        <v/>
      </c>
      <c r="S97">
        <f>MIN(R97,MAX(0,$B97-((E$5&lt;Q$5)*F97+(K$5&lt;Q$5)*L97+(W$5&lt;Q$5)*X97+(AC$5&lt;Q$5)*AD97+(AI$5&lt;Q$5)*AJ97+(AO$5&lt;Q$5)*AP97+(AU$5&lt;Q$5)*AV97)))</f>
        <v/>
      </c>
      <c r="T97">
        <f>IF(R97-S97&lt;0.005,0,R97-S97)</f>
        <v/>
      </c>
      <c r="U97">
        <f>Z96</f>
        <v/>
      </c>
      <c r="V97">
        <f>U97*Plan!D9/100/12</f>
        <v/>
      </c>
      <c r="W97">
        <f>MIN(Plan!E9,U97+V97)</f>
        <v/>
      </c>
      <c r="X97">
        <f>U97+V97-W97</f>
        <v/>
      </c>
      <c r="Y97">
        <f>MIN(X97,MAX(0,$B97-((E$5&lt;W$5)*F97+(K$5&lt;W$5)*L97+(Q$5&lt;W$5)*R97+(AC$5&lt;W$5)*AD97+(AI$5&lt;W$5)*AJ97+(AO$5&lt;W$5)*AP97+(AU$5&lt;W$5)*AV97)))</f>
        <v/>
      </c>
      <c r="Z97">
        <f>IF(X97-Y97&lt;0.005,0,X97-Y97)</f>
        <v/>
      </c>
      <c r="AA97">
        <f>AF96</f>
        <v/>
      </c>
      <c r="AB97">
        <f>AA97*Plan!D10/100/12</f>
        <v/>
      </c>
      <c r="AC97">
        <f>MIN(Plan!E10,AA97+AB97)</f>
        <v/>
      </c>
      <c r="AD97">
        <f>AA97+AB97-AC97</f>
        <v/>
      </c>
      <c r="AE97">
        <f>MIN(AD97,MAX(0,$B97-((E$5&lt;AC$5)*F97+(K$5&lt;AC$5)*L97+(Q$5&lt;AC$5)*R97+(W$5&lt;AC$5)*X97+(AI$5&lt;AC$5)*AJ97+(AO$5&lt;AC$5)*AP97+(AU$5&lt;AC$5)*AV97)))</f>
        <v/>
      </c>
      <c r="AF97">
        <f>IF(AD97-AE97&lt;0.005,0,AD97-AE97)</f>
        <v/>
      </c>
      <c r="AG97">
        <f>AL96</f>
        <v/>
      </c>
      <c r="AH97">
        <f>AG97*Plan!D11/100/12</f>
        <v/>
      </c>
      <c r="AI97">
        <f>MIN(Plan!E11,AG97+AH97)</f>
        <v/>
      </c>
      <c r="AJ97">
        <f>AG97+AH97-AI97</f>
        <v/>
      </c>
      <c r="AK97">
        <f>MIN(AJ97,MAX(0,$B97-((E$5&lt;AI$5)*F97+(K$5&lt;AI$5)*L97+(Q$5&lt;AI$5)*R97+(W$5&lt;AI$5)*X97+(AC$5&lt;AI$5)*AD97+(AO$5&lt;AI$5)*AP97+(AU$5&lt;AI$5)*AV97)))</f>
        <v/>
      </c>
      <c r="AL97">
        <f>IF(AJ97-AK97&lt;0.005,0,AJ97-AK97)</f>
        <v/>
      </c>
      <c r="AM97">
        <f>AR96</f>
        <v/>
      </c>
      <c r="AN97">
        <f>AM97*Plan!D12/100/12</f>
        <v/>
      </c>
      <c r="AO97">
        <f>MIN(Plan!E12,AM97+AN97)</f>
        <v/>
      </c>
      <c r="AP97">
        <f>AM97+AN97-AO97</f>
        <v/>
      </c>
      <c r="AQ97">
        <f>MIN(AP97,MAX(0,$B97-((E$5&lt;AO$5)*F97+(K$5&lt;AO$5)*L97+(Q$5&lt;AO$5)*R97+(W$5&lt;AO$5)*X97+(AC$5&lt;AO$5)*AD97+(AI$5&lt;AO$5)*AJ97+(AU$5&lt;AO$5)*AV97)))</f>
        <v/>
      </c>
      <c r="AR97">
        <f>IF(AP97-AQ97&lt;0.005,0,AP97-AQ97)</f>
        <v/>
      </c>
      <c r="AS97">
        <f>AX96</f>
        <v/>
      </c>
      <c r="AT97">
        <f>AS97*Plan!D13/100/12</f>
        <v/>
      </c>
      <c r="AU97">
        <f>MIN(Plan!E13,AS97+AT97)</f>
        <v/>
      </c>
      <c r="AV97">
        <f>AS97+AT97-AU97</f>
        <v/>
      </c>
      <c r="AW97">
        <f>MIN(AV97,MAX(0,$B97-((E$5&lt;AU$5)*F97+(K$5&lt;AU$5)*L97+(Q$5&lt;AU$5)*R97+(W$5&lt;AU$5)*X97+(AC$5&lt;AU$5)*AD97+(AI$5&lt;AU$5)*AJ97+(AO$5&lt;AU$5)*AP97)))</f>
        <v/>
      </c>
      <c r="AX97">
        <f>IF(AV97-AW97&lt;0.005,0,AV97-AW97)</f>
        <v/>
      </c>
      <c r="BC97">
        <f>H97+N97+T97+Z97+AF97+AL97+AR97+AX97</f>
        <v/>
      </c>
    </row>
    <row r="98">
      <c r="A98" t="n">
        <v>92</v>
      </c>
      <c r="B98" s="19">
        <f>MAX(0,$B$3-(E98+K98+Q98+W98+AC98+AI98+AO98+AU98))</f>
        <v/>
      </c>
      <c r="C98">
        <f>H97</f>
        <v/>
      </c>
      <c r="D98">
        <f>C98*Plan!D6/100/12</f>
        <v/>
      </c>
      <c r="E98">
        <f>MIN(Plan!E6,C98+D98)</f>
        <v/>
      </c>
      <c r="F98">
        <f>C98+D98-E98</f>
        <v/>
      </c>
      <c r="G98">
        <f>MIN(F98,MAX(0,$B98-((K$5&lt;E$5)*L98+(Q$5&lt;E$5)*R98+(W$5&lt;E$5)*X98+(AC$5&lt;E$5)*AD98+(AI$5&lt;E$5)*AJ98+(AO$5&lt;E$5)*AP98+(AU$5&lt;E$5)*AV98)))</f>
        <v/>
      </c>
      <c r="H98">
        <f>IF(F98-G98&lt;0.005,0,F98-G98)</f>
        <v/>
      </c>
      <c r="I98">
        <f>N97</f>
        <v/>
      </c>
      <c r="J98">
        <f>I98*Plan!D7/100/12</f>
        <v/>
      </c>
      <c r="K98">
        <f>MIN(Plan!E7,I98+J98)</f>
        <v/>
      </c>
      <c r="L98">
        <f>I98+J98-K98</f>
        <v/>
      </c>
      <c r="M98">
        <f>MIN(L98,MAX(0,$B98-((E$5&lt;K$5)*F98+(Q$5&lt;K$5)*R98+(W$5&lt;K$5)*X98+(AC$5&lt;K$5)*AD98+(AI$5&lt;K$5)*AJ98+(AO$5&lt;K$5)*AP98+(AU$5&lt;K$5)*AV98)))</f>
        <v/>
      </c>
      <c r="N98">
        <f>IF(L98-M98&lt;0.005,0,L98-M98)</f>
        <v/>
      </c>
      <c r="O98">
        <f>T97</f>
        <v/>
      </c>
      <c r="P98">
        <f>O98*Plan!D8/100/12</f>
        <v/>
      </c>
      <c r="Q98">
        <f>MIN(Plan!E8,O98+P98)</f>
        <v/>
      </c>
      <c r="R98">
        <f>O98+P98-Q98</f>
        <v/>
      </c>
      <c r="S98">
        <f>MIN(R98,MAX(0,$B98-((E$5&lt;Q$5)*F98+(K$5&lt;Q$5)*L98+(W$5&lt;Q$5)*X98+(AC$5&lt;Q$5)*AD98+(AI$5&lt;Q$5)*AJ98+(AO$5&lt;Q$5)*AP98+(AU$5&lt;Q$5)*AV98)))</f>
        <v/>
      </c>
      <c r="T98">
        <f>IF(R98-S98&lt;0.005,0,R98-S98)</f>
        <v/>
      </c>
      <c r="U98">
        <f>Z97</f>
        <v/>
      </c>
      <c r="V98">
        <f>U98*Plan!D9/100/12</f>
        <v/>
      </c>
      <c r="W98">
        <f>MIN(Plan!E9,U98+V98)</f>
        <v/>
      </c>
      <c r="X98">
        <f>U98+V98-W98</f>
        <v/>
      </c>
      <c r="Y98">
        <f>MIN(X98,MAX(0,$B98-((E$5&lt;W$5)*F98+(K$5&lt;W$5)*L98+(Q$5&lt;W$5)*R98+(AC$5&lt;W$5)*AD98+(AI$5&lt;W$5)*AJ98+(AO$5&lt;W$5)*AP98+(AU$5&lt;W$5)*AV98)))</f>
        <v/>
      </c>
      <c r="Z98">
        <f>IF(X98-Y98&lt;0.005,0,X98-Y98)</f>
        <v/>
      </c>
      <c r="AA98">
        <f>AF97</f>
        <v/>
      </c>
      <c r="AB98">
        <f>AA98*Plan!D10/100/12</f>
        <v/>
      </c>
      <c r="AC98">
        <f>MIN(Plan!E10,AA98+AB98)</f>
        <v/>
      </c>
      <c r="AD98">
        <f>AA98+AB98-AC98</f>
        <v/>
      </c>
      <c r="AE98">
        <f>MIN(AD98,MAX(0,$B98-((E$5&lt;AC$5)*F98+(K$5&lt;AC$5)*L98+(Q$5&lt;AC$5)*R98+(W$5&lt;AC$5)*X98+(AI$5&lt;AC$5)*AJ98+(AO$5&lt;AC$5)*AP98+(AU$5&lt;AC$5)*AV98)))</f>
        <v/>
      </c>
      <c r="AF98">
        <f>IF(AD98-AE98&lt;0.005,0,AD98-AE98)</f>
        <v/>
      </c>
      <c r="AG98">
        <f>AL97</f>
        <v/>
      </c>
      <c r="AH98">
        <f>AG98*Plan!D11/100/12</f>
        <v/>
      </c>
      <c r="AI98">
        <f>MIN(Plan!E11,AG98+AH98)</f>
        <v/>
      </c>
      <c r="AJ98">
        <f>AG98+AH98-AI98</f>
        <v/>
      </c>
      <c r="AK98">
        <f>MIN(AJ98,MAX(0,$B98-((E$5&lt;AI$5)*F98+(K$5&lt;AI$5)*L98+(Q$5&lt;AI$5)*R98+(W$5&lt;AI$5)*X98+(AC$5&lt;AI$5)*AD98+(AO$5&lt;AI$5)*AP98+(AU$5&lt;AI$5)*AV98)))</f>
        <v/>
      </c>
      <c r="AL98">
        <f>IF(AJ98-AK98&lt;0.005,0,AJ98-AK98)</f>
        <v/>
      </c>
      <c r="AM98">
        <f>AR97</f>
        <v/>
      </c>
      <c r="AN98">
        <f>AM98*Plan!D12/100/12</f>
        <v/>
      </c>
      <c r="AO98">
        <f>MIN(Plan!E12,AM98+AN98)</f>
        <v/>
      </c>
      <c r="AP98">
        <f>AM98+AN98-AO98</f>
        <v/>
      </c>
      <c r="AQ98">
        <f>MIN(AP98,MAX(0,$B98-((E$5&lt;AO$5)*F98+(K$5&lt;AO$5)*L98+(Q$5&lt;AO$5)*R98+(W$5&lt;AO$5)*X98+(AC$5&lt;AO$5)*AD98+(AI$5&lt;AO$5)*AJ98+(AU$5&lt;AO$5)*AV98)))</f>
        <v/>
      </c>
      <c r="AR98">
        <f>IF(AP98-AQ98&lt;0.005,0,AP98-AQ98)</f>
        <v/>
      </c>
      <c r="AS98">
        <f>AX97</f>
        <v/>
      </c>
      <c r="AT98">
        <f>AS98*Plan!D13/100/12</f>
        <v/>
      </c>
      <c r="AU98">
        <f>MIN(Plan!E13,AS98+AT98)</f>
        <v/>
      </c>
      <c r="AV98">
        <f>AS98+AT98-AU98</f>
        <v/>
      </c>
      <c r="AW98">
        <f>MIN(AV98,MAX(0,$B98-((E$5&lt;AU$5)*F98+(K$5&lt;AU$5)*L98+(Q$5&lt;AU$5)*R98+(W$5&lt;AU$5)*X98+(AC$5&lt;AU$5)*AD98+(AI$5&lt;AU$5)*AJ98+(AO$5&lt;AU$5)*AP98)))</f>
        <v/>
      </c>
      <c r="AX98">
        <f>IF(AV98-AW98&lt;0.005,0,AV98-AW98)</f>
        <v/>
      </c>
      <c r="BC98">
        <f>H98+N98+T98+Z98+AF98+AL98+AR98+AX98</f>
        <v/>
      </c>
    </row>
    <row r="99">
      <c r="A99" t="n">
        <v>93</v>
      </c>
      <c r="B99" s="19">
        <f>MAX(0,$B$3-(E99+K99+Q99+W99+AC99+AI99+AO99+AU99))</f>
        <v/>
      </c>
      <c r="C99">
        <f>H98</f>
        <v/>
      </c>
      <c r="D99">
        <f>C99*Plan!D6/100/12</f>
        <v/>
      </c>
      <c r="E99">
        <f>MIN(Plan!E6,C99+D99)</f>
        <v/>
      </c>
      <c r="F99">
        <f>C99+D99-E99</f>
        <v/>
      </c>
      <c r="G99">
        <f>MIN(F99,MAX(0,$B99-((K$5&lt;E$5)*L99+(Q$5&lt;E$5)*R99+(W$5&lt;E$5)*X99+(AC$5&lt;E$5)*AD99+(AI$5&lt;E$5)*AJ99+(AO$5&lt;E$5)*AP99+(AU$5&lt;E$5)*AV99)))</f>
        <v/>
      </c>
      <c r="H99">
        <f>IF(F99-G99&lt;0.005,0,F99-G99)</f>
        <v/>
      </c>
      <c r="I99">
        <f>N98</f>
        <v/>
      </c>
      <c r="J99">
        <f>I99*Plan!D7/100/12</f>
        <v/>
      </c>
      <c r="K99">
        <f>MIN(Plan!E7,I99+J99)</f>
        <v/>
      </c>
      <c r="L99">
        <f>I99+J99-K99</f>
        <v/>
      </c>
      <c r="M99">
        <f>MIN(L99,MAX(0,$B99-((E$5&lt;K$5)*F99+(Q$5&lt;K$5)*R99+(W$5&lt;K$5)*X99+(AC$5&lt;K$5)*AD99+(AI$5&lt;K$5)*AJ99+(AO$5&lt;K$5)*AP99+(AU$5&lt;K$5)*AV99)))</f>
        <v/>
      </c>
      <c r="N99">
        <f>IF(L99-M99&lt;0.005,0,L99-M99)</f>
        <v/>
      </c>
      <c r="O99">
        <f>T98</f>
        <v/>
      </c>
      <c r="P99">
        <f>O99*Plan!D8/100/12</f>
        <v/>
      </c>
      <c r="Q99">
        <f>MIN(Plan!E8,O99+P99)</f>
        <v/>
      </c>
      <c r="R99">
        <f>O99+P99-Q99</f>
        <v/>
      </c>
      <c r="S99">
        <f>MIN(R99,MAX(0,$B99-((E$5&lt;Q$5)*F99+(K$5&lt;Q$5)*L99+(W$5&lt;Q$5)*X99+(AC$5&lt;Q$5)*AD99+(AI$5&lt;Q$5)*AJ99+(AO$5&lt;Q$5)*AP99+(AU$5&lt;Q$5)*AV99)))</f>
        <v/>
      </c>
      <c r="T99">
        <f>IF(R99-S99&lt;0.005,0,R99-S99)</f>
        <v/>
      </c>
      <c r="U99">
        <f>Z98</f>
        <v/>
      </c>
      <c r="V99">
        <f>U99*Plan!D9/100/12</f>
        <v/>
      </c>
      <c r="W99">
        <f>MIN(Plan!E9,U99+V99)</f>
        <v/>
      </c>
      <c r="X99">
        <f>U99+V99-W99</f>
        <v/>
      </c>
      <c r="Y99">
        <f>MIN(X99,MAX(0,$B99-((E$5&lt;W$5)*F99+(K$5&lt;W$5)*L99+(Q$5&lt;W$5)*R99+(AC$5&lt;W$5)*AD99+(AI$5&lt;W$5)*AJ99+(AO$5&lt;W$5)*AP99+(AU$5&lt;W$5)*AV99)))</f>
        <v/>
      </c>
      <c r="Z99">
        <f>IF(X99-Y99&lt;0.005,0,X99-Y99)</f>
        <v/>
      </c>
      <c r="AA99">
        <f>AF98</f>
        <v/>
      </c>
      <c r="AB99">
        <f>AA99*Plan!D10/100/12</f>
        <v/>
      </c>
      <c r="AC99">
        <f>MIN(Plan!E10,AA99+AB99)</f>
        <v/>
      </c>
      <c r="AD99">
        <f>AA99+AB99-AC99</f>
        <v/>
      </c>
      <c r="AE99">
        <f>MIN(AD99,MAX(0,$B99-((E$5&lt;AC$5)*F99+(K$5&lt;AC$5)*L99+(Q$5&lt;AC$5)*R99+(W$5&lt;AC$5)*X99+(AI$5&lt;AC$5)*AJ99+(AO$5&lt;AC$5)*AP99+(AU$5&lt;AC$5)*AV99)))</f>
        <v/>
      </c>
      <c r="AF99">
        <f>IF(AD99-AE99&lt;0.005,0,AD99-AE99)</f>
        <v/>
      </c>
      <c r="AG99">
        <f>AL98</f>
        <v/>
      </c>
      <c r="AH99">
        <f>AG99*Plan!D11/100/12</f>
        <v/>
      </c>
      <c r="AI99">
        <f>MIN(Plan!E11,AG99+AH99)</f>
        <v/>
      </c>
      <c r="AJ99">
        <f>AG99+AH99-AI99</f>
        <v/>
      </c>
      <c r="AK99">
        <f>MIN(AJ99,MAX(0,$B99-((E$5&lt;AI$5)*F99+(K$5&lt;AI$5)*L99+(Q$5&lt;AI$5)*R99+(W$5&lt;AI$5)*X99+(AC$5&lt;AI$5)*AD99+(AO$5&lt;AI$5)*AP99+(AU$5&lt;AI$5)*AV99)))</f>
        <v/>
      </c>
      <c r="AL99">
        <f>IF(AJ99-AK99&lt;0.005,0,AJ99-AK99)</f>
        <v/>
      </c>
      <c r="AM99">
        <f>AR98</f>
        <v/>
      </c>
      <c r="AN99">
        <f>AM99*Plan!D12/100/12</f>
        <v/>
      </c>
      <c r="AO99">
        <f>MIN(Plan!E12,AM99+AN99)</f>
        <v/>
      </c>
      <c r="AP99">
        <f>AM99+AN99-AO99</f>
        <v/>
      </c>
      <c r="AQ99">
        <f>MIN(AP99,MAX(0,$B99-((E$5&lt;AO$5)*F99+(K$5&lt;AO$5)*L99+(Q$5&lt;AO$5)*R99+(W$5&lt;AO$5)*X99+(AC$5&lt;AO$5)*AD99+(AI$5&lt;AO$5)*AJ99+(AU$5&lt;AO$5)*AV99)))</f>
        <v/>
      </c>
      <c r="AR99">
        <f>IF(AP99-AQ99&lt;0.005,0,AP99-AQ99)</f>
        <v/>
      </c>
      <c r="AS99">
        <f>AX98</f>
        <v/>
      </c>
      <c r="AT99">
        <f>AS99*Plan!D13/100/12</f>
        <v/>
      </c>
      <c r="AU99">
        <f>MIN(Plan!E13,AS99+AT99)</f>
        <v/>
      </c>
      <c r="AV99">
        <f>AS99+AT99-AU99</f>
        <v/>
      </c>
      <c r="AW99">
        <f>MIN(AV99,MAX(0,$B99-((E$5&lt;AU$5)*F99+(K$5&lt;AU$5)*L99+(Q$5&lt;AU$5)*R99+(W$5&lt;AU$5)*X99+(AC$5&lt;AU$5)*AD99+(AI$5&lt;AU$5)*AJ99+(AO$5&lt;AU$5)*AP99)))</f>
        <v/>
      </c>
      <c r="AX99">
        <f>IF(AV99-AW99&lt;0.005,0,AV99-AW99)</f>
        <v/>
      </c>
      <c r="BC99">
        <f>H99+N99+T99+Z99+AF99+AL99+AR99+AX99</f>
        <v/>
      </c>
    </row>
    <row r="100">
      <c r="A100" t="n">
        <v>94</v>
      </c>
      <c r="B100" s="19">
        <f>MAX(0,$B$3-(E100+K100+Q100+W100+AC100+AI100+AO100+AU100))</f>
        <v/>
      </c>
      <c r="C100">
        <f>H99</f>
        <v/>
      </c>
      <c r="D100">
        <f>C100*Plan!D6/100/12</f>
        <v/>
      </c>
      <c r="E100">
        <f>MIN(Plan!E6,C100+D100)</f>
        <v/>
      </c>
      <c r="F100">
        <f>C100+D100-E100</f>
        <v/>
      </c>
      <c r="G100">
        <f>MIN(F100,MAX(0,$B100-((K$5&lt;E$5)*L100+(Q$5&lt;E$5)*R100+(W$5&lt;E$5)*X100+(AC$5&lt;E$5)*AD100+(AI$5&lt;E$5)*AJ100+(AO$5&lt;E$5)*AP100+(AU$5&lt;E$5)*AV100)))</f>
        <v/>
      </c>
      <c r="H100">
        <f>IF(F100-G100&lt;0.005,0,F100-G100)</f>
        <v/>
      </c>
      <c r="I100">
        <f>N99</f>
        <v/>
      </c>
      <c r="J100">
        <f>I100*Plan!D7/100/12</f>
        <v/>
      </c>
      <c r="K100">
        <f>MIN(Plan!E7,I100+J100)</f>
        <v/>
      </c>
      <c r="L100">
        <f>I100+J100-K100</f>
        <v/>
      </c>
      <c r="M100">
        <f>MIN(L100,MAX(0,$B100-((E$5&lt;K$5)*F100+(Q$5&lt;K$5)*R100+(W$5&lt;K$5)*X100+(AC$5&lt;K$5)*AD100+(AI$5&lt;K$5)*AJ100+(AO$5&lt;K$5)*AP100+(AU$5&lt;K$5)*AV100)))</f>
        <v/>
      </c>
      <c r="N100">
        <f>IF(L100-M100&lt;0.005,0,L100-M100)</f>
        <v/>
      </c>
      <c r="O100">
        <f>T99</f>
        <v/>
      </c>
      <c r="P100">
        <f>O100*Plan!D8/100/12</f>
        <v/>
      </c>
      <c r="Q100">
        <f>MIN(Plan!E8,O100+P100)</f>
        <v/>
      </c>
      <c r="R100">
        <f>O100+P100-Q100</f>
        <v/>
      </c>
      <c r="S100">
        <f>MIN(R100,MAX(0,$B100-((E$5&lt;Q$5)*F100+(K$5&lt;Q$5)*L100+(W$5&lt;Q$5)*X100+(AC$5&lt;Q$5)*AD100+(AI$5&lt;Q$5)*AJ100+(AO$5&lt;Q$5)*AP100+(AU$5&lt;Q$5)*AV100)))</f>
        <v/>
      </c>
      <c r="T100">
        <f>IF(R100-S100&lt;0.005,0,R100-S100)</f>
        <v/>
      </c>
      <c r="U100">
        <f>Z99</f>
        <v/>
      </c>
      <c r="V100">
        <f>U100*Plan!D9/100/12</f>
        <v/>
      </c>
      <c r="W100">
        <f>MIN(Plan!E9,U100+V100)</f>
        <v/>
      </c>
      <c r="X100">
        <f>U100+V100-W100</f>
        <v/>
      </c>
      <c r="Y100">
        <f>MIN(X100,MAX(0,$B100-((E$5&lt;W$5)*F100+(K$5&lt;W$5)*L100+(Q$5&lt;W$5)*R100+(AC$5&lt;W$5)*AD100+(AI$5&lt;W$5)*AJ100+(AO$5&lt;W$5)*AP100+(AU$5&lt;W$5)*AV100)))</f>
        <v/>
      </c>
      <c r="Z100">
        <f>IF(X100-Y100&lt;0.005,0,X100-Y100)</f>
        <v/>
      </c>
      <c r="AA100">
        <f>AF99</f>
        <v/>
      </c>
      <c r="AB100">
        <f>AA100*Plan!D10/100/12</f>
        <v/>
      </c>
      <c r="AC100">
        <f>MIN(Plan!E10,AA100+AB100)</f>
        <v/>
      </c>
      <c r="AD100">
        <f>AA100+AB100-AC100</f>
        <v/>
      </c>
      <c r="AE100">
        <f>MIN(AD100,MAX(0,$B100-((E$5&lt;AC$5)*F100+(K$5&lt;AC$5)*L100+(Q$5&lt;AC$5)*R100+(W$5&lt;AC$5)*X100+(AI$5&lt;AC$5)*AJ100+(AO$5&lt;AC$5)*AP100+(AU$5&lt;AC$5)*AV100)))</f>
        <v/>
      </c>
      <c r="AF100">
        <f>IF(AD100-AE100&lt;0.005,0,AD100-AE100)</f>
        <v/>
      </c>
      <c r="AG100">
        <f>AL99</f>
        <v/>
      </c>
      <c r="AH100">
        <f>AG100*Plan!D11/100/12</f>
        <v/>
      </c>
      <c r="AI100">
        <f>MIN(Plan!E11,AG100+AH100)</f>
        <v/>
      </c>
      <c r="AJ100">
        <f>AG100+AH100-AI100</f>
        <v/>
      </c>
      <c r="AK100">
        <f>MIN(AJ100,MAX(0,$B100-((E$5&lt;AI$5)*F100+(K$5&lt;AI$5)*L100+(Q$5&lt;AI$5)*R100+(W$5&lt;AI$5)*X100+(AC$5&lt;AI$5)*AD100+(AO$5&lt;AI$5)*AP100+(AU$5&lt;AI$5)*AV100)))</f>
        <v/>
      </c>
      <c r="AL100">
        <f>IF(AJ100-AK100&lt;0.005,0,AJ100-AK100)</f>
        <v/>
      </c>
      <c r="AM100">
        <f>AR99</f>
        <v/>
      </c>
      <c r="AN100">
        <f>AM100*Plan!D12/100/12</f>
        <v/>
      </c>
      <c r="AO100">
        <f>MIN(Plan!E12,AM100+AN100)</f>
        <v/>
      </c>
      <c r="AP100">
        <f>AM100+AN100-AO100</f>
        <v/>
      </c>
      <c r="AQ100">
        <f>MIN(AP100,MAX(0,$B100-((E$5&lt;AO$5)*F100+(K$5&lt;AO$5)*L100+(Q$5&lt;AO$5)*R100+(W$5&lt;AO$5)*X100+(AC$5&lt;AO$5)*AD100+(AI$5&lt;AO$5)*AJ100+(AU$5&lt;AO$5)*AV100)))</f>
        <v/>
      </c>
      <c r="AR100">
        <f>IF(AP100-AQ100&lt;0.005,0,AP100-AQ100)</f>
        <v/>
      </c>
      <c r="AS100">
        <f>AX99</f>
        <v/>
      </c>
      <c r="AT100">
        <f>AS100*Plan!D13/100/12</f>
        <v/>
      </c>
      <c r="AU100">
        <f>MIN(Plan!E13,AS100+AT100)</f>
        <v/>
      </c>
      <c r="AV100">
        <f>AS100+AT100-AU100</f>
        <v/>
      </c>
      <c r="AW100">
        <f>MIN(AV100,MAX(0,$B100-((E$5&lt;AU$5)*F100+(K$5&lt;AU$5)*L100+(Q$5&lt;AU$5)*R100+(W$5&lt;AU$5)*X100+(AC$5&lt;AU$5)*AD100+(AI$5&lt;AU$5)*AJ100+(AO$5&lt;AU$5)*AP100)))</f>
        <v/>
      </c>
      <c r="AX100">
        <f>IF(AV100-AW100&lt;0.005,0,AV100-AW100)</f>
        <v/>
      </c>
      <c r="BC100">
        <f>H100+N100+T100+Z100+AF100+AL100+AR100+AX100</f>
        <v/>
      </c>
    </row>
    <row r="101">
      <c r="A101" t="n">
        <v>95</v>
      </c>
      <c r="B101" s="19">
        <f>MAX(0,$B$3-(E101+K101+Q101+W101+AC101+AI101+AO101+AU101))</f>
        <v/>
      </c>
      <c r="C101">
        <f>H100</f>
        <v/>
      </c>
      <c r="D101">
        <f>C101*Plan!D6/100/12</f>
        <v/>
      </c>
      <c r="E101">
        <f>MIN(Plan!E6,C101+D101)</f>
        <v/>
      </c>
      <c r="F101">
        <f>C101+D101-E101</f>
        <v/>
      </c>
      <c r="G101">
        <f>MIN(F101,MAX(0,$B101-((K$5&lt;E$5)*L101+(Q$5&lt;E$5)*R101+(W$5&lt;E$5)*X101+(AC$5&lt;E$5)*AD101+(AI$5&lt;E$5)*AJ101+(AO$5&lt;E$5)*AP101+(AU$5&lt;E$5)*AV101)))</f>
        <v/>
      </c>
      <c r="H101">
        <f>IF(F101-G101&lt;0.005,0,F101-G101)</f>
        <v/>
      </c>
      <c r="I101">
        <f>N100</f>
        <v/>
      </c>
      <c r="J101">
        <f>I101*Plan!D7/100/12</f>
        <v/>
      </c>
      <c r="K101">
        <f>MIN(Plan!E7,I101+J101)</f>
        <v/>
      </c>
      <c r="L101">
        <f>I101+J101-K101</f>
        <v/>
      </c>
      <c r="M101">
        <f>MIN(L101,MAX(0,$B101-((E$5&lt;K$5)*F101+(Q$5&lt;K$5)*R101+(W$5&lt;K$5)*X101+(AC$5&lt;K$5)*AD101+(AI$5&lt;K$5)*AJ101+(AO$5&lt;K$5)*AP101+(AU$5&lt;K$5)*AV101)))</f>
        <v/>
      </c>
      <c r="N101">
        <f>IF(L101-M101&lt;0.005,0,L101-M101)</f>
        <v/>
      </c>
      <c r="O101">
        <f>T100</f>
        <v/>
      </c>
      <c r="P101">
        <f>O101*Plan!D8/100/12</f>
        <v/>
      </c>
      <c r="Q101">
        <f>MIN(Plan!E8,O101+P101)</f>
        <v/>
      </c>
      <c r="R101">
        <f>O101+P101-Q101</f>
        <v/>
      </c>
      <c r="S101">
        <f>MIN(R101,MAX(0,$B101-((E$5&lt;Q$5)*F101+(K$5&lt;Q$5)*L101+(W$5&lt;Q$5)*X101+(AC$5&lt;Q$5)*AD101+(AI$5&lt;Q$5)*AJ101+(AO$5&lt;Q$5)*AP101+(AU$5&lt;Q$5)*AV101)))</f>
        <v/>
      </c>
      <c r="T101">
        <f>IF(R101-S101&lt;0.005,0,R101-S101)</f>
        <v/>
      </c>
      <c r="U101">
        <f>Z100</f>
        <v/>
      </c>
      <c r="V101">
        <f>U101*Plan!D9/100/12</f>
        <v/>
      </c>
      <c r="W101">
        <f>MIN(Plan!E9,U101+V101)</f>
        <v/>
      </c>
      <c r="X101">
        <f>U101+V101-W101</f>
        <v/>
      </c>
      <c r="Y101">
        <f>MIN(X101,MAX(0,$B101-((E$5&lt;W$5)*F101+(K$5&lt;W$5)*L101+(Q$5&lt;W$5)*R101+(AC$5&lt;W$5)*AD101+(AI$5&lt;W$5)*AJ101+(AO$5&lt;W$5)*AP101+(AU$5&lt;W$5)*AV101)))</f>
        <v/>
      </c>
      <c r="Z101">
        <f>IF(X101-Y101&lt;0.005,0,X101-Y101)</f>
        <v/>
      </c>
      <c r="AA101">
        <f>AF100</f>
        <v/>
      </c>
      <c r="AB101">
        <f>AA101*Plan!D10/100/12</f>
        <v/>
      </c>
      <c r="AC101">
        <f>MIN(Plan!E10,AA101+AB101)</f>
        <v/>
      </c>
      <c r="AD101">
        <f>AA101+AB101-AC101</f>
        <v/>
      </c>
      <c r="AE101">
        <f>MIN(AD101,MAX(0,$B101-((E$5&lt;AC$5)*F101+(K$5&lt;AC$5)*L101+(Q$5&lt;AC$5)*R101+(W$5&lt;AC$5)*X101+(AI$5&lt;AC$5)*AJ101+(AO$5&lt;AC$5)*AP101+(AU$5&lt;AC$5)*AV101)))</f>
        <v/>
      </c>
      <c r="AF101">
        <f>IF(AD101-AE101&lt;0.005,0,AD101-AE101)</f>
        <v/>
      </c>
      <c r="AG101">
        <f>AL100</f>
        <v/>
      </c>
      <c r="AH101">
        <f>AG101*Plan!D11/100/12</f>
        <v/>
      </c>
      <c r="AI101">
        <f>MIN(Plan!E11,AG101+AH101)</f>
        <v/>
      </c>
      <c r="AJ101">
        <f>AG101+AH101-AI101</f>
        <v/>
      </c>
      <c r="AK101">
        <f>MIN(AJ101,MAX(0,$B101-((E$5&lt;AI$5)*F101+(K$5&lt;AI$5)*L101+(Q$5&lt;AI$5)*R101+(W$5&lt;AI$5)*X101+(AC$5&lt;AI$5)*AD101+(AO$5&lt;AI$5)*AP101+(AU$5&lt;AI$5)*AV101)))</f>
        <v/>
      </c>
      <c r="AL101">
        <f>IF(AJ101-AK101&lt;0.005,0,AJ101-AK101)</f>
        <v/>
      </c>
      <c r="AM101">
        <f>AR100</f>
        <v/>
      </c>
      <c r="AN101">
        <f>AM101*Plan!D12/100/12</f>
        <v/>
      </c>
      <c r="AO101">
        <f>MIN(Plan!E12,AM101+AN101)</f>
        <v/>
      </c>
      <c r="AP101">
        <f>AM101+AN101-AO101</f>
        <v/>
      </c>
      <c r="AQ101">
        <f>MIN(AP101,MAX(0,$B101-((E$5&lt;AO$5)*F101+(K$5&lt;AO$5)*L101+(Q$5&lt;AO$5)*R101+(W$5&lt;AO$5)*X101+(AC$5&lt;AO$5)*AD101+(AI$5&lt;AO$5)*AJ101+(AU$5&lt;AO$5)*AV101)))</f>
        <v/>
      </c>
      <c r="AR101">
        <f>IF(AP101-AQ101&lt;0.005,0,AP101-AQ101)</f>
        <v/>
      </c>
      <c r="AS101">
        <f>AX100</f>
        <v/>
      </c>
      <c r="AT101">
        <f>AS101*Plan!D13/100/12</f>
        <v/>
      </c>
      <c r="AU101">
        <f>MIN(Plan!E13,AS101+AT101)</f>
        <v/>
      </c>
      <c r="AV101">
        <f>AS101+AT101-AU101</f>
        <v/>
      </c>
      <c r="AW101">
        <f>MIN(AV101,MAX(0,$B101-((E$5&lt;AU$5)*F101+(K$5&lt;AU$5)*L101+(Q$5&lt;AU$5)*R101+(W$5&lt;AU$5)*X101+(AC$5&lt;AU$5)*AD101+(AI$5&lt;AU$5)*AJ101+(AO$5&lt;AU$5)*AP101)))</f>
        <v/>
      </c>
      <c r="AX101">
        <f>IF(AV101-AW101&lt;0.005,0,AV101-AW101)</f>
        <v/>
      </c>
      <c r="BC101">
        <f>H101+N101+T101+Z101+AF101+AL101+AR101+AX101</f>
        <v/>
      </c>
    </row>
    <row r="102">
      <c r="A102" t="n">
        <v>96</v>
      </c>
      <c r="B102" s="19">
        <f>MAX(0,$B$3-(E102+K102+Q102+W102+AC102+AI102+AO102+AU102))</f>
        <v/>
      </c>
      <c r="C102">
        <f>H101</f>
        <v/>
      </c>
      <c r="D102">
        <f>C102*Plan!D6/100/12</f>
        <v/>
      </c>
      <c r="E102">
        <f>MIN(Plan!E6,C102+D102)</f>
        <v/>
      </c>
      <c r="F102">
        <f>C102+D102-E102</f>
        <v/>
      </c>
      <c r="G102">
        <f>MIN(F102,MAX(0,$B102-((K$5&lt;E$5)*L102+(Q$5&lt;E$5)*R102+(W$5&lt;E$5)*X102+(AC$5&lt;E$5)*AD102+(AI$5&lt;E$5)*AJ102+(AO$5&lt;E$5)*AP102+(AU$5&lt;E$5)*AV102)))</f>
        <v/>
      </c>
      <c r="H102">
        <f>IF(F102-G102&lt;0.005,0,F102-G102)</f>
        <v/>
      </c>
      <c r="I102">
        <f>N101</f>
        <v/>
      </c>
      <c r="J102">
        <f>I102*Plan!D7/100/12</f>
        <v/>
      </c>
      <c r="K102">
        <f>MIN(Plan!E7,I102+J102)</f>
        <v/>
      </c>
      <c r="L102">
        <f>I102+J102-K102</f>
        <v/>
      </c>
      <c r="M102">
        <f>MIN(L102,MAX(0,$B102-((E$5&lt;K$5)*F102+(Q$5&lt;K$5)*R102+(W$5&lt;K$5)*X102+(AC$5&lt;K$5)*AD102+(AI$5&lt;K$5)*AJ102+(AO$5&lt;K$5)*AP102+(AU$5&lt;K$5)*AV102)))</f>
        <v/>
      </c>
      <c r="N102">
        <f>IF(L102-M102&lt;0.005,0,L102-M102)</f>
        <v/>
      </c>
      <c r="O102">
        <f>T101</f>
        <v/>
      </c>
      <c r="P102">
        <f>O102*Plan!D8/100/12</f>
        <v/>
      </c>
      <c r="Q102">
        <f>MIN(Plan!E8,O102+P102)</f>
        <v/>
      </c>
      <c r="R102">
        <f>O102+P102-Q102</f>
        <v/>
      </c>
      <c r="S102">
        <f>MIN(R102,MAX(0,$B102-((E$5&lt;Q$5)*F102+(K$5&lt;Q$5)*L102+(W$5&lt;Q$5)*X102+(AC$5&lt;Q$5)*AD102+(AI$5&lt;Q$5)*AJ102+(AO$5&lt;Q$5)*AP102+(AU$5&lt;Q$5)*AV102)))</f>
        <v/>
      </c>
      <c r="T102">
        <f>IF(R102-S102&lt;0.005,0,R102-S102)</f>
        <v/>
      </c>
      <c r="U102">
        <f>Z101</f>
        <v/>
      </c>
      <c r="V102">
        <f>U102*Plan!D9/100/12</f>
        <v/>
      </c>
      <c r="W102">
        <f>MIN(Plan!E9,U102+V102)</f>
        <v/>
      </c>
      <c r="X102">
        <f>U102+V102-W102</f>
        <v/>
      </c>
      <c r="Y102">
        <f>MIN(X102,MAX(0,$B102-((E$5&lt;W$5)*F102+(K$5&lt;W$5)*L102+(Q$5&lt;W$5)*R102+(AC$5&lt;W$5)*AD102+(AI$5&lt;W$5)*AJ102+(AO$5&lt;W$5)*AP102+(AU$5&lt;W$5)*AV102)))</f>
        <v/>
      </c>
      <c r="Z102">
        <f>IF(X102-Y102&lt;0.005,0,X102-Y102)</f>
        <v/>
      </c>
      <c r="AA102">
        <f>AF101</f>
        <v/>
      </c>
      <c r="AB102">
        <f>AA102*Plan!D10/100/12</f>
        <v/>
      </c>
      <c r="AC102">
        <f>MIN(Plan!E10,AA102+AB102)</f>
        <v/>
      </c>
      <c r="AD102">
        <f>AA102+AB102-AC102</f>
        <v/>
      </c>
      <c r="AE102">
        <f>MIN(AD102,MAX(0,$B102-((E$5&lt;AC$5)*F102+(K$5&lt;AC$5)*L102+(Q$5&lt;AC$5)*R102+(W$5&lt;AC$5)*X102+(AI$5&lt;AC$5)*AJ102+(AO$5&lt;AC$5)*AP102+(AU$5&lt;AC$5)*AV102)))</f>
        <v/>
      </c>
      <c r="AF102">
        <f>IF(AD102-AE102&lt;0.005,0,AD102-AE102)</f>
        <v/>
      </c>
      <c r="AG102">
        <f>AL101</f>
        <v/>
      </c>
      <c r="AH102">
        <f>AG102*Plan!D11/100/12</f>
        <v/>
      </c>
      <c r="AI102">
        <f>MIN(Plan!E11,AG102+AH102)</f>
        <v/>
      </c>
      <c r="AJ102">
        <f>AG102+AH102-AI102</f>
        <v/>
      </c>
      <c r="AK102">
        <f>MIN(AJ102,MAX(0,$B102-((E$5&lt;AI$5)*F102+(K$5&lt;AI$5)*L102+(Q$5&lt;AI$5)*R102+(W$5&lt;AI$5)*X102+(AC$5&lt;AI$5)*AD102+(AO$5&lt;AI$5)*AP102+(AU$5&lt;AI$5)*AV102)))</f>
        <v/>
      </c>
      <c r="AL102">
        <f>IF(AJ102-AK102&lt;0.005,0,AJ102-AK102)</f>
        <v/>
      </c>
      <c r="AM102">
        <f>AR101</f>
        <v/>
      </c>
      <c r="AN102">
        <f>AM102*Plan!D12/100/12</f>
        <v/>
      </c>
      <c r="AO102">
        <f>MIN(Plan!E12,AM102+AN102)</f>
        <v/>
      </c>
      <c r="AP102">
        <f>AM102+AN102-AO102</f>
        <v/>
      </c>
      <c r="AQ102">
        <f>MIN(AP102,MAX(0,$B102-((E$5&lt;AO$5)*F102+(K$5&lt;AO$5)*L102+(Q$5&lt;AO$5)*R102+(W$5&lt;AO$5)*X102+(AC$5&lt;AO$5)*AD102+(AI$5&lt;AO$5)*AJ102+(AU$5&lt;AO$5)*AV102)))</f>
        <v/>
      </c>
      <c r="AR102">
        <f>IF(AP102-AQ102&lt;0.005,0,AP102-AQ102)</f>
        <v/>
      </c>
      <c r="AS102">
        <f>AX101</f>
        <v/>
      </c>
      <c r="AT102">
        <f>AS102*Plan!D13/100/12</f>
        <v/>
      </c>
      <c r="AU102">
        <f>MIN(Plan!E13,AS102+AT102)</f>
        <v/>
      </c>
      <c r="AV102">
        <f>AS102+AT102-AU102</f>
        <v/>
      </c>
      <c r="AW102">
        <f>MIN(AV102,MAX(0,$B102-((E$5&lt;AU$5)*F102+(K$5&lt;AU$5)*L102+(Q$5&lt;AU$5)*R102+(W$5&lt;AU$5)*X102+(AC$5&lt;AU$5)*AD102+(AI$5&lt;AU$5)*AJ102+(AO$5&lt;AU$5)*AP102)))</f>
        <v/>
      </c>
      <c r="AX102">
        <f>IF(AV102-AW102&lt;0.005,0,AV102-AW102)</f>
        <v/>
      </c>
      <c r="BC102">
        <f>H102+N102+T102+Z102+AF102+AL102+AR102+AX102</f>
        <v/>
      </c>
    </row>
    <row r="103">
      <c r="A103" t="n">
        <v>97</v>
      </c>
      <c r="B103" s="19">
        <f>MAX(0,$B$3-(E103+K103+Q103+W103+AC103+AI103+AO103+AU103))</f>
        <v/>
      </c>
      <c r="C103">
        <f>H102</f>
        <v/>
      </c>
      <c r="D103">
        <f>C103*Plan!D6/100/12</f>
        <v/>
      </c>
      <c r="E103">
        <f>MIN(Plan!E6,C103+D103)</f>
        <v/>
      </c>
      <c r="F103">
        <f>C103+D103-E103</f>
        <v/>
      </c>
      <c r="G103">
        <f>MIN(F103,MAX(0,$B103-((K$5&lt;E$5)*L103+(Q$5&lt;E$5)*R103+(W$5&lt;E$5)*X103+(AC$5&lt;E$5)*AD103+(AI$5&lt;E$5)*AJ103+(AO$5&lt;E$5)*AP103+(AU$5&lt;E$5)*AV103)))</f>
        <v/>
      </c>
      <c r="H103">
        <f>IF(F103-G103&lt;0.005,0,F103-G103)</f>
        <v/>
      </c>
      <c r="I103">
        <f>N102</f>
        <v/>
      </c>
      <c r="J103">
        <f>I103*Plan!D7/100/12</f>
        <v/>
      </c>
      <c r="K103">
        <f>MIN(Plan!E7,I103+J103)</f>
        <v/>
      </c>
      <c r="L103">
        <f>I103+J103-K103</f>
        <v/>
      </c>
      <c r="M103">
        <f>MIN(L103,MAX(0,$B103-((E$5&lt;K$5)*F103+(Q$5&lt;K$5)*R103+(W$5&lt;K$5)*X103+(AC$5&lt;K$5)*AD103+(AI$5&lt;K$5)*AJ103+(AO$5&lt;K$5)*AP103+(AU$5&lt;K$5)*AV103)))</f>
        <v/>
      </c>
      <c r="N103">
        <f>IF(L103-M103&lt;0.005,0,L103-M103)</f>
        <v/>
      </c>
      <c r="O103">
        <f>T102</f>
        <v/>
      </c>
      <c r="P103">
        <f>O103*Plan!D8/100/12</f>
        <v/>
      </c>
      <c r="Q103">
        <f>MIN(Plan!E8,O103+P103)</f>
        <v/>
      </c>
      <c r="R103">
        <f>O103+P103-Q103</f>
        <v/>
      </c>
      <c r="S103">
        <f>MIN(R103,MAX(0,$B103-((E$5&lt;Q$5)*F103+(K$5&lt;Q$5)*L103+(W$5&lt;Q$5)*X103+(AC$5&lt;Q$5)*AD103+(AI$5&lt;Q$5)*AJ103+(AO$5&lt;Q$5)*AP103+(AU$5&lt;Q$5)*AV103)))</f>
        <v/>
      </c>
      <c r="T103">
        <f>IF(R103-S103&lt;0.005,0,R103-S103)</f>
        <v/>
      </c>
      <c r="U103">
        <f>Z102</f>
        <v/>
      </c>
      <c r="V103">
        <f>U103*Plan!D9/100/12</f>
        <v/>
      </c>
      <c r="W103">
        <f>MIN(Plan!E9,U103+V103)</f>
        <v/>
      </c>
      <c r="X103">
        <f>U103+V103-W103</f>
        <v/>
      </c>
      <c r="Y103">
        <f>MIN(X103,MAX(0,$B103-((E$5&lt;W$5)*F103+(K$5&lt;W$5)*L103+(Q$5&lt;W$5)*R103+(AC$5&lt;W$5)*AD103+(AI$5&lt;W$5)*AJ103+(AO$5&lt;W$5)*AP103+(AU$5&lt;W$5)*AV103)))</f>
        <v/>
      </c>
      <c r="Z103">
        <f>IF(X103-Y103&lt;0.005,0,X103-Y103)</f>
        <v/>
      </c>
      <c r="AA103">
        <f>AF102</f>
        <v/>
      </c>
      <c r="AB103">
        <f>AA103*Plan!D10/100/12</f>
        <v/>
      </c>
      <c r="AC103">
        <f>MIN(Plan!E10,AA103+AB103)</f>
        <v/>
      </c>
      <c r="AD103">
        <f>AA103+AB103-AC103</f>
        <v/>
      </c>
      <c r="AE103">
        <f>MIN(AD103,MAX(0,$B103-((E$5&lt;AC$5)*F103+(K$5&lt;AC$5)*L103+(Q$5&lt;AC$5)*R103+(W$5&lt;AC$5)*X103+(AI$5&lt;AC$5)*AJ103+(AO$5&lt;AC$5)*AP103+(AU$5&lt;AC$5)*AV103)))</f>
        <v/>
      </c>
      <c r="AF103">
        <f>IF(AD103-AE103&lt;0.005,0,AD103-AE103)</f>
        <v/>
      </c>
      <c r="AG103">
        <f>AL102</f>
        <v/>
      </c>
      <c r="AH103">
        <f>AG103*Plan!D11/100/12</f>
        <v/>
      </c>
      <c r="AI103">
        <f>MIN(Plan!E11,AG103+AH103)</f>
        <v/>
      </c>
      <c r="AJ103">
        <f>AG103+AH103-AI103</f>
        <v/>
      </c>
      <c r="AK103">
        <f>MIN(AJ103,MAX(0,$B103-((E$5&lt;AI$5)*F103+(K$5&lt;AI$5)*L103+(Q$5&lt;AI$5)*R103+(W$5&lt;AI$5)*X103+(AC$5&lt;AI$5)*AD103+(AO$5&lt;AI$5)*AP103+(AU$5&lt;AI$5)*AV103)))</f>
        <v/>
      </c>
      <c r="AL103">
        <f>IF(AJ103-AK103&lt;0.005,0,AJ103-AK103)</f>
        <v/>
      </c>
      <c r="AM103">
        <f>AR102</f>
        <v/>
      </c>
      <c r="AN103">
        <f>AM103*Plan!D12/100/12</f>
        <v/>
      </c>
      <c r="AO103">
        <f>MIN(Plan!E12,AM103+AN103)</f>
        <v/>
      </c>
      <c r="AP103">
        <f>AM103+AN103-AO103</f>
        <v/>
      </c>
      <c r="AQ103">
        <f>MIN(AP103,MAX(0,$B103-((E$5&lt;AO$5)*F103+(K$5&lt;AO$5)*L103+(Q$5&lt;AO$5)*R103+(W$5&lt;AO$5)*X103+(AC$5&lt;AO$5)*AD103+(AI$5&lt;AO$5)*AJ103+(AU$5&lt;AO$5)*AV103)))</f>
        <v/>
      </c>
      <c r="AR103">
        <f>IF(AP103-AQ103&lt;0.005,0,AP103-AQ103)</f>
        <v/>
      </c>
      <c r="AS103">
        <f>AX102</f>
        <v/>
      </c>
      <c r="AT103">
        <f>AS103*Plan!D13/100/12</f>
        <v/>
      </c>
      <c r="AU103">
        <f>MIN(Plan!E13,AS103+AT103)</f>
        <v/>
      </c>
      <c r="AV103">
        <f>AS103+AT103-AU103</f>
        <v/>
      </c>
      <c r="AW103">
        <f>MIN(AV103,MAX(0,$B103-((E$5&lt;AU$5)*F103+(K$5&lt;AU$5)*L103+(Q$5&lt;AU$5)*R103+(W$5&lt;AU$5)*X103+(AC$5&lt;AU$5)*AD103+(AI$5&lt;AU$5)*AJ103+(AO$5&lt;AU$5)*AP103)))</f>
        <v/>
      </c>
      <c r="AX103">
        <f>IF(AV103-AW103&lt;0.005,0,AV103-AW103)</f>
        <v/>
      </c>
      <c r="BC103">
        <f>H103+N103+T103+Z103+AF103+AL103+AR103+AX103</f>
        <v/>
      </c>
    </row>
    <row r="104">
      <c r="A104" t="n">
        <v>98</v>
      </c>
      <c r="B104" s="19">
        <f>MAX(0,$B$3-(E104+K104+Q104+W104+AC104+AI104+AO104+AU104))</f>
        <v/>
      </c>
      <c r="C104">
        <f>H103</f>
        <v/>
      </c>
      <c r="D104">
        <f>C104*Plan!D6/100/12</f>
        <v/>
      </c>
      <c r="E104">
        <f>MIN(Plan!E6,C104+D104)</f>
        <v/>
      </c>
      <c r="F104">
        <f>C104+D104-E104</f>
        <v/>
      </c>
      <c r="G104">
        <f>MIN(F104,MAX(0,$B104-((K$5&lt;E$5)*L104+(Q$5&lt;E$5)*R104+(W$5&lt;E$5)*X104+(AC$5&lt;E$5)*AD104+(AI$5&lt;E$5)*AJ104+(AO$5&lt;E$5)*AP104+(AU$5&lt;E$5)*AV104)))</f>
        <v/>
      </c>
      <c r="H104">
        <f>IF(F104-G104&lt;0.005,0,F104-G104)</f>
        <v/>
      </c>
      <c r="I104">
        <f>N103</f>
        <v/>
      </c>
      <c r="J104">
        <f>I104*Plan!D7/100/12</f>
        <v/>
      </c>
      <c r="K104">
        <f>MIN(Plan!E7,I104+J104)</f>
        <v/>
      </c>
      <c r="L104">
        <f>I104+J104-K104</f>
        <v/>
      </c>
      <c r="M104">
        <f>MIN(L104,MAX(0,$B104-((E$5&lt;K$5)*F104+(Q$5&lt;K$5)*R104+(W$5&lt;K$5)*X104+(AC$5&lt;K$5)*AD104+(AI$5&lt;K$5)*AJ104+(AO$5&lt;K$5)*AP104+(AU$5&lt;K$5)*AV104)))</f>
        <v/>
      </c>
      <c r="N104">
        <f>IF(L104-M104&lt;0.005,0,L104-M104)</f>
        <v/>
      </c>
      <c r="O104">
        <f>T103</f>
        <v/>
      </c>
      <c r="P104">
        <f>O104*Plan!D8/100/12</f>
        <v/>
      </c>
      <c r="Q104">
        <f>MIN(Plan!E8,O104+P104)</f>
        <v/>
      </c>
      <c r="R104">
        <f>O104+P104-Q104</f>
        <v/>
      </c>
      <c r="S104">
        <f>MIN(R104,MAX(0,$B104-((E$5&lt;Q$5)*F104+(K$5&lt;Q$5)*L104+(W$5&lt;Q$5)*X104+(AC$5&lt;Q$5)*AD104+(AI$5&lt;Q$5)*AJ104+(AO$5&lt;Q$5)*AP104+(AU$5&lt;Q$5)*AV104)))</f>
        <v/>
      </c>
      <c r="T104">
        <f>IF(R104-S104&lt;0.005,0,R104-S104)</f>
        <v/>
      </c>
      <c r="U104">
        <f>Z103</f>
        <v/>
      </c>
      <c r="V104">
        <f>U104*Plan!D9/100/12</f>
        <v/>
      </c>
      <c r="W104">
        <f>MIN(Plan!E9,U104+V104)</f>
        <v/>
      </c>
      <c r="X104">
        <f>U104+V104-W104</f>
        <v/>
      </c>
      <c r="Y104">
        <f>MIN(X104,MAX(0,$B104-((E$5&lt;W$5)*F104+(K$5&lt;W$5)*L104+(Q$5&lt;W$5)*R104+(AC$5&lt;W$5)*AD104+(AI$5&lt;W$5)*AJ104+(AO$5&lt;W$5)*AP104+(AU$5&lt;W$5)*AV104)))</f>
        <v/>
      </c>
      <c r="Z104">
        <f>IF(X104-Y104&lt;0.005,0,X104-Y104)</f>
        <v/>
      </c>
      <c r="AA104">
        <f>AF103</f>
        <v/>
      </c>
      <c r="AB104">
        <f>AA104*Plan!D10/100/12</f>
        <v/>
      </c>
      <c r="AC104">
        <f>MIN(Plan!E10,AA104+AB104)</f>
        <v/>
      </c>
      <c r="AD104">
        <f>AA104+AB104-AC104</f>
        <v/>
      </c>
      <c r="AE104">
        <f>MIN(AD104,MAX(0,$B104-((E$5&lt;AC$5)*F104+(K$5&lt;AC$5)*L104+(Q$5&lt;AC$5)*R104+(W$5&lt;AC$5)*X104+(AI$5&lt;AC$5)*AJ104+(AO$5&lt;AC$5)*AP104+(AU$5&lt;AC$5)*AV104)))</f>
        <v/>
      </c>
      <c r="AF104">
        <f>IF(AD104-AE104&lt;0.005,0,AD104-AE104)</f>
        <v/>
      </c>
      <c r="AG104">
        <f>AL103</f>
        <v/>
      </c>
      <c r="AH104">
        <f>AG104*Plan!D11/100/12</f>
        <v/>
      </c>
      <c r="AI104">
        <f>MIN(Plan!E11,AG104+AH104)</f>
        <v/>
      </c>
      <c r="AJ104">
        <f>AG104+AH104-AI104</f>
        <v/>
      </c>
      <c r="AK104">
        <f>MIN(AJ104,MAX(0,$B104-((E$5&lt;AI$5)*F104+(K$5&lt;AI$5)*L104+(Q$5&lt;AI$5)*R104+(W$5&lt;AI$5)*X104+(AC$5&lt;AI$5)*AD104+(AO$5&lt;AI$5)*AP104+(AU$5&lt;AI$5)*AV104)))</f>
        <v/>
      </c>
      <c r="AL104">
        <f>IF(AJ104-AK104&lt;0.005,0,AJ104-AK104)</f>
        <v/>
      </c>
      <c r="AM104">
        <f>AR103</f>
        <v/>
      </c>
      <c r="AN104">
        <f>AM104*Plan!D12/100/12</f>
        <v/>
      </c>
      <c r="AO104">
        <f>MIN(Plan!E12,AM104+AN104)</f>
        <v/>
      </c>
      <c r="AP104">
        <f>AM104+AN104-AO104</f>
        <v/>
      </c>
      <c r="AQ104">
        <f>MIN(AP104,MAX(0,$B104-((E$5&lt;AO$5)*F104+(K$5&lt;AO$5)*L104+(Q$5&lt;AO$5)*R104+(W$5&lt;AO$5)*X104+(AC$5&lt;AO$5)*AD104+(AI$5&lt;AO$5)*AJ104+(AU$5&lt;AO$5)*AV104)))</f>
        <v/>
      </c>
      <c r="AR104">
        <f>IF(AP104-AQ104&lt;0.005,0,AP104-AQ104)</f>
        <v/>
      </c>
      <c r="AS104">
        <f>AX103</f>
        <v/>
      </c>
      <c r="AT104">
        <f>AS104*Plan!D13/100/12</f>
        <v/>
      </c>
      <c r="AU104">
        <f>MIN(Plan!E13,AS104+AT104)</f>
        <v/>
      </c>
      <c r="AV104">
        <f>AS104+AT104-AU104</f>
        <v/>
      </c>
      <c r="AW104">
        <f>MIN(AV104,MAX(0,$B104-((E$5&lt;AU$5)*F104+(K$5&lt;AU$5)*L104+(Q$5&lt;AU$5)*R104+(W$5&lt;AU$5)*X104+(AC$5&lt;AU$5)*AD104+(AI$5&lt;AU$5)*AJ104+(AO$5&lt;AU$5)*AP104)))</f>
        <v/>
      </c>
      <c r="AX104">
        <f>IF(AV104-AW104&lt;0.005,0,AV104-AW104)</f>
        <v/>
      </c>
      <c r="BC104">
        <f>H104+N104+T104+Z104+AF104+AL104+AR104+AX104</f>
        <v/>
      </c>
    </row>
    <row r="105">
      <c r="A105" t="n">
        <v>99</v>
      </c>
      <c r="B105" s="19">
        <f>MAX(0,$B$3-(E105+K105+Q105+W105+AC105+AI105+AO105+AU105))</f>
        <v/>
      </c>
      <c r="C105">
        <f>H104</f>
        <v/>
      </c>
      <c r="D105">
        <f>C105*Plan!D6/100/12</f>
        <v/>
      </c>
      <c r="E105">
        <f>MIN(Plan!E6,C105+D105)</f>
        <v/>
      </c>
      <c r="F105">
        <f>C105+D105-E105</f>
        <v/>
      </c>
      <c r="G105">
        <f>MIN(F105,MAX(0,$B105-((K$5&lt;E$5)*L105+(Q$5&lt;E$5)*R105+(W$5&lt;E$5)*X105+(AC$5&lt;E$5)*AD105+(AI$5&lt;E$5)*AJ105+(AO$5&lt;E$5)*AP105+(AU$5&lt;E$5)*AV105)))</f>
        <v/>
      </c>
      <c r="H105">
        <f>IF(F105-G105&lt;0.005,0,F105-G105)</f>
        <v/>
      </c>
      <c r="I105">
        <f>N104</f>
        <v/>
      </c>
      <c r="J105">
        <f>I105*Plan!D7/100/12</f>
        <v/>
      </c>
      <c r="K105">
        <f>MIN(Plan!E7,I105+J105)</f>
        <v/>
      </c>
      <c r="L105">
        <f>I105+J105-K105</f>
        <v/>
      </c>
      <c r="M105">
        <f>MIN(L105,MAX(0,$B105-((E$5&lt;K$5)*F105+(Q$5&lt;K$5)*R105+(W$5&lt;K$5)*X105+(AC$5&lt;K$5)*AD105+(AI$5&lt;K$5)*AJ105+(AO$5&lt;K$5)*AP105+(AU$5&lt;K$5)*AV105)))</f>
        <v/>
      </c>
      <c r="N105">
        <f>IF(L105-M105&lt;0.005,0,L105-M105)</f>
        <v/>
      </c>
      <c r="O105">
        <f>T104</f>
        <v/>
      </c>
      <c r="P105">
        <f>O105*Plan!D8/100/12</f>
        <v/>
      </c>
      <c r="Q105">
        <f>MIN(Plan!E8,O105+P105)</f>
        <v/>
      </c>
      <c r="R105">
        <f>O105+P105-Q105</f>
        <v/>
      </c>
      <c r="S105">
        <f>MIN(R105,MAX(0,$B105-((E$5&lt;Q$5)*F105+(K$5&lt;Q$5)*L105+(W$5&lt;Q$5)*X105+(AC$5&lt;Q$5)*AD105+(AI$5&lt;Q$5)*AJ105+(AO$5&lt;Q$5)*AP105+(AU$5&lt;Q$5)*AV105)))</f>
        <v/>
      </c>
      <c r="T105">
        <f>IF(R105-S105&lt;0.005,0,R105-S105)</f>
        <v/>
      </c>
      <c r="U105">
        <f>Z104</f>
        <v/>
      </c>
      <c r="V105">
        <f>U105*Plan!D9/100/12</f>
        <v/>
      </c>
      <c r="W105">
        <f>MIN(Plan!E9,U105+V105)</f>
        <v/>
      </c>
      <c r="X105">
        <f>U105+V105-W105</f>
        <v/>
      </c>
      <c r="Y105">
        <f>MIN(X105,MAX(0,$B105-((E$5&lt;W$5)*F105+(K$5&lt;W$5)*L105+(Q$5&lt;W$5)*R105+(AC$5&lt;W$5)*AD105+(AI$5&lt;W$5)*AJ105+(AO$5&lt;W$5)*AP105+(AU$5&lt;W$5)*AV105)))</f>
        <v/>
      </c>
      <c r="Z105">
        <f>IF(X105-Y105&lt;0.005,0,X105-Y105)</f>
        <v/>
      </c>
      <c r="AA105">
        <f>AF104</f>
        <v/>
      </c>
      <c r="AB105">
        <f>AA105*Plan!D10/100/12</f>
        <v/>
      </c>
      <c r="AC105">
        <f>MIN(Plan!E10,AA105+AB105)</f>
        <v/>
      </c>
      <c r="AD105">
        <f>AA105+AB105-AC105</f>
        <v/>
      </c>
      <c r="AE105">
        <f>MIN(AD105,MAX(0,$B105-((E$5&lt;AC$5)*F105+(K$5&lt;AC$5)*L105+(Q$5&lt;AC$5)*R105+(W$5&lt;AC$5)*X105+(AI$5&lt;AC$5)*AJ105+(AO$5&lt;AC$5)*AP105+(AU$5&lt;AC$5)*AV105)))</f>
        <v/>
      </c>
      <c r="AF105">
        <f>IF(AD105-AE105&lt;0.005,0,AD105-AE105)</f>
        <v/>
      </c>
      <c r="AG105">
        <f>AL104</f>
        <v/>
      </c>
      <c r="AH105">
        <f>AG105*Plan!D11/100/12</f>
        <v/>
      </c>
      <c r="AI105">
        <f>MIN(Plan!E11,AG105+AH105)</f>
        <v/>
      </c>
      <c r="AJ105">
        <f>AG105+AH105-AI105</f>
        <v/>
      </c>
      <c r="AK105">
        <f>MIN(AJ105,MAX(0,$B105-((E$5&lt;AI$5)*F105+(K$5&lt;AI$5)*L105+(Q$5&lt;AI$5)*R105+(W$5&lt;AI$5)*X105+(AC$5&lt;AI$5)*AD105+(AO$5&lt;AI$5)*AP105+(AU$5&lt;AI$5)*AV105)))</f>
        <v/>
      </c>
      <c r="AL105">
        <f>IF(AJ105-AK105&lt;0.005,0,AJ105-AK105)</f>
        <v/>
      </c>
      <c r="AM105">
        <f>AR104</f>
        <v/>
      </c>
      <c r="AN105">
        <f>AM105*Plan!D12/100/12</f>
        <v/>
      </c>
      <c r="AO105">
        <f>MIN(Plan!E12,AM105+AN105)</f>
        <v/>
      </c>
      <c r="AP105">
        <f>AM105+AN105-AO105</f>
        <v/>
      </c>
      <c r="AQ105">
        <f>MIN(AP105,MAX(0,$B105-((E$5&lt;AO$5)*F105+(K$5&lt;AO$5)*L105+(Q$5&lt;AO$5)*R105+(W$5&lt;AO$5)*X105+(AC$5&lt;AO$5)*AD105+(AI$5&lt;AO$5)*AJ105+(AU$5&lt;AO$5)*AV105)))</f>
        <v/>
      </c>
      <c r="AR105">
        <f>IF(AP105-AQ105&lt;0.005,0,AP105-AQ105)</f>
        <v/>
      </c>
      <c r="AS105">
        <f>AX104</f>
        <v/>
      </c>
      <c r="AT105">
        <f>AS105*Plan!D13/100/12</f>
        <v/>
      </c>
      <c r="AU105">
        <f>MIN(Plan!E13,AS105+AT105)</f>
        <v/>
      </c>
      <c r="AV105">
        <f>AS105+AT105-AU105</f>
        <v/>
      </c>
      <c r="AW105">
        <f>MIN(AV105,MAX(0,$B105-((E$5&lt;AU$5)*F105+(K$5&lt;AU$5)*L105+(Q$5&lt;AU$5)*R105+(W$5&lt;AU$5)*X105+(AC$5&lt;AU$5)*AD105+(AI$5&lt;AU$5)*AJ105+(AO$5&lt;AU$5)*AP105)))</f>
        <v/>
      </c>
      <c r="AX105">
        <f>IF(AV105-AW105&lt;0.005,0,AV105-AW105)</f>
        <v/>
      </c>
      <c r="BC105">
        <f>H105+N105+T105+Z105+AF105+AL105+AR105+AX105</f>
        <v/>
      </c>
    </row>
    <row r="106">
      <c r="A106" t="n">
        <v>100</v>
      </c>
      <c r="B106" s="19">
        <f>MAX(0,$B$3-(E106+K106+Q106+W106+AC106+AI106+AO106+AU106))</f>
        <v/>
      </c>
      <c r="C106">
        <f>H105</f>
        <v/>
      </c>
      <c r="D106">
        <f>C106*Plan!D6/100/12</f>
        <v/>
      </c>
      <c r="E106">
        <f>MIN(Plan!E6,C106+D106)</f>
        <v/>
      </c>
      <c r="F106">
        <f>C106+D106-E106</f>
        <v/>
      </c>
      <c r="G106">
        <f>MIN(F106,MAX(0,$B106-((K$5&lt;E$5)*L106+(Q$5&lt;E$5)*R106+(W$5&lt;E$5)*X106+(AC$5&lt;E$5)*AD106+(AI$5&lt;E$5)*AJ106+(AO$5&lt;E$5)*AP106+(AU$5&lt;E$5)*AV106)))</f>
        <v/>
      </c>
      <c r="H106">
        <f>IF(F106-G106&lt;0.005,0,F106-G106)</f>
        <v/>
      </c>
      <c r="I106">
        <f>N105</f>
        <v/>
      </c>
      <c r="J106">
        <f>I106*Plan!D7/100/12</f>
        <v/>
      </c>
      <c r="K106">
        <f>MIN(Plan!E7,I106+J106)</f>
        <v/>
      </c>
      <c r="L106">
        <f>I106+J106-K106</f>
        <v/>
      </c>
      <c r="M106">
        <f>MIN(L106,MAX(0,$B106-((E$5&lt;K$5)*F106+(Q$5&lt;K$5)*R106+(W$5&lt;K$5)*X106+(AC$5&lt;K$5)*AD106+(AI$5&lt;K$5)*AJ106+(AO$5&lt;K$5)*AP106+(AU$5&lt;K$5)*AV106)))</f>
        <v/>
      </c>
      <c r="N106">
        <f>IF(L106-M106&lt;0.005,0,L106-M106)</f>
        <v/>
      </c>
      <c r="O106">
        <f>T105</f>
        <v/>
      </c>
      <c r="P106">
        <f>O106*Plan!D8/100/12</f>
        <v/>
      </c>
      <c r="Q106">
        <f>MIN(Plan!E8,O106+P106)</f>
        <v/>
      </c>
      <c r="R106">
        <f>O106+P106-Q106</f>
        <v/>
      </c>
      <c r="S106">
        <f>MIN(R106,MAX(0,$B106-((E$5&lt;Q$5)*F106+(K$5&lt;Q$5)*L106+(W$5&lt;Q$5)*X106+(AC$5&lt;Q$5)*AD106+(AI$5&lt;Q$5)*AJ106+(AO$5&lt;Q$5)*AP106+(AU$5&lt;Q$5)*AV106)))</f>
        <v/>
      </c>
      <c r="T106">
        <f>IF(R106-S106&lt;0.005,0,R106-S106)</f>
        <v/>
      </c>
      <c r="U106">
        <f>Z105</f>
        <v/>
      </c>
      <c r="V106">
        <f>U106*Plan!D9/100/12</f>
        <v/>
      </c>
      <c r="W106">
        <f>MIN(Plan!E9,U106+V106)</f>
        <v/>
      </c>
      <c r="X106">
        <f>U106+V106-W106</f>
        <v/>
      </c>
      <c r="Y106">
        <f>MIN(X106,MAX(0,$B106-((E$5&lt;W$5)*F106+(K$5&lt;W$5)*L106+(Q$5&lt;W$5)*R106+(AC$5&lt;W$5)*AD106+(AI$5&lt;W$5)*AJ106+(AO$5&lt;W$5)*AP106+(AU$5&lt;W$5)*AV106)))</f>
        <v/>
      </c>
      <c r="Z106">
        <f>IF(X106-Y106&lt;0.005,0,X106-Y106)</f>
        <v/>
      </c>
      <c r="AA106">
        <f>AF105</f>
        <v/>
      </c>
      <c r="AB106">
        <f>AA106*Plan!D10/100/12</f>
        <v/>
      </c>
      <c r="AC106">
        <f>MIN(Plan!E10,AA106+AB106)</f>
        <v/>
      </c>
      <c r="AD106">
        <f>AA106+AB106-AC106</f>
        <v/>
      </c>
      <c r="AE106">
        <f>MIN(AD106,MAX(0,$B106-((E$5&lt;AC$5)*F106+(K$5&lt;AC$5)*L106+(Q$5&lt;AC$5)*R106+(W$5&lt;AC$5)*X106+(AI$5&lt;AC$5)*AJ106+(AO$5&lt;AC$5)*AP106+(AU$5&lt;AC$5)*AV106)))</f>
        <v/>
      </c>
      <c r="AF106">
        <f>IF(AD106-AE106&lt;0.005,0,AD106-AE106)</f>
        <v/>
      </c>
      <c r="AG106">
        <f>AL105</f>
        <v/>
      </c>
      <c r="AH106">
        <f>AG106*Plan!D11/100/12</f>
        <v/>
      </c>
      <c r="AI106">
        <f>MIN(Plan!E11,AG106+AH106)</f>
        <v/>
      </c>
      <c r="AJ106">
        <f>AG106+AH106-AI106</f>
        <v/>
      </c>
      <c r="AK106">
        <f>MIN(AJ106,MAX(0,$B106-((E$5&lt;AI$5)*F106+(K$5&lt;AI$5)*L106+(Q$5&lt;AI$5)*R106+(W$5&lt;AI$5)*X106+(AC$5&lt;AI$5)*AD106+(AO$5&lt;AI$5)*AP106+(AU$5&lt;AI$5)*AV106)))</f>
        <v/>
      </c>
      <c r="AL106">
        <f>IF(AJ106-AK106&lt;0.005,0,AJ106-AK106)</f>
        <v/>
      </c>
      <c r="AM106">
        <f>AR105</f>
        <v/>
      </c>
      <c r="AN106">
        <f>AM106*Plan!D12/100/12</f>
        <v/>
      </c>
      <c r="AO106">
        <f>MIN(Plan!E12,AM106+AN106)</f>
        <v/>
      </c>
      <c r="AP106">
        <f>AM106+AN106-AO106</f>
        <v/>
      </c>
      <c r="AQ106">
        <f>MIN(AP106,MAX(0,$B106-((E$5&lt;AO$5)*F106+(K$5&lt;AO$5)*L106+(Q$5&lt;AO$5)*R106+(W$5&lt;AO$5)*X106+(AC$5&lt;AO$5)*AD106+(AI$5&lt;AO$5)*AJ106+(AU$5&lt;AO$5)*AV106)))</f>
        <v/>
      </c>
      <c r="AR106">
        <f>IF(AP106-AQ106&lt;0.005,0,AP106-AQ106)</f>
        <v/>
      </c>
      <c r="AS106">
        <f>AX105</f>
        <v/>
      </c>
      <c r="AT106">
        <f>AS106*Plan!D13/100/12</f>
        <v/>
      </c>
      <c r="AU106">
        <f>MIN(Plan!E13,AS106+AT106)</f>
        <v/>
      </c>
      <c r="AV106">
        <f>AS106+AT106-AU106</f>
        <v/>
      </c>
      <c r="AW106">
        <f>MIN(AV106,MAX(0,$B106-((E$5&lt;AU$5)*F106+(K$5&lt;AU$5)*L106+(Q$5&lt;AU$5)*R106+(W$5&lt;AU$5)*X106+(AC$5&lt;AU$5)*AD106+(AI$5&lt;AU$5)*AJ106+(AO$5&lt;AU$5)*AP106)))</f>
        <v/>
      </c>
      <c r="AX106">
        <f>IF(AV106-AW106&lt;0.005,0,AV106-AW106)</f>
        <v/>
      </c>
      <c r="BC106">
        <f>H106+N106+T106+Z106+AF106+AL106+AR106+AX106</f>
        <v/>
      </c>
    </row>
    <row r="107">
      <c r="A107" t="n">
        <v>101</v>
      </c>
      <c r="B107" s="19">
        <f>MAX(0,$B$3-(E107+K107+Q107+W107+AC107+AI107+AO107+AU107))</f>
        <v/>
      </c>
      <c r="C107">
        <f>H106</f>
        <v/>
      </c>
      <c r="D107">
        <f>C107*Plan!D6/100/12</f>
        <v/>
      </c>
      <c r="E107">
        <f>MIN(Plan!E6,C107+D107)</f>
        <v/>
      </c>
      <c r="F107">
        <f>C107+D107-E107</f>
        <v/>
      </c>
      <c r="G107">
        <f>MIN(F107,MAX(0,$B107-((K$5&lt;E$5)*L107+(Q$5&lt;E$5)*R107+(W$5&lt;E$5)*X107+(AC$5&lt;E$5)*AD107+(AI$5&lt;E$5)*AJ107+(AO$5&lt;E$5)*AP107+(AU$5&lt;E$5)*AV107)))</f>
        <v/>
      </c>
      <c r="H107">
        <f>IF(F107-G107&lt;0.005,0,F107-G107)</f>
        <v/>
      </c>
      <c r="I107">
        <f>N106</f>
        <v/>
      </c>
      <c r="J107">
        <f>I107*Plan!D7/100/12</f>
        <v/>
      </c>
      <c r="K107">
        <f>MIN(Plan!E7,I107+J107)</f>
        <v/>
      </c>
      <c r="L107">
        <f>I107+J107-K107</f>
        <v/>
      </c>
      <c r="M107">
        <f>MIN(L107,MAX(0,$B107-((E$5&lt;K$5)*F107+(Q$5&lt;K$5)*R107+(W$5&lt;K$5)*X107+(AC$5&lt;K$5)*AD107+(AI$5&lt;K$5)*AJ107+(AO$5&lt;K$5)*AP107+(AU$5&lt;K$5)*AV107)))</f>
        <v/>
      </c>
      <c r="N107">
        <f>IF(L107-M107&lt;0.005,0,L107-M107)</f>
        <v/>
      </c>
      <c r="O107">
        <f>T106</f>
        <v/>
      </c>
      <c r="P107">
        <f>O107*Plan!D8/100/12</f>
        <v/>
      </c>
      <c r="Q107">
        <f>MIN(Plan!E8,O107+P107)</f>
        <v/>
      </c>
      <c r="R107">
        <f>O107+P107-Q107</f>
        <v/>
      </c>
      <c r="S107">
        <f>MIN(R107,MAX(0,$B107-((E$5&lt;Q$5)*F107+(K$5&lt;Q$5)*L107+(W$5&lt;Q$5)*X107+(AC$5&lt;Q$5)*AD107+(AI$5&lt;Q$5)*AJ107+(AO$5&lt;Q$5)*AP107+(AU$5&lt;Q$5)*AV107)))</f>
        <v/>
      </c>
      <c r="T107">
        <f>IF(R107-S107&lt;0.005,0,R107-S107)</f>
        <v/>
      </c>
      <c r="U107">
        <f>Z106</f>
        <v/>
      </c>
      <c r="V107">
        <f>U107*Plan!D9/100/12</f>
        <v/>
      </c>
      <c r="W107">
        <f>MIN(Plan!E9,U107+V107)</f>
        <v/>
      </c>
      <c r="X107">
        <f>U107+V107-W107</f>
        <v/>
      </c>
      <c r="Y107">
        <f>MIN(X107,MAX(0,$B107-((E$5&lt;W$5)*F107+(K$5&lt;W$5)*L107+(Q$5&lt;W$5)*R107+(AC$5&lt;W$5)*AD107+(AI$5&lt;W$5)*AJ107+(AO$5&lt;W$5)*AP107+(AU$5&lt;W$5)*AV107)))</f>
        <v/>
      </c>
      <c r="Z107">
        <f>IF(X107-Y107&lt;0.005,0,X107-Y107)</f>
        <v/>
      </c>
      <c r="AA107">
        <f>AF106</f>
        <v/>
      </c>
      <c r="AB107">
        <f>AA107*Plan!D10/100/12</f>
        <v/>
      </c>
      <c r="AC107">
        <f>MIN(Plan!E10,AA107+AB107)</f>
        <v/>
      </c>
      <c r="AD107">
        <f>AA107+AB107-AC107</f>
        <v/>
      </c>
      <c r="AE107">
        <f>MIN(AD107,MAX(0,$B107-((E$5&lt;AC$5)*F107+(K$5&lt;AC$5)*L107+(Q$5&lt;AC$5)*R107+(W$5&lt;AC$5)*X107+(AI$5&lt;AC$5)*AJ107+(AO$5&lt;AC$5)*AP107+(AU$5&lt;AC$5)*AV107)))</f>
        <v/>
      </c>
      <c r="AF107">
        <f>IF(AD107-AE107&lt;0.005,0,AD107-AE107)</f>
        <v/>
      </c>
      <c r="AG107">
        <f>AL106</f>
        <v/>
      </c>
      <c r="AH107">
        <f>AG107*Plan!D11/100/12</f>
        <v/>
      </c>
      <c r="AI107">
        <f>MIN(Plan!E11,AG107+AH107)</f>
        <v/>
      </c>
      <c r="AJ107">
        <f>AG107+AH107-AI107</f>
        <v/>
      </c>
      <c r="AK107">
        <f>MIN(AJ107,MAX(0,$B107-((E$5&lt;AI$5)*F107+(K$5&lt;AI$5)*L107+(Q$5&lt;AI$5)*R107+(W$5&lt;AI$5)*X107+(AC$5&lt;AI$5)*AD107+(AO$5&lt;AI$5)*AP107+(AU$5&lt;AI$5)*AV107)))</f>
        <v/>
      </c>
      <c r="AL107">
        <f>IF(AJ107-AK107&lt;0.005,0,AJ107-AK107)</f>
        <v/>
      </c>
      <c r="AM107">
        <f>AR106</f>
        <v/>
      </c>
      <c r="AN107">
        <f>AM107*Plan!D12/100/12</f>
        <v/>
      </c>
      <c r="AO107">
        <f>MIN(Plan!E12,AM107+AN107)</f>
        <v/>
      </c>
      <c r="AP107">
        <f>AM107+AN107-AO107</f>
        <v/>
      </c>
      <c r="AQ107">
        <f>MIN(AP107,MAX(0,$B107-((E$5&lt;AO$5)*F107+(K$5&lt;AO$5)*L107+(Q$5&lt;AO$5)*R107+(W$5&lt;AO$5)*X107+(AC$5&lt;AO$5)*AD107+(AI$5&lt;AO$5)*AJ107+(AU$5&lt;AO$5)*AV107)))</f>
        <v/>
      </c>
      <c r="AR107">
        <f>IF(AP107-AQ107&lt;0.005,0,AP107-AQ107)</f>
        <v/>
      </c>
      <c r="AS107">
        <f>AX106</f>
        <v/>
      </c>
      <c r="AT107">
        <f>AS107*Plan!D13/100/12</f>
        <v/>
      </c>
      <c r="AU107">
        <f>MIN(Plan!E13,AS107+AT107)</f>
        <v/>
      </c>
      <c r="AV107">
        <f>AS107+AT107-AU107</f>
        <v/>
      </c>
      <c r="AW107">
        <f>MIN(AV107,MAX(0,$B107-((E$5&lt;AU$5)*F107+(K$5&lt;AU$5)*L107+(Q$5&lt;AU$5)*R107+(W$5&lt;AU$5)*X107+(AC$5&lt;AU$5)*AD107+(AI$5&lt;AU$5)*AJ107+(AO$5&lt;AU$5)*AP107)))</f>
        <v/>
      </c>
      <c r="AX107">
        <f>IF(AV107-AW107&lt;0.005,0,AV107-AW107)</f>
        <v/>
      </c>
      <c r="BC107">
        <f>H107+N107+T107+Z107+AF107+AL107+AR107+AX107</f>
        <v/>
      </c>
    </row>
    <row r="108">
      <c r="A108" t="n">
        <v>102</v>
      </c>
      <c r="B108" s="19">
        <f>MAX(0,$B$3-(E108+K108+Q108+W108+AC108+AI108+AO108+AU108))</f>
        <v/>
      </c>
      <c r="C108">
        <f>H107</f>
        <v/>
      </c>
      <c r="D108">
        <f>C108*Plan!D6/100/12</f>
        <v/>
      </c>
      <c r="E108">
        <f>MIN(Plan!E6,C108+D108)</f>
        <v/>
      </c>
      <c r="F108">
        <f>C108+D108-E108</f>
        <v/>
      </c>
      <c r="G108">
        <f>MIN(F108,MAX(0,$B108-((K$5&lt;E$5)*L108+(Q$5&lt;E$5)*R108+(W$5&lt;E$5)*X108+(AC$5&lt;E$5)*AD108+(AI$5&lt;E$5)*AJ108+(AO$5&lt;E$5)*AP108+(AU$5&lt;E$5)*AV108)))</f>
        <v/>
      </c>
      <c r="H108">
        <f>IF(F108-G108&lt;0.005,0,F108-G108)</f>
        <v/>
      </c>
      <c r="I108">
        <f>N107</f>
        <v/>
      </c>
      <c r="J108">
        <f>I108*Plan!D7/100/12</f>
        <v/>
      </c>
      <c r="K108">
        <f>MIN(Plan!E7,I108+J108)</f>
        <v/>
      </c>
      <c r="L108">
        <f>I108+J108-K108</f>
        <v/>
      </c>
      <c r="M108">
        <f>MIN(L108,MAX(0,$B108-((E$5&lt;K$5)*F108+(Q$5&lt;K$5)*R108+(W$5&lt;K$5)*X108+(AC$5&lt;K$5)*AD108+(AI$5&lt;K$5)*AJ108+(AO$5&lt;K$5)*AP108+(AU$5&lt;K$5)*AV108)))</f>
        <v/>
      </c>
      <c r="N108">
        <f>IF(L108-M108&lt;0.005,0,L108-M108)</f>
        <v/>
      </c>
      <c r="O108">
        <f>T107</f>
        <v/>
      </c>
      <c r="P108">
        <f>O108*Plan!D8/100/12</f>
        <v/>
      </c>
      <c r="Q108">
        <f>MIN(Plan!E8,O108+P108)</f>
        <v/>
      </c>
      <c r="R108">
        <f>O108+P108-Q108</f>
        <v/>
      </c>
      <c r="S108">
        <f>MIN(R108,MAX(0,$B108-((E$5&lt;Q$5)*F108+(K$5&lt;Q$5)*L108+(W$5&lt;Q$5)*X108+(AC$5&lt;Q$5)*AD108+(AI$5&lt;Q$5)*AJ108+(AO$5&lt;Q$5)*AP108+(AU$5&lt;Q$5)*AV108)))</f>
        <v/>
      </c>
      <c r="T108">
        <f>IF(R108-S108&lt;0.005,0,R108-S108)</f>
        <v/>
      </c>
      <c r="U108">
        <f>Z107</f>
        <v/>
      </c>
      <c r="V108">
        <f>U108*Plan!D9/100/12</f>
        <v/>
      </c>
      <c r="W108">
        <f>MIN(Plan!E9,U108+V108)</f>
        <v/>
      </c>
      <c r="X108">
        <f>U108+V108-W108</f>
        <v/>
      </c>
      <c r="Y108">
        <f>MIN(X108,MAX(0,$B108-((E$5&lt;W$5)*F108+(K$5&lt;W$5)*L108+(Q$5&lt;W$5)*R108+(AC$5&lt;W$5)*AD108+(AI$5&lt;W$5)*AJ108+(AO$5&lt;W$5)*AP108+(AU$5&lt;W$5)*AV108)))</f>
        <v/>
      </c>
      <c r="Z108">
        <f>IF(X108-Y108&lt;0.005,0,X108-Y108)</f>
        <v/>
      </c>
      <c r="AA108">
        <f>AF107</f>
        <v/>
      </c>
      <c r="AB108">
        <f>AA108*Plan!D10/100/12</f>
        <v/>
      </c>
      <c r="AC108">
        <f>MIN(Plan!E10,AA108+AB108)</f>
        <v/>
      </c>
      <c r="AD108">
        <f>AA108+AB108-AC108</f>
        <v/>
      </c>
      <c r="AE108">
        <f>MIN(AD108,MAX(0,$B108-((E$5&lt;AC$5)*F108+(K$5&lt;AC$5)*L108+(Q$5&lt;AC$5)*R108+(W$5&lt;AC$5)*X108+(AI$5&lt;AC$5)*AJ108+(AO$5&lt;AC$5)*AP108+(AU$5&lt;AC$5)*AV108)))</f>
        <v/>
      </c>
      <c r="AF108">
        <f>IF(AD108-AE108&lt;0.005,0,AD108-AE108)</f>
        <v/>
      </c>
      <c r="AG108">
        <f>AL107</f>
        <v/>
      </c>
      <c r="AH108">
        <f>AG108*Plan!D11/100/12</f>
        <v/>
      </c>
      <c r="AI108">
        <f>MIN(Plan!E11,AG108+AH108)</f>
        <v/>
      </c>
      <c r="AJ108">
        <f>AG108+AH108-AI108</f>
        <v/>
      </c>
      <c r="AK108">
        <f>MIN(AJ108,MAX(0,$B108-((E$5&lt;AI$5)*F108+(K$5&lt;AI$5)*L108+(Q$5&lt;AI$5)*R108+(W$5&lt;AI$5)*X108+(AC$5&lt;AI$5)*AD108+(AO$5&lt;AI$5)*AP108+(AU$5&lt;AI$5)*AV108)))</f>
        <v/>
      </c>
      <c r="AL108">
        <f>IF(AJ108-AK108&lt;0.005,0,AJ108-AK108)</f>
        <v/>
      </c>
      <c r="AM108">
        <f>AR107</f>
        <v/>
      </c>
      <c r="AN108">
        <f>AM108*Plan!D12/100/12</f>
        <v/>
      </c>
      <c r="AO108">
        <f>MIN(Plan!E12,AM108+AN108)</f>
        <v/>
      </c>
      <c r="AP108">
        <f>AM108+AN108-AO108</f>
        <v/>
      </c>
      <c r="AQ108">
        <f>MIN(AP108,MAX(0,$B108-((E$5&lt;AO$5)*F108+(K$5&lt;AO$5)*L108+(Q$5&lt;AO$5)*R108+(W$5&lt;AO$5)*X108+(AC$5&lt;AO$5)*AD108+(AI$5&lt;AO$5)*AJ108+(AU$5&lt;AO$5)*AV108)))</f>
        <v/>
      </c>
      <c r="AR108">
        <f>IF(AP108-AQ108&lt;0.005,0,AP108-AQ108)</f>
        <v/>
      </c>
      <c r="AS108">
        <f>AX107</f>
        <v/>
      </c>
      <c r="AT108">
        <f>AS108*Plan!D13/100/12</f>
        <v/>
      </c>
      <c r="AU108">
        <f>MIN(Plan!E13,AS108+AT108)</f>
        <v/>
      </c>
      <c r="AV108">
        <f>AS108+AT108-AU108</f>
        <v/>
      </c>
      <c r="AW108">
        <f>MIN(AV108,MAX(0,$B108-((E$5&lt;AU$5)*F108+(K$5&lt;AU$5)*L108+(Q$5&lt;AU$5)*R108+(W$5&lt;AU$5)*X108+(AC$5&lt;AU$5)*AD108+(AI$5&lt;AU$5)*AJ108+(AO$5&lt;AU$5)*AP108)))</f>
        <v/>
      </c>
      <c r="AX108">
        <f>IF(AV108-AW108&lt;0.005,0,AV108-AW108)</f>
        <v/>
      </c>
      <c r="BC108">
        <f>H108+N108+T108+Z108+AF108+AL108+AR108+AX108</f>
        <v/>
      </c>
    </row>
    <row r="109">
      <c r="A109" t="n">
        <v>103</v>
      </c>
      <c r="B109" s="19">
        <f>MAX(0,$B$3-(E109+K109+Q109+W109+AC109+AI109+AO109+AU109))</f>
        <v/>
      </c>
      <c r="C109">
        <f>H108</f>
        <v/>
      </c>
      <c r="D109">
        <f>C109*Plan!D6/100/12</f>
        <v/>
      </c>
      <c r="E109">
        <f>MIN(Plan!E6,C109+D109)</f>
        <v/>
      </c>
      <c r="F109">
        <f>C109+D109-E109</f>
        <v/>
      </c>
      <c r="G109">
        <f>MIN(F109,MAX(0,$B109-((K$5&lt;E$5)*L109+(Q$5&lt;E$5)*R109+(W$5&lt;E$5)*X109+(AC$5&lt;E$5)*AD109+(AI$5&lt;E$5)*AJ109+(AO$5&lt;E$5)*AP109+(AU$5&lt;E$5)*AV109)))</f>
        <v/>
      </c>
      <c r="H109">
        <f>IF(F109-G109&lt;0.005,0,F109-G109)</f>
        <v/>
      </c>
      <c r="I109">
        <f>N108</f>
        <v/>
      </c>
      <c r="J109">
        <f>I109*Plan!D7/100/12</f>
        <v/>
      </c>
      <c r="K109">
        <f>MIN(Plan!E7,I109+J109)</f>
        <v/>
      </c>
      <c r="L109">
        <f>I109+J109-K109</f>
        <v/>
      </c>
      <c r="M109">
        <f>MIN(L109,MAX(0,$B109-((E$5&lt;K$5)*F109+(Q$5&lt;K$5)*R109+(W$5&lt;K$5)*X109+(AC$5&lt;K$5)*AD109+(AI$5&lt;K$5)*AJ109+(AO$5&lt;K$5)*AP109+(AU$5&lt;K$5)*AV109)))</f>
        <v/>
      </c>
      <c r="N109">
        <f>IF(L109-M109&lt;0.005,0,L109-M109)</f>
        <v/>
      </c>
      <c r="O109">
        <f>T108</f>
        <v/>
      </c>
      <c r="P109">
        <f>O109*Plan!D8/100/12</f>
        <v/>
      </c>
      <c r="Q109">
        <f>MIN(Plan!E8,O109+P109)</f>
        <v/>
      </c>
      <c r="R109">
        <f>O109+P109-Q109</f>
        <v/>
      </c>
      <c r="S109">
        <f>MIN(R109,MAX(0,$B109-((E$5&lt;Q$5)*F109+(K$5&lt;Q$5)*L109+(W$5&lt;Q$5)*X109+(AC$5&lt;Q$5)*AD109+(AI$5&lt;Q$5)*AJ109+(AO$5&lt;Q$5)*AP109+(AU$5&lt;Q$5)*AV109)))</f>
        <v/>
      </c>
      <c r="T109">
        <f>IF(R109-S109&lt;0.005,0,R109-S109)</f>
        <v/>
      </c>
      <c r="U109">
        <f>Z108</f>
        <v/>
      </c>
      <c r="V109">
        <f>U109*Plan!D9/100/12</f>
        <v/>
      </c>
      <c r="W109">
        <f>MIN(Plan!E9,U109+V109)</f>
        <v/>
      </c>
      <c r="X109">
        <f>U109+V109-W109</f>
        <v/>
      </c>
      <c r="Y109">
        <f>MIN(X109,MAX(0,$B109-((E$5&lt;W$5)*F109+(K$5&lt;W$5)*L109+(Q$5&lt;W$5)*R109+(AC$5&lt;W$5)*AD109+(AI$5&lt;W$5)*AJ109+(AO$5&lt;W$5)*AP109+(AU$5&lt;W$5)*AV109)))</f>
        <v/>
      </c>
      <c r="Z109">
        <f>IF(X109-Y109&lt;0.005,0,X109-Y109)</f>
        <v/>
      </c>
      <c r="AA109">
        <f>AF108</f>
        <v/>
      </c>
      <c r="AB109">
        <f>AA109*Plan!D10/100/12</f>
        <v/>
      </c>
      <c r="AC109">
        <f>MIN(Plan!E10,AA109+AB109)</f>
        <v/>
      </c>
      <c r="AD109">
        <f>AA109+AB109-AC109</f>
        <v/>
      </c>
      <c r="AE109">
        <f>MIN(AD109,MAX(0,$B109-((E$5&lt;AC$5)*F109+(K$5&lt;AC$5)*L109+(Q$5&lt;AC$5)*R109+(W$5&lt;AC$5)*X109+(AI$5&lt;AC$5)*AJ109+(AO$5&lt;AC$5)*AP109+(AU$5&lt;AC$5)*AV109)))</f>
        <v/>
      </c>
      <c r="AF109">
        <f>IF(AD109-AE109&lt;0.005,0,AD109-AE109)</f>
        <v/>
      </c>
      <c r="AG109">
        <f>AL108</f>
        <v/>
      </c>
      <c r="AH109">
        <f>AG109*Plan!D11/100/12</f>
        <v/>
      </c>
      <c r="AI109">
        <f>MIN(Plan!E11,AG109+AH109)</f>
        <v/>
      </c>
      <c r="AJ109">
        <f>AG109+AH109-AI109</f>
        <v/>
      </c>
      <c r="AK109">
        <f>MIN(AJ109,MAX(0,$B109-((E$5&lt;AI$5)*F109+(K$5&lt;AI$5)*L109+(Q$5&lt;AI$5)*R109+(W$5&lt;AI$5)*X109+(AC$5&lt;AI$5)*AD109+(AO$5&lt;AI$5)*AP109+(AU$5&lt;AI$5)*AV109)))</f>
        <v/>
      </c>
      <c r="AL109">
        <f>IF(AJ109-AK109&lt;0.005,0,AJ109-AK109)</f>
        <v/>
      </c>
      <c r="AM109">
        <f>AR108</f>
        <v/>
      </c>
      <c r="AN109">
        <f>AM109*Plan!D12/100/12</f>
        <v/>
      </c>
      <c r="AO109">
        <f>MIN(Plan!E12,AM109+AN109)</f>
        <v/>
      </c>
      <c r="AP109">
        <f>AM109+AN109-AO109</f>
        <v/>
      </c>
      <c r="AQ109">
        <f>MIN(AP109,MAX(0,$B109-((E$5&lt;AO$5)*F109+(K$5&lt;AO$5)*L109+(Q$5&lt;AO$5)*R109+(W$5&lt;AO$5)*X109+(AC$5&lt;AO$5)*AD109+(AI$5&lt;AO$5)*AJ109+(AU$5&lt;AO$5)*AV109)))</f>
        <v/>
      </c>
      <c r="AR109">
        <f>IF(AP109-AQ109&lt;0.005,0,AP109-AQ109)</f>
        <v/>
      </c>
      <c r="AS109">
        <f>AX108</f>
        <v/>
      </c>
      <c r="AT109">
        <f>AS109*Plan!D13/100/12</f>
        <v/>
      </c>
      <c r="AU109">
        <f>MIN(Plan!E13,AS109+AT109)</f>
        <v/>
      </c>
      <c r="AV109">
        <f>AS109+AT109-AU109</f>
        <v/>
      </c>
      <c r="AW109">
        <f>MIN(AV109,MAX(0,$B109-((E$5&lt;AU$5)*F109+(K$5&lt;AU$5)*L109+(Q$5&lt;AU$5)*R109+(W$5&lt;AU$5)*X109+(AC$5&lt;AU$5)*AD109+(AI$5&lt;AU$5)*AJ109+(AO$5&lt;AU$5)*AP109)))</f>
        <v/>
      </c>
      <c r="AX109">
        <f>IF(AV109-AW109&lt;0.005,0,AV109-AW109)</f>
        <v/>
      </c>
      <c r="BC109">
        <f>H109+N109+T109+Z109+AF109+AL109+AR109+AX109</f>
        <v/>
      </c>
    </row>
    <row r="110">
      <c r="A110" t="n">
        <v>104</v>
      </c>
      <c r="B110" s="19">
        <f>MAX(0,$B$3-(E110+K110+Q110+W110+AC110+AI110+AO110+AU110))</f>
        <v/>
      </c>
      <c r="C110">
        <f>H109</f>
        <v/>
      </c>
      <c r="D110">
        <f>C110*Plan!D6/100/12</f>
        <v/>
      </c>
      <c r="E110">
        <f>MIN(Plan!E6,C110+D110)</f>
        <v/>
      </c>
      <c r="F110">
        <f>C110+D110-E110</f>
        <v/>
      </c>
      <c r="G110">
        <f>MIN(F110,MAX(0,$B110-((K$5&lt;E$5)*L110+(Q$5&lt;E$5)*R110+(W$5&lt;E$5)*X110+(AC$5&lt;E$5)*AD110+(AI$5&lt;E$5)*AJ110+(AO$5&lt;E$5)*AP110+(AU$5&lt;E$5)*AV110)))</f>
        <v/>
      </c>
      <c r="H110">
        <f>IF(F110-G110&lt;0.005,0,F110-G110)</f>
        <v/>
      </c>
      <c r="I110">
        <f>N109</f>
        <v/>
      </c>
      <c r="J110">
        <f>I110*Plan!D7/100/12</f>
        <v/>
      </c>
      <c r="K110">
        <f>MIN(Plan!E7,I110+J110)</f>
        <v/>
      </c>
      <c r="L110">
        <f>I110+J110-K110</f>
        <v/>
      </c>
      <c r="M110">
        <f>MIN(L110,MAX(0,$B110-((E$5&lt;K$5)*F110+(Q$5&lt;K$5)*R110+(W$5&lt;K$5)*X110+(AC$5&lt;K$5)*AD110+(AI$5&lt;K$5)*AJ110+(AO$5&lt;K$5)*AP110+(AU$5&lt;K$5)*AV110)))</f>
        <v/>
      </c>
      <c r="N110">
        <f>IF(L110-M110&lt;0.005,0,L110-M110)</f>
        <v/>
      </c>
      <c r="O110">
        <f>T109</f>
        <v/>
      </c>
      <c r="P110">
        <f>O110*Plan!D8/100/12</f>
        <v/>
      </c>
      <c r="Q110">
        <f>MIN(Plan!E8,O110+P110)</f>
        <v/>
      </c>
      <c r="R110">
        <f>O110+P110-Q110</f>
        <v/>
      </c>
      <c r="S110">
        <f>MIN(R110,MAX(0,$B110-((E$5&lt;Q$5)*F110+(K$5&lt;Q$5)*L110+(W$5&lt;Q$5)*X110+(AC$5&lt;Q$5)*AD110+(AI$5&lt;Q$5)*AJ110+(AO$5&lt;Q$5)*AP110+(AU$5&lt;Q$5)*AV110)))</f>
        <v/>
      </c>
      <c r="T110">
        <f>IF(R110-S110&lt;0.005,0,R110-S110)</f>
        <v/>
      </c>
      <c r="U110">
        <f>Z109</f>
        <v/>
      </c>
      <c r="V110">
        <f>U110*Plan!D9/100/12</f>
        <v/>
      </c>
      <c r="W110">
        <f>MIN(Plan!E9,U110+V110)</f>
        <v/>
      </c>
      <c r="X110">
        <f>U110+V110-W110</f>
        <v/>
      </c>
      <c r="Y110">
        <f>MIN(X110,MAX(0,$B110-((E$5&lt;W$5)*F110+(K$5&lt;W$5)*L110+(Q$5&lt;W$5)*R110+(AC$5&lt;W$5)*AD110+(AI$5&lt;W$5)*AJ110+(AO$5&lt;W$5)*AP110+(AU$5&lt;W$5)*AV110)))</f>
        <v/>
      </c>
      <c r="Z110">
        <f>IF(X110-Y110&lt;0.005,0,X110-Y110)</f>
        <v/>
      </c>
      <c r="AA110">
        <f>AF109</f>
        <v/>
      </c>
      <c r="AB110">
        <f>AA110*Plan!D10/100/12</f>
        <v/>
      </c>
      <c r="AC110">
        <f>MIN(Plan!E10,AA110+AB110)</f>
        <v/>
      </c>
      <c r="AD110">
        <f>AA110+AB110-AC110</f>
        <v/>
      </c>
      <c r="AE110">
        <f>MIN(AD110,MAX(0,$B110-((E$5&lt;AC$5)*F110+(K$5&lt;AC$5)*L110+(Q$5&lt;AC$5)*R110+(W$5&lt;AC$5)*X110+(AI$5&lt;AC$5)*AJ110+(AO$5&lt;AC$5)*AP110+(AU$5&lt;AC$5)*AV110)))</f>
        <v/>
      </c>
      <c r="AF110">
        <f>IF(AD110-AE110&lt;0.005,0,AD110-AE110)</f>
        <v/>
      </c>
      <c r="AG110">
        <f>AL109</f>
        <v/>
      </c>
      <c r="AH110">
        <f>AG110*Plan!D11/100/12</f>
        <v/>
      </c>
      <c r="AI110">
        <f>MIN(Plan!E11,AG110+AH110)</f>
        <v/>
      </c>
      <c r="AJ110">
        <f>AG110+AH110-AI110</f>
        <v/>
      </c>
      <c r="AK110">
        <f>MIN(AJ110,MAX(0,$B110-((E$5&lt;AI$5)*F110+(K$5&lt;AI$5)*L110+(Q$5&lt;AI$5)*R110+(W$5&lt;AI$5)*X110+(AC$5&lt;AI$5)*AD110+(AO$5&lt;AI$5)*AP110+(AU$5&lt;AI$5)*AV110)))</f>
        <v/>
      </c>
      <c r="AL110">
        <f>IF(AJ110-AK110&lt;0.005,0,AJ110-AK110)</f>
        <v/>
      </c>
      <c r="AM110">
        <f>AR109</f>
        <v/>
      </c>
      <c r="AN110">
        <f>AM110*Plan!D12/100/12</f>
        <v/>
      </c>
      <c r="AO110">
        <f>MIN(Plan!E12,AM110+AN110)</f>
        <v/>
      </c>
      <c r="AP110">
        <f>AM110+AN110-AO110</f>
        <v/>
      </c>
      <c r="AQ110">
        <f>MIN(AP110,MAX(0,$B110-((E$5&lt;AO$5)*F110+(K$5&lt;AO$5)*L110+(Q$5&lt;AO$5)*R110+(W$5&lt;AO$5)*X110+(AC$5&lt;AO$5)*AD110+(AI$5&lt;AO$5)*AJ110+(AU$5&lt;AO$5)*AV110)))</f>
        <v/>
      </c>
      <c r="AR110">
        <f>IF(AP110-AQ110&lt;0.005,0,AP110-AQ110)</f>
        <v/>
      </c>
      <c r="AS110">
        <f>AX109</f>
        <v/>
      </c>
      <c r="AT110">
        <f>AS110*Plan!D13/100/12</f>
        <v/>
      </c>
      <c r="AU110">
        <f>MIN(Plan!E13,AS110+AT110)</f>
        <v/>
      </c>
      <c r="AV110">
        <f>AS110+AT110-AU110</f>
        <v/>
      </c>
      <c r="AW110">
        <f>MIN(AV110,MAX(0,$B110-((E$5&lt;AU$5)*F110+(K$5&lt;AU$5)*L110+(Q$5&lt;AU$5)*R110+(W$5&lt;AU$5)*X110+(AC$5&lt;AU$5)*AD110+(AI$5&lt;AU$5)*AJ110+(AO$5&lt;AU$5)*AP110)))</f>
        <v/>
      </c>
      <c r="AX110">
        <f>IF(AV110-AW110&lt;0.005,0,AV110-AW110)</f>
        <v/>
      </c>
      <c r="BC110">
        <f>H110+N110+T110+Z110+AF110+AL110+AR110+AX110</f>
        <v/>
      </c>
    </row>
    <row r="111">
      <c r="A111" t="n">
        <v>105</v>
      </c>
      <c r="B111" s="19">
        <f>MAX(0,$B$3-(E111+K111+Q111+W111+AC111+AI111+AO111+AU111))</f>
        <v/>
      </c>
      <c r="C111">
        <f>H110</f>
        <v/>
      </c>
      <c r="D111">
        <f>C111*Plan!D6/100/12</f>
        <v/>
      </c>
      <c r="E111">
        <f>MIN(Plan!E6,C111+D111)</f>
        <v/>
      </c>
      <c r="F111">
        <f>C111+D111-E111</f>
        <v/>
      </c>
      <c r="G111">
        <f>MIN(F111,MAX(0,$B111-((K$5&lt;E$5)*L111+(Q$5&lt;E$5)*R111+(W$5&lt;E$5)*X111+(AC$5&lt;E$5)*AD111+(AI$5&lt;E$5)*AJ111+(AO$5&lt;E$5)*AP111+(AU$5&lt;E$5)*AV111)))</f>
        <v/>
      </c>
      <c r="H111">
        <f>IF(F111-G111&lt;0.005,0,F111-G111)</f>
        <v/>
      </c>
      <c r="I111">
        <f>N110</f>
        <v/>
      </c>
      <c r="J111">
        <f>I111*Plan!D7/100/12</f>
        <v/>
      </c>
      <c r="K111">
        <f>MIN(Plan!E7,I111+J111)</f>
        <v/>
      </c>
      <c r="L111">
        <f>I111+J111-K111</f>
        <v/>
      </c>
      <c r="M111">
        <f>MIN(L111,MAX(0,$B111-((E$5&lt;K$5)*F111+(Q$5&lt;K$5)*R111+(W$5&lt;K$5)*X111+(AC$5&lt;K$5)*AD111+(AI$5&lt;K$5)*AJ111+(AO$5&lt;K$5)*AP111+(AU$5&lt;K$5)*AV111)))</f>
        <v/>
      </c>
      <c r="N111">
        <f>IF(L111-M111&lt;0.005,0,L111-M111)</f>
        <v/>
      </c>
      <c r="O111">
        <f>T110</f>
        <v/>
      </c>
      <c r="P111">
        <f>O111*Plan!D8/100/12</f>
        <v/>
      </c>
      <c r="Q111">
        <f>MIN(Plan!E8,O111+P111)</f>
        <v/>
      </c>
      <c r="R111">
        <f>O111+P111-Q111</f>
        <v/>
      </c>
      <c r="S111">
        <f>MIN(R111,MAX(0,$B111-((E$5&lt;Q$5)*F111+(K$5&lt;Q$5)*L111+(W$5&lt;Q$5)*X111+(AC$5&lt;Q$5)*AD111+(AI$5&lt;Q$5)*AJ111+(AO$5&lt;Q$5)*AP111+(AU$5&lt;Q$5)*AV111)))</f>
        <v/>
      </c>
      <c r="T111">
        <f>IF(R111-S111&lt;0.005,0,R111-S111)</f>
        <v/>
      </c>
      <c r="U111">
        <f>Z110</f>
        <v/>
      </c>
      <c r="V111">
        <f>U111*Plan!D9/100/12</f>
        <v/>
      </c>
      <c r="W111">
        <f>MIN(Plan!E9,U111+V111)</f>
        <v/>
      </c>
      <c r="X111">
        <f>U111+V111-W111</f>
        <v/>
      </c>
      <c r="Y111">
        <f>MIN(X111,MAX(0,$B111-((E$5&lt;W$5)*F111+(K$5&lt;W$5)*L111+(Q$5&lt;W$5)*R111+(AC$5&lt;W$5)*AD111+(AI$5&lt;W$5)*AJ111+(AO$5&lt;W$5)*AP111+(AU$5&lt;W$5)*AV111)))</f>
        <v/>
      </c>
      <c r="Z111">
        <f>IF(X111-Y111&lt;0.005,0,X111-Y111)</f>
        <v/>
      </c>
      <c r="AA111">
        <f>AF110</f>
        <v/>
      </c>
      <c r="AB111">
        <f>AA111*Plan!D10/100/12</f>
        <v/>
      </c>
      <c r="AC111">
        <f>MIN(Plan!E10,AA111+AB111)</f>
        <v/>
      </c>
      <c r="AD111">
        <f>AA111+AB111-AC111</f>
        <v/>
      </c>
      <c r="AE111">
        <f>MIN(AD111,MAX(0,$B111-((E$5&lt;AC$5)*F111+(K$5&lt;AC$5)*L111+(Q$5&lt;AC$5)*R111+(W$5&lt;AC$5)*X111+(AI$5&lt;AC$5)*AJ111+(AO$5&lt;AC$5)*AP111+(AU$5&lt;AC$5)*AV111)))</f>
        <v/>
      </c>
      <c r="AF111">
        <f>IF(AD111-AE111&lt;0.005,0,AD111-AE111)</f>
        <v/>
      </c>
      <c r="AG111">
        <f>AL110</f>
        <v/>
      </c>
      <c r="AH111">
        <f>AG111*Plan!D11/100/12</f>
        <v/>
      </c>
      <c r="AI111">
        <f>MIN(Plan!E11,AG111+AH111)</f>
        <v/>
      </c>
      <c r="AJ111">
        <f>AG111+AH111-AI111</f>
        <v/>
      </c>
      <c r="AK111">
        <f>MIN(AJ111,MAX(0,$B111-((E$5&lt;AI$5)*F111+(K$5&lt;AI$5)*L111+(Q$5&lt;AI$5)*R111+(W$5&lt;AI$5)*X111+(AC$5&lt;AI$5)*AD111+(AO$5&lt;AI$5)*AP111+(AU$5&lt;AI$5)*AV111)))</f>
        <v/>
      </c>
      <c r="AL111">
        <f>IF(AJ111-AK111&lt;0.005,0,AJ111-AK111)</f>
        <v/>
      </c>
      <c r="AM111">
        <f>AR110</f>
        <v/>
      </c>
      <c r="AN111">
        <f>AM111*Plan!D12/100/12</f>
        <v/>
      </c>
      <c r="AO111">
        <f>MIN(Plan!E12,AM111+AN111)</f>
        <v/>
      </c>
      <c r="AP111">
        <f>AM111+AN111-AO111</f>
        <v/>
      </c>
      <c r="AQ111">
        <f>MIN(AP111,MAX(0,$B111-((E$5&lt;AO$5)*F111+(K$5&lt;AO$5)*L111+(Q$5&lt;AO$5)*R111+(W$5&lt;AO$5)*X111+(AC$5&lt;AO$5)*AD111+(AI$5&lt;AO$5)*AJ111+(AU$5&lt;AO$5)*AV111)))</f>
        <v/>
      </c>
      <c r="AR111">
        <f>IF(AP111-AQ111&lt;0.005,0,AP111-AQ111)</f>
        <v/>
      </c>
      <c r="AS111">
        <f>AX110</f>
        <v/>
      </c>
      <c r="AT111">
        <f>AS111*Plan!D13/100/12</f>
        <v/>
      </c>
      <c r="AU111">
        <f>MIN(Plan!E13,AS111+AT111)</f>
        <v/>
      </c>
      <c r="AV111">
        <f>AS111+AT111-AU111</f>
        <v/>
      </c>
      <c r="AW111">
        <f>MIN(AV111,MAX(0,$B111-((E$5&lt;AU$5)*F111+(K$5&lt;AU$5)*L111+(Q$5&lt;AU$5)*R111+(W$5&lt;AU$5)*X111+(AC$5&lt;AU$5)*AD111+(AI$5&lt;AU$5)*AJ111+(AO$5&lt;AU$5)*AP111)))</f>
        <v/>
      </c>
      <c r="AX111">
        <f>IF(AV111-AW111&lt;0.005,0,AV111-AW111)</f>
        <v/>
      </c>
      <c r="BC111">
        <f>H111+N111+T111+Z111+AF111+AL111+AR111+AX111</f>
        <v/>
      </c>
    </row>
    <row r="112">
      <c r="A112" t="n">
        <v>106</v>
      </c>
      <c r="B112" s="19">
        <f>MAX(0,$B$3-(E112+K112+Q112+W112+AC112+AI112+AO112+AU112))</f>
        <v/>
      </c>
      <c r="C112">
        <f>H111</f>
        <v/>
      </c>
      <c r="D112">
        <f>C112*Plan!D6/100/12</f>
        <v/>
      </c>
      <c r="E112">
        <f>MIN(Plan!E6,C112+D112)</f>
        <v/>
      </c>
      <c r="F112">
        <f>C112+D112-E112</f>
        <v/>
      </c>
      <c r="G112">
        <f>MIN(F112,MAX(0,$B112-((K$5&lt;E$5)*L112+(Q$5&lt;E$5)*R112+(W$5&lt;E$5)*X112+(AC$5&lt;E$5)*AD112+(AI$5&lt;E$5)*AJ112+(AO$5&lt;E$5)*AP112+(AU$5&lt;E$5)*AV112)))</f>
        <v/>
      </c>
      <c r="H112">
        <f>IF(F112-G112&lt;0.005,0,F112-G112)</f>
        <v/>
      </c>
      <c r="I112">
        <f>N111</f>
        <v/>
      </c>
      <c r="J112">
        <f>I112*Plan!D7/100/12</f>
        <v/>
      </c>
      <c r="K112">
        <f>MIN(Plan!E7,I112+J112)</f>
        <v/>
      </c>
      <c r="L112">
        <f>I112+J112-K112</f>
        <v/>
      </c>
      <c r="M112">
        <f>MIN(L112,MAX(0,$B112-((E$5&lt;K$5)*F112+(Q$5&lt;K$5)*R112+(W$5&lt;K$5)*X112+(AC$5&lt;K$5)*AD112+(AI$5&lt;K$5)*AJ112+(AO$5&lt;K$5)*AP112+(AU$5&lt;K$5)*AV112)))</f>
        <v/>
      </c>
      <c r="N112">
        <f>IF(L112-M112&lt;0.005,0,L112-M112)</f>
        <v/>
      </c>
      <c r="O112">
        <f>T111</f>
        <v/>
      </c>
      <c r="P112">
        <f>O112*Plan!D8/100/12</f>
        <v/>
      </c>
      <c r="Q112">
        <f>MIN(Plan!E8,O112+P112)</f>
        <v/>
      </c>
      <c r="R112">
        <f>O112+P112-Q112</f>
        <v/>
      </c>
      <c r="S112">
        <f>MIN(R112,MAX(0,$B112-((E$5&lt;Q$5)*F112+(K$5&lt;Q$5)*L112+(W$5&lt;Q$5)*X112+(AC$5&lt;Q$5)*AD112+(AI$5&lt;Q$5)*AJ112+(AO$5&lt;Q$5)*AP112+(AU$5&lt;Q$5)*AV112)))</f>
        <v/>
      </c>
      <c r="T112">
        <f>IF(R112-S112&lt;0.005,0,R112-S112)</f>
        <v/>
      </c>
      <c r="U112">
        <f>Z111</f>
        <v/>
      </c>
      <c r="V112">
        <f>U112*Plan!D9/100/12</f>
        <v/>
      </c>
      <c r="W112">
        <f>MIN(Plan!E9,U112+V112)</f>
        <v/>
      </c>
      <c r="X112">
        <f>U112+V112-W112</f>
        <v/>
      </c>
      <c r="Y112">
        <f>MIN(X112,MAX(0,$B112-((E$5&lt;W$5)*F112+(K$5&lt;W$5)*L112+(Q$5&lt;W$5)*R112+(AC$5&lt;W$5)*AD112+(AI$5&lt;W$5)*AJ112+(AO$5&lt;W$5)*AP112+(AU$5&lt;W$5)*AV112)))</f>
        <v/>
      </c>
      <c r="Z112">
        <f>IF(X112-Y112&lt;0.005,0,X112-Y112)</f>
        <v/>
      </c>
      <c r="AA112">
        <f>AF111</f>
        <v/>
      </c>
      <c r="AB112">
        <f>AA112*Plan!D10/100/12</f>
        <v/>
      </c>
      <c r="AC112">
        <f>MIN(Plan!E10,AA112+AB112)</f>
        <v/>
      </c>
      <c r="AD112">
        <f>AA112+AB112-AC112</f>
        <v/>
      </c>
      <c r="AE112">
        <f>MIN(AD112,MAX(0,$B112-((E$5&lt;AC$5)*F112+(K$5&lt;AC$5)*L112+(Q$5&lt;AC$5)*R112+(W$5&lt;AC$5)*X112+(AI$5&lt;AC$5)*AJ112+(AO$5&lt;AC$5)*AP112+(AU$5&lt;AC$5)*AV112)))</f>
        <v/>
      </c>
      <c r="AF112">
        <f>IF(AD112-AE112&lt;0.005,0,AD112-AE112)</f>
        <v/>
      </c>
      <c r="AG112">
        <f>AL111</f>
        <v/>
      </c>
      <c r="AH112">
        <f>AG112*Plan!D11/100/12</f>
        <v/>
      </c>
      <c r="AI112">
        <f>MIN(Plan!E11,AG112+AH112)</f>
        <v/>
      </c>
      <c r="AJ112">
        <f>AG112+AH112-AI112</f>
        <v/>
      </c>
      <c r="AK112">
        <f>MIN(AJ112,MAX(0,$B112-((E$5&lt;AI$5)*F112+(K$5&lt;AI$5)*L112+(Q$5&lt;AI$5)*R112+(W$5&lt;AI$5)*X112+(AC$5&lt;AI$5)*AD112+(AO$5&lt;AI$5)*AP112+(AU$5&lt;AI$5)*AV112)))</f>
        <v/>
      </c>
      <c r="AL112">
        <f>IF(AJ112-AK112&lt;0.005,0,AJ112-AK112)</f>
        <v/>
      </c>
      <c r="AM112">
        <f>AR111</f>
        <v/>
      </c>
      <c r="AN112">
        <f>AM112*Plan!D12/100/12</f>
        <v/>
      </c>
      <c r="AO112">
        <f>MIN(Plan!E12,AM112+AN112)</f>
        <v/>
      </c>
      <c r="AP112">
        <f>AM112+AN112-AO112</f>
        <v/>
      </c>
      <c r="AQ112">
        <f>MIN(AP112,MAX(0,$B112-((E$5&lt;AO$5)*F112+(K$5&lt;AO$5)*L112+(Q$5&lt;AO$5)*R112+(W$5&lt;AO$5)*X112+(AC$5&lt;AO$5)*AD112+(AI$5&lt;AO$5)*AJ112+(AU$5&lt;AO$5)*AV112)))</f>
        <v/>
      </c>
      <c r="AR112">
        <f>IF(AP112-AQ112&lt;0.005,0,AP112-AQ112)</f>
        <v/>
      </c>
      <c r="AS112">
        <f>AX111</f>
        <v/>
      </c>
      <c r="AT112">
        <f>AS112*Plan!D13/100/12</f>
        <v/>
      </c>
      <c r="AU112">
        <f>MIN(Plan!E13,AS112+AT112)</f>
        <v/>
      </c>
      <c r="AV112">
        <f>AS112+AT112-AU112</f>
        <v/>
      </c>
      <c r="AW112">
        <f>MIN(AV112,MAX(0,$B112-((E$5&lt;AU$5)*F112+(K$5&lt;AU$5)*L112+(Q$5&lt;AU$5)*R112+(W$5&lt;AU$5)*X112+(AC$5&lt;AU$5)*AD112+(AI$5&lt;AU$5)*AJ112+(AO$5&lt;AU$5)*AP112)))</f>
        <v/>
      </c>
      <c r="AX112">
        <f>IF(AV112-AW112&lt;0.005,0,AV112-AW112)</f>
        <v/>
      </c>
      <c r="BC112">
        <f>H112+N112+T112+Z112+AF112+AL112+AR112+AX112</f>
        <v/>
      </c>
    </row>
    <row r="113">
      <c r="A113" t="n">
        <v>107</v>
      </c>
      <c r="B113" s="19">
        <f>MAX(0,$B$3-(E113+K113+Q113+W113+AC113+AI113+AO113+AU113))</f>
        <v/>
      </c>
      <c r="C113">
        <f>H112</f>
        <v/>
      </c>
      <c r="D113">
        <f>C113*Plan!D6/100/12</f>
        <v/>
      </c>
      <c r="E113">
        <f>MIN(Plan!E6,C113+D113)</f>
        <v/>
      </c>
      <c r="F113">
        <f>C113+D113-E113</f>
        <v/>
      </c>
      <c r="G113">
        <f>MIN(F113,MAX(0,$B113-((K$5&lt;E$5)*L113+(Q$5&lt;E$5)*R113+(W$5&lt;E$5)*X113+(AC$5&lt;E$5)*AD113+(AI$5&lt;E$5)*AJ113+(AO$5&lt;E$5)*AP113+(AU$5&lt;E$5)*AV113)))</f>
        <v/>
      </c>
      <c r="H113">
        <f>IF(F113-G113&lt;0.005,0,F113-G113)</f>
        <v/>
      </c>
      <c r="I113">
        <f>N112</f>
        <v/>
      </c>
      <c r="J113">
        <f>I113*Plan!D7/100/12</f>
        <v/>
      </c>
      <c r="K113">
        <f>MIN(Plan!E7,I113+J113)</f>
        <v/>
      </c>
      <c r="L113">
        <f>I113+J113-K113</f>
        <v/>
      </c>
      <c r="M113">
        <f>MIN(L113,MAX(0,$B113-((E$5&lt;K$5)*F113+(Q$5&lt;K$5)*R113+(W$5&lt;K$5)*X113+(AC$5&lt;K$5)*AD113+(AI$5&lt;K$5)*AJ113+(AO$5&lt;K$5)*AP113+(AU$5&lt;K$5)*AV113)))</f>
        <v/>
      </c>
      <c r="N113">
        <f>IF(L113-M113&lt;0.005,0,L113-M113)</f>
        <v/>
      </c>
      <c r="O113">
        <f>T112</f>
        <v/>
      </c>
      <c r="P113">
        <f>O113*Plan!D8/100/12</f>
        <v/>
      </c>
      <c r="Q113">
        <f>MIN(Plan!E8,O113+P113)</f>
        <v/>
      </c>
      <c r="R113">
        <f>O113+P113-Q113</f>
        <v/>
      </c>
      <c r="S113">
        <f>MIN(R113,MAX(0,$B113-((E$5&lt;Q$5)*F113+(K$5&lt;Q$5)*L113+(W$5&lt;Q$5)*X113+(AC$5&lt;Q$5)*AD113+(AI$5&lt;Q$5)*AJ113+(AO$5&lt;Q$5)*AP113+(AU$5&lt;Q$5)*AV113)))</f>
        <v/>
      </c>
      <c r="T113">
        <f>IF(R113-S113&lt;0.005,0,R113-S113)</f>
        <v/>
      </c>
      <c r="U113">
        <f>Z112</f>
        <v/>
      </c>
      <c r="V113">
        <f>U113*Plan!D9/100/12</f>
        <v/>
      </c>
      <c r="W113">
        <f>MIN(Plan!E9,U113+V113)</f>
        <v/>
      </c>
      <c r="X113">
        <f>U113+V113-W113</f>
        <v/>
      </c>
      <c r="Y113">
        <f>MIN(X113,MAX(0,$B113-((E$5&lt;W$5)*F113+(K$5&lt;W$5)*L113+(Q$5&lt;W$5)*R113+(AC$5&lt;W$5)*AD113+(AI$5&lt;W$5)*AJ113+(AO$5&lt;W$5)*AP113+(AU$5&lt;W$5)*AV113)))</f>
        <v/>
      </c>
      <c r="Z113">
        <f>IF(X113-Y113&lt;0.005,0,X113-Y113)</f>
        <v/>
      </c>
      <c r="AA113">
        <f>AF112</f>
        <v/>
      </c>
      <c r="AB113">
        <f>AA113*Plan!D10/100/12</f>
        <v/>
      </c>
      <c r="AC113">
        <f>MIN(Plan!E10,AA113+AB113)</f>
        <v/>
      </c>
      <c r="AD113">
        <f>AA113+AB113-AC113</f>
        <v/>
      </c>
      <c r="AE113">
        <f>MIN(AD113,MAX(0,$B113-((E$5&lt;AC$5)*F113+(K$5&lt;AC$5)*L113+(Q$5&lt;AC$5)*R113+(W$5&lt;AC$5)*X113+(AI$5&lt;AC$5)*AJ113+(AO$5&lt;AC$5)*AP113+(AU$5&lt;AC$5)*AV113)))</f>
        <v/>
      </c>
      <c r="AF113">
        <f>IF(AD113-AE113&lt;0.005,0,AD113-AE113)</f>
        <v/>
      </c>
      <c r="AG113">
        <f>AL112</f>
        <v/>
      </c>
      <c r="AH113">
        <f>AG113*Plan!D11/100/12</f>
        <v/>
      </c>
      <c r="AI113">
        <f>MIN(Plan!E11,AG113+AH113)</f>
        <v/>
      </c>
      <c r="AJ113">
        <f>AG113+AH113-AI113</f>
        <v/>
      </c>
      <c r="AK113">
        <f>MIN(AJ113,MAX(0,$B113-((E$5&lt;AI$5)*F113+(K$5&lt;AI$5)*L113+(Q$5&lt;AI$5)*R113+(W$5&lt;AI$5)*X113+(AC$5&lt;AI$5)*AD113+(AO$5&lt;AI$5)*AP113+(AU$5&lt;AI$5)*AV113)))</f>
        <v/>
      </c>
      <c r="AL113">
        <f>IF(AJ113-AK113&lt;0.005,0,AJ113-AK113)</f>
        <v/>
      </c>
      <c r="AM113">
        <f>AR112</f>
        <v/>
      </c>
      <c r="AN113">
        <f>AM113*Plan!D12/100/12</f>
        <v/>
      </c>
      <c r="AO113">
        <f>MIN(Plan!E12,AM113+AN113)</f>
        <v/>
      </c>
      <c r="AP113">
        <f>AM113+AN113-AO113</f>
        <v/>
      </c>
      <c r="AQ113">
        <f>MIN(AP113,MAX(0,$B113-((E$5&lt;AO$5)*F113+(K$5&lt;AO$5)*L113+(Q$5&lt;AO$5)*R113+(W$5&lt;AO$5)*X113+(AC$5&lt;AO$5)*AD113+(AI$5&lt;AO$5)*AJ113+(AU$5&lt;AO$5)*AV113)))</f>
        <v/>
      </c>
      <c r="AR113">
        <f>IF(AP113-AQ113&lt;0.005,0,AP113-AQ113)</f>
        <v/>
      </c>
      <c r="AS113">
        <f>AX112</f>
        <v/>
      </c>
      <c r="AT113">
        <f>AS113*Plan!D13/100/12</f>
        <v/>
      </c>
      <c r="AU113">
        <f>MIN(Plan!E13,AS113+AT113)</f>
        <v/>
      </c>
      <c r="AV113">
        <f>AS113+AT113-AU113</f>
        <v/>
      </c>
      <c r="AW113">
        <f>MIN(AV113,MAX(0,$B113-((E$5&lt;AU$5)*F113+(K$5&lt;AU$5)*L113+(Q$5&lt;AU$5)*R113+(W$5&lt;AU$5)*X113+(AC$5&lt;AU$5)*AD113+(AI$5&lt;AU$5)*AJ113+(AO$5&lt;AU$5)*AP113)))</f>
        <v/>
      </c>
      <c r="AX113">
        <f>IF(AV113-AW113&lt;0.005,0,AV113-AW113)</f>
        <v/>
      </c>
      <c r="BC113">
        <f>H113+N113+T113+Z113+AF113+AL113+AR113+AX113</f>
        <v/>
      </c>
    </row>
    <row r="114">
      <c r="A114" t="n">
        <v>108</v>
      </c>
      <c r="B114" s="19">
        <f>MAX(0,$B$3-(E114+K114+Q114+W114+AC114+AI114+AO114+AU114))</f>
        <v/>
      </c>
      <c r="C114">
        <f>H113</f>
        <v/>
      </c>
      <c r="D114">
        <f>C114*Plan!D6/100/12</f>
        <v/>
      </c>
      <c r="E114">
        <f>MIN(Plan!E6,C114+D114)</f>
        <v/>
      </c>
      <c r="F114">
        <f>C114+D114-E114</f>
        <v/>
      </c>
      <c r="G114">
        <f>MIN(F114,MAX(0,$B114-((K$5&lt;E$5)*L114+(Q$5&lt;E$5)*R114+(W$5&lt;E$5)*X114+(AC$5&lt;E$5)*AD114+(AI$5&lt;E$5)*AJ114+(AO$5&lt;E$5)*AP114+(AU$5&lt;E$5)*AV114)))</f>
        <v/>
      </c>
      <c r="H114">
        <f>IF(F114-G114&lt;0.005,0,F114-G114)</f>
        <v/>
      </c>
      <c r="I114">
        <f>N113</f>
        <v/>
      </c>
      <c r="J114">
        <f>I114*Plan!D7/100/12</f>
        <v/>
      </c>
      <c r="K114">
        <f>MIN(Plan!E7,I114+J114)</f>
        <v/>
      </c>
      <c r="L114">
        <f>I114+J114-K114</f>
        <v/>
      </c>
      <c r="M114">
        <f>MIN(L114,MAX(0,$B114-((E$5&lt;K$5)*F114+(Q$5&lt;K$5)*R114+(W$5&lt;K$5)*X114+(AC$5&lt;K$5)*AD114+(AI$5&lt;K$5)*AJ114+(AO$5&lt;K$5)*AP114+(AU$5&lt;K$5)*AV114)))</f>
        <v/>
      </c>
      <c r="N114">
        <f>IF(L114-M114&lt;0.005,0,L114-M114)</f>
        <v/>
      </c>
      <c r="O114">
        <f>T113</f>
        <v/>
      </c>
      <c r="P114">
        <f>O114*Plan!D8/100/12</f>
        <v/>
      </c>
      <c r="Q114">
        <f>MIN(Plan!E8,O114+P114)</f>
        <v/>
      </c>
      <c r="R114">
        <f>O114+P114-Q114</f>
        <v/>
      </c>
      <c r="S114">
        <f>MIN(R114,MAX(0,$B114-((E$5&lt;Q$5)*F114+(K$5&lt;Q$5)*L114+(W$5&lt;Q$5)*X114+(AC$5&lt;Q$5)*AD114+(AI$5&lt;Q$5)*AJ114+(AO$5&lt;Q$5)*AP114+(AU$5&lt;Q$5)*AV114)))</f>
        <v/>
      </c>
      <c r="T114">
        <f>IF(R114-S114&lt;0.005,0,R114-S114)</f>
        <v/>
      </c>
      <c r="U114">
        <f>Z113</f>
        <v/>
      </c>
      <c r="V114">
        <f>U114*Plan!D9/100/12</f>
        <v/>
      </c>
      <c r="W114">
        <f>MIN(Plan!E9,U114+V114)</f>
        <v/>
      </c>
      <c r="X114">
        <f>U114+V114-W114</f>
        <v/>
      </c>
      <c r="Y114">
        <f>MIN(X114,MAX(0,$B114-((E$5&lt;W$5)*F114+(K$5&lt;W$5)*L114+(Q$5&lt;W$5)*R114+(AC$5&lt;W$5)*AD114+(AI$5&lt;W$5)*AJ114+(AO$5&lt;W$5)*AP114+(AU$5&lt;W$5)*AV114)))</f>
        <v/>
      </c>
      <c r="Z114">
        <f>IF(X114-Y114&lt;0.005,0,X114-Y114)</f>
        <v/>
      </c>
      <c r="AA114">
        <f>AF113</f>
        <v/>
      </c>
      <c r="AB114">
        <f>AA114*Plan!D10/100/12</f>
        <v/>
      </c>
      <c r="AC114">
        <f>MIN(Plan!E10,AA114+AB114)</f>
        <v/>
      </c>
      <c r="AD114">
        <f>AA114+AB114-AC114</f>
        <v/>
      </c>
      <c r="AE114">
        <f>MIN(AD114,MAX(0,$B114-((E$5&lt;AC$5)*F114+(K$5&lt;AC$5)*L114+(Q$5&lt;AC$5)*R114+(W$5&lt;AC$5)*X114+(AI$5&lt;AC$5)*AJ114+(AO$5&lt;AC$5)*AP114+(AU$5&lt;AC$5)*AV114)))</f>
        <v/>
      </c>
      <c r="AF114">
        <f>IF(AD114-AE114&lt;0.005,0,AD114-AE114)</f>
        <v/>
      </c>
      <c r="AG114">
        <f>AL113</f>
        <v/>
      </c>
      <c r="AH114">
        <f>AG114*Plan!D11/100/12</f>
        <v/>
      </c>
      <c r="AI114">
        <f>MIN(Plan!E11,AG114+AH114)</f>
        <v/>
      </c>
      <c r="AJ114">
        <f>AG114+AH114-AI114</f>
        <v/>
      </c>
      <c r="AK114">
        <f>MIN(AJ114,MAX(0,$B114-((E$5&lt;AI$5)*F114+(K$5&lt;AI$5)*L114+(Q$5&lt;AI$5)*R114+(W$5&lt;AI$5)*X114+(AC$5&lt;AI$5)*AD114+(AO$5&lt;AI$5)*AP114+(AU$5&lt;AI$5)*AV114)))</f>
        <v/>
      </c>
      <c r="AL114">
        <f>IF(AJ114-AK114&lt;0.005,0,AJ114-AK114)</f>
        <v/>
      </c>
      <c r="AM114">
        <f>AR113</f>
        <v/>
      </c>
      <c r="AN114">
        <f>AM114*Plan!D12/100/12</f>
        <v/>
      </c>
      <c r="AO114">
        <f>MIN(Plan!E12,AM114+AN114)</f>
        <v/>
      </c>
      <c r="AP114">
        <f>AM114+AN114-AO114</f>
        <v/>
      </c>
      <c r="AQ114">
        <f>MIN(AP114,MAX(0,$B114-((E$5&lt;AO$5)*F114+(K$5&lt;AO$5)*L114+(Q$5&lt;AO$5)*R114+(W$5&lt;AO$5)*X114+(AC$5&lt;AO$5)*AD114+(AI$5&lt;AO$5)*AJ114+(AU$5&lt;AO$5)*AV114)))</f>
        <v/>
      </c>
      <c r="AR114">
        <f>IF(AP114-AQ114&lt;0.005,0,AP114-AQ114)</f>
        <v/>
      </c>
      <c r="AS114">
        <f>AX113</f>
        <v/>
      </c>
      <c r="AT114">
        <f>AS114*Plan!D13/100/12</f>
        <v/>
      </c>
      <c r="AU114">
        <f>MIN(Plan!E13,AS114+AT114)</f>
        <v/>
      </c>
      <c r="AV114">
        <f>AS114+AT114-AU114</f>
        <v/>
      </c>
      <c r="AW114">
        <f>MIN(AV114,MAX(0,$B114-((E$5&lt;AU$5)*F114+(K$5&lt;AU$5)*L114+(Q$5&lt;AU$5)*R114+(W$5&lt;AU$5)*X114+(AC$5&lt;AU$5)*AD114+(AI$5&lt;AU$5)*AJ114+(AO$5&lt;AU$5)*AP114)))</f>
        <v/>
      </c>
      <c r="AX114">
        <f>IF(AV114-AW114&lt;0.005,0,AV114-AW114)</f>
        <v/>
      </c>
      <c r="BC114">
        <f>H114+N114+T114+Z114+AF114+AL114+AR114+AX114</f>
        <v/>
      </c>
    </row>
    <row r="115">
      <c r="A115" t="n">
        <v>109</v>
      </c>
      <c r="B115" s="19">
        <f>MAX(0,$B$3-(E115+K115+Q115+W115+AC115+AI115+AO115+AU115))</f>
        <v/>
      </c>
      <c r="C115">
        <f>H114</f>
        <v/>
      </c>
      <c r="D115">
        <f>C115*Plan!D6/100/12</f>
        <v/>
      </c>
      <c r="E115">
        <f>MIN(Plan!E6,C115+D115)</f>
        <v/>
      </c>
      <c r="F115">
        <f>C115+D115-E115</f>
        <v/>
      </c>
      <c r="G115">
        <f>MIN(F115,MAX(0,$B115-((K$5&lt;E$5)*L115+(Q$5&lt;E$5)*R115+(W$5&lt;E$5)*X115+(AC$5&lt;E$5)*AD115+(AI$5&lt;E$5)*AJ115+(AO$5&lt;E$5)*AP115+(AU$5&lt;E$5)*AV115)))</f>
        <v/>
      </c>
      <c r="H115">
        <f>IF(F115-G115&lt;0.005,0,F115-G115)</f>
        <v/>
      </c>
      <c r="I115">
        <f>N114</f>
        <v/>
      </c>
      <c r="J115">
        <f>I115*Plan!D7/100/12</f>
        <v/>
      </c>
      <c r="K115">
        <f>MIN(Plan!E7,I115+J115)</f>
        <v/>
      </c>
      <c r="L115">
        <f>I115+J115-K115</f>
        <v/>
      </c>
      <c r="M115">
        <f>MIN(L115,MAX(0,$B115-((E$5&lt;K$5)*F115+(Q$5&lt;K$5)*R115+(W$5&lt;K$5)*X115+(AC$5&lt;K$5)*AD115+(AI$5&lt;K$5)*AJ115+(AO$5&lt;K$5)*AP115+(AU$5&lt;K$5)*AV115)))</f>
        <v/>
      </c>
      <c r="N115">
        <f>IF(L115-M115&lt;0.005,0,L115-M115)</f>
        <v/>
      </c>
      <c r="O115">
        <f>T114</f>
        <v/>
      </c>
      <c r="P115">
        <f>O115*Plan!D8/100/12</f>
        <v/>
      </c>
      <c r="Q115">
        <f>MIN(Plan!E8,O115+P115)</f>
        <v/>
      </c>
      <c r="R115">
        <f>O115+P115-Q115</f>
        <v/>
      </c>
      <c r="S115">
        <f>MIN(R115,MAX(0,$B115-((E$5&lt;Q$5)*F115+(K$5&lt;Q$5)*L115+(W$5&lt;Q$5)*X115+(AC$5&lt;Q$5)*AD115+(AI$5&lt;Q$5)*AJ115+(AO$5&lt;Q$5)*AP115+(AU$5&lt;Q$5)*AV115)))</f>
        <v/>
      </c>
      <c r="T115">
        <f>IF(R115-S115&lt;0.005,0,R115-S115)</f>
        <v/>
      </c>
      <c r="U115">
        <f>Z114</f>
        <v/>
      </c>
      <c r="V115">
        <f>U115*Plan!D9/100/12</f>
        <v/>
      </c>
      <c r="W115">
        <f>MIN(Plan!E9,U115+V115)</f>
        <v/>
      </c>
      <c r="X115">
        <f>U115+V115-W115</f>
        <v/>
      </c>
      <c r="Y115">
        <f>MIN(X115,MAX(0,$B115-((E$5&lt;W$5)*F115+(K$5&lt;W$5)*L115+(Q$5&lt;W$5)*R115+(AC$5&lt;W$5)*AD115+(AI$5&lt;W$5)*AJ115+(AO$5&lt;W$5)*AP115+(AU$5&lt;W$5)*AV115)))</f>
        <v/>
      </c>
      <c r="Z115">
        <f>IF(X115-Y115&lt;0.005,0,X115-Y115)</f>
        <v/>
      </c>
      <c r="AA115">
        <f>AF114</f>
        <v/>
      </c>
      <c r="AB115">
        <f>AA115*Plan!D10/100/12</f>
        <v/>
      </c>
      <c r="AC115">
        <f>MIN(Plan!E10,AA115+AB115)</f>
        <v/>
      </c>
      <c r="AD115">
        <f>AA115+AB115-AC115</f>
        <v/>
      </c>
      <c r="AE115">
        <f>MIN(AD115,MAX(0,$B115-((E$5&lt;AC$5)*F115+(K$5&lt;AC$5)*L115+(Q$5&lt;AC$5)*R115+(W$5&lt;AC$5)*X115+(AI$5&lt;AC$5)*AJ115+(AO$5&lt;AC$5)*AP115+(AU$5&lt;AC$5)*AV115)))</f>
        <v/>
      </c>
      <c r="AF115">
        <f>IF(AD115-AE115&lt;0.005,0,AD115-AE115)</f>
        <v/>
      </c>
      <c r="AG115">
        <f>AL114</f>
        <v/>
      </c>
      <c r="AH115">
        <f>AG115*Plan!D11/100/12</f>
        <v/>
      </c>
      <c r="AI115">
        <f>MIN(Plan!E11,AG115+AH115)</f>
        <v/>
      </c>
      <c r="AJ115">
        <f>AG115+AH115-AI115</f>
        <v/>
      </c>
      <c r="AK115">
        <f>MIN(AJ115,MAX(0,$B115-((E$5&lt;AI$5)*F115+(K$5&lt;AI$5)*L115+(Q$5&lt;AI$5)*R115+(W$5&lt;AI$5)*X115+(AC$5&lt;AI$5)*AD115+(AO$5&lt;AI$5)*AP115+(AU$5&lt;AI$5)*AV115)))</f>
        <v/>
      </c>
      <c r="AL115">
        <f>IF(AJ115-AK115&lt;0.005,0,AJ115-AK115)</f>
        <v/>
      </c>
      <c r="AM115">
        <f>AR114</f>
        <v/>
      </c>
      <c r="AN115">
        <f>AM115*Plan!D12/100/12</f>
        <v/>
      </c>
      <c r="AO115">
        <f>MIN(Plan!E12,AM115+AN115)</f>
        <v/>
      </c>
      <c r="AP115">
        <f>AM115+AN115-AO115</f>
        <v/>
      </c>
      <c r="AQ115">
        <f>MIN(AP115,MAX(0,$B115-((E$5&lt;AO$5)*F115+(K$5&lt;AO$5)*L115+(Q$5&lt;AO$5)*R115+(W$5&lt;AO$5)*X115+(AC$5&lt;AO$5)*AD115+(AI$5&lt;AO$5)*AJ115+(AU$5&lt;AO$5)*AV115)))</f>
        <v/>
      </c>
      <c r="AR115">
        <f>IF(AP115-AQ115&lt;0.005,0,AP115-AQ115)</f>
        <v/>
      </c>
      <c r="AS115">
        <f>AX114</f>
        <v/>
      </c>
      <c r="AT115">
        <f>AS115*Plan!D13/100/12</f>
        <v/>
      </c>
      <c r="AU115">
        <f>MIN(Plan!E13,AS115+AT115)</f>
        <v/>
      </c>
      <c r="AV115">
        <f>AS115+AT115-AU115</f>
        <v/>
      </c>
      <c r="AW115">
        <f>MIN(AV115,MAX(0,$B115-((E$5&lt;AU$5)*F115+(K$5&lt;AU$5)*L115+(Q$5&lt;AU$5)*R115+(W$5&lt;AU$5)*X115+(AC$5&lt;AU$5)*AD115+(AI$5&lt;AU$5)*AJ115+(AO$5&lt;AU$5)*AP115)))</f>
        <v/>
      </c>
      <c r="AX115">
        <f>IF(AV115-AW115&lt;0.005,0,AV115-AW115)</f>
        <v/>
      </c>
      <c r="BC115">
        <f>H115+N115+T115+Z115+AF115+AL115+AR115+AX115</f>
        <v/>
      </c>
    </row>
    <row r="116">
      <c r="A116" t="n">
        <v>110</v>
      </c>
      <c r="B116" s="19">
        <f>MAX(0,$B$3-(E116+K116+Q116+W116+AC116+AI116+AO116+AU116))</f>
        <v/>
      </c>
      <c r="C116">
        <f>H115</f>
        <v/>
      </c>
      <c r="D116">
        <f>C116*Plan!D6/100/12</f>
        <v/>
      </c>
      <c r="E116">
        <f>MIN(Plan!E6,C116+D116)</f>
        <v/>
      </c>
      <c r="F116">
        <f>C116+D116-E116</f>
        <v/>
      </c>
      <c r="G116">
        <f>MIN(F116,MAX(0,$B116-((K$5&lt;E$5)*L116+(Q$5&lt;E$5)*R116+(W$5&lt;E$5)*X116+(AC$5&lt;E$5)*AD116+(AI$5&lt;E$5)*AJ116+(AO$5&lt;E$5)*AP116+(AU$5&lt;E$5)*AV116)))</f>
        <v/>
      </c>
      <c r="H116">
        <f>IF(F116-G116&lt;0.005,0,F116-G116)</f>
        <v/>
      </c>
      <c r="I116">
        <f>N115</f>
        <v/>
      </c>
      <c r="J116">
        <f>I116*Plan!D7/100/12</f>
        <v/>
      </c>
      <c r="K116">
        <f>MIN(Plan!E7,I116+J116)</f>
        <v/>
      </c>
      <c r="L116">
        <f>I116+J116-K116</f>
        <v/>
      </c>
      <c r="M116">
        <f>MIN(L116,MAX(0,$B116-((E$5&lt;K$5)*F116+(Q$5&lt;K$5)*R116+(W$5&lt;K$5)*X116+(AC$5&lt;K$5)*AD116+(AI$5&lt;K$5)*AJ116+(AO$5&lt;K$5)*AP116+(AU$5&lt;K$5)*AV116)))</f>
        <v/>
      </c>
      <c r="N116">
        <f>IF(L116-M116&lt;0.005,0,L116-M116)</f>
        <v/>
      </c>
      <c r="O116">
        <f>T115</f>
        <v/>
      </c>
      <c r="P116">
        <f>O116*Plan!D8/100/12</f>
        <v/>
      </c>
      <c r="Q116">
        <f>MIN(Plan!E8,O116+P116)</f>
        <v/>
      </c>
      <c r="R116">
        <f>O116+P116-Q116</f>
        <v/>
      </c>
      <c r="S116">
        <f>MIN(R116,MAX(0,$B116-((E$5&lt;Q$5)*F116+(K$5&lt;Q$5)*L116+(W$5&lt;Q$5)*X116+(AC$5&lt;Q$5)*AD116+(AI$5&lt;Q$5)*AJ116+(AO$5&lt;Q$5)*AP116+(AU$5&lt;Q$5)*AV116)))</f>
        <v/>
      </c>
      <c r="T116">
        <f>IF(R116-S116&lt;0.005,0,R116-S116)</f>
        <v/>
      </c>
      <c r="U116">
        <f>Z115</f>
        <v/>
      </c>
      <c r="V116">
        <f>U116*Plan!D9/100/12</f>
        <v/>
      </c>
      <c r="W116">
        <f>MIN(Plan!E9,U116+V116)</f>
        <v/>
      </c>
      <c r="X116">
        <f>U116+V116-W116</f>
        <v/>
      </c>
      <c r="Y116">
        <f>MIN(X116,MAX(0,$B116-((E$5&lt;W$5)*F116+(K$5&lt;W$5)*L116+(Q$5&lt;W$5)*R116+(AC$5&lt;W$5)*AD116+(AI$5&lt;W$5)*AJ116+(AO$5&lt;W$5)*AP116+(AU$5&lt;W$5)*AV116)))</f>
        <v/>
      </c>
      <c r="Z116">
        <f>IF(X116-Y116&lt;0.005,0,X116-Y116)</f>
        <v/>
      </c>
      <c r="AA116">
        <f>AF115</f>
        <v/>
      </c>
      <c r="AB116">
        <f>AA116*Plan!D10/100/12</f>
        <v/>
      </c>
      <c r="AC116">
        <f>MIN(Plan!E10,AA116+AB116)</f>
        <v/>
      </c>
      <c r="AD116">
        <f>AA116+AB116-AC116</f>
        <v/>
      </c>
      <c r="AE116">
        <f>MIN(AD116,MAX(0,$B116-((E$5&lt;AC$5)*F116+(K$5&lt;AC$5)*L116+(Q$5&lt;AC$5)*R116+(W$5&lt;AC$5)*X116+(AI$5&lt;AC$5)*AJ116+(AO$5&lt;AC$5)*AP116+(AU$5&lt;AC$5)*AV116)))</f>
        <v/>
      </c>
      <c r="AF116">
        <f>IF(AD116-AE116&lt;0.005,0,AD116-AE116)</f>
        <v/>
      </c>
      <c r="AG116">
        <f>AL115</f>
        <v/>
      </c>
      <c r="AH116">
        <f>AG116*Plan!D11/100/12</f>
        <v/>
      </c>
      <c r="AI116">
        <f>MIN(Plan!E11,AG116+AH116)</f>
        <v/>
      </c>
      <c r="AJ116">
        <f>AG116+AH116-AI116</f>
        <v/>
      </c>
      <c r="AK116">
        <f>MIN(AJ116,MAX(0,$B116-((E$5&lt;AI$5)*F116+(K$5&lt;AI$5)*L116+(Q$5&lt;AI$5)*R116+(W$5&lt;AI$5)*X116+(AC$5&lt;AI$5)*AD116+(AO$5&lt;AI$5)*AP116+(AU$5&lt;AI$5)*AV116)))</f>
        <v/>
      </c>
      <c r="AL116">
        <f>IF(AJ116-AK116&lt;0.005,0,AJ116-AK116)</f>
        <v/>
      </c>
      <c r="AM116">
        <f>AR115</f>
        <v/>
      </c>
      <c r="AN116">
        <f>AM116*Plan!D12/100/12</f>
        <v/>
      </c>
      <c r="AO116">
        <f>MIN(Plan!E12,AM116+AN116)</f>
        <v/>
      </c>
      <c r="AP116">
        <f>AM116+AN116-AO116</f>
        <v/>
      </c>
      <c r="AQ116">
        <f>MIN(AP116,MAX(0,$B116-((E$5&lt;AO$5)*F116+(K$5&lt;AO$5)*L116+(Q$5&lt;AO$5)*R116+(W$5&lt;AO$5)*X116+(AC$5&lt;AO$5)*AD116+(AI$5&lt;AO$5)*AJ116+(AU$5&lt;AO$5)*AV116)))</f>
        <v/>
      </c>
      <c r="AR116">
        <f>IF(AP116-AQ116&lt;0.005,0,AP116-AQ116)</f>
        <v/>
      </c>
      <c r="AS116">
        <f>AX115</f>
        <v/>
      </c>
      <c r="AT116">
        <f>AS116*Plan!D13/100/12</f>
        <v/>
      </c>
      <c r="AU116">
        <f>MIN(Plan!E13,AS116+AT116)</f>
        <v/>
      </c>
      <c r="AV116">
        <f>AS116+AT116-AU116</f>
        <v/>
      </c>
      <c r="AW116">
        <f>MIN(AV116,MAX(0,$B116-((E$5&lt;AU$5)*F116+(K$5&lt;AU$5)*L116+(Q$5&lt;AU$5)*R116+(W$5&lt;AU$5)*X116+(AC$5&lt;AU$5)*AD116+(AI$5&lt;AU$5)*AJ116+(AO$5&lt;AU$5)*AP116)))</f>
        <v/>
      </c>
      <c r="AX116">
        <f>IF(AV116-AW116&lt;0.005,0,AV116-AW116)</f>
        <v/>
      </c>
      <c r="BC116">
        <f>H116+N116+T116+Z116+AF116+AL116+AR116+AX116</f>
        <v/>
      </c>
    </row>
    <row r="117">
      <c r="A117" t="n">
        <v>111</v>
      </c>
      <c r="B117" s="19">
        <f>MAX(0,$B$3-(E117+K117+Q117+W117+AC117+AI117+AO117+AU117))</f>
        <v/>
      </c>
      <c r="C117">
        <f>H116</f>
        <v/>
      </c>
      <c r="D117">
        <f>C117*Plan!D6/100/12</f>
        <v/>
      </c>
      <c r="E117">
        <f>MIN(Plan!E6,C117+D117)</f>
        <v/>
      </c>
      <c r="F117">
        <f>C117+D117-E117</f>
        <v/>
      </c>
      <c r="G117">
        <f>MIN(F117,MAX(0,$B117-((K$5&lt;E$5)*L117+(Q$5&lt;E$5)*R117+(W$5&lt;E$5)*X117+(AC$5&lt;E$5)*AD117+(AI$5&lt;E$5)*AJ117+(AO$5&lt;E$5)*AP117+(AU$5&lt;E$5)*AV117)))</f>
        <v/>
      </c>
      <c r="H117">
        <f>IF(F117-G117&lt;0.005,0,F117-G117)</f>
        <v/>
      </c>
      <c r="I117">
        <f>N116</f>
        <v/>
      </c>
      <c r="J117">
        <f>I117*Plan!D7/100/12</f>
        <v/>
      </c>
      <c r="K117">
        <f>MIN(Plan!E7,I117+J117)</f>
        <v/>
      </c>
      <c r="L117">
        <f>I117+J117-K117</f>
        <v/>
      </c>
      <c r="M117">
        <f>MIN(L117,MAX(0,$B117-((E$5&lt;K$5)*F117+(Q$5&lt;K$5)*R117+(W$5&lt;K$5)*X117+(AC$5&lt;K$5)*AD117+(AI$5&lt;K$5)*AJ117+(AO$5&lt;K$5)*AP117+(AU$5&lt;K$5)*AV117)))</f>
        <v/>
      </c>
      <c r="N117">
        <f>IF(L117-M117&lt;0.005,0,L117-M117)</f>
        <v/>
      </c>
      <c r="O117">
        <f>T116</f>
        <v/>
      </c>
      <c r="P117">
        <f>O117*Plan!D8/100/12</f>
        <v/>
      </c>
      <c r="Q117">
        <f>MIN(Plan!E8,O117+P117)</f>
        <v/>
      </c>
      <c r="R117">
        <f>O117+P117-Q117</f>
        <v/>
      </c>
      <c r="S117">
        <f>MIN(R117,MAX(0,$B117-((E$5&lt;Q$5)*F117+(K$5&lt;Q$5)*L117+(W$5&lt;Q$5)*X117+(AC$5&lt;Q$5)*AD117+(AI$5&lt;Q$5)*AJ117+(AO$5&lt;Q$5)*AP117+(AU$5&lt;Q$5)*AV117)))</f>
        <v/>
      </c>
      <c r="T117">
        <f>IF(R117-S117&lt;0.005,0,R117-S117)</f>
        <v/>
      </c>
      <c r="U117">
        <f>Z116</f>
        <v/>
      </c>
      <c r="V117">
        <f>U117*Plan!D9/100/12</f>
        <v/>
      </c>
      <c r="W117">
        <f>MIN(Plan!E9,U117+V117)</f>
        <v/>
      </c>
      <c r="X117">
        <f>U117+V117-W117</f>
        <v/>
      </c>
      <c r="Y117">
        <f>MIN(X117,MAX(0,$B117-((E$5&lt;W$5)*F117+(K$5&lt;W$5)*L117+(Q$5&lt;W$5)*R117+(AC$5&lt;W$5)*AD117+(AI$5&lt;W$5)*AJ117+(AO$5&lt;W$5)*AP117+(AU$5&lt;W$5)*AV117)))</f>
        <v/>
      </c>
      <c r="Z117">
        <f>IF(X117-Y117&lt;0.005,0,X117-Y117)</f>
        <v/>
      </c>
      <c r="AA117">
        <f>AF116</f>
        <v/>
      </c>
      <c r="AB117">
        <f>AA117*Plan!D10/100/12</f>
        <v/>
      </c>
      <c r="AC117">
        <f>MIN(Plan!E10,AA117+AB117)</f>
        <v/>
      </c>
      <c r="AD117">
        <f>AA117+AB117-AC117</f>
        <v/>
      </c>
      <c r="AE117">
        <f>MIN(AD117,MAX(0,$B117-((E$5&lt;AC$5)*F117+(K$5&lt;AC$5)*L117+(Q$5&lt;AC$5)*R117+(W$5&lt;AC$5)*X117+(AI$5&lt;AC$5)*AJ117+(AO$5&lt;AC$5)*AP117+(AU$5&lt;AC$5)*AV117)))</f>
        <v/>
      </c>
      <c r="AF117">
        <f>IF(AD117-AE117&lt;0.005,0,AD117-AE117)</f>
        <v/>
      </c>
      <c r="AG117">
        <f>AL116</f>
        <v/>
      </c>
      <c r="AH117">
        <f>AG117*Plan!D11/100/12</f>
        <v/>
      </c>
      <c r="AI117">
        <f>MIN(Plan!E11,AG117+AH117)</f>
        <v/>
      </c>
      <c r="AJ117">
        <f>AG117+AH117-AI117</f>
        <v/>
      </c>
      <c r="AK117">
        <f>MIN(AJ117,MAX(0,$B117-((E$5&lt;AI$5)*F117+(K$5&lt;AI$5)*L117+(Q$5&lt;AI$5)*R117+(W$5&lt;AI$5)*X117+(AC$5&lt;AI$5)*AD117+(AO$5&lt;AI$5)*AP117+(AU$5&lt;AI$5)*AV117)))</f>
        <v/>
      </c>
      <c r="AL117">
        <f>IF(AJ117-AK117&lt;0.005,0,AJ117-AK117)</f>
        <v/>
      </c>
      <c r="AM117">
        <f>AR116</f>
        <v/>
      </c>
      <c r="AN117">
        <f>AM117*Plan!D12/100/12</f>
        <v/>
      </c>
      <c r="AO117">
        <f>MIN(Plan!E12,AM117+AN117)</f>
        <v/>
      </c>
      <c r="AP117">
        <f>AM117+AN117-AO117</f>
        <v/>
      </c>
      <c r="AQ117">
        <f>MIN(AP117,MAX(0,$B117-((E$5&lt;AO$5)*F117+(K$5&lt;AO$5)*L117+(Q$5&lt;AO$5)*R117+(W$5&lt;AO$5)*X117+(AC$5&lt;AO$5)*AD117+(AI$5&lt;AO$5)*AJ117+(AU$5&lt;AO$5)*AV117)))</f>
        <v/>
      </c>
      <c r="AR117">
        <f>IF(AP117-AQ117&lt;0.005,0,AP117-AQ117)</f>
        <v/>
      </c>
      <c r="AS117">
        <f>AX116</f>
        <v/>
      </c>
      <c r="AT117">
        <f>AS117*Plan!D13/100/12</f>
        <v/>
      </c>
      <c r="AU117">
        <f>MIN(Plan!E13,AS117+AT117)</f>
        <v/>
      </c>
      <c r="AV117">
        <f>AS117+AT117-AU117</f>
        <v/>
      </c>
      <c r="AW117">
        <f>MIN(AV117,MAX(0,$B117-((E$5&lt;AU$5)*F117+(K$5&lt;AU$5)*L117+(Q$5&lt;AU$5)*R117+(W$5&lt;AU$5)*X117+(AC$5&lt;AU$5)*AD117+(AI$5&lt;AU$5)*AJ117+(AO$5&lt;AU$5)*AP117)))</f>
        <v/>
      </c>
      <c r="AX117">
        <f>IF(AV117-AW117&lt;0.005,0,AV117-AW117)</f>
        <v/>
      </c>
      <c r="BC117">
        <f>H117+N117+T117+Z117+AF117+AL117+AR117+AX117</f>
        <v/>
      </c>
    </row>
    <row r="118">
      <c r="A118" t="n">
        <v>112</v>
      </c>
      <c r="B118" s="19">
        <f>MAX(0,$B$3-(E118+K118+Q118+W118+AC118+AI118+AO118+AU118))</f>
        <v/>
      </c>
      <c r="C118">
        <f>H117</f>
        <v/>
      </c>
      <c r="D118">
        <f>C118*Plan!D6/100/12</f>
        <v/>
      </c>
      <c r="E118">
        <f>MIN(Plan!E6,C118+D118)</f>
        <v/>
      </c>
      <c r="F118">
        <f>C118+D118-E118</f>
        <v/>
      </c>
      <c r="G118">
        <f>MIN(F118,MAX(0,$B118-((K$5&lt;E$5)*L118+(Q$5&lt;E$5)*R118+(W$5&lt;E$5)*X118+(AC$5&lt;E$5)*AD118+(AI$5&lt;E$5)*AJ118+(AO$5&lt;E$5)*AP118+(AU$5&lt;E$5)*AV118)))</f>
        <v/>
      </c>
      <c r="H118">
        <f>IF(F118-G118&lt;0.005,0,F118-G118)</f>
        <v/>
      </c>
      <c r="I118">
        <f>N117</f>
        <v/>
      </c>
      <c r="J118">
        <f>I118*Plan!D7/100/12</f>
        <v/>
      </c>
      <c r="K118">
        <f>MIN(Plan!E7,I118+J118)</f>
        <v/>
      </c>
      <c r="L118">
        <f>I118+J118-K118</f>
        <v/>
      </c>
      <c r="M118">
        <f>MIN(L118,MAX(0,$B118-((E$5&lt;K$5)*F118+(Q$5&lt;K$5)*R118+(W$5&lt;K$5)*X118+(AC$5&lt;K$5)*AD118+(AI$5&lt;K$5)*AJ118+(AO$5&lt;K$5)*AP118+(AU$5&lt;K$5)*AV118)))</f>
        <v/>
      </c>
      <c r="N118">
        <f>IF(L118-M118&lt;0.005,0,L118-M118)</f>
        <v/>
      </c>
      <c r="O118">
        <f>T117</f>
        <v/>
      </c>
      <c r="P118">
        <f>O118*Plan!D8/100/12</f>
        <v/>
      </c>
      <c r="Q118">
        <f>MIN(Plan!E8,O118+P118)</f>
        <v/>
      </c>
      <c r="R118">
        <f>O118+P118-Q118</f>
        <v/>
      </c>
      <c r="S118">
        <f>MIN(R118,MAX(0,$B118-((E$5&lt;Q$5)*F118+(K$5&lt;Q$5)*L118+(W$5&lt;Q$5)*X118+(AC$5&lt;Q$5)*AD118+(AI$5&lt;Q$5)*AJ118+(AO$5&lt;Q$5)*AP118+(AU$5&lt;Q$5)*AV118)))</f>
        <v/>
      </c>
      <c r="T118">
        <f>IF(R118-S118&lt;0.005,0,R118-S118)</f>
        <v/>
      </c>
      <c r="U118">
        <f>Z117</f>
        <v/>
      </c>
      <c r="V118">
        <f>U118*Plan!D9/100/12</f>
        <v/>
      </c>
      <c r="W118">
        <f>MIN(Plan!E9,U118+V118)</f>
        <v/>
      </c>
      <c r="X118">
        <f>U118+V118-W118</f>
        <v/>
      </c>
      <c r="Y118">
        <f>MIN(X118,MAX(0,$B118-((E$5&lt;W$5)*F118+(K$5&lt;W$5)*L118+(Q$5&lt;W$5)*R118+(AC$5&lt;W$5)*AD118+(AI$5&lt;W$5)*AJ118+(AO$5&lt;W$5)*AP118+(AU$5&lt;W$5)*AV118)))</f>
        <v/>
      </c>
      <c r="Z118">
        <f>IF(X118-Y118&lt;0.005,0,X118-Y118)</f>
        <v/>
      </c>
      <c r="AA118">
        <f>AF117</f>
        <v/>
      </c>
      <c r="AB118">
        <f>AA118*Plan!D10/100/12</f>
        <v/>
      </c>
      <c r="AC118">
        <f>MIN(Plan!E10,AA118+AB118)</f>
        <v/>
      </c>
      <c r="AD118">
        <f>AA118+AB118-AC118</f>
        <v/>
      </c>
      <c r="AE118">
        <f>MIN(AD118,MAX(0,$B118-((E$5&lt;AC$5)*F118+(K$5&lt;AC$5)*L118+(Q$5&lt;AC$5)*R118+(W$5&lt;AC$5)*X118+(AI$5&lt;AC$5)*AJ118+(AO$5&lt;AC$5)*AP118+(AU$5&lt;AC$5)*AV118)))</f>
        <v/>
      </c>
      <c r="AF118">
        <f>IF(AD118-AE118&lt;0.005,0,AD118-AE118)</f>
        <v/>
      </c>
      <c r="AG118">
        <f>AL117</f>
        <v/>
      </c>
      <c r="AH118">
        <f>AG118*Plan!D11/100/12</f>
        <v/>
      </c>
      <c r="AI118">
        <f>MIN(Plan!E11,AG118+AH118)</f>
        <v/>
      </c>
      <c r="AJ118">
        <f>AG118+AH118-AI118</f>
        <v/>
      </c>
      <c r="AK118">
        <f>MIN(AJ118,MAX(0,$B118-((E$5&lt;AI$5)*F118+(K$5&lt;AI$5)*L118+(Q$5&lt;AI$5)*R118+(W$5&lt;AI$5)*X118+(AC$5&lt;AI$5)*AD118+(AO$5&lt;AI$5)*AP118+(AU$5&lt;AI$5)*AV118)))</f>
        <v/>
      </c>
      <c r="AL118">
        <f>IF(AJ118-AK118&lt;0.005,0,AJ118-AK118)</f>
        <v/>
      </c>
      <c r="AM118">
        <f>AR117</f>
        <v/>
      </c>
      <c r="AN118">
        <f>AM118*Plan!D12/100/12</f>
        <v/>
      </c>
      <c r="AO118">
        <f>MIN(Plan!E12,AM118+AN118)</f>
        <v/>
      </c>
      <c r="AP118">
        <f>AM118+AN118-AO118</f>
        <v/>
      </c>
      <c r="AQ118">
        <f>MIN(AP118,MAX(0,$B118-((E$5&lt;AO$5)*F118+(K$5&lt;AO$5)*L118+(Q$5&lt;AO$5)*R118+(W$5&lt;AO$5)*X118+(AC$5&lt;AO$5)*AD118+(AI$5&lt;AO$5)*AJ118+(AU$5&lt;AO$5)*AV118)))</f>
        <v/>
      </c>
      <c r="AR118">
        <f>IF(AP118-AQ118&lt;0.005,0,AP118-AQ118)</f>
        <v/>
      </c>
      <c r="AS118">
        <f>AX117</f>
        <v/>
      </c>
      <c r="AT118">
        <f>AS118*Plan!D13/100/12</f>
        <v/>
      </c>
      <c r="AU118">
        <f>MIN(Plan!E13,AS118+AT118)</f>
        <v/>
      </c>
      <c r="AV118">
        <f>AS118+AT118-AU118</f>
        <v/>
      </c>
      <c r="AW118">
        <f>MIN(AV118,MAX(0,$B118-((E$5&lt;AU$5)*F118+(K$5&lt;AU$5)*L118+(Q$5&lt;AU$5)*R118+(W$5&lt;AU$5)*X118+(AC$5&lt;AU$5)*AD118+(AI$5&lt;AU$5)*AJ118+(AO$5&lt;AU$5)*AP118)))</f>
        <v/>
      </c>
      <c r="AX118">
        <f>IF(AV118-AW118&lt;0.005,0,AV118-AW118)</f>
        <v/>
      </c>
      <c r="BC118">
        <f>H118+N118+T118+Z118+AF118+AL118+AR118+AX118</f>
        <v/>
      </c>
    </row>
    <row r="119">
      <c r="A119" t="n">
        <v>113</v>
      </c>
      <c r="B119" s="19">
        <f>MAX(0,$B$3-(E119+K119+Q119+W119+AC119+AI119+AO119+AU119))</f>
        <v/>
      </c>
      <c r="C119">
        <f>H118</f>
        <v/>
      </c>
      <c r="D119">
        <f>C119*Plan!D6/100/12</f>
        <v/>
      </c>
      <c r="E119">
        <f>MIN(Plan!E6,C119+D119)</f>
        <v/>
      </c>
      <c r="F119">
        <f>C119+D119-E119</f>
        <v/>
      </c>
      <c r="G119">
        <f>MIN(F119,MAX(0,$B119-((K$5&lt;E$5)*L119+(Q$5&lt;E$5)*R119+(W$5&lt;E$5)*X119+(AC$5&lt;E$5)*AD119+(AI$5&lt;E$5)*AJ119+(AO$5&lt;E$5)*AP119+(AU$5&lt;E$5)*AV119)))</f>
        <v/>
      </c>
      <c r="H119">
        <f>IF(F119-G119&lt;0.005,0,F119-G119)</f>
        <v/>
      </c>
      <c r="I119">
        <f>N118</f>
        <v/>
      </c>
      <c r="J119">
        <f>I119*Plan!D7/100/12</f>
        <v/>
      </c>
      <c r="K119">
        <f>MIN(Plan!E7,I119+J119)</f>
        <v/>
      </c>
      <c r="L119">
        <f>I119+J119-K119</f>
        <v/>
      </c>
      <c r="M119">
        <f>MIN(L119,MAX(0,$B119-((E$5&lt;K$5)*F119+(Q$5&lt;K$5)*R119+(W$5&lt;K$5)*X119+(AC$5&lt;K$5)*AD119+(AI$5&lt;K$5)*AJ119+(AO$5&lt;K$5)*AP119+(AU$5&lt;K$5)*AV119)))</f>
        <v/>
      </c>
      <c r="N119">
        <f>IF(L119-M119&lt;0.005,0,L119-M119)</f>
        <v/>
      </c>
      <c r="O119">
        <f>T118</f>
        <v/>
      </c>
      <c r="P119">
        <f>O119*Plan!D8/100/12</f>
        <v/>
      </c>
      <c r="Q119">
        <f>MIN(Plan!E8,O119+P119)</f>
        <v/>
      </c>
      <c r="R119">
        <f>O119+P119-Q119</f>
        <v/>
      </c>
      <c r="S119">
        <f>MIN(R119,MAX(0,$B119-((E$5&lt;Q$5)*F119+(K$5&lt;Q$5)*L119+(W$5&lt;Q$5)*X119+(AC$5&lt;Q$5)*AD119+(AI$5&lt;Q$5)*AJ119+(AO$5&lt;Q$5)*AP119+(AU$5&lt;Q$5)*AV119)))</f>
        <v/>
      </c>
      <c r="T119">
        <f>IF(R119-S119&lt;0.005,0,R119-S119)</f>
        <v/>
      </c>
      <c r="U119">
        <f>Z118</f>
        <v/>
      </c>
      <c r="V119">
        <f>U119*Plan!D9/100/12</f>
        <v/>
      </c>
      <c r="W119">
        <f>MIN(Plan!E9,U119+V119)</f>
        <v/>
      </c>
      <c r="X119">
        <f>U119+V119-W119</f>
        <v/>
      </c>
      <c r="Y119">
        <f>MIN(X119,MAX(0,$B119-((E$5&lt;W$5)*F119+(K$5&lt;W$5)*L119+(Q$5&lt;W$5)*R119+(AC$5&lt;W$5)*AD119+(AI$5&lt;W$5)*AJ119+(AO$5&lt;W$5)*AP119+(AU$5&lt;W$5)*AV119)))</f>
        <v/>
      </c>
      <c r="Z119">
        <f>IF(X119-Y119&lt;0.005,0,X119-Y119)</f>
        <v/>
      </c>
      <c r="AA119">
        <f>AF118</f>
        <v/>
      </c>
      <c r="AB119">
        <f>AA119*Plan!D10/100/12</f>
        <v/>
      </c>
      <c r="AC119">
        <f>MIN(Plan!E10,AA119+AB119)</f>
        <v/>
      </c>
      <c r="AD119">
        <f>AA119+AB119-AC119</f>
        <v/>
      </c>
      <c r="AE119">
        <f>MIN(AD119,MAX(0,$B119-((E$5&lt;AC$5)*F119+(K$5&lt;AC$5)*L119+(Q$5&lt;AC$5)*R119+(W$5&lt;AC$5)*X119+(AI$5&lt;AC$5)*AJ119+(AO$5&lt;AC$5)*AP119+(AU$5&lt;AC$5)*AV119)))</f>
        <v/>
      </c>
      <c r="AF119">
        <f>IF(AD119-AE119&lt;0.005,0,AD119-AE119)</f>
        <v/>
      </c>
      <c r="AG119">
        <f>AL118</f>
        <v/>
      </c>
      <c r="AH119">
        <f>AG119*Plan!D11/100/12</f>
        <v/>
      </c>
      <c r="AI119">
        <f>MIN(Plan!E11,AG119+AH119)</f>
        <v/>
      </c>
      <c r="AJ119">
        <f>AG119+AH119-AI119</f>
        <v/>
      </c>
      <c r="AK119">
        <f>MIN(AJ119,MAX(0,$B119-((E$5&lt;AI$5)*F119+(K$5&lt;AI$5)*L119+(Q$5&lt;AI$5)*R119+(W$5&lt;AI$5)*X119+(AC$5&lt;AI$5)*AD119+(AO$5&lt;AI$5)*AP119+(AU$5&lt;AI$5)*AV119)))</f>
        <v/>
      </c>
      <c r="AL119">
        <f>IF(AJ119-AK119&lt;0.005,0,AJ119-AK119)</f>
        <v/>
      </c>
      <c r="AM119">
        <f>AR118</f>
        <v/>
      </c>
      <c r="AN119">
        <f>AM119*Plan!D12/100/12</f>
        <v/>
      </c>
      <c r="AO119">
        <f>MIN(Plan!E12,AM119+AN119)</f>
        <v/>
      </c>
      <c r="AP119">
        <f>AM119+AN119-AO119</f>
        <v/>
      </c>
      <c r="AQ119">
        <f>MIN(AP119,MAX(0,$B119-((E$5&lt;AO$5)*F119+(K$5&lt;AO$5)*L119+(Q$5&lt;AO$5)*R119+(W$5&lt;AO$5)*X119+(AC$5&lt;AO$5)*AD119+(AI$5&lt;AO$5)*AJ119+(AU$5&lt;AO$5)*AV119)))</f>
        <v/>
      </c>
      <c r="AR119">
        <f>IF(AP119-AQ119&lt;0.005,0,AP119-AQ119)</f>
        <v/>
      </c>
      <c r="AS119">
        <f>AX118</f>
        <v/>
      </c>
      <c r="AT119">
        <f>AS119*Plan!D13/100/12</f>
        <v/>
      </c>
      <c r="AU119">
        <f>MIN(Plan!E13,AS119+AT119)</f>
        <v/>
      </c>
      <c r="AV119">
        <f>AS119+AT119-AU119</f>
        <v/>
      </c>
      <c r="AW119">
        <f>MIN(AV119,MAX(0,$B119-((E$5&lt;AU$5)*F119+(K$5&lt;AU$5)*L119+(Q$5&lt;AU$5)*R119+(W$5&lt;AU$5)*X119+(AC$5&lt;AU$5)*AD119+(AI$5&lt;AU$5)*AJ119+(AO$5&lt;AU$5)*AP119)))</f>
        <v/>
      </c>
      <c r="AX119">
        <f>IF(AV119-AW119&lt;0.005,0,AV119-AW119)</f>
        <v/>
      </c>
      <c r="BC119">
        <f>H119+N119+T119+Z119+AF119+AL119+AR119+AX119</f>
        <v/>
      </c>
    </row>
    <row r="120">
      <c r="A120" t="n">
        <v>114</v>
      </c>
      <c r="B120" s="19">
        <f>MAX(0,$B$3-(E120+K120+Q120+W120+AC120+AI120+AO120+AU120))</f>
        <v/>
      </c>
      <c r="C120">
        <f>H119</f>
        <v/>
      </c>
      <c r="D120">
        <f>C120*Plan!D6/100/12</f>
        <v/>
      </c>
      <c r="E120">
        <f>MIN(Plan!E6,C120+D120)</f>
        <v/>
      </c>
      <c r="F120">
        <f>C120+D120-E120</f>
        <v/>
      </c>
      <c r="G120">
        <f>MIN(F120,MAX(0,$B120-((K$5&lt;E$5)*L120+(Q$5&lt;E$5)*R120+(W$5&lt;E$5)*X120+(AC$5&lt;E$5)*AD120+(AI$5&lt;E$5)*AJ120+(AO$5&lt;E$5)*AP120+(AU$5&lt;E$5)*AV120)))</f>
        <v/>
      </c>
      <c r="H120">
        <f>IF(F120-G120&lt;0.005,0,F120-G120)</f>
        <v/>
      </c>
      <c r="I120">
        <f>N119</f>
        <v/>
      </c>
      <c r="J120">
        <f>I120*Plan!D7/100/12</f>
        <v/>
      </c>
      <c r="K120">
        <f>MIN(Plan!E7,I120+J120)</f>
        <v/>
      </c>
      <c r="L120">
        <f>I120+J120-K120</f>
        <v/>
      </c>
      <c r="M120">
        <f>MIN(L120,MAX(0,$B120-((E$5&lt;K$5)*F120+(Q$5&lt;K$5)*R120+(W$5&lt;K$5)*X120+(AC$5&lt;K$5)*AD120+(AI$5&lt;K$5)*AJ120+(AO$5&lt;K$5)*AP120+(AU$5&lt;K$5)*AV120)))</f>
        <v/>
      </c>
      <c r="N120">
        <f>IF(L120-M120&lt;0.005,0,L120-M120)</f>
        <v/>
      </c>
      <c r="O120">
        <f>T119</f>
        <v/>
      </c>
      <c r="P120">
        <f>O120*Plan!D8/100/12</f>
        <v/>
      </c>
      <c r="Q120">
        <f>MIN(Plan!E8,O120+P120)</f>
        <v/>
      </c>
      <c r="R120">
        <f>O120+P120-Q120</f>
        <v/>
      </c>
      <c r="S120">
        <f>MIN(R120,MAX(0,$B120-((E$5&lt;Q$5)*F120+(K$5&lt;Q$5)*L120+(W$5&lt;Q$5)*X120+(AC$5&lt;Q$5)*AD120+(AI$5&lt;Q$5)*AJ120+(AO$5&lt;Q$5)*AP120+(AU$5&lt;Q$5)*AV120)))</f>
        <v/>
      </c>
      <c r="T120">
        <f>IF(R120-S120&lt;0.005,0,R120-S120)</f>
        <v/>
      </c>
      <c r="U120">
        <f>Z119</f>
        <v/>
      </c>
      <c r="V120">
        <f>U120*Plan!D9/100/12</f>
        <v/>
      </c>
      <c r="W120">
        <f>MIN(Plan!E9,U120+V120)</f>
        <v/>
      </c>
      <c r="X120">
        <f>U120+V120-W120</f>
        <v/>
      </c>
      <c r="Y120">
        <f>MIN(X120,MAX(0,$B120-((E$5&lt;W$5)*F120+(K$5&lt;W$5)*L120+(Q$5&lt;W$5)*R120+(AC$5&lt;W$5)*AD120+(AI$5&lt;W$5)*AJ120+(AO$5&lt;W$5)*AP120+(AU$5&lt;W$5)*AV120)))</f>
        <v/>
      </c>
      <c r="Z120">
        <f>IF(X120-Y120&lt;0.005,0,X120-Y120)</f>
        <v/>
      </c>
      <c r="AA120">
        <f>AF119</f>
        <v/>
      </c>
      <c r="AB120">
        <f>AA120*Plan!D10/100/12</f>
        <v/>
      </c>
      <c r="AC120">
        <f>MIN(Plan!E10,AA120+AB120)</f>
        <v/>
      </c>
      <c r="AD120">
        <f>AA120+AB120-AC120</f>
        <v/>
      </c>
      <c r="AE120">
        <f>MIN(AD120,MAX(0,$B120-((E$5&lt;AC$5)*F120+(K$5&lt;AC$5)*L120+(Q$5&lt;AC$5)*R120+(W$5&lt;AC$5)*X120+(AI$5&lt;AC$5)*AJ120+(AO$5&lt;AC$5)*AP120+(AU$5&lt;AC$5)*AV120)))</f>
        <v/>
      </c>
      <c r="AF120">
        <f>IF(AD120-AE120&lt;0.005,0,AD120-AE120)</f>
        <v/>
      </c>
      <c r="AG120">
        <f>AL119</f>
        <v/>
      </c>
      <c r="AH120">
        <f>AG120*Plan!D11/100/12</f>
        <v/>
      </c>
      <c r="AI120">
        <f>MIN(Plan!E11,AG120+AH120)</f>
        <v/>
      </c>
      <c r="AJ120">
        <f>AG120+AH120-AI120</f>
        <v/>
      </c>
      <c r="AK120">
        <f>MIN(AJ120,MAX(0,$B120-((E$5&lt;AI$5)*F120+(K$5&lt;AI$5)*L120+(Q$5&lt;AI$5)*R120+(W$5&lt;AI$5)*X120+(AC$5&lt;AI$5)*AD120+(AO$5&lt;AI$5)*AP120+(AU$5&lt;AI$5)*AV120)))</f>
        <v/>
      </c>
      <c r="AL120">
        <f>IF(AJ120-AK120&lt;0.005,0,AJ120-AK120)</f>
        <v/>
      </c>
      <c r="AM120">
        <f>AR119</f>
        <v/>
      </c>
      <c r="AN120">
        <f>AM120*Plan!D12/100/12</f>
        <v/>
      </c>
      <c r="AO120">
        <f>MIN(Plan!E12,AM120+AN120)</f>
        <v/>
      </c>
      <c r="AP120">
        <f>AM120+AN120-AO120</f>
        <v/>
      </c>
      <c r="AQ120">
        <f>MIN(AP120,MAX(0,$B120-((E$5&lt;AO$5)*F120+(K$5&lt;AO$5)*L120+(Q$5&lt;AO$5)*R120+(W$5&lt;AO$5)*X120+(AC$5&lt;AO$5)*AD120+(AI$5&lt;AO$5)*AJ120+(AU$5&lt;AO$5)*AV120)))</f>
        <v/>
      </c>
      <c r="AR120">
        <f>IF(AP120-AQ120&lt;0.005,0,AP120-AQ120)</f>
        <v/>
      </c>
      <c r="AS120">
        <f>AX119</f>
        <v/>
      </c>
      <c r="AT120">
        <f>AS120*Plan!D13/100/12</f>
        <v/>
      </c>
      <c r="AU120">
        <f>MIN(Plan!E13,AS120+AT120)</f>
        <v/>
      </c>
      <c r="AV120">
        <f>AS120+AT120-AU120</f>
        <v/>
      </c>
      <c r="AW120">
        <f>MIN(AV120,MAX(0,$B120-((E$5&lt;AU$5)*F120+(K$5&lt;AU$5)*L120+(Q$5&lt;AU$5)*R120+(W$5&lt;AU$5)*X120+(AC$5&lt;AU$5)*AD120+(AI$5&lt;AU$5)*AJ120+(AO$5&lt;AU$5)*AP120)))</f>
        <v/>
      </c>
      <c r="AX120">
        <f>IF(AV120-AW120&lt;0.005,0,AV120-AW120)</f>
        <v/>
      </c>
      <c r="BC120">
        <f>H120+N120+T120+Z120+AF120+AL120+AR120+AX120</f>
        <v/>
      </c>
    </row>
    <row r="121">
      <c r="A121" t="n">
        <v>115</v>
      </c>
      <c r="B121" s="19">
        <f>MAX(0,$B$3-(E121+K121+Q121+W121+AC121+AI121+AO121+AU121))</f>
        <v/>
      </c>
      <c r="C121">
        <f>H120</f>
        <v/>
      </c>
      <c r="D121">
        <f>C121*Plan!D6/100/12</f>
        <v/>
      </c>
      <c r="E121">
        <f>MIN(Plan!E6,C121+D121)</f>
        <v/>
      </c>
      <c r="F121">
        <f>C121+D121-E121</f>
        <v/>
      </c>
      <c r="G121">
        <f>MIN(F121,MAX(0,$B121-((K$5&lt;E$5)*L121+(Q$5&lt;E$5)*R121+(W$5&lt;E$5)*X121+(AC$5&lt;E$5)*AD121+(AI$5&lt;E$5)*AJ121+(AO$5&lt;E$5)*AP121+(AU$5&lt;E$5)*AV121)))</f>
        <v/>
      </c>
      <c r="H121">
        <f>IF(F121-G121&lt;0.005,0,F121-G121)</f>
        <v/>
      </c>
      <c r="I121">
        <f>N120</f>
        <v/>
      </c>
      <c r="J121">
        <f>I121*Plan!D7/100/12</f>
        <v/>
      </c>
      <c r="K121">
        <f>MIN(Plan!E7,I121+J121)</f>
        <v/>
      </c>
      <c r="L121">
        <f>I121+J121-K121</f>
        <v/>
      </c>
      <c r="M121">
        <f>MIN(L121,MAX(0,$B121-((E$5&lt;K$5)*F121+(Q$5&lt;K$5)*R121+(W$5&lt;K$5)*X121+(AC$5&lt;K$5)*AD121+(AI$5&lt;K$5)*AJ121+(AO$5&lt;K$5)*AP121+(AU$5&lt;K$5)*AV121)))</f>
        <v/>
      </c>
      <c r="N121">
        <f>IF(L121-M121&lt;0.005,0,L121-M121)</f>
        <v/>
      </c>
      <c r="O121">
        <f>T120</f>
        <v/>
      </c>
      <c r="P121">
        <f>O121*Plan!D8/100/12</f>
        <v/>
      </c>
      <c r="Q121">
        <f>MIN(Plan!E8,O121+P121)</f>
        <v/>
      </c>
      <c r="R121">
        <f>O121+P121-Q121</f>
        <v/>
      </c>
      <c r="S121">
        <f>MIN(R121,MAX(0,$B121-((E$5&lt;Q$5)*F121+(K$5&lt;Q$5)*L121+(W$5&lt;Q$5)*X121+(AC$5&lt;Q$5)*AD121+(AI$5&lt;Q$5)*AJ121+(AO$5&lt;Q$5)*AP121+(AU$5&lt;Q$5)*AV121)))</f>
        <v/>
      </c>
      <c r="T121">
        <f>IF(R121-S121&lt;0.005,0,R121-S121)</f>
        <v/>
      </c>
      <c r="U121">
        <f>Z120</f>
        <v/>
      </c>
      <c r="V121">
        <f>U121*Plan!D9/100/12</f>
        <v/>
      </c>
      <c r="W121">
        <f>MIN(Plan!E9,U121+V121)</f>
        <v/>
      </c>
      <c r="X121">
        <f>U121+V121-W121</f>
        <v/>
      </c>
      <c r="Y121">
        <f>MIN(X121,MAX(0,$B121-((E$5&lt;W$5)*F121+(K$5&lt;W$5)*L121+(Q$5&lt;W$5)*R121+(AC$5&lt;W$5)*AD121+(AI$5&lt;W$5)*AJ121+(AO$5&lt;W$5)*AP121+(AU$5&lt;W$5)*AV121)))</f>
        <v/>
      </c>
      <c r="Z121">
        <f>IF(X121-Y121&lt;0.005,0,X121-Y121)</f>
        <v/>
      </c>
      <c r="AA121">
        <f>AF120</f>
        <v/>
      </c>
      <c r="AB121">
        <f>AA121*Plan!D10/100/12</f>
        <v/>
      </c>
      <c r="AC121">
        <f>MIN(Plan!E10,AA121+AB121)</f>
        <v/>
      </c>
      <c r="AD121">
        <f>AA121+AB121-AC121</f>
        <v/>
      </c>
      <c r="AE121">
        <f>MIN(AD121,MAX(0,$B121-((E$5&lt;AC$5)*F121+(K$5&lt;AC$5)*L121+(Q$5&lt;AC$5)*R121+(W$5&lt;AC$5)*X121+(AI$5&lt;AC$5)*AJ121+(AO$5&lt;AC$5)*AP121+(AU$5&lt;AC$5)*AV121)))</f>
        <v/>
      </c>
      <c r="AF121">
        <f>IF(AD121-AE121&lt;0.005,0,AD121-AE121)</f>
        <v/>
      </c>
      <c r="AG121">
        <f>AL120</f>
        <v/>
      </c>
      <c r="AH121">
        <f>AG121*Plan!D11/100/12</f>
        <v/>
      </c>
      <c r="AI121">
        <f>MIN(Plan!E11,AG121+AH121)</f>
        <v/>
      </c>
      <c r="AJ121">
        <f>AG121+AH121-AI121</f>
        <v/>
      </c>
      <c r="AK121">
        <f>MIN(AJ121,MAX(0,$B121-((E$5&lt;AI$5)*F121+(K$5&lt;AI$5)*L121+(Q$5&lt;AI$5)*R121+(W$5&lt;AI$5)*X121+(AC$5&lt;AI$5)*AD121+(AO$5&lt;AI$5)*AP121+(AU$5&lt;AI$5)*AV121)))</f>
        <v/>
      </c>
      <c r="AL121">
        <f>IF(AJ121-AK121&lt;0.005,0,AJ121-AK121)</f>
        <v/>
      </c>
      <c r="AM121">
        <f>AR120</f>
        <v/>
      </c>
      <c r="AN121">
        <f>AM121*Plan!D12/100/12</f>
        <v/>
      </c>
      <c r="AO121">
        <f>MIN(Plan!E12,AM121+AN121)</f>
        <v/>
      </c>
      <c r="AP121">
        <f>AM121+AN121-AO121</f>
        <v/>
      </c>
      <c r="AQ121">
        <f>MIN(AP121,MAX(0,$B121-((E$5&lt;AO$5)*F121+(K$5&lt;AO$5)*L121+(Q$5&lt;AO$5)*R121+(W$5&lt;AO$5)*X121+(AC$5&lt;AO$5)*AD121+(AI$5&lt;AO$5)*AJ121+(AU$5&lt;AO$5)*AV121)))</f>
        <v/>
      </c>
      <c r="AR121">
        <f>IF(AP121-AQ121&lt;0.005,0,AP121-AQ121)</f>
        <v/>
      </c>
      <c r="AS121">
        <f>AX120</f>
        <v/>
      </c>
      <c r="AT121">
        <f>AS121*Plan!D13/100/12</f>
        <v/>
      </c>
      <c r="AU121">
        <f>MIN(Plan!E13,AS121+AT121)</f>
        <v/>
      </c>
      <c r="AV121">
        <f>AS121+AT121-AU121</f>
        <v/>
      </c>
      <c r="AW121">
        <f>MIN(AV121,MAX(0,$B121-((E$5&lt;AU$5)*F121+(K$5&lt;AU$5)*L121+(Q$5&lt;AU$5)*R121+(W$5&lt;AU$5)*X121+(AC$5&lt;AU$5)*AD121+(AI$5&lt;AU$5)*AJ121+(AO$5&lt;AU$5)*AP121)))</f>
        <v/>
      </c>
      <c r="AX121">
        <f>IF(AV121-AW121&lt;0.005,0,AV121-AW121)</f>
        <v/>
      </c>
      <c r="BC121">
        <f>H121+N121+T121+Z121+AF121+AL121+AR121+AX121</f>
        <v/>
      </c>
    </row>
    <row r="122">
      <c r="A122" t="n">
        <v>116</v>
      </c>
      <c r="B122" s="19">
        <f>MAX(0,$B$3-(E122+K122+Q122+W122+AC122+AI122+AO122+AU122))</f>
        <v/>
      </c>
      <c r="C122">
        <f>H121</f>
        <v/>
      </c>
      <c r="D122">
        <f>C122*Plan!D6/100/12</f>
        <v/>
      </c>
      <c r="E122">
        <f>MIN(Plan!E6,C122+D122)</f>
        <v/>
      </c>
      <c r="F122">
        <f>C122+D122-E122</f>
        <v/>
      </c>
      <c r="G122">
        <f>MIN(F122,MAX(0,$B122-((K$5&lt;E$5)*L122+(Q$5&lt;E$5)*R122+(W$5&lt;E$5)*X122+(AC$5&lt;E$5)*AD122+(AI$5&lt;E$5)*AJ122+(AO$5&lt;E$5)*AP122+(AU$5&lt;E$5)*AV122)))</f>
        <v/>
      </c>
      <c r="H122">
        <f>IF(F122-G122&lt;0.005,0,F122-G122)</f>
        <v/>
      </c>
      <c r="I122">
        <f>N121</f>
        <v/>
      </c>
      <c r="J122">
        <f>I122*Plan!D7/100/12</f>
        <v/>
      </c>
      <c r="K122">
        <f>MIN(Plan!E7,I122+J122)</f>
        <v/>
      </c>
      <c r="L122">
        <f>I122+J122-K122</f>
        <v/>
      </c>
      <c r="M122">
        <f>MIN(L122,MAX(0,$B122-((E$5&lt;K$5)*F122+(Q$5&lt;K$5)*R122+(W$5&lt;K$5)*X122+(AC$5&lt;K$5)*AD122+(AI$5&lt;K$5)*AJ122+(AO$5&lt;K$5)*AP122+(AU$5&lt;K$5)*AV122)))</f>
        <v/>
      </c>
      <c r="N122">
        <f>IF(L122-M122&lt;0.005,0,L122-M122)</f>
        <v/>
      </c>
      <c r="O122">
        <f>T121</f>
        <v/>
      </c>
      <c r="P122">
        <f>O122*Plan!D8/100/12</f>
        <v/>
      </c>
      <c r="Q122">
        <f>MIN(Plan!E8,O122+P122)</f>
        <v/>
      </c>
      <c r="R122">
        <f>O122+P122-Q122</f>
        <v/>
      </c>
      <c r="S122">
        <f>MIN(R122,MAX(0,$B122-((E$5&lt;Q$5)*F122+(K$5&lt;Q$5)*L122+(W$5&lt;Q$5)*X122+(AC$5&lt;Q$5)*AD122+(AI$5&lt;Q$5)*AJ122+(AO$5&lt;Q$5)*AP122+(AU$5&lt;Q$5)*AV122)))</f>
        <v/>
      </c>
      <c r="T122">
        <f>IF(R122-S122&lt;0.005,0,R122-S122)</f>
        <v/>
      </c>
      <c r="U122">
        <f>Z121</f>
        <v/>
      </c>
      <c r="V122">
        <f>U122*Plan!D9/100/12</f>
        <v/>
      </c>
      <c r="W122">
        <f>MIN(Plan!E9,U122+V122)</f>
        <v/>
      </c>
      <c r="X122">
        <f>U122+V122-W122</f>
        <v/>
      </c>
      <c r="Y122">
        <f>MIN(X122,MAX(0,$B122-((E$5&lt;W$5)*F122+(K$5&lt;W$5)*L122+(Q$5&lt;W$5)*R122+(AC$5&lt;W$5)*AD122+(AI$5&lt;W$5)*AJ122+(AO$5&lt;W$5)*AP122+(AU$5&lt;W$5)*AV122)))</f>
        <v/>
      </c>
      <c r="Z122">
        <f>IF(X122-Y122&lt;0.005,0,X122-Y122)</f>
        <v/>
      </c>
      <c r="AA122">
        <f>AF121</f>
        <v/>
      </c>
      <c r="AB122">
        <f>AA122*Plan!D10/100/12</f>
        <v/>
      </c>
      <c r="AC122">
        <f>MIN(Plan!E10,AA122+AB122)</f>
        <v/>
      </c>
      <c r="AD122">
        <f>AA122+AB122-AC122</f>
        <v/>
      </c>
      <c r="AE122">
        <f>MIN(AD122,MAX(0,$B122-((E$5&lt;AC$5)*F122+(K$5&lt;AC$5)*L122+(Q$5&lt;AC$5)*R122+(W$5&lt;AC$5)*X122+(AI$5&lt;AC$5)*AJ122+(AO$5&lt;AC$5)*AP122+(AU$5&lt;AC$5)*AV122)))</f>
        <v/>
      </c>
      <c r="AF122">
        <f>IF(AD122-AE122&lt;0.005,0,AD122-AE122)</f>
        <v/>
      </c>
      <c r="AG122">
        <f>AL121</f>
        <v/>
      </c>
      <c r="AH122">
        <f>AG122*Plan!D11/100/12</f>
        <v/>
      </c>
      <c r="AI122">
        <f>MIN(Plan!E11,AG122+AH122)</f>
        <v/>
      </c>
      <c r="AJ122">
        <f>AG122+AH122-AI122</f>
        <v/>
      </c>
      <c r="AK122">
        <f>MIN(AJ122,MAX(0,$B122-((E$5&lt;AI$5)*F122+(K$5&lt;AI$5)*L122+(Q$5&lt;AI$5)*R122+(W$5&lt;AI$5)*X122+(AC$5&lt;AI$5)*AD122+(AO$5&lt;AI$5)*AP122+(AU$5&lt;AI$5)*AV122)))</f>
        <v/>
      </c>
      <c r="AL122">
        <f>IF(AJ122-AK122&lt;0.005,0,AJ122-AK122)</f>
        <v/>
      </c>
      <c r="AM122">
        <f>AR121</f>
        <v/>
      </c>
      <c r="AN122">
        <f>AM122*Plan!D12/100/12</f>
        <v/>
      </c>
      <c r="AO122">
        <f>MIN(Plan!E12,AM122+AN122)</f>
        <v/>
      </c>
      <c r="AP122">
        <f>AM122+AN122-AO122</f>
        <v/>
      </c>
      <c r="AQ122">
        <f>MIN(AP122,MAX(0,$B122-((E$5&lt;AO$5)*F122+(K$5&lt;AO$5)*L122+(Q$5&lt;AO$5)*R122+(W$5&lt;AO$5)*X122+(AC$5&lt;AO$5)*AD122+(AI$5&lt;AO$5)*AJ122+(AU$5&lt;AO$5)*AV122)))</f>
        <v/>
      </c>
      <c r="AR122">
        <f>IF(AP122-AQ122&lt;0.005,0,AP122-AQ122)</f>
        <v/>
      </c>
      <c r="AS122">
        <f>AX121</f>
        <v/>
      </c>
      <c r="AT122">
        <f>AS122*Plan!D13/100/12</f>
        <v/>
      </c>
      <c r="AU122">
        <f>MIN(Plan!E13,AS122+AT122)</f>
        <v/>
      </c>
      <c r="AV122">
        <f>AS122+AT122-AU122</f>
        <v/>
      </c>
      <c r="AW122">
        <f>MIN(AV122,MAX(0,$B122-((E$5&lt;AU$5)*F122+(K$5&lt;AU$5)*L122+(Q$5&lt;AU$5)*R122+(W$5&lt;AU$5)*X122+(AC$5&lt;AU$5)*AD122+(AI$5&lt;AU$5)*AJ122+(AO$5&lt;AU$5)*AP122)))</f>
        <v/>
      </c>
      <c r="AX122">
        <f>IF(AV122-AW122&lt;0.005,0,AV122-AW122)</f>
        <v/>
      </c>
      <c r="BC122">
        <f>H122+N122+T122+Z122+AF122+AL122+AR122+AX122</f>
        <v/>
      </c>
    </row>
    <row r="123">
      <c r="A123" t="n">
        <v>117</v>
      </c>
      <c r="B123" s="19">
        <f>MAX(0,$B$3-(E123+K123+Q123+W123+AC123+AI123+AO123+AU123))</f>
        <v/>
      </c>
      <c r="C123">
        <f>H122</f>
        <v/>
      </c>
      <c r="D123">
        <f>C123*Plan!D6/100/12</f>
        <v/>
      </c>
      <c r="E123">
        <f>MIN(Plan!E6,C123+D123)</f>
        <v/>
      </c>
      <c r="F123">
        <f>C123+D123-E123</f>
        <v/>
      </c>
      <c r="G123">
        <f>MIN(F123,MAX(0,$B123-((K$5&lt;E$5)*L123+(Q$5&lt;E$5)*R123+(W$5&lt;E$5)*X123+(AC$5&lt;E$5)*AD123+(AI$5&lt;E$5)*AJ123+(AO$5&lt;E$5)*AP123+(AU$5&lt;E$5)*AV123)))</f>
        <v/>
      </c>
      <c r="H123">
        <f>IF(F123-G123&lt;0.005,0,F123-G123)</f>
        <v/>
      </c>
      <c r="I123">
        <f>N122</f>
        <v/>
      </c>
      <c r="J123">
        <f>I123*Plan!D7/100/12</f>
        <v/>
      </c>
      <c r="K123">
        <f>MIN(Plan!E7,I123+J123)</f>
        <v/>
      </c>
      <c r="L123">
        <f>I123+J123-K123</f>
        <v/>
      </c>
      <c r="M123">
        <f>MIN(L123,MAX(0,$B123-((E$5&lt;K$5)*F123+(Q$5&lt;K$5)*R123+(W$5&lt;K$5)*X123+(AC$5&lt;K$5)*AD123+(AI$5&lt;K$5)*AJ123+(AO$5&lt;K$5)*AP123+(AU$5&lt;K$5)*AV123)))</f>
        <v/>
      </c>
      <c r="N123">
        <f>IF(L123-M123&lt;0.005,0,L123-M123)</f>
        <v/>
      </c>
      <c r="O123">
        <f>T122</f>
        <v/>
      </c>
      <c r="P123">
        <f>O123*Plan!D8/100/12</f>
        <v/>
      </c>
      <c r="Q123">
        <f>MIN(Plan!E8,O123+P123)</f>
        <v/>
      </c>
      <c r="R123">
        <f>O123+P123-Q123</f>
        <v/>
      </c>
      <c r="S123">
        <f>MIN(R123,MAX(0,$B123-((E$5&lt;Q$5)*F123+(K$5&lt;Q$5)*L123+(W$5&lt;Q$5)*X123+(AC$5&lt;Q$5)*AD123+(AI$5&lt;Q$5)*AJ123+(AO$5&lt;Q$5)*AP123+(AU$5&lt;Q$5)*AV123)))</f>
        <v/>
      </c>
      <c r="T123">
        <f>IF(R123-S123&lt;0.005,0,R123-S123)</f>
        <v/>
      </c>
      <c r="U123">
        <f>Z122</f>
        <v/>
      </c>
      <c r="V123">
        <f>U123*Plan!D9/100/12</f>
        <v/>
      </c>
      <c r="W123">
        <f>MIN(Plan!E9,U123+V123)</f>
        <v/>
      </c>
      <c r="X123">
        <f>U123+V123-W123</f>
        <v/>
      </c>
      <c r="Y123">
        <f>MIN(X123,MAX(0,$B123-((E$5&lt;W$5)*F123+(K$5&lt;W$5)*L123+(Q$5&lt;W$5)*R123+(AC$5&lt;W$5)*AD123+(AI$5&lt;W$5)*AJ123+(AO$5&lt;W$5)*AP123+(AU$5&lt;W$5)*AV123)))</f>
        <v/>
      </c>
      <c r="Z123">
        <f>IF(X123-Y123&lt;0.005,0,X123-Y123)</f>
        <v/>
      </c>
      <c r="AA123">
        <f>AF122</f>
        <v/>
      </c>
      <c r="AB123">
        <f>AA123*Plan!D10/100/12</f>
        <v/>
      </c>
      <c r="AC123">
        <f>MIN(Plan!E10,AA123+AB123)</f>
        <v/>
      </c>
      <c r="AD123">
        <f>AA123+AB123-AC123</f>
        <v/>
      </c>
      <c r="AE123">
        <f>MIN(AD123,MAX(0,$B123-((E$5&lt;AC$5)*F123+(K$5&lt;AC$5)*L123+(Q$5&lt;AC$5)*R123+(W$5&lt;AC$5)*X123+(AI$5&lt;AC$5)*AJ123+(AO$5&lt;AC$5)*AP123+(AU$5&lt;AC$5)*AV123)))</f>
        <v/>
      </c>
      <c r="AF123">
        <f>IF(AD123-AE123&lt;0.005,0,AD123-AE123)</f>
        <v/>
      </c>
      <c r="AG123">
        <f>AL122</f>
        <v/>
      </c>
      <c r="AH123">
        <f>AG123*Plan!D11/100/12</f>
        <v/>
      </c>
      <c r="AI123">
        <f>MIN(Plan!E11,AG123+AH123)</f>
        <v/>
      </c>
      <c r="AJ123">
        <f>AG123+AH123-AI123</f>
        <v/>
      </c>
      <c r="AK123">
        <f>MIN(AJ123,MAX(0,$B123-((E$5&lt;AI$5)*F123+(K$5&lt;AI$5)*L123+(Q$5&lt;AI$5)*R123+(W$5&lt;AI$5)*X123+(AC$5&lt;AI$5)*AD123+(AO$5&lt;AI$5)*AP123+(AU$5&lt;AI$5)*AV123)))</f>
        <v/>
      </c>
      <c r="AL123">
        <f>IF(AJ123-AK123&lt;0.005,0,AJ123-AK123)</f>
        <v/>
      </c>
      <c r="AM123">
        <f>AR122</f>
        <v/>
      </c>
      <c r="AN123">
        <f>AM123*Plan!D12/100/12</f>
        <v/>
      </c>
      <c r="AO123">
        <f>MIN(Plan!E12,AM123+AN123)</f>
        <v/>
      </c>
      <c r="AP123">
        <f>AM123+AN123-AO123</f>
        <v/>
      </c>
      <c r="AQ123">
        <f>MIN(AP123,MAX(0,$B123-((E$5&lt;AO$5)*F123+(K$5&lt;AO$5)*L123+(Q$5&lt;AO$5)*R123+(W$5&lt;AO$5)*X123+(AC$5&lt;AO$5)*AD123+(AI$5&lt;AO$5)*AJ123+(AU$5&lt;AO$5)*AV123)))</f>
        <v/>
      </c>
      <c r="AR123">
        <f>IF(AP123-AQ123&lt;0.005,0,AP123-AQ123)</f>
        <v/>
      </c>
      <c r="AS123">
        <f>AX122</f>
        <v/>
      </c>
      <c r="AT123">
        <f>AS123*Plan!D13/100/12</f>
        <v/>
      </c>
      <c r="AU123">
        <f>MIN(Plan!E13,AS123+AT123)</f>
        <v/>
      </c>
      <c r="AV123">
        <f>AS123+AT123-AU123</f>
        <v/>
      </c>
      <c r="AW123">
        <f>MIN(AV123,MAX(0,$B123-((E$5&lt;AU$5)*F123+(K$5&lt;AU$5)*L123+(Q$5&lt;AU$5)*R123+(W$5&lt;AU$5)*X123+(AC$5&lt;AU$5)*AD123+(AI$5&lt;AU$5)*AJ123+(AO$5&lt;AU$5)*AP123)))</f>
        <v/>
      </c>
      <c r="AX123">
        <f>IF(AV123-AW123&lt;0.005,0,AV123-AW123)</f>
        <v/>
      </c>
      <c r="BC123">
        <f>H123+N123+T123+Z123+AF123+AL123+AR123+AX123</f>
        <v/>
      </c>
    </row>
    <row r="124">
      <c r="A124" t="n">
        <v>118</v>
      </c>
      <c r="B124" s="19">
        <f>MAX(0,$B$3-(E124+K124+Q124+W124+AC124+AI124+AO124+AU124))</f>
        <v/>
      </c>
      <c r="C124">
        <f>H123</f>
        <v/>
      </c>
      <c r="D124">
        <f>C124*Plan!D6/100/12</f>
        <v/>
      </c>
      <c r="E124">
        <f>MIN(Plan!E6,C124+D124)</f>
        <v/>
      </c>
      <c r="F124">
        <f>C124+D124-E124</f>
        <v/>
      </c>
      <c r="G124">
        <f>MIN(F124,MAX(0,$B124-((K$5&lt;E$5)*L124+(Q$5&lt;E$5)*R124+(W$5&lt;E$5)*X124+(AC$5&lt;E$5)*AD124+(AI$5&lt;E$5)*AJ124+(AO$5&lt;E$5)*AP124+(AU$5&lt;E$5)*AV124)))</f>
        <v/>
      </c>
      <c r="H124">
        <f>IF(F124-G124&lt;0.005,0,F124-G124)</f>
        <v/>
      </c>
      <c r="I124">
        <f>N123</f>
        <v/>
      </c>
      <c r="J124">
        <f>I124*Plan!D7/100/12</f>
        <v/>
      </c>
      <c r="K124">
        <f>MIN(Plan!E7,I124+J124)</f>
        <v/>
      </c>
      <c r="L124">
        <f>I124+J124-K124</f>
        <v/>
      </c>
      <c r="M124">
        <f>MIN(L124,MAX(0,$B124-((E$5&lt;K$5)*F124+(Q$5&lt;K$5)*R124+(W$5&lt;K$5)*X124+(AC$5&lt;K$5)*AD124+(AI$5&lt;K$5)*AJ124+(AO$5&lt;K$5)*AP124+(AU$5&lt;K$5)*AV124)))</f>
        <v/>
      </c>
      <c r="N124">
        <f>IF(L124-M124&lt;0.005,0,L124-M124)</f>
        <v/>
      </c>
      <c r="O124">
        <f>T123</f>
        <v/>
      </c>
      <c r="P124">
        <f>O124*Plan!D8/100/12</f>
        <v/>
      </c>
      <c r="Q124">
        <f>MIN(Plan!E8,O124+P124)</f>
        <v/>
      </c>
      <c r="R124">
        <f>O124+P124-Q124</f>
        <v/>
      </c>
      <c r="S124">
        <f>MIN(R124,MAX(0,$B124-((E$5&lt;Q$5)*F124+(K$5&lt;Q$5)*L124+(W$5&lt;Q$5)*X124+(AC$5&lt;Q$5)*AD124+(AI$5&lt;Q$5)*AJ124+(AO$5&lt;Q$5)*AP124+(AU$5&lt;Q$5)*AV124)))</f>
        <v/>
      </c>
      <c r="T124">
        <f>IF(R124-S124&lt;0.005,0,R124-S124)</f>
        <v/>
      </c>
      <c r="U124">
        <f>Z123</f>
        <v/>
      </c>
      <c r="V124">
        <f>U124*Plan!D9/100/12</f>
        <v/>
      </c>
      <c r="W124">
        <f>MIN(Plan!E9,U124+V124)</f>
        <v/>
      </c>
      <c r="X124">
        <f>U124+V124-W124</f>
        <v/>
      </c>
      <c r="Y124">
        <f>MIN(X124,MAX(0,$B124-((E$5&lt;W$5)*F124+(K$5&lt;W$5)*L124+(Q$5&lt;W$5)*R124+(AC$5&lt;W$5)*AD124+(AI$5&lt;W$5)*AJ124+(AO$5&lt;W$5)*AP124+(AU$5&lt;W$5)*AV124)))</f>
        <v/>
      </c>
      <c r="Z124">
        <f>IF(X124-Y124&lt;0.005,0,X124-Y124)</f>
        <v/>
      </c>
      <c r="AA124">
        <f>AF123</f>
        <v/>
      </c>
      <c r="AB124">
        <f>AA124*Plan!D10/100/12</f>
        <v/>
      </c>
      <c r="AC124">
        <f>MIN(Plan!E10,AA124+AB124)</f>
        <v/>
      </c>
      <c r="AD124">
        <f>AA124+AB124-AC124</f>
        <v/>
      </c>
      <c r="AE124">
        <f>MIN(AD124,MAX(0,$B124-((E$5&lt;AC$5)*F124+(K$5&lt;AC$5)*L124+(Q$5&lt;AC$5)*R124+(W$5&lt;AC$5)*X124+(AI$5&lt;AC$5)*AJ124+(AO$5&lt;AC$5)*AP124+(AU$5&lt;AC$5)*AV124)))</f>
        <v/>
      </c>
      <c r="AF124">
        <f>IF(AD124-AE124&lt;0.005,0,AD124-AE124)</f>
        <v/>
      </c>
      <c r="AG124">
        <f>AL123</f>
        <v/>
      </c>
      <c r="AH124">
        <f>AG124*Plan!D11/100/12</f>
        <v/>
      </c>
      <c r="AI124">
        <f>MIN(Plan!E11,AG124+AH124)</f>
        <v/>
      </c>
      <c r="AJ124">
        <f>AG124+AH124-AI124</f>
        <v/>
      </c>
      <c r="AK124">
        <f>MIN(AJ124,MAX(0,$B124-((E$5&lt;AI$5)*F124+(K$5&lt;AI$5)*L124+(Q$5&lt;AI$5)*R124+(W$5&lt;AI$5)*X124+(AC$5&lt;AI$5)*AD124+(AO$5&lt;AI$5)*AP124+(AU$5&lt;AI$5)*AV124)))</f>
        <v/>
      </c>
      <c r="AL124">
        <f>IF(AJ124-AK124&lt;0.005,0,AJ124-AK124)</f>
        <v/>
      </c>
      <c r="AM124">
        <f>AR123</f>
        <v/>
      </c>
      <c r="AN124">
        <f>AM124*Plan!D12/100/12</f>
        <v/>
      </c>
      <c r="AO124">
        <f>MIN(Plan!E12,AM124+AN124)</f>
        <v/>
      </c>
      <c r="AP124">
        <f>AM124+AN124-AO124</f>
        <v/>
      </c>
      <c r="AQ124">
        <f>MIN(AP124,MAX(0,$B124-((E$5&lt;AO$5)*F124+(K$5&lt;AO$5)*L124+(Q$5&lt;AO$5)*R124+(W$5&lt;AO$5)*X124+(AC$5&lt;AO$5)*AD124+(AI$5&lt;AO$5)*AJ124+(AU$5&lt;AO$5)*AV124)))</f>
        <v/>
      </c>
      <c r="AR124">
        <f>IF(AP124-AQ124&lt;0.005,0,AP124-AQ124)</f>
        <v/>
      </c>
      <c r="AS124">
        <f>AX123</f>
        <v/>
      </c>
      <c r="AT124">
        <f>AS124*Plan!D13/100/12</f>
        <v/>
      </c>
      <c r="AU124">
        <f>MIN(Plan!E13,AS124+AT124)</f>
        <v/>
      </c>
      <c r="AV124">
        <f>AS124+AT124-AU124</f>
        <v/>
      </c>
      <c r="AW124">
        <f>MIN(AV124,MAX(0,$B124-((E$5&lt;AU$5)*F124+(K$5&lt;AU$5)*L124+(Q$5&lt;AU$5)*R124+(W$5&lt;AU$5)*X124+(AC$5&lt;AU$5)*AD124+(AI$5&lt;AU$5)*AJ124+(AO$5&lt;AU$5)*AP124)))</f>
        <v/>
      </c>
      <c r="AX124">
        <f>IF(AV124-AW124&lt;0.005,0,AV124-AW124)</f>
        <v/>
      </c>
      <c r="BC124">
        <f>H124+N124+T124+Z124+AF124+AL124+AR124+AX124</f>
        <v/>
      </c>
    </row>
    <row r="125">
      <c r="A125" t="n">
        <v>119</v>
      </c>
      <c r="B125" s="19">
        <f>MAX(0,$B$3-(E125+K125+Q125+W125+AC125+AI125+AO125+AU125))</f>
        <v/>
      </c>
      <c r="C125">
        <f>H124</f>
        <v/>
      </c>
      <c r="D125">
        <f>C125*Plan!D6/100/12</f>
        <v/>
      </c>
      <c r="E125">
        <f>MIN(Plan!E6,C125+D125)</f>
        <v/>
      </c>
      <c r="F125">
        <f>C125+D125-E125</f>
        <v/>
      </c>
      <c r="G125">
        <f>MIN(F125,MAX(0,$B125-((K$5&lt;E$5)*L125+(Q$5&lt;E$5)*R125+(W$5&lt;E$5)*X125+(AC$5&lt;E$5)*AD125+(AI$5&lt;E$5)*AJ125+(AO$5&lt;E$5)*AP125+(AU$5&lt;E$5)*AV125)))</f>
        <v/>
      </c>
      <c r="H125">
        <f>IF(F125-G125&lt;0.005,0,F125-G125)</f>
        <v/>
      </c>
      <c r="I125">
        <f>N124</f>
        <v/>
      </c>
      <c r="J125">
        <f>I125*Plan!D7/100/12</f>
        <v/>
      </c>
      <c r="K125">
        <f>MIN(Plan!E7,I125+J125)</f>
        <v/>
      </c>
      <c r="L125">
        <f>I125+J125-K125</f>
        <v/>
      </c>
      <c r="M125">
        <f>MIN(L125,MAX(0,$B125-((E$5&lt;K$5)*F125+(Q$5&lt;K$5)*R125+(W$5&lt;K$5)*X125+(AC$5&lt;K$5)*AD125+(AI$5&lt;K$5)*AJ125+(AO$5&lt;K$5)*AP125+(AU$5&lt;K$5)*AV125)))</f>
        <v/>
      </c>
      <c r="N125">
        <f>IF(L125-M125&lt;0.005,0,L125-M125)</f>
        <v/>
      </c>
      <c r="O125">
        <f>T124</f>
        <v/>
      </c>
      <c r="P125">
        <f>O125*Plan!D8/100/12</f>
        <v/>
      </c>
      <c r="Q125">
        <f>MIN(Plan!E8,O125+P125)</f>
        <v/>
      </c>
      <c r="R125">
        <f>O125+P125-Q125</f>
        <v/>
      </c>
      <c r="S125">
        <f>MIN(R125,MAX(0,$B125-((E$5&lt;Q$5)*F125+(K$5&lt;Q$5)*L125+(W$5&lt;Q$5)*X125+(AC$5&lt;Q$5)*AD125+(AI$5&lt;Q$5)*AJ125+(AO$5&lt;Q$5)*AP125+(AU$5&lt;Q$5)*AV125)))</f>
        <v/>
      </c>
      <c r="T125">
        <f>IF(R125-S125&lt;0.005,0,R125-S125)</f>
        <v/>
      </c>
      <c r="U125">
        <f>Z124</f>
        <v/>
      </c>
      <c r="V125">
        <f>U125*Plan!D9/100/12</f>
        <v/>
      </c>
      <c r="W125">
        <f>MIN(Plan!E9,U125+V125)</f>
        <v/>
      </c>
      <c r="X125">
        <f>U125+V125-W125</f>
        <v/>
      </c>
      <c r="Y125">
        <f>MIN(X125,MAX(0,$B125-((E$5&lt;W$5)*F125+(K$5&lt;W$5)*L125+(Q$5&lt;W$5)*R125+(AC$5&lt;W$5)*AD125+(AI$5&lt;W$5)*AJ125+(AO$5&lt;W$5)*AP125+(AU$5&lt;W$5)*AV125)))</f>
        <v/>
      </c>
      <c r="Z125">
        <f>IF(X125-Y125&lt;0.005,0,X125-Y125)</f>
        <v/>
      </c>
      <c r="AA125">
        <f>AF124</f>
        <v/>
      </c>
      <c r="AB125">
        <f>AA125*Plan!D10/100/12</f>
        <v/>
      </c>
      <c r="AC125">
        <f>MIN(Plan!E10,AA125+AB125)</f>
        <v/>
      </c>
      <c r="AD125">
        <f>AA125+AB125-AC125</f>
        <v/>
      </c>
      <c r="AE125">
        <f>MIN(AD125,MAX(0,$B125-((E$5&lt;AC$5)*F125+(K$5&lt;AC$5)*L125+(Q$5&lt;AC$5)*R125+(W$5&lt;AC$5)*X125+(AI$5&lt;AC$5)*AJ125+(AO$5&lt;AC$5)*AP125+(AU$5&lt;AC$5)*AV125)))</f>
        <v/>
      </c>
      <c r="AF125">
        <f>IF(AD125-AE125&lt;0.005,0,AD125-AE125)</f>
        <v/>
      </c>
      <c r="AG125">
        <f>AL124</f>
        <v/>
      </c>
      <c r="AH125">
        <f>AG125*Plan!D11/100/12</f>
        <v/>
      </c>
      <c r="AI125">
        <f>MIN(Plan!E11,AG125+AH125)</f>
        <v/>
      </c>
      <c r="AJ125">
        <f>AG125+AH125-AI125</f>
        <v/>
      </c>
      <c r="AK125">
        <f>MIN(AJ125,MAX(0,$B125-((E$5&lt;AI$5)*F125+(K$5&lt;AI$5)*L125+(Q$5&lt;AI$5)*R125+(W$5&lt;AI$5)*X125+(AC$5&lt;AI$5)*AD125+(AO$5&lt;AI$5)*AP125+(AU$5&lt;AI$5)*AV125)))</f>
        <v/>
      </c>
      <c r="AL125">
        <f>IF(AJ125-AK125&lt;0.005,0,AJ125-AK125)</f>
        <v/>
      </c>
      <c r="AM125">
        <f>AR124</f>
        <v/>
      </c>
      <c r="AN125">
        <f>AM125*Plan!D12/100/12</f>
        <v/>
      </c>
      <c r="AO125">
        <f>MIN(Plan!E12,AM125+AN125)</f>
        <v/>
      </c>
      <c r="AP125">
        <f>AM125+AN125-AO125</f>
        <v/>
      </c>
      <c r="AQ125">
        <f>MIN(AP125,MAX(0,$B125-((E$5&lt;AO$5)*F125+(K$5&lt;AO$5)*L125+(Q$5&lt;AO$5)*R125+(W$5&lt;AO$5)*X125+(AC$5&lt;AO$5)*AD125+(AI$5&lt;AO$5)*AJ125+(AU$5&lt;AO$5)*AV125)))</f>
        <v/>
      </c>
      <c r="AR125">
        <f>IF(AP125-AQ125&lt;0.005,0,AP125-AQ125)</f>
        <v/>
      </c>
      <c r="AS125">
        <f>AX124</f>
        <v/>
      </c>
      <c r="AT125">
        <f>AS125*Plan!D13/100/12</f>
        <v/>
      </c>
      <c r="AU125">
        <f>MIN(Plan!E13,AS125+AT125)</f>
        <v/>
      </c>
      <c r="AV125">
        <f>AS125+AT125-AU125</f>
        <v/>
      </c>
      <c r="AW125">
        <f>MIN(AV125,MAX(0,$B125-((E$5&lt;AU$5)*F125+(K$5&lt;AU$5)*L125+(Q$5&lt;AU$5)*R125+(W$5&lt;AU$5)*X125+(AC$5&lt;AU$5)*AD125+(AI$5&lt;AU$5)*AJ125+(AO$5&lt;AU$5)*AP125)))</f>
        <v/>
      </c>
      <c r="AX125">
        <f>IF(AV125-AW125&lt;0.005,0,AV125-AW125)</f>
        <v/>
      </c>
      <c r="BC125">
        <f>H125+N125+T125+Z125+AF125+AL125+AR125+AX125</f>
        <v/>
      </c>
    </row>
    <row r="126">
      <c r="A126" t="n">
        <v>120</v>
      </c>
      <c r="B126" s="19">
        <f>MAX(0,$B$3-(E126+K126+Q126+W126+AC126+AI126+AO126+AU126))</f>
        <v/>
      </c>
      <c r="C126">
        <f>H125</f>
        <v/>
      </c>
      <c r="D126">
        <f>C126*Plan!D6/100/12</f>
        <v/>
      </c>
      <c r="E126">
        <f>MIN(Plan!E6,C126+D126)</f>
        <v/>
      </c>
      <c r="F126">
        <f>C126+D126-E126</f>
        <v/>
      </c>
      <c r="G126">
        <f>MIN(F126,MAX(0,$B126-((K$5&lt;E$5)*L126+(Q$5&lt;E$5)*R126+(W$5&lt;E$5)*X126+(AC$5&lt;E$5)*AD126+(AI$5&lt;E$5)*AJ126+(AO$5&lt;E$5)*AP126+(AU$5&lt;E$5)*AV126)))</f>
        <v/>
      </c>
      <c r="H126">
        <f>IF(F126-G126&lt;0.005,0,F126-G126)</f>
        <v/>
      </c>
      <c r="I126">
        <f>N125</f>
        <v/>
      </c>
      <c r="J126">
        <f>I126*Plan!D7/100/12</f>
        <v/>
      </c>
      <c r="K126">
        <f>MIN(Plan!E7,I126+J126)</f>
        <v/>
      </c>
      <c r="L126">
        <f>I126+J126-K126</f>
        <v/>
      </c>
      <c r="M126">
        <f>MIN(L126,MAX(0,$B126-((E$5&lt;K$5)*F126+(Q$5&lt;K$5)*R126+(W$5&lt;K$5)*X126+(AC$5&lt;K$5)*AD126+(AI$5&lt;K$5)*AJ126+(AO$5&lt;K$5)*AP126+(AU$5&lt;K$5)*AV126)))</f>
        <v/>
      </c>
      <c r="N126">
        <f>IF(L126-M126&lt;0.005,0,L126-M126)</f>
        <v/>
      </c>
      <c r="O126">
        <f>T125</f>
        <v/>
      </c>
      <c r="P126">
        <f>O126*Plan!D8/100/12</f>
        <v/>
      </c>
      <c r="Q126">
        <f>MIN(Plan!E8,O126+P126)</f>
        <v/>
      </c>
      <c r="R126">
        <f>O126+P126-Q126</f>
        <v/>
      </c>
      <c r="S126">
        <f>MIN(R126,MAX(0,$B126-((E$5&lt;Q$5)*F126+(K$5&lt;Q$5)*L126+(W$5&lt;Q$5)*X126+(AC$5&lt;Q$5)*AD126+(AI$5&lt;Q$5)*AJ126+(AO$5&lt;Q$5)*AP126+(AU$5&lt;Q$5)*AV126)))</f>
        <v/>
      </c>
      <c r="T126">
        <f>IF(R126-S126&lt;0.005,0,R126-S126)</f>
        <v/>
      </c>
      <c r="U126">
        <f>Z125</f>
        <v/>
      </c>
      <c r="V126">
        <f>U126*Plan!D9/100/12</f>
        <v/>
      </c>
      <c r="W126">
        <f>MIN(Plan!E9,U126+V126)</f>
        <v/>
      </c>
      <c r="X126">
        <f>U126+V126-W126</f>
        <v/>
      </c>
      <c r="Y126">
        <f>MIN(X126,MAX(0,$B126-((E$5&lt;W$5)*F126+(K$5&lt;W$5)*L126+(Q$5&lt;W$5)*R126+(AC$5&lt;W$5)*AD126+(AI$5&lt;W$5)*AJ126+(AO$5&lt;W$5)*AP126+(AU$5&lt;W$5)*AV126)))</f>
        <v/>
      </c>
      <c r="Z126">
        <f>IF(X126-Y126&lt;0.005,0,X126-Y126)</f>
        <v/>
      </c>
      <c r="AA126">
        <f>AF125</f>
        <v/>
      </c>
      <c r="AB126">
        <f>AA126*Plan!D10/100/12</f>
        <v/>
      </c>
      <c r="AC126">
        <f>MIN(Plan!E10,AA126+AB126)</f>
        <v/>
      </c>
      <c r="AD126">
        <f>AA126+AB126-AC126</f>
        <v/>
      </c>
      <c r="AE126">
        <f>MIN(AD126,MAX(0,$B126-((E$5&lt;AC$5)*F126+(K$5&lt;AC$5)*L126+(Q$5&lt;AC$5)*R126+(W$5&lt;AC$5)*X126+(AI$5&lt;AC$5)*AJ126+(AO$5&lt;AC$5)*AP126+(AU$5&lt;AC$5)*AV126)))</f>
        <v/>
      </c>
      <c r="AF126">
        <f>IF(AD126-AE126&lt;0.005,0,AD126-AE126)</f>
        <v/>
      </c>
      <c r="AG126">
        <f>AL125</f>
        <v/>
      </c>
      <c r="AH126">
        <f>AG126*Plan!D11/100/12</f>
        <v/>
      </c>
      <c r="AI126">
        <f>MIN(Plan!E11,AG126+AH126)</f>
        <v/>
      </c>
      <c r="AJ126">
        <f>AG126+AH126-AI126</f>
        <v/>
      </c>
      <c r="AK126">
        <f>MIN(AJ126,MAX(0,$B126-((E$5&lt;AI$5)*F126+(K$5&lt;AI$5)*L126+(Q$5&lt;AI$5)*R126+(W$5&lt;AI$5)*X126+(AC$5&lt;AI$5)*AD126+(AO$5&lt;AI$5)*AP126+(AU$5&lt;AI$5)*AV126)))</f>
        <v/>
      </c>
      <c r="AL126">
        <f>IF(AJ126-AK126&lt;0.005,0,AJ126-AK126)</f>
        <v/>
      </c>
      <c r="AM126">
        <f>AR125</f>
        <v/>
      </c>
      <c r="AN126">
        <f>AM126*Plan!D12/100/12</f>
        <v/>
      </c>
      <c r="AO126">
        <f>MIN(Plan!E12,AM126+AN126)</f>
        <v/>
      </c>
      <c r="AP126">
        <f>AM126+AN126-AO126</f>
        <v/>
      </c>
      <c r="AQ126">
        <f>MIN(AP126,MAX(0,$B126-((E$5&lt;AO$5)*F126+(K$5&lt;AO$5)*L126+(Q$5&lt;AO$5)*R126+(W$5&lt;AO$5)*X126+(AC$5&lt;AO$5)*AD126+(AI$5&lt;AO$5)*AJ126+(AU$5&lt;AO$5)*AV126)))</f>
        <v/>
      </c>
      <c r="AR126">
        <f>IF(AP126-AQ126&lt;0.005,0,AP126-AQ126)</f>
        <v/>
      </c>
      <c r="AS126">
        <f>AX125</f>
        <v/>
      </c>
      <c r="AT126">
        <f>AS126*Plan!D13/100/12</f>
        <v/>
      </c>
      <c r="AU126">
        <f>MIN(Plan!E13,AS126+AT126)</f>
        <v/>
      </c>
      <c r="AV126">
        <f>AS126+AT126-AU126</f>
        <v/>
      </c>
      <c r="AW126">
        <f>MIN(AV126,MAX(0,$B126-((E$5&lt;AU$5)*F126+(K$5&lt;AU$5)*L126+(Q$5&lt;AU$5)*R126+(W$5&lt;AU$5)*X126+(AC$5&lt;AU$5)*AD126+(AI$5&lt;AU$5)*AJ126+(AO$5&lt;AU$5)*AP126)))</f>
        <v/>
      </c>
      <c r="AX126">
        <f>IF(AV126-AW126&lt;0.005,0,AV126-AW126)</f>
        <v/>
      </c>
      <c r="BC126">
        <f>H126+N126+T126+Z126+AF126+AL126+AR126+AX126</f>
        <v/>
      </c>
    </row>
    <row r="127">
      <c r="A127" t="n">
        <v>121</v>
      </c>
      <c r="B127" s="19">
        <f>MAX(0,$B$3-(E127+K127+Q127+W127+AC127+AI127+AO127+AU127))</f>
        <v/>
      </c>
      <c r="C127">
        <f>H126</f>
        <v/>
      </c>
      <c r="D127">
        <f>C127*Plan!D6/100/12</f>
        <v/>
      </c>
      <c r="E127">
        <f>MIN(Plan!E6,C127+D127)</f>
        <v/>
      </c>
      <c r="F127">
        <f>C127+D127-E127</f>
        <v/>
      </c>
      <c r="G127">
        <f>MIN(F127,MAX(0,$B127-((K$5&lt;E$5)*L127+(Q$5&lt;E$5)*R127+(W$5&lt;E$5)*X127+(AC$5&lt;E$5)*AD127+(AI$5&lt;E$5)*AJ127+(AO$5&lt;E$5)*AP127+(AU$5&lt;E$5)*AV127)))</f>
        <v/>
      </c>
      <c r="H127">
        <f>IF(F127-G127&lt;0.005,0,F127-G127)</f>
        <v/>
      </c>
      <c r="I127">
        <f>N126</f>
        <v/>
      </c>
      <c r="J127">
        <f>I127*Plan!D7/100/12</f>
        <v/>
      </c>
      <c r="K127">
        <f>MIN(Plan!E7,I127+J127)</f>
        <v/>
      </c>
      <c r="L127">
        <f>I127+J127-K127</f>
        <v/>
      </c>
      <c r="M127">
        <f>MIN(L127,MAX(0,$B127-((E$5&lt;K$5)*F127+(Q$5&lt;K$5)*R127+(W$5&lt;K$5)*X127+(AC$5&lt;K$5)*AD127+(AI$5&lt;K$5)*AJ127+(AO$5&lt;K$5)*AP127+(AU$5&lt;K$5)*AV127)))</f>
        <v/>
      </c>
      <c r="N127">
        <f>IF(L127-M127&lt;0.005,0,L127-M127)</f>
        <v/>
      </c>
      <c r="O127">
        <f>T126</f>
        <v/>
      </c>
      <c r="P127">
        <f>O127*Plan!D8/100/12</f>
        <v/>
      </c>
      <c r="Q127">
        <f>MIN(Plan!E8,O127+P127)</f>
        <v/>
      </c>
      <c r="R127">
        <f>O127+P127-Q127</f>
        <v/>
      </c>
      <c r="S127">
        <f>MIN(R127,MAX(0,$B127-((E$5&lt;Q$5)*F127+(K$5&lt;Q$5)*L127+(W$5&lt;Q$5)*X127+(AC$5&lt;Q$5)*AD127+(AI$5&lt;Q$5)*AJ127+(AO$5&lt;Q$5)*AP127+(AU$5&lt;Q$5)*AV127)))</f>
        <v/>
      </c>
      <c r="T127">
        <f>IF(R127-S127&lt;0.005,0,R127-S127)</f>
        <v/>
      </c>
      <c r="U127">
        <f>Z126</f>
        <v/>
      </c>
      <c r="V127">
        <f>U127*Plan!D9/100/12</f>
        <v/>
      </c>
      <c r="W127">
        <f>MIN(Plan!E9,U127+V127)</f>
        <v/>
      </c>
      <c r="X127">
        <f>U127+V127-W127</f>
        <v/>
      </c>
      <c r="Y127">
        <f>MIN(X127,MAX(0,$B127-((E$5&lt;W$5)*F127+(K$5&lt;W$5)*L127+(Q$5&lt;W$5)*R127+(AC$5&lt;W$5)*AD127+(AI$5&lt;W$5)*AJ127+(AO$5&lt;W$5)*AP127+(AU$5&lt;W$5)*AV127)))</f>
        <v/>
      </c>
      <c r="Z127">
        <f>IF(X127-Y127&lt;0.005,0,X127-Y127)</f>
        <v/>
      </c>
      <c r="AA127">
        <f>AF126</f>
        <v/>
      </c>
      <c r="AB127">
        <f>AA127*Plan!D10/100/12</f>
        <v/>
      </c>
      <c r="AC127">
        <f>MIN(Plan!E10,AA127+AB127)</f>
        <v/>
      </c>
      <c r="AD127">
        <f>AA127+AB127-AC127</f>
        <v/>
      </c>
      <c r="AE127">
        <f>MIN(AD127,MAX(0,$B127-((E$5&lt;AC$5)*F127+(K$5&lt;AC$5)*L127+(Q$5&lt;AC$5)*R127+(W$5&lt;AC$5)*X127+(AI$5&lt;AC$5)*AJ127+(AO$5&lt;AC$5)*AP127+(AU$5&lt;AC$5)*AV127)))</f>
        <v/>
      </c>
      <c r="AF127">
        <f>IF(AD127-AE127&lt;0.005,0,AD127-AE127)</f>
        <v/>
      </c>
      <c r="AG127">
        <f>AL126</f>
        <v/>
      </c>
      <c r="AH127">
        <f>AG127*Plan!D11/100/12</f>
        <v/>
      </c>
      <c r="AI127">
        <f>MIN(Plan!E11,AG127+AH127)</f>
        <v/>
      </c>
      <c r="AJ127">
        <f>AG127+AH127-AI127</f>
        <v/>
      </c>
      <c r="AK127">
        <f>MIN(AJ127,MAX(0,$B127-((E$5&lt;AI$5)*F127+(K$5&lt;AI$5)*L127+(Q$5&lt;AI$5)*R127+(W$5&lt;AI$5)*X127+(AC$5&lt;AI$5)*AD127+(AO$5&lt;AI$5)*AP127+(AU$5&lt;AI$5)*AV127)))</f>
        <v/>
      </c>
      <c r="AL127">
        <f>IF(AJ127-AK127&lt;0.005,0,AJ127-AK127)</f>
        <v/>
      </c>
      <c r="AM127">
        <f>AR126</f>
        <v/>
      </c>
      <c r="AN127">
        <f>AM127*Plan!D12/100/12</f>
        <v/>
      </c>
      <c r="AO127">
        <f>MIN(Plan!E12,AM127+AN127)</f>
        <v/>
      </c>
      <c r="AP127">
        <f>AM127+AN127-AO127</f>
        <v/>
      </c>
      <c r="AQ127">
        <f>MIN(AP127,MAX(0,$B127-((E$5&lt;AO$5)*F127+(K$5&lt;AO$5)*L127+(Q$5&lt;AO$5)*R127+(W$5&lt;AO$5)*X127+(AC$5&lt;AO$5)*AD127+(AI$5&lt;AO$5)*AJ127+(AU$5&lt;AO$5)*AV127)))</f>
        <v/>
      </c>
      <c r="AR127">
        <f>IF(AP127-AQ127&lt;0.005,0,AP127-AQ127)</f>
        <v/>
      </c>
      <c r="AS127">
        <f>AX126</f>
        <v/>
      </c>
      <c r="AT127">
        <f>AS127*Plan!D13/100/12</f>
        <v/>
      </c>
      <c r="AU127">
        <f>MIN(Plan!E13,AS127+AT127)</f>
        <v/>
      </c>
      <c r="AV127">
        <f>AS127+AT127-AU127</f>
        <v/>
      </c>
      <c r="AW127">
        <f>MIN(AV127,MAX(0,$B127-((E$5&lt;AU$5)*F127+(K$5&lt;AU$5)*L127+(Q$5&lt;AU$5)*R127+(W$5&lt;AU$5)*X127+(AC$5&lt;AU$5)*AD127+(AI$5&lt;AU$5)*AJ127+(AO$5&lt;AU$5)*AP127)))</f>
        <v/>
      </c>
      <c r="AX127">
        <f>IF(AV127-AW127&lt;0.005,0,AV127-AW127)</f>
        <v/>
      </c>
      <c r="BC127">
        <f>H127+N127+T127+Z127+AF127+AL127+AR127+AX127</f>
        <v/>
      </c>
    </row>
    <row r="128">
      <c r="A128" t="n">
        <v>122</v>
      </c>
      <c r="B128" s="19">
        <f>MAX(0,$B$3-(E128+K128+Q128+W128+AC128+AI128+AO128+AU128))</f>
        <v/>
      </c>
      <c r="C128">
        <f>H127</f>
        <v/>
      </c>
      <c r="D128">
        <f>C128*Plan!D6/100/12</f>
        <v/>
      </c>
      <c r="E128">
        <f>MIN(Plan!E6,C128+D128)</f>
        <v/>
      </c>
      <c r="F128">
        <f>C128+D128-E128</f>
        <v/>
      </c>
      <c r="G128">
        <f>MIN(F128,MAX(0,$B128-((K$5&lt;E$5)*L128+(Q$5&lt;E$5)*R128+(W$5&lt;E$5)*X128+(AC$5&lt;E$5)*AD128+(AI$5&lt;E$5)*AJ128+(AO$5&lt;E$5)*AP128+(AU$5&lt;E$5)*AV128)))</f>
        <v/>
      </c>
      <c r="H128">
        <f>IF(F128-G128&lt;0.005,0,F128-G128)</f>
        <v/>
      </c>
      <c r="I128">
        <f>N127</f>
        <v/>
      </c>
      <c r="J128">
        <f>I128*Plan!D7/100/12</f>
        <v/>
      </c>
      <c r="K128">
        <f>MIN(Plan!E7,I128+J128)</f>
        <v/>
      </c>
      <c r="L128">
        <f>I128+J128-K128</f>
        <v/>
      </c>
      <c r="M128">
        <f>MIN(L128,MAX(0,$B128-((E$5&lt;K$5)*F128+(Q$5&lt;K$5)*R128+(W$5&lt;K$5)*X128+(AC$5&lt;K$5)*AD128+(AI$5&lt;K$5)*AJ128+(AO$5&lt;K$5)*AP128+(AU$5&lt;K$5)*AV128)))</f>
        <v/>
      </c>
      <c r="N128">
        <f>IF(L128-M128&lt;0.005,0,L128-M128)</f>
        <v/>
      </c>
      <c r="O128">
        <f>T127</f>
        <v/>
      </c>
      <c r="P128">
        <f>O128*Plan!D8/100/12</f>
        <v/>
      </c>
      <c r="Q128">
        <f>MIN(Plan!E8,O128+P128)</f>
        <v/>
      </c>
      <c r="R128">
        <f>O128+P128-Q128</f>
        <v/>
      </c>
      <c r="S128">
        <f>MIN(R128,MAX(0,$B128-((E$5&lt;Q$5)*F128+(K$5&lt;Q$5)*L128+(W$5&lt;Q$5)*X128+(AC$5&lt;Q$5)*AD128+(AI$5&lt;Q$5)*AJ128+(AO$5&lt;Q$5)*AP128+(AU$5&lt;Q$5)*AV128)))</f>
        <v/>
      </c>
      <c r="T128">
        <f>IF(R128-S128&lt;0.005,0,R128-S128)</f>
        <v/>
      </c>
      <c r="U128">
        <f>Z127</f>
        <v/>
      </c>
      <c r="V128">
        <f>U128*Plan!D9/100/12</f>
        <v/>
      </c>
      <c r="W128">
        <f>MIN(Plan!E9,U128+V128)</f>
        <v/>
      </c>
      <c r="X128">
        <f>U128+V128-W128</f>
        <v/>
      </c>
      <c r="Y128">
        <f>MIN(X128,MAX(0,$B128-((E$5&lt;W$5)*F128+(K$5&lt;W$5)*L128+(Q$5&lt;W$5)*R128+(AC$5&lt;W$5)*AD128+(AI$5&lt;W$5)*AJ128+(AO$5&lt;W$5)*AP128+(AU$5&lt;W$5)*AV128)))</f>
        <v/>
      </c>
      <c r="Z128">
        <f>IF(X128-Y128&lt;0.005,0,X128-Y128)</f>
        <v/>
      </c>
      <c r="AA128">
        <f>AF127</f>
        <v/>
      </c>
      <c r="AB128">
        <f>AA128*Plan!D10/100/12</f>
        <v/>
      </c>
      <c r="AC128">
        <f>MIN(Plan!E10,AA128+AB128)</f>
        <v/>
      </c>
      <c r="AD128">
        <f>AA128+AB128-AC128</f>
        <v/>
      </c>
      <c r="AE128">
        <f>MIN(AD128,MAX(0,$B128-((E$5&lt;AC$5)*F128+(K$5&lt;AC$5)*L128+(Q$5&lt;AC$5)*R128+(W$5&lt;AC$5)*X128+(AI$5&lt;AC$5)*AJ128+(AO$5&lt;AC$5)*AP128+(AU$5&lt;AC$5)*AV128)))</f>
        <v/>
      </c>
      <c r="AF128">
        <f>IF(AD128-AE128&lt;0.005,0,AD128-AE128)</f>
        <v/>
      </c>
      <c r="AG128">
        <f>AL127</f>
        <v/>
      </c>
      <c r="AH128">
        <f>AG128*Plan!D11/100/12</f>
        <v/>
      </c>
      <c r="AI128">
        <f>MIN(Plan!E11,AG128+AH128)</f>
        <v/>
      </c>
      <c r="AJ128">
        <f>AG128+AH128-AI128</f>
        <v/>
      </c>
      <c r="AK128">
        <f>MIN(AJ128,MAX(0,$B128-((E$5&lt;AI$5)*F128+(K$5&lt;AI$5)*L128+(Q$5&lt;AI$5)*R128+(W$5&lt;AI$5)*X128+(AC$5&lt;AI$5)*AD128+(AO$5&lt;AI$5)*AP128+(AU$5&lt;AI$5)*AV128)))</f>
        <v/>
      </c>
      <c r="AL128">
        <f>IF(AJ128-AK128&lt;0.005,0,AJ128-AK128)</f>
        <v/>
      </c>
      <c r="AM128">
        <f>AR127</f>
        <v/>
      </c>
      <c r="AN128">
        <f>AM128*Plan!D12/100/12</f>
        <v/>
      </c>
      <c r="AO128">
        <f>MIN(Plan!E12,AM128+AN128)</f>
        <v/>
      </c>
      <c r="AP128">
        <f>AM128+AN128-AO128</f>
        <v/>
      </c>
      <c r="AQ128">
        <f>MIN(AP128,MAX(0,$B128-((E$5&lt;AO$5)*F128+(K$5&lt;AO$5)*L128+(Q$5&lt;AO$5)*R128+(W$5&lt;AO$5)*X128+(AC$5&lt;AO$5)*AD128+(AI$5&lt;AO$5)*AJ128+(AU$5&lt;AO$5)*AV128)))</f>
        <v/>
      </c>
      <c r="AR128">
        <f>IF(AP128-AQ128&lt;0.005,0,AP128-AQ128)</f>
        <v/>
      </c>
      <c r="AS128">
        <f>AX127</f>
        <v/>
      </c>
      <c r="AT128">
        <f>AS128*Plan!D13/100/12</f>
        <v/>
      </c>
      <c r="AU128">
        <f>MIN(Plan!E13,AS128+AT128)</f>
        <v/>
      </c>
      <c r="AV128">
        <f>AS128+AT128-AU128</f>
        <v/>
      </c>
      <c r="AW128">
        <f>MIN(AV128,MAX(0,$B128-((E$5&lt;AU$5)*F128+(K$5&lt;AU$5)*L128+(Q$5&lt;AU$5)*R128+(W$5&lt;AU$5)*X128+(AC$5&lt;AU$5)*AD128+(AI$5&lt;AU$5)*AJ128+(AO$5&lt;AU$5)*AP128)))</f>
        <v/>
      </c>
      <c r="AX128">
        <f>IF(AV128-AW128&lt;0.005,0,AV128-AW128)</f>
        <v/>
      </c>
      <c r="BC128">
        <f>H128+N128+T128+Z128+AF128+AL128+AR128+AX128</f>
        <v/>
      </c>
    </row>
    <row r="129">
      <c r="A129" t="n">
        <v>123</v>
      </c>
      <c r="B129" s="19">
        <f>MAX(0,$B$3-(E129+K129+Q129+W129+AC129+AI129+AO129+AU129))</f>
        <v/>
      </c>
      <c r="C129">
        <f>H128</f>
        <v/>
      </c>
      <c r="D129">
        <f>C129*Plan!D6/100/12</f>
        <v/>
      </c>
      <c r="E129">
        <f>MIN(Plan!E6,C129+D129)</f>
        <v/>
      </c>
      <c r="F129">
        <f>C129+D129-E129</f>
        <v/>
      </c>
      <c r="G129">
        <f>MIN(F129,MAX(0,$B129-((K$5&lt;E$5)*L129+(Q$5&lt;E$5)*R129+(W$5&lt;E$5)*X129+(AC$5&lt;E$5)*AD129+(AI$5&lt;E$5)*AJ129+(AO$5&lt;E$5)*AP129+(AU$5&lt;E$5)*AV129)))</f>
        <v/>
      </c>
      <c r="H129">
        <f>IF(F129-G129&lt;0.005,0,F129-G129)</f>
        <v/>
      </c>
      <c r="I129">
        <f>N128</f>
        <v/>
      </c>
      <c r="J129">
        <f>I129*Plan!D7/100/12</f>
        <v/>
      </c>
      <c r="K129">
        <f>MIN(Plan!E7,I129+J129)</f>
        <v/>
      </c>
      <c r="L129">
        <f>I129+J129-K129</f>
        <v/>
      </c>
      <c r="M129">
        <f>MIN(L129,MAX(0,$B129-((E$5&lt;K$5)*F129+(Q$5&lt;K$5)*R129+(W$5&lt;K$5)*X129+(AC$5&lt;K$5)*AD129+(AI$5&lt;K$5)*AJ129+(AO$5&lt;K$5)*AP129+(AU$5&lt;K$5)*AV129)))</f>
        <v/>
      </c>
      <c r="N129">
        <f>IF(L129-M129&lt;0.005,0,L129-M129)</f>
        <v/>
      </c>
      <c r="O129">
        <f>T128</f>
        <v/>
      </c>
      <c r="P129">
        <f>O129*Plan!D8/100/12</f>
        <v/>
      </c>
      <c r="Q129">
        <f>MIN(Plan!E8,O129+P129)</f>
        <v/>
      </c>
      <c r="R129">
        <f>O129+P129-Q129</f>
        <v/>
      </c>
      <c r="S129">
        <f>MIN(R129,MAX(0,$B129-((E$5&lt;Q$5)*F129+(K$5&lt;Q$5)*L129+(W$5&lt;Q$5)*X129+(AC$5&lt;Q$5)*AD129+(AI$5&lt;Q$5)*AJ129+(AO$5&lt;Q$5)*AP129+(AU$5&lt;Q$5)*AV129)))</f>
        <v/>
      </c>
      <c r="T129">
        <f>IF(R129-S129&lt;0.005,0,R129-S129)</f>
        <v/>
      </c>
      <c r="U129">
        <f>Z128</f>
        <v/>
      </c>
      <c r="V129">
        <f>U129*Plan!D9/100/12</f>
        <v/>
      </c>
      <c r="W129">
        <f>MIN(Plan!E9,U129+V129)</f>
        <v/>
      </c>
      <c r="X129">
        <f>U129+V129-W129</f>
        <v/>
      </c>
      <c r="Y129">
        <f>MIN(X129,MAX(0,$B129-((E$5&lt;W$5)*F129+(K$5&lt;W$5)*L129+(Q$5&lt;W$5)*R129+(AC$5&lt;W$5)*AD129+(AI$5&lt;W$5)*AJ129+(AO$5&lt;W$5)*AP129+(AU$5&lt;W$5)*AV129)))</f>
        <v/>
      </c>
      <c r="Z129">
        <f>IF(X129-Y129&lt;0.005,0,X129-Y129)</f>
        <v/>
      </c>
      <c r="AA129">
        <f>AF128</f>
        <v/>
      </c>
      <c r="AB129">
        <f>AA129*Plan!D10/100/12</f>
        <v/>
      </c>
      <c r="AC129">
        <f>MIN(Plan!E10,AA129+AB129)</f>
        <v/>
      </c>
      <c r="AD129">
        <f>AA129+AB129-AC129</f>
        <v/>
      </c>
      <c r="AE129">
        <f>MIN(AD129,MAX(0,$B129-((E$5&lt;AC$5)*F129+(K$5&lt;AC$5)*L129+(Q$5&lt;AC$5)*R129+(W$5&lt;AC$5)*X129+(AI$5&lt;AC$5)*AJ129+(AO$5&lt;AC$5)*AP129+(AU$5&lt;AC$5)*AV129)))</f>
        <v/>
      </c>
      <c r="AF129">
        <f>IF(AD129-AE129&lt;0.005,0,AD129-AE129)</f>
        <v/>
      </c>
      <c r="AG129">
        <f>AL128</f>
        <v/>
      </c>
      <c r="AH129">
        <f>AG129*Plan!D11/100/12</f>
        <v/>
      </c>
      <c r="AI129">
        <f>MIN(Plan!E11,AG129+AH129)</f>
        <v/>
      </c>
      <c r="AJ129">
        <f>AG129+AH129-AI129</f>
        <v/>
      </c>
      <c r="AK129">
        <f>MIN(AJ129,MAX(0,$B129-((E$5&lt;AI$5)*F129+(K$5&lt;AI$5)*L129+(Q$5&lt;AI$5)*R129+(W$5&lt;AI$5)*X129+(AC$5&lt;AI$5)*AD129+(AO$5&lt;AI$5)*AP129+(AU$5&lt;AI$5)*AV129)))</f>
        <v/>
      </c>
      <c r="AL129">
        <f>IF(AJ129-AK129&lt;0.005,0,AJ129-AK129)</f>
        <v/>
      </c>
      <c r="AM129">
        <f>AR128</f>
        <v/>
      </c>
      <c r="AN129">
        <f>AM129*Plan!D12/100/12</f>
        <v/>
      </c>
      <c r="AO129">
        <f>MIN(Plan!E12,AM129+AN129)</f>
        <v/>
      </c>
      <c r="AP129">
        <f>AM129+AN129-AO129</f>
        <v/>
      </c>
      <c r="AQ129">
        <f>MIN(AP129,MAX(0,$B129-((E$5&lt;AO$5)*F129+(K$5&lt;AO$5)*L129+(Q$5&lt;AO$5)*R129+(W$5&lt;AO$5)*X129+(AC$5&lt;AO$5)*AD129+(AI$5&lt;AO$5)*AJ129+(AU$5&lt;AO$5)*AV129)))</f>
        <v/>
      </c>
      <c r="AR129">
        <f>IF(AP129-AQ129&lt;0.005,0,AP129-AQ129)</f>
        <v/>
      </c>
      <c r="AS129">
        <f>AX128</f>
        <v/>
      </c>
      <c r="AT129">
        <f>AS129*Plan!D13/100/12</f>
        <v/>
      </c>
      <c r="AU129">
        <f>MIN(Plan!E13,AS129+AT129)</f>
        <v/>
      </c>
      <c r="AV129">
        <f>AS129+AT129-AU129</f>
        <v/>
      </c>
      <c r="AW129">
        <f>MIN(AV129,MAX(0,$B129-((E$5&lt;AU$5)*F129+(K$5&lt;AU$5)*L129+(Q$5&lt;AU$5)*R129+(W$5&lt;AU$5)*X129+(AC$5&lt;AU$5)*AD129+(AI$5&lt;AU$5)*AJ129+(AO$5&lt;AU$5)*AP129)))</f>
        <v/>
      </c>
      <c r="AX129">
        <f>IF(AV129-AW129&lt;0.005,0,AV129-AW129)</f>
        <v/>
      </c>
      <c r="BC129">
        <f>H129+N129+T129+Z129+AF129+AL129+AR129+AX129</f>
        <v/>
      </c>
    </row>
    <row r="130">
      <c r="A130" t="n">
        <v>124</v>
      </c>
      <c r="B130" s="19">
        <f>MAX(0,$B$3-(E130+K130+Q130+W130+AC130+AI130+AO130+AU130))</f>
        <v/>
      </c>
      <c r="C130">
        <f>H129</f>
        <v/>
      </c>
      <c r="D130">
        <f>C130*Plan!D6/100/12</f>
        <v/>
      </c>
      <c r="E130">
        <f>MIN(Plan!E6,C130+D130)</f>
        <v/>
      </c>
      <c r="F130">
        <f>C130+D130-E130</f>
        <v/>
      </c>
      <c r="G130">
        <f>MIN(F130,MAX(0,$B130-((K$5&lt;E$5)*L130+(Q$5&lt;E$5)*R130+(W$5&lt;E$5)*X130+(AC$5&lt;E$5)*AD130+(AI$5&lt;E$5)*AJ130+(AO$5&lt;E$5)*AP130+(AU$5&lt;E$5)*AV130)))</f>
        <v/>
      </c>
      <c r="H130">
        <f>IF(F130-G130&lt;0.005,0,F130-G130)</f>
        <v/>
      </c>
      <c r="I130">
        <f>N129</f>
        <v/>
      </c>
      <c r="J130">
        <f>I130*Plan!D7/100/12</f>
        <v/>
      </c>
      <c r="K130">
        <f>MIN(Plan!E7,I130+J130)</f>
        <v/>
      </c>
      <c r="L130">
        <f>I130+J130-K130</f>
        <v/>
      </c>
      <c r="M130">
        <f>MIN(L130,MAX(0,$B130-((E$5&lt;K$5)*F130+(Q$5&lt;K$5)*R130+(W$5&lt;K$5)*X130+(AC$5&lt;K$5)*AD130+(AI$5&lt;K$5)*AJ130+(AO$5&lt;K$5)*AP130+(AU$5&lt;K$5)*AV130)))</f>
        <v/>
      </c>
      <c r="N130">
        <f>IF(L130-M130&lt;0.005,0,L130-M130)</f>
        <v/>
      </c>
      <c r="O130">
        <f>T129</f>
        <v/>
      </c>
      <c r="P130">
        <f>O130*Plan!D8/100/12</f>
        <v/>
      </c>
      <c r="Q130">
        <f>MIN(Plan!E8,O130+P130)</f>
        <v/>
      </c>
      <c r="R130">
        <f>O130+P130-Q130</f>
        <v/>
      </c>
      <c r="S130">
        <f>MIN(R130,MAX(0,$B130-((E$5&lt;Q$5)*F130+(K$5&lt;Q$5)*L130+(W$5&lt;Q$5)*X130+(AC$5&lt;Q$5)*AD130+(AI$5&lt;Q$5)*AJ130+(AO$5&lt;Q$5)*AP130+(AU$5&lt;Q$5)*AV130)))</f>
        <v/>
      </c>
      <c r="T130">
        <f>IF(R130-S130&lt;0.005,0,R130-S130)</f>
        <v/>
      </c>
      <c r="U130">
        <f>Z129</f>
        <v/>
      </c>
      <c r="V130">
        <f>U130*Plan!D9/100/12</f>
        <v/>
      </c>
      <c r="W130">
        <f>MIN(Plan!E9,U130+V130)</f>
        <v/>
      </c>
      <c r="X130">
        <f>U130+V130-W130</f>
        <v/>
      </c>
      <c r="Y130">
        <f>MIN(X130,MAX(0,$B130-((E$5&lt;W$5)*F130+(K$5&lt;W$5)*L130+(Q$5&lt;W$5)*R130+(AC$5&lt;W$5)*AD130+(AI$5&lt;W$5)*AJ130+(AO$5&lt;W$5)*AP130+(AU$5&lt;W$5)*AV130)))</f>
        <v/>
      </c>
      <c r="Z130">
        <f>IF(X130-Y130&lt;0.005,0,X130-Y130)</f>
        <v/>
      </c>
      <c r="AA130">
        <f>AF129</f>
        <v/>
      </c>
      <c r="AB130">
        <f>AA130*Plan!D10/100/12</f>
        <v/>
      </c>
      <c r="AC130">
        <f>MIN(Plan!E10,AA130+AB130)</f>
        <v/>
      </c>
      <c r="AD130">
        <f>AA130+AB130-AC130</f>
        <v/>
      </c>
      <c r="AE130">
        <f>MIN(AD130,MAX(0,$B130-((E$5&lt;AC$5)*F130+(K$5&lt;AC$5)*L130+(Q$5&lt;AC$5)*R130+(W$5&lt;AC$5)*X130+(AI$5&lt;AC$5)*AJ130+(AO$5&lt;AC$5)*AP130+(AU$5&lt;AC$5)*AV130)))</f>
        <v/>
      </c>
      <c r="AF130">
        <f>IF(AD130-AE130&lt;0.005,0,AD130-AE130)</f>
        <v/>
      </c>
      <c r="AG130">
        <f>AL129</f>
        <v/>
      </c>
      <c r="AH130">
        <f>AG130*Plan!D11/100/12</f>
        <v/>
      </c>
      <c r="AI130">
        <f>MIN(Plan!E11,AG130+AH130)</f>
        <v/>
      </c>
      <c r="AJ130">
        <f>AG130+AH130-AI130</f>
        <v/>
      </c>
      <c r="AK130">
        <f>MIN(AJ130,MAX(0,$B130-((E$5&lt;AI$5)*F130+(K$5&lt;AI$5)*L130+(Q$5&lt;AI$5)*R130+(W$5&lt;AI$5)*X130+(AC$5&lt;AI$5)*AD130+(AO$5&lt;AI$5)*AP130+(AU$5&lt;AI$5)*AV130)))</f>
        <v/>
      </c>
      <c r="AL130">
        <f>IF(AJ130-AK130&lt;0.005,0,AJ130-AK130)</f>
        <v/>
      </c>
      <c r="AM130">
        <f>AR129</f>
        <v/>
      </c>
      <c r="AN130">
        <f>AM130*Plan!D12/100/12</f>
        <v/>
      </c>
      <c r="AO130">
        <f>MIN(Plan!E12,AM130+AN130)</f>
        <v/>
      </c>
      <c r="AP130">
        <f>AM130+AN130-AO130</f>
        <v/>
      </c>
      <c r="AQ130">
        <f>MIN(AP130,MAX(0,$B130-((E$5&lt;AO$5)*F130+(K$5&lt;AO$5)*L130+(Q$5&lt;AO$5)*R130+(W$5&lt;AO$5)*X130+(AC$5&lt;AO$5)*AD130+(AI$5&lt;AO$5)*AJ130+(AU$5&lt;AO$5)*AV130)))</f>
        <v/>
      </c>
      <c r="AR130">
        <f>IF(AP130-AQ130&lt;0.005,0,AP130-AQ130)</f>
        <v/>
      </c>
      <c r="AS130">
        <f>AX129</f>
        <v/>
      </c>
      <c r="AT130">
        <f>AS130*Plan!D13/100/12</f>
        <v/>
      </c>
      <c r="AU130">
        <f>MIN(Plan!E13,AS130+AT130)</f>
        <v/>
      </c>
      <c r="AV130">
        <f>AS130+AT130-AU130</f>
        <v/>
      </c>
      <c r="AW130">
        <f>MIN(AV130,MAX(0,$B130-((E$5&lt;AU$5)*F130+(K$5&lt;AU$5)*L130+(Q$5&lt;AU$5)*R130+(W$5&lt;AU$5)*X130+(AC$5&lt;AU$5)*AD130+(AI$5&lt;AU$5)*AJ130+(AO$5&lt;AU$5)*AP130)))</f>
        <v/>
      </c>
      <c r="AX130">
        <f>IF(AV130-AW130&lt;0.005,0,AV130-AW130)</f>
        <v/>
      </c>
      <c r="BC130">
        <f>H130+N130+T130+Z130+AF130+AL130+AR130+AX130</f>
        <v/>
      </c>
    </row>
    <row r="131">
      <c r="A131" t="n">
        <v>125</v>
      </c>
      <c r="B131" s="19">
        <f>MAX(0,$B$3-(E131+K131+Q131+W131+AC131+AI131+AO131+AU131))</f>
        <v/>
      </c>
      <c r="C131">
        <f>H130</f>
        <v/>
      </c>
      <c r="D131">
        <f>C131*Plan!D6/100/12</f>
        <v/>
      </c>
      <c r="E131">
        <f>MIN(Plan!E6,C131+D131)</f>
        <v/>
      </c>
      <c r="F131">
        <f>C131+D131-E131</f>
        <v/>
      </c>
      <c r="G131">
        <f>MIN(F131,MAX(0,$B131-((K$5&lt;E$5)*L131+(Q$5&lt;E$5)*R131+(W$5&lt;E$5)*X131+(AC$5&lt;E$5)*AD131+(AI$5&lt;E$5)*AJ131+(AO$5&lt;E$5)*AP131+(AU$5&lt;E$5)*AV131)))</f>
        <v/>
      </c>
      <c r="H131">
        <f>IF(F131-G131&lt;0.005,0,F131-G131)</f>
        <v/>
      </c>
      <c r="I131">
        <f>N130</f>
        <v/>
      </c>
      <c r="J131">
        <f>I131*Plan!D7/100/12</f>
        <v/>
      </c>
      <c r="K131">
        <f>MIN(Plan!E7,I131+J131)</f>
        <v/>
      </c>
      <c r="L131">
        <f>I131+J131-K131</f>
        <v/>
      </c>
      <c r="M131">
        <f>MIN(L131,MAX(0,$B131-((E$5&lt;K$5)*F131+(Q$5&lt;K$5)*R131+(W$5&lt;K$5)*X131+(AC$5&lt;K$5)*AD131+(AI$5&lt;K$5)*AJ131+(AO$5&lt;K$5)*AP131+(AU$5&lt;K$5)*AV131)))</f>
        <v/>
      </c>
      <c r="N131">
        <f>IF(L131-M131&lt;0.005,0,L131-M131)</f>
        <v/>
      </c>
      <c r="O131">
        <f>T130</f>
        <v/>
      </c>
      <c r="P131">
        <f>O131*Plan!D8/100/12</f>
        <v/>
      </c>
      <c r="Q131">
        <f>MIN(Plan!E8,O131+P131)</f>
        <v/>
      </c>
      <c r="R131">
        <f>O131+P131-Q131</f>
        <v/>
      </c>
      <c r="S131">
        <f>MIN(R131,MAX(0,$B131-((E$5&lt;Q$5)*F131+(K$5&lt;Q$5)*L131+(W$5&lt;Q$5)*X131+(AC$5&lt;Q$5)*AD131+(AI$5&lt;Q$5)*AJ131+(AO$5&lt;Q$5)*AP131+(AU$5&lt;Q$5)*AV131)))</f>
        <v/>
      </c>
      <c r="T131">
        <f>IF(R131-S131&lt;0.005,0,R131-S131)</f>
        <v/>
      </c>
      <c r="U131">
        <f>Z130</f>
        <v/>
      </c>
      <c r="V131">
        <f>U131*Plan!D9/100/12</f>
        <v/>
      </c>
      <c r="W131">
        <f>MIN(Plan!E9,U131+V131)</f>
        <v/>
      </c>
      <c r="X131">
        <f>U131+V131-W131</f>
        <v/>
      </c>
      <c r="Y131">
        <f>MIN(X131,MAX(0,$B131-((E$5&lt;W$5)*F131+(K$5&lt;W$5)*L131+(Q$5&lt;W$5)*R131+(AC$5&lt;W$5)*AD131+(AI$5&lt;W$5)*AJ131+(AO$5&lt;W$5)*AP131+(AU$5&lt;W$5)*AV131)))</f>
        <v/>
      </c>
      <c r="Z131">
        <f>IF(X131-Y131&lt;0.005,0,X131-Y131)</f>
        <v/>
      </c>
      <c r="AA131">
        <f>AF130</f>
        <v/>
      </c>
      <c r="AB131">
        <f>AA131*Plan!D10/100/12</f>
        <v/>
      </c>
      <c r="AC131">
        <f>MIN(Plan!E10,AA131+AB131)</f>
        <v/>
      </c>
      <c r="AD131">
        <f>AA131+AB131-AC131</f>
        <v/>
      </c>
      <c r="AE131">
        <f>MIN(AD131,MAX(0,$B131-((E$5&lt;AC$5)*F131+(K$5&lt;AC$5)*L131+(Q$5&lt;AC$5)*R131+(W$5&lt;AC$5)*X131+(AI$5&lt;AC$5)*AJ131+(AO$5&lt;AC$5)*AP131+(AU$5&lt;AC$5)*AV131)))</f>
        <v/>
      </c>
      <c r="AF131">
        <f>IF(AD131-AE131&lt;0.005,0,AD131-AE131)</f>
        <v/>
      </c>
      <c r="AG131">
        <f>AL130</f>
        <v/>
      </c>
      <c r="AH131">
        <f>AG131*Plan!D11/100/12</f>
        <v/>
      </c>
      <c r="AI131">
        <f>MIN(Plan!E11,AG131+AH131)</f>
        <v/>
      </c>
      <c r="AJ131">
        <f>AG131+AH131-AI131</f>
        <v/>
      </c>
      <c r="AK131">
        <f>MIN(AJ131,MAX(0,$B131-((E$5&lt;AI$5)*F131+(K$5&lt;AI$5)*L131+(Q$5&lt;AI$5)*R131+(W$5&lt;AI$5)*X131+(AC$5&lt;AI$5)*AD131+(AO$5&lt;AI$5)*AP131+(AU$5&lt;AI$5)*AV131)))</f>
        <v/>
      </c>
      <c r="AL131">
        <f>IF(AJ131-AK131&lt;0.005,0,AJ131-AK131)</f>
        <v/>
      </c>
      <c r="AM131">
        <f>AR130</f>
        <v/>
      </c>
      <c r="AN131">
        <f>AM131*Plan!D12/100/12</f>
        <v/>
      </c>
      <c r="AO131">
        <f>MIN(Plan!E12,AM131+AN131)</f>
        <v/>
      </c>
      <c r="AP131">
        <f>AM131+AN131-AO131</f>
        <v/>
      </c>
      <c r="AQ131">
        <f>MIN(AP131,MAX(0,$B131-((E$5&lt;AO$5)*F131+(K$5&lt;AO$5)*L131+(Q$5&lt;AO$5)*R131+(W$5&lt;AO$5)*X131+(AC$5&lt;AO$5)*AD131+(AI$5&lt;AO$5)*AJ131+(AU$5&lt;AO$5)*AV131)))</f>
        <v/>
      </c>
      <c r="AR131">
        <f>IF(AP131-AQ131&lt;0.005,0,AP131-AQ131)</f>
        <v/>
      </c>
      <c r="AS131">
        <f>AX130</f>
        <v/>
      </c>
      <c r="AT131">
        <f>AS131*Plan!D13/100/12</f>
        <v/>
      </c>
      <c r="AU131">
        <f>MIN(Plan!E13,AS131+AT131)</f>
        <v/>
      </c>
      <c r="AV131">
        <f>AS131+AT131-AU131</f>
        <v/>
      </c>
      <c r="AW131">
        <f>MIN(AV131,MAX(0,$B131-((E$5&lt;AU$5)*F131+(K$5&lt;AU$5)*L131+(Q$5&lt;AU$5)*R131+(W$5&lt;AU$5)*X131+(AC$5&lt;AU$5)*AD131+(AI$5&lt;AU$5)*AJ131+(AO$5&lt;AU$5)*AP131)))</f>
        <v/>
      </c>
      <c r="AX131">
        <f>IF(AV131-AW131&lt;0.005,0,AV131-AW131)</f>
        <v/>
      </c>
      <c r="BC131">
        <f>H131+N131+T131+Z131+AF131+AL131+AR131+AX131</f>
        <v/>
      </c>
    </row>
    <row r="132">
      <c r="A132" t="n">
        <v>126</v>
      </c>
      <c r="B132" s="19">
        <f>MAX(0,$B$3-(E132+K132+Q132+W132+AC132+AI132+AO132+AU132))</f>
        <v/>
      </c>
      <c r="C132">
        <f>H131</f>
        <v/>
      </c>
      <c r="D132">
        <f>C132*Plan!D6/100/12</f>
        <v/>
      </c>
      <c r="E132">
        <f>MIN(Plan!E6,C132+D132)</f>
        <v/>
      </c>
      <c r="F132">
        <f>C132+D132-E132</f>
        <v/>
      </c>
      <c r="G132">
        <f>MIN(F132,MAX(0,$B132-((K$5&lt;E$5)*L132+(Q$5&lt;E$5)*R132+(W$5&lt;E$5)*X132+(AC$5&lt;E$5)*AD132+(AI$5&lt;E$5)*AJ132+(AO$5&lt;E$5)*AP132+(AU$5&lt;E$5)*AV132)))</f>
        <v/>
      </c>
      <c r="H132">
        <f>IF(F132-G132&lt;0.005,0,F132-G132)</f>
        <v/>
      </c>
      <c r="I132">
        <f>N131</f>
        <v/>
      </c>
      <c r="J132">
        <f>I132*Plan!D7/100/12</f>
        <v/>
      </c>
      <c r="K132">
        <f>MIN(Plan!E7,I132+J132)</f>
        <v/>
      </c>
      <c r="L132">
        <f>I132+J132-K132</f>
        <v/>
      </c>
      <c r="M132">
        <f>MIN(L132,MAX(0,$B132-((E$5&lt;K$5)*F132+(Q$5&lt;K$5)*R132+(W$5&lt;K$5)*X132+(AC$5&lt;K$5)*AD132+(AI$5&lt;K$5)*AJ132+(AO$5&lt;K$5)*AP132+(AU$5&lt;K$5)*AV132)))</f>
        <v/>
      </c>
      <c r="N132">
        <f>IF(L132-M132&lt;0.005,0,L132-M132)</f>
        <v/>
      </c>
      <c r="O132">
        <f>T131</f>
        <v/>
      </c>
      <c r="P132">
        <f>O132*Plan!D8/100/12</f>
        <v/>
      </c>
      <c r="Q132">
        <f>MIN(Plan!E8,O132+P132)</f>
        <v/>
      </c>
      <c r="R132">
        <f>O132+P132-Q132</f>
        <v/>
      </c>
      <c r="S132">
        <f>MIN(R132,MAX(0,$B132-((E$5&lt;Q$5)*F132+(K$5&lt;Q$5)*L132+(W$5&lt;Q$5)*X132+(AC$5&lt;Q$5)*AD132+(AI$5&lt;Q$5)*AJ132+(AO$5&lt;Q$5)*AP132+(AU$5&lt;Q$5)*AV132)))</f>
        <v/>
      </c>
      <c r="T132">
        <f>IF(R132-S132&lt;0.005,0,R132-S132)</f>
        <v/>
      </c>
      <c r="U132">
        <f>Z131</f>
        <v/>
      </c>
      <c r="V132">
        <f>U132*Plan!D9/100/12</f>
        <v/>
      </c>
      <c r="W132">
        <f>MIN(Plan!E9,U132+V132)</f>
        <v/>
      </c>
      <c r="X132">
        <f>U132+V132-W132</f>
        <v/>
      </c>
      <c r="Y132">
        <f>MIN(X132,MAX(0,$B132-((E$5&lt;W$5)*F132+(K$5&lt;W$5)*L132+(Q$5&lt;W$5)*R132+(AC$5&lt;W$5)*AD132+(AI$5&lt;W$5)*AJ132+(AO$5&lt;W$5)*AP132+(AU$5&lt;W$5)*AV132)))</f>
        <v/>
      </c>
      <c r="Z132">
        <f>IF(X132-Y132&lt;0.005,0,X132-Y132)</f>
        <v/>
      </c>
      <c r="AA132">
        <f>AF131</f>
        <v/>
      </c>
      <c r="AB132">
        <f>AA132*Plan!D10/100/12</f>
        <v/>
      </c>
      <c r="AC132">
        <f>MIN(Plan!E10,AA132+AB132)</f>
        <v/>
      </c>
      <c r="AD132">
        <f>AA132+AB132-AC132</f>
        <v/>
      </c>
      <c r="AE132">
        <f>MIN(AD132,MAX(0,$B132-((E$5&lt;AC$5)*F132+(K$5&lt;AC$5)*L132+(Q$5&lt;AC$5)*R132+(W$5&lt;AC$5)*X132+(AI$5&lt;AC$5)*AJ132+(AO$5&lt;AC$5)*AP132+(AU$5&lt;AC$5)*AV132)))</f>
        <v/>
      </c>
      <c r="AF132">
        <f>IF(AD132-AE132&lt;0.005,0,AD132-AE132)</f>
        <v/>
      </c>
      <c r="AG132">
        <f>AL131</f>
        <v/>
      </c>
      <c r="AH132">
        <f>AG132*Plan!D11/100/12</f>
        <v/>
      </c>
      <c r="AI132">
        <f>MIN(Plan!E11,AG132+AH132)</f>
        <v/>
      </c>
      <c r="AJ132">
        <f>AG132+AH132-AI132</f>
        <v/>
      </c>
      <c r="AK132">
        <f>MIN(AJ132,MAX(0,$B132-((E$5&lt;AI$5)*F132+(K$5&lt;AI$5)*L132+(Q$5&lt;AI$5)*R132+(W$5&lt;AI$5)*X132+(AC$5&lt;AI$5)*AD132+(AO$5&lt;AI$5)*AP132+(AU$5&lt;AI$5)*AV132)))</f>
        <v/>
      </c>
      <c r="AL132">
        <f>IF(AJ132-AK132&lt;0.005,0,AJ132-AK132)</f>
        <v/>
      </c>
      <c r="AM132">
        <f>AR131</f>
        <v/>
      </c>
      <c r="AN132">
        <f>AM132*Plan!D12/100/12</f>
        <v/>
      </c>
      <c r="AO132">
        <f>MIN(Plan!E12,AM132+AN132)</f>
        <v/>
      </c>
      <c r="AP132">
        <f>AM132+AN132-AO132</f>
        <v/>
      </c>
      <c r="AQ132">
        <f>MIN(AP132,MAX(0,$B132-((E$5&lt;AO$5)*F132+(K$5&lt;AO$5)*L132+(Q$5&lt;AO$5)*R132+(W$5&lt;AO$5)*X132+(AC$5&lt;AO$5)*AD132+(AI$5&lt;AO$5)*AJ132+(AU$5&lt;AO$5)*AV132)))</f>
        <v/>
      </c>
      <c r="AR132">
        <f>IF(AP132-AQ132&lt;0.005,0,AP132-AQ132)</f>
        <v/>
      </c>
      <c r="AS132">
        <f>AX131</f>
        <v/>
      </c>
      <c r="AT132">
        <f>AS132*Plan!D13/100/12</f>
        <v/>
      </c>
      <c r="AU132">
        <f>MIN(Plan!E13,AS132+AT132)</f>
        <v/>
      </c>
      <c r="AV132">
        <f>AS132+AT132-AU132</f>
        <v/>
      </c>
      <c r="AW132">
        <f>MIN(AV132,MAX(0,$B132-((E$5&lt;AU$5)*F132+(K$5&lt;AU$5)*L132+(Q$5&lt;AU$5)*R132+(W$5&lt;AU$5)*X132+(AC$5&lt;AU$5)*AD132+(AI$5&lt;AU$5)*AJ132+(AO$5&lt;AU$5)*AP132)))</f>
        <v/>
      </c>
      <c r="AX132">
        <f>IF(AV132-AW132&lt;0.005,0,AV132-AW132)</f>
        <v/>
      </c>
      <c r="BC132">
        <f>H132+N132+T132+Z132+AF132+AL132+AR132+AX132</f>
        <v/>
      </c>
    </row>
    <row r="133">
      <c r="A133" t="n">
        <v>127</v>
      </c>
      <c r="B133" s="19">
        <f>MAX(0,$B$3-(E133+K133+Q133+W133+AC133+AI133+AO133+AU133))</f>
        <v/>
      </c>
      <c r="C133">
        <f>H132</f>
        <v/>
      </c>
      <c r="D133">
        <f>C133*Plan!D6/100/12</f>
        <v/>
      </c>
      <c r="E133">
        <f>MIN(Plan!E6,C133+D133)</f>
        <v/>
      </c>
      <c r="F133">
        <f>C133+D133-E133</f>
        <v/>
      </c>
      <c r="G133">
        <f>MIN(F133,MAX(0,$B133-((K$5&lt;E$5)*L133+(Q$5&lt;E$5)*R133+(W$5&lt;E$5)*X133+(AC$5&lt;E$5)*AD133+(AI$5&lt;E$5)*AJ133+(AO$5&lt;E$5)*AP133+(AU$5&lt;E$5)*AV133)))</f>
        <v/>
      </c>
      <c r="H133">
        <f>IF(F133-G133&lt;0.005,0,F133-G133)</f>
        <v/>
      </c>
      <c r="I133">
        <f>N132</f>
        <v/>
      </c>
      <c r="J133">
        <f>I133*Plan!D7/100/12</f>
        <v/>
      </c>
      <c r="K133">
        <f>MIN(Plan!E7,I133+J133)</f>
        <v/>
      </c>
      <c r="L133">
        <f>I133+J133-K133</f>
        <v/>
      </c>
      <c r="M133">
        <f>MIN(L133,MAX(0,$B133-((E$5&lt;K$5)*F133+(Q$5&lt;K$5)*R133+(W$5&lt;K$5)*X133+(AC$5&lt;K$5)*AD133+(AI$5&lt;K$5)*AJ133+(AO$5&lt;K$5)*AP133+(AU$5&lt;K$5)*AV133)))</f>
        <v/>
      </c>
      <c r="N133">
        <f>IF(L133-M133&lt;0.005,0,L133-M133)</f>
        <v/>
      </c>
      <c r="O133">
        <f>T132</f>
        <v/>
      </c>
      <c r="P133">
        <f>O133*Plan!D8/100/12</f>
        <v/>
      </c>
      <c r="Q133">
        <f>MIN(Plan!E8,O133+P133)</f>
        <v/>
      </c>
      <c r="R133">
        <f>O133+P133-Q133</f>
        <v/>
      </c>
      <c r="S133">
        <f>MIN(R133,MAX(0,$B133-((E$5&lt;Q$5)*F133+(K$5&lt;Q$5)*L133+(W$5&lt;Q$5)*X133+(AC$5&lt;Q$5)*AD133+(AI$5&lt;Q$5)*AJ133+(AO$5&lt;Q$5)*AP133+(AU$5&lt;Q$5)*AV133)))</f>
        <v/>
      </c>
      <c r="T133">
        <f>IF(R133-S133&lt;0.005,0,R133-S133)</f>
        <v/>
      </c>
      <c r="U133">
        <f>Z132</f>
        <v/>
      </c>
      <c r="V133">
        <f>U133*Plan!D9/100/12</f>
        <v/>
      </c>
      <c r="W133">
        <f>MIN(Plan!E9,U133+V133)</f>
        <v/>
      </c>
      <c r="X133">
        <f>U133+V133-W133</f>
        <v/>
      </c>
      <c r="Y133">
        <f>MIN(X133,MAX(0,$B133-((E$5&lt;W$5)*F133+(K$5&lt;W$5)*L133+(Q$5&lt;W$5)*R133+(AC$5&lt;W$5)*AD133+(AI$5&lt;W$5)*AJ133+(AO$5&lt;W$5)*AP133+(AU$5&lt;W$5)*AV133)))</f>
        <v/>
      </c>
      <c r="Z133">
        <f>IF(X133-Y133&lt;0.005,0,X133-Y133)</f>
        <v/>
      </c>
      <c r="AA133">
        <f>AF132</f>
        <v/>
      </c>
      <c r="AB133">
        <f>AA133*Plan!D10/100/12</f>
        <v/>
      </c>
      <c r="AC133">
        <f>MIN(Plan!E10,AA133+AB133)</f>
        <v/>
      </c>
      <c r="AD133">
        <f>AA133+AB133-AC133</f>
        <v/>
      </c>
      <c r="AE133">
        <f>MIN(AD133,MAX(0,$B133-((E$5&lt;AC$5)*F133+(K$5&lt;AC$5)*L133+(Q$5&lt;AC$5)*R133+(W$5&lt;AC$5)*X133+(AI$5&lt;AC$5)*AJ133+(AO$5&lt;AC$5)*AP133+(AU$5&lt;AC$5)*AV133)))</f>
        <v/>
      </c>
      <c r="AF133">
        <f>IF(AD133-AE133&lt;0.005,0,AD133-AE133)</f>
        <v/>
      </c>
      <c r="AG133">
        <f>AL132</f>
        <v/>
      </c>
      <c r="AH133">
        <f>AG133*Plan!D11/100/12</f>
        <v/>
      </c>
      <c r="AI133">
        <f>MIN(Plan!E11,AG133+AH133)</f>
        <v/>
      </c>
      <c r="AJ133">
        <f>AG133+AH133-AI133</f>
        <v/>
      </c>
      <c r="AK133">
        <f>MIN(AJ133,MAX(0,$B133-((E$5&lt;AI$5)*F133+(K$5&lt;AI$5)*L133+(Q$5&lt;AI$5)*R133+(W$5&lt;AI$5)*X133+(AC$5&lt;AI$5)*AD133+(AO$5&lt;AI$5)*AP133+(AU$5&lt;AI$5)*AV133)))</f>
        <v/>
      </c>
      <c r="AL133">
        <f>IF(AJ133-AK133&lt;0.005,0,AJ133-AK133)</f>
        <v/>
      </c>
      <c r="AM133">
        <f>AR132</f>
        <v/>
      </c>
      <c r="AN133">
        <f>AM133*Plan!D12/100/12</f>
        <v/>
      </c>
      <c r="AO133">
        <f>MIN(Plan!E12,AM133+AN133)</f>
        <v/>
      </c>
      <c r="AP133">
        <f>AM133+AN133-AO133</f>
        <v/>
      </c>
      <c r="AQ133">
        <f>MIN(AP133,MAX(0,$B133-((E$5&lt;AO$5)*F133+(K$5&lt;AO$5)*L133+(Q$5&lt;AO$5)*R133+(W$5&lt;AO$5)*X133+(AC$5&lt;AO$5)*AD133+(AI$5&lt;AO$5)*AJ133+(AU$5&lt;AO$5)*AV133)))</f>
        <v/>
      </c>
      <c r="AR133">
        <f>IF(AP133-AQ133&lt;0.005,0,AP133-AQ133)</f>
        <v/>
      </c>
      <c r="AS133">
        <f>AX132</f>
        <v/>
      </c>
      <c r="AT133">
        <f>AS133*Plan!D13/100/12</f>
        <v/>
      </c>
      <c r="AU133">
        <f>MIN(Plan!E13,AS133+AT133)</f>
        <v/>
      </c>
      <c r="AV133">
        <f>AS133+AT133-AU133</f>
        <v/>
      </c>
      <c r="AW133">
        <f>MIN(AV133,MAX(0,$B133-((E$5&lt;AU$5)*F133+(K$5&lt;AU$5)*L133+(Q$5&lt;AU$5)*R133+(W$5&lt;AU$5)*X133+(AC$5&lt;AU$5)*AD133+(AI$5&lt;AU$5)*AJ133+(AO$5&lt;AU$5)*AP133)))</f>
        <v/>
      </c>
      <c r="AX133">
        <f>IF(AV133-AW133&lt;0.005,0,AV133-AW133)</f>
        <v/>
      </c>
      <c r="BC133">
        <f>H133+N133+T133+Z133+AF133+AL133+AR133+AX133</f>
        <v/>
      </c>
    </row>
    <row r="134">
      <c r="A134" t="n">
        <v>128</v>
      </c>
      <c r="B134" s="19">
        <f>MAX(0,$B$3-(E134+K134+Q134+W134+AC134+AI134+AO134+AU134))</f>
        <v/>
      </c>
      <c r="C134">
        <f>H133</f>
        <v/>
      </c>
      <c r="D134">
        <f>C134*Plan!D6/100/12</f>
        <v/>
      </c>
      <c r="E134">
        <f>MIN(Plan!E6,C134+D134)</f>
        <v/>
      </c>
      <c r="F134">
        <f>C134+D134-E134</f>
        <v/>
      </c>
      <c r="G134">
        <f>MIN(F134,MAX(0,$B134-((K$5&lt;E$5)*L134+(Q$5&lt;E$5)*R134+(W$5&lt;E$5)*X134+(AC$5&lt;E$5)*AD134+(AI$5&lt;E$5)*AJ134+(AO$5&lt;E$5)*AP134+(AU$5&lt;E$5)*AV134)))</f>
        <v/>
      </c>
      <c r="H134">
        <f>IF(F134-G134&lt;0.005,0,F134-G134)</f>
        <v/>
      </c>
      <c r="I134">
        <f>N133</f>
        <v/>
      </c>
      <c r="J134">
        <f>I134*Plan!D7/100/12</f>
        <v/>
      </c>
      <c r="K134">
        <f>MIN(Plan!E7,I134+J134)</f>
        <v/>
      </c>
      <c r="L134">
        <f>I134+J134-K134</f>
        <v/>
      </c>
      <c r="M134">
        <f>MIN(L134,MAX(0,$B134-((E$5&lt;K$5)*F134+(Q$5&lt;K$5)*R134+(W$5&lt;K$5)*X134+(AC$5&lt;K$5)*AD134+(AI$5&lt;K$5)*AJ134+(AO$5&lt;K$5)*AP134+(AU$5&lt;K$5)*AV134)))</f>
        <v/>
      </c>
      <c r="N134">
        <f>IF(L134-M134&lt;0.005,0,L134-M134)</f>
        <v/>
      </c>
      <c r="O134">
        <f>T133</f>
        <v/>
      </c>
      <c r="P134">
        <f>O134*Plan!D8/100/12</f>
        <v/>
      </c>
      <c r="Q134">
        <f>MIN(Plan!E8,O134+P134)</f>
        <v/>
      </c>
      <c r="R134">
        <f>O134+P134-Q134</f>
        <v/>
      </c>
      <c r="S134">
        <f>MIN(R134,MAX(0,$B134-((E$5&lt;Q$5)*F134+(K$5&lt;Q$5)*L134+(W$5&lt;Q$5)*X134+(AC$5&lt;Q$5)*AD134+(AI$5&lt;Q$5)*AJ134+(AO$5&lt;Q$5)*AP134+(AU$5&lt;Q$5)*AV134)))</f>
        <v/>
      </c>
      <c r="T134">
        <f>IF(R134-S134&lt;0.005,0,R134-S134)</f>
        <v/>
      </c>
      <c r="U134">
        <f>Z133</f>
        <v/>
      </c>
      <c r="V134">
        <f>U134*Plan!D9/100/12</f>
        <v/>
      </c>
      <c r="W134">
        <f>MIN(Plan!E9,U134+V134)</f>
        <v/>
      </c>
      <c r="X134">
        <f>U134+V134-W134</f>
        <v/>
      </c>
      <c r="Y134">
        <f>MIN(X134,MAX(0,$B134-((E$5&lt;W$5)*F134+(K$5&lt;W$5)*L134+(Q$5&lt;W$5)*R134+(AC$5&lt;W$5)*AD134+(AI$5&lt;W$5)*AJ134+(AO$5&lt;W$5)*AP134+(AU$5&lt;W$5)*AV134)))</f>
        <v/>
      </c>
      <c r="Z134">
        <f>IF(X134-Y134&lt;0.005,0,X134-Y134)</f>
        <v/>
      </c>
      <c r="AA134">
        <f>AF133</f>
        <v/>
      </c>
      <c r="AB134">
        <f>AA134*Plan!D10/100/12</f>
        <v/>
      </c>
      <c r="AC134">
        <f>MIN(Plan!E10,AA134+AB134)</f>
        <v/>
      </c>
      <c r="AD134">
        <f>AA134+AB134-AC134</f>
        <v/>
      </c>
      <c r="AE134">
        <f>MIN(AD134,MAX(0,$B134-((E$5&lt;AC$5)*F134+(K$5&lt;AC$5)*L134+(Q$5&lt;AC$5)*R134+(W$5&lt;AC$5)*X134+(AI$5&lt;AC$5)*AJ134+(AO$5&lt;AC$5)*AP134+(AU$5&lt;AC$5)*AV134)))</f>
        <v/>
      </c>
      <c r="AF134">
        <f>IF(AD134-AE134&lt;0.005,0,AD134-AE134)</f>
        <v/>
      </c>
      <c r="AG134">
        <f>AL133</f>
        <v/>
      </c>
      <c r="AH134">
        <f>AG134*Plan!D11/100/12</f>
        <v/>
      </c>
      <c r="AI134">
        <f>MIN(Plan!E11,AG134+AH134)</f>
        <v/>
      </c>
      <c r="AJ134">
        <f>AG134+AH134-AI134</f>
        <v/>
      </c>
      <c r="AK134">
        <f>MIN(AJ134,MAX(0,$B134-((E$5&lt;AI$5)*F134+(K$5&lt;AI$5)*L134+(Q$5&lt;AI$5)*R134+(W$5&lt;AI$5)*X134+(AC$5&lt;AI$5)*AD134+(AO$5&lt;AI$5)*AP134+(AU$5&lt;AI$5)*AV134)))</f>
        <v/>
      </c>
      <c r="AL134">
        <f>IF(AJ134-AK134&lt;0.005,0,AJ134-AK134)</f>
        <v/>
      </c>
      <c r="AM134">
        <f>AR133</f>
        <v/>
      </c>
      <c r="AN134">
        <f>AM134*Plan!D12/100/12</f>
        <v/>
      </c>
      <c r="AO134">
        <f>MIN(Plan!E12,AM134+AN134)</f>
        <v/>
      </c>
      <c r="AP134">
        <f>AM134+AN134-AO134</f>
        <v/>
      </c>
      <c r="AQ134">
        <f>MIN(AP134,MAX(0,$B134-((E$5&lt;AO$5)*F134+(K$5&lt;AO$5)*L134+(Q$5&lt;AO$5)*R134+(W$5&lt;AO$5)*X134+(AC$5&lt;AO$5)*AD134+(AI$5&lt;AO$5)*AJ134+(AU$5&lt;AO$5)*AV134)))</f>
        <v/>
      </c>
      <c r="AR134">
        <f>IF(AP134-AQ134&lt;0.005,0,AP134-AQ134)</f>
        <v/>
      </c>
      <c r="AS134">
        <f>AX133</f>
        <v/>
      </c>
      <c r="AT134">
        <f>AS134*Plan!D13/100/12</f>
        <v/>
      </c>
      <c r="AU134">
        <f>MIN(Plan!E13,AS134+AT134)</f>
        <v/>
      </c>
      <c r="AV134">
        <f>AS134+AT134-AU134</f>
        <v/>
      </c>
      <c r="AW134">
        <f>MIN(AV134,MAX(0,$B134-((E$5&lt;AU$5)*F134+(K$5&lt;AU$5)*L134+(Q$5&lt;AU$5)*R134+(W$5&lt;AU$5)*X134+(AC$5&lt;AU$5)*AD134+(AI$5&lt;AU$5)*AJ134+(AO$5&lt;AU$5)*AP134)))</f>
        <v/>
      </c>
      <c r="AX134">
        <f>IF(AV134-AW134&lt;0.005,0,AV134-AW134)</f>
        <v/>
      </c>
      <c r="BC134">
        <f>H134+N134+T134+Z134+AF134+AL134+AR134+AX134</f>
        <v/>
      </c>
    </row>
    <row r="135">
      <c r="A135" t="n">
        <v>129</v>
      </c>
      <c r="B135" s="19">
        <f>MAX(0,$B$3-(E135+K135+Q135+W135+AC135+AI135+AO135+AU135))</f>
        <v/>
      </c>
      <c r="C135">
        <f>H134</f>
        <v/>
      </c>
      <c r="D135">
        <f>C135*Plan!D6/100/12</f>
        <v/>
      </c>
      <c r="E135">
        <f>MIN(Plan!E6,C135+D135)</f>
        <v/>
      </c>
      <c r="F135">
        <f>C135+D135-E135</f>
        <v/>
      </c>
      <c r="G135">
        <f>MIN(F135,MAX(0,$B135-((K$5&lt;E$5)*L135+(Q$5&lt;E$5)*R135+(W$5&lt;E$5)*X135+(AC$5&lt;E$5)*AD135+(AI$5&lt;E$5)*AJ135+(AO$5&lt;E$5)*AP135+(AU$5&lt;E$5)*AV135)))</f>
        <v/>
      </c>
      <c r="H135">
        <f>IF(F135-G135&lt;0.005,0,F135-G135)</f>
        <v/>
      </c>
      <c r="I135">
        <f>N134</f>
        <v/>
      </c>
      <c r="J135">
        <f>I135*Plan!D7/100/12</f>
        <v/>
      </c>
      <c r="K135">
        <f>MIN(Plan!E7,I135+J135)</f>
        <v/>
      </c>
      <c r="L135">
        <f>I135+J135-K135</f>
        <v/>
      </c>
      <c r="M135">
        <f>MIN(L135,MAX(0,$B135-((E$5&lt;K$5)*F135+(Q$5&lt;K$5)*R135+(W$5&lt;K$5)*X135+(AC$5&lt;K$5)*AD135+(AI$5&lt;K$5)*AJ135+(AO$5&lt;K$5)*AP135+(AU$5&lt;K$5)*AV135)))</f>
        <v/>
      </c>
      <c r="N135">
        <f>IF(L135-M135&lt;0.005,0,L135-M135)</f>
        <v/>
      </c>
      <c r="O135">
        <f>T134</f>
        <v/>
      </c>
      <c r="P135">
        <f>O135*Plan!D8/100/12</f>
        <v/>
      </c>
      <c r="Q135">
        <f>MIN(Plan!E8,O135+P135)</f>
        <v/>
      </c>
      <c r="R135">
        <f>O135+P135-Q135</f>
        <v/>
      </c>
      <c r="S135">
        <f>MIN(R135,MAX(0,$B135-((E$5&lt;Q$5)*F135+(K$5&lt;Q$5)*L135+(W$5&lt;Q$5)*X135+(AC$5&lt;Q$5)*AD135+(AI$5&lt;Q$5)*AJ135+(AO$5&lt;Q$5)*AP135+(AU$5&lt;Q$5)*AV135)))</f>
        <v/>
      </c>
      <c r="T135">
        <f>IF(R135-S135&lt;0.005,0,R135-S135)</f>
        <v/>
      </c>
      <c r="U135">
        <f>Z134</f>
        <v/>
      </c>
      <c r="V135">
        <f>U135*Plan!D9/100/12</f>
        <v/>
      </c>
      <c r="W135">
        <f>MIN(Plan!E9,U135+V135)</f>
        <v/>
      </c>
      <c r="X135">
        <f>U135+V135-W135</f>
        <v/>
      </c>
      <c r="Y135">
        <f>MIN(X135,MAX(0,$B135-((E$5&lt;W$5)*F135+(K$5&lt;W$5)*L135+(Q$5&lt;W$5)*R135+(AC$5&lt;W$5)*AD135+(AI$5&lt;W$5)*AJ135+(AO$5&lt;W$5)*AP135+(AU$5&lt;W$5)*AV135)))</f>
        <v/>
      </c>
      <c r="Z135">
        <f>IF(X135-Y135&lt;0.005,0,X135-Y135)</f>
        <v/>
      </c>
      <c r="AA135">
        <f>AF134</f>
        <v/>
      </c>
      <c r="AB135">
        <f>AA135*Plan!D10/100/12</f>
        <v/>
      </c>
      <c r="AC135">
        <f>MIN(Plan!E10,AA135+AB135)</f>
        <v/>
      </c>
      <c r="AD135">
        <f>AA135+AB135-AC135</f>
        <v/>
      </c>
      <c r="AE135">
        <f>MIN(AD135,MAX(0,$B135-((E$5&lt;AC$5)*F135+(K$5&lt;AC$5)*L135+(Q$5&lt;AC$5)*R135+(W$5&lt;AC$5)*X135+(AI$5&lt;AC$5)*AJ135+(AO$5&lt;AC$5)*AP135+(AU$5&lt;AC$5)*AV135)))</f>
        <v/>
      </c>
      <c r="AF135">
        <f>IF(AD135-AE135&lt;0.005,0,AD135-AE135)</f>
        <v/>
      </c>
      <c r="AG135">
        <f>AL134</f>
        <v/>
      </c>
      <c r="AH135">
        <f>AG135*Plan!D11/100/12</f>
        <v/>
      </c>
      <c r="AI135">
        <f>MIN(Plan!E11,AG135+AH135)</f>
        <v/>
      </c>
      <c r="AJ135">
        <f>AG135+AH135-AI135</f>
        <v/>
      </c>
      <c r="AK135">
        <f>MIN(AJ135,MAX(0,$B135-((E$5&lt;AI$5)*F135+(K$5&lt;AI$5)*L135+(Q$5&lt;AI$5)*R135+(W$5&lt;AI$5)*X135+(AC$5&lt;AI$5)*AD135+(AO$5&lt;AI$5)*AP135+(AU$5&lt;AI$5)*AV135)))</f>
        <v/>
      </c>
      <c r="AL135">
        <f>IF(AJ135-AK135&lt;0.005,0,AJ135-AK135)</f>
        <v/>
      </c>
      <c r="AM135">
        <f>AR134</f>
        <v/>
      </c>
      <c r="AN135">
        <f>AM135*Plan!D12/100/12</f>
        <v/>
      </c>
      <c r="AO135">
        <f>MIN(Plan!E12,AM135+AN135)</f>
        <v/>
      </c>
      <c r="AP135">
        <f>AM135+AN135-AO135</f>
        <v/>
      </c>
      <c r="AQ135">
        <f>MIN(AP135,MAX(0,$B135-((E$5&lt;AO$5)*F135+(K$5&lt;AO$5)*L135+(Q$5&lt;AO$5)*R135+(W$5&lt;AO$5)*X135+(AC$5&lt;AO$5)*AD135+(AI$5&lt;AO$5)*AJ135+(AU$5&lt;AO$5)*AV135)))</f>
        <v/>
      </c>
      <c r="AR135">
        <f>IF(AP135-AQ135&lt;0.005,0,AP135-AQ135)</f>
        <v/>
      </c>
      <c r="AS135">
        <f>AX134</f>
        <v/>
      </c>
      <c r="AT135">
        <f>AS135*Plan!D13/100/12</f>
        <v/>
      </c>
      <c r="AU135">
        <f>MIN(Plan!E13,AS135+AT135)</f>
        <v/>
      </c>
      <c r="AV135">
        <f>AS135+AT135-AU135</f>
        <v/>
      </c>
      <c r="AW135">
        <f>MIN(AV135,MAX(0,$B135-((E$5&lt;AU$5)*F135+(K$5&lt;AU$5)*L135+(Q$5&lt;AU$5)*R135+(W$5&lt;AU$5)*X135+(AC$5&lt;AU$5)*AD135+(AI$5&lt;AU$5)*AJ135+(AO$5&lt;AU$5)*AP135)))</f>
        <v/>
      </c>
      <c r="AX135">
        <f>IF(AV135-AW135&lt;0.005,0,AV135-AW135)</f>
        <v/>
      </c>
      <c r="BC135">
        <f>H135+N135+T135+Z135+AF135+AL135+AR135+AX135</f>
        <v/>
      </c>
    </row>
    <row r="136">
      <c r="A136" t="n">
        <v>130</v>
      </c>
      <c r="B136" s="19">
        <f>MAX(0,$B$3-(E136+K136+Q136+W136+AC136+AI136+AO136+AU136))</f>
        <v/>
      </c>
      <c r="C136">
        <f>H135</f>
        <v/>
      </c>
      <c r="D136">
        <f>C136*Plan!D6/100/12</f>
        <v/>
      </c>
      <c r="E136">
        <f>MIN(Plan!E6,C136+D136)</f>
        <v/>
      </c>
      <c r="F136">
        <f>C136+D136-E136</f>
        <v/>
      </c>
      <c r="G136">
        <f>MIN(F136,MAX(0,$B136-((K$5&lt;E$5)*L136+(Q$5&lt;E$5)*R136+(W$5&lt;E$5)*X136+(AC$5&lt;E$5)*AD136+(AI$5&lt;E$5)*AJ136+(AO$5&lt;E$5)*AP136+(AU$5&lt;E$5)*AV136)))</f>
        <v/>
      </c>
      <c r="H136">
        <f>IF(F136-G136&lt;0.005,0,F136-G136)</f>
        <v/>
      </c>
      <c r="I136">
        <f>N135</f>
        <v/>
      </c>
      <c r="J136">
        <f>I136*Plan!D7/100/12</f>
        <v/>
      </c>
      <c r="K136">
        <f>MIN(Plan!E7,I136+J136)</f>
        <v/>
      </c>
      <c r="L136">
        <f>I136+J136-K136</f>
        <v/>
      </c>
      <c r="M136">
        <f>MIN(L136,MAX(0,$B136-((E$5&lt;K$5)*F136+(Q$5&lt;K$5)*R136+(W$5&lt;K$5)*X136+(AC$5&lt;K$5)*AD136+(AI$5&lt;K$5)*AJ136+(AO$5&lt;K$5)*AP136+(AU$5&lt;K$5)*AV136)))</f>
        <v/>
      </c>
      <c r="N136">
        <f>IF(L136-M136&lt;0.005,0,L136-M136)</f>
        <v/>
      </c>
      <c r="O136">
        <f>T135</f>
        <v/>
      </c>
      <c r="P136">
        <f>O136*Plan!D8/100/12</f>
        <v/>
      </c>
      <c r="Q136">
        <f>MIN(Plan!E8,O136+P136)</f>
        <v/>
      </c>
      <c r="R136">
        <f>O136+P136-Q136</f>
        <v/>
      </c>
      <c r="S136">
        <f>MIN(R136,MAX(0,$B136-((E$5&lt;Q$5)*F136+(K$5&lt;Q$5)*L136+(W$5&lt;Q$5)*X136+(AC$5&lt;Q$5)*AD136+(AI$5&lt;Q$5)*AJ136+(AO$5&lt;Q$5)*AP136+(AU$5&lt;Q$5)*AV136)))</f>
        <v/>
      </c>
      <c r="T136">
        <f>IF(R136-S136&lt;0.005,0,R136-S136)</f>
        <v/>
      </c>
      <c r="U136">
        <f>Z135</f>
        <v/>
      </c>
      <c r="V136">
        <f>U136*Plan!D9/100/12</f>
        <v/>
      </c>
      <c r="W136">
        <f>MIN(Plan!E9,U136+V136)</f>
        <v/>
      </c>
      <c r="X136">
        <f>U136+V136-W136</f>
        <v/>
      </c>
      <c r="Y136">
        <f>MIN(X136,MAX(0,$B136-((E$5&lt;W$5)*F136+(K$5&lt;W$5)*L136+(Q$5&lt;W$5)*R136+(AC$5&lt;W$5)*AD136+(AI$5&lt;W$5)*AJ136+(AO$5&lt;W$5)*AP136+(AU$5&lt;W$5)*AV136)))</f>
        <v/>
      </c>
      <c r="Z136">
        <f>IF(X136-Y136&lt;0.005,0,X136-Y136)</f>
        <v/>
      </c>
      <c r="AA136">
        <f>AF135</f>
        <v/>
      </c>
      <c r="AB136">
        <f>AA136*Plan!D10/100/12</f>
        <v/>
      </c>
      <c r="AC136">
        <f>MIN(Plan!E10,AA136+AB136)</f>
        <v/>
      </c>
      <c r="AD136">
        <f>AA136+AB136-AC136</f>
        <v/>
      </c>
      <c r="AE136">
        <f>MIN(AD136,MAX(0,$B136-((E$5&lt;AC$5)*F136+(K$5&lt;AC$5)*L136+(Q$5&lt;AC$5)*R136+(W$5&lt;AC$5)*X136+(AI$5&lt;AC$5)*AJ136+(AO$5&lt;AC$5)*AP136+(AU$5&lt;AC$5)*AV136)))</f>
        <v/>
      </c>
      <c r="AF136">
        <f>IF(AD136-AE136&lt;0.005,0,AD136-AE136)</f>
        <v/>
      </c>
      <c r="AG136">
        <f>AL135</f>
        <v/>
      </c>
      <c r="AH136">
        <f>AG136*Plan!D11/100/12</f>
        <v/>
      </c>
      <c r="AI136">
        <f>MIN(Plan!E11,AG136+AH136)</f>
        <v/>
      </c>
      <c r="AJ136">
        <f>AG136+AH136-AI136</f>
        <v/>
      </c>
      <c r="AK136">
        <f>MIN(AJ136,MAX(0,$B136-((E$5&lt;AI$5)*F136+(K$5&lt;AI$5)*L136+(Q$5&lt;AI$5)*R136+(W$5&lt;AI$5)*X136+(AC$5&lt;AI$5)*AD136+(AO$5&lt;AI$5)*AP136+(AU$5&lt;AI$5)*AV136)))</f>
        <v/>
      </c>
      <c r="AL136">
        <f>IF(AJ136-AK136&lt;0.005,0,AJ136-AK136)</f>
        <v/>
      </c>
      <c r="AM136">
        <f>AR135</f>
        <v/>
      </c>
      <c r="AN136">
        <f>AM136*Plan!D12/100/12</f>
        <v/>
      </c>
      <c r="AO136">
        <f>MIN(Plan!E12,AM136+AN136)</f>
        <v/>
      </c>
      <c r="AP136">
        <f>AM136+AN136-AO136</f>
        <v/>
      </c>
      <c r="AQ136">
        <f>MIN(AP136,MAX(0,$B136-((E$5&lt;AO$5)*F136+(K$5&lt;AO$5)*L136+(Q$5&lt;AO$5)*R136+(W$5&lt;AO$5)*X136+(AC$5&lt;AO$5)*AD136+(AI$5&lt;AO$5)*AJ136+(AU$5&lt;AO$5)*AV136)))</f>
        <v/>
      </c>
      <c r="AR136">
        <f>IF(AP136-AQ136&lt;0.005,0,AP136-AQ136)</f>
        <v/>
      </c>
      <c r="AS136">
        <f>AX135</f>
        <v/>
      </c>
      <c r="AT136">
        <f>AS136*Plan!D13/100/12</f>
        <v/>
      </c>
      <c r="AU136">
        <f>MIN(Plan!E13,AS136+AT136)</f>
        <v/>
      </c>
      <c r="AV136">
        <f>AS136+AT136-AU136</f>
        <v/>
      </c>
      <c r="AW136">
        <f>MIN(AV136,MAX(0,$B136-((E$5&lt;AU$5)*F136+(K$5&lt;AU$5)*L136+(Q$5&lt;AU$5)*R136+(W$5&lt;AU$5)*X136+(AC$5&lt;AU$5)*AD136+(AI$5&lt;AU$5)*AJ136+(AO$5&lt;AU$5)*AP136)))</f>
        <v/>
      </c>
      <c r="AX136">
        <f>IF(AV136-AW136&lt;0.005,0,AV136-AW136)</f>
        <v/>
      </c>
      <c r="BC136">
        <f>H136+N136+T136+Z136+AF136+AL136+AR136+AX136</f>
        <v/>
      </c>
    </row>
    <row r="137">
      <c r="A137" t="n">
        <v>131</v>
      </c>
      <c r="B137" s="19">
        <f>MAX(0,$B$3-(E137+K137+Q137+W137+AC137+AI137+AO137+AU137))</f>
        <v/>
      </c>
      <c r="C137">
        <f>H136</f>
        <v/>
      </c>
      <c r="D137">
        <f>C137*Plan!D6/100/12</f>
        <v/>
      </c>
      <c r="E137">
        <f>MIN(Plan!E6,C137+D137)</f>
        <v/>
      </c>
      <c r="F137">
        <f>C137+D137-E137</f>
        <v/>
      </c>
      <c r="G137">
        <f>MIN(F137,MAX(0,$B137-((K$5&lt;E$5)*L137+(Q$5&lt;E$5)*R137+(W$5&lt;E$5)*X137+(AC$5&lt;E$5)*AD137+(AI$5&lt;E$5)*AJ137+(AO$5&lt;E$5)*AP137+(AU$5&lt;E$5)*AV137)))</f>
        <v/>
      </c>
      <c r="H137">
        <f>IF(F137-G137&lt;0.005,0,F137-G137)</f>
        <v/>
      </c>
      <c r="I137">
        <f>N136</f>
        <v/>
      </c>
      <c r="J137">
        <f>I137*Plan!D7/100/12</f>
        <v/>
      </c>
      <c r="K137">
        <f>MIN(Plan!E7,I137+J137)</f>
        <v/>
      </c>
      <c r="L137">
        <f>I137+J137-K137</f>
        <v/>
      </c>
      <c r="M137">
        <f>MIN(L137,MAX(0,$B137-((E$5&lt;K$5)*F137+(Q$5&lt;K$5)*R137+(W$5&lt;K$5)*X137+(AC$5&lt;K$5)*AD137+(AI$5&lt;K$5)*AJ137+(AO$5&lt;K$5)*AP137+(AU$5&lt;K$5)*AV137)))</f>
        <v/>
      </c>
      <c r="N137">
        <f>IF(L137-M137&lt;0.005,0,L137-M137)</f>
        <v/>
      </c>
      <c r="O137">
        <f>T136</f>
        <v/>
      </c>
      <c r="P137">
        <f>O137*Plan!D8/100/12</f>
        <v/>
      </c>
      <c r="Q137">
        <f>MIN(Plan!E8,O137+P137)</f>
        <v/>
      </c>
      <c r="R137">
        <f>O137+P137-Q137</f>
        <v/>
      </c>
      <c r="S137">
        <f>MIN(R137,MAX(0,$B137-((E$5&lt;Q$5)*F137+(K$5&lt;Q$5)*L137+(W$5&lt;Q$5)*X137+(AC$5&lt;Q$5)*AD137+(AI$5&lt;Q$5)*AJ137+(AO$5&lt;Q$5)*AP137+(AU$5&lt;Q$5)*AV137)))</f>
        <v/>
      </c>
      <c r="T137">
        <f>IF(R137-S137&lt;0.005,0,R137-S137)</f>
        <v/>
      </c>
      <c r="U137">
        <f>Z136</f>
        <v/>
      </c>
      <c r="V137">
        <f>U137*Plan!D9/100/12</f>
        <v/>
      </c>
      <c r="W137">
        <f>MIN(Plan!E9,U137+V137)</f>
        <v/>
      </c>
      <c r="X137">
        <f>U137+V137-W137</f>
        <v/>
      </c>
      <c r="Y137">
        <f>MIN(X137,MAX(0,$B137-((E$5&lt;W$5)*F137+(K$5&lt;W$5)*L137+(Q$5&lt;W$5)*R137+(AC$5&lt;W$5)*AD137+(AI$5&lt;W$5)*AJ137+(AO$5&lt;W$5)*AP137+(AU$5&lt;W$5)*AV137)))</f>
        <v/>
      </c>
      <c r="Z137">
        <f>IF(X137-Y137&lt;0.005,0,X137-Y137)</f>
        <v/>
      </c>
      <c r="AA137">
        <f>AF136</f>
        <v/>
      </c>
      <c r="AB137">
        <f>AA137*Plan!D10/100/12</f>
        <v/>
      </c>
      <c r="AC137">
        <f>MIN(Plan!E10,AA137+AB137)</f>
        <v/>
      </c>
      <c r="AD137">
        <f>AA137+AB137-AC137</f>
        <v/>
      </c>
      <c r="AE137">
        <f>MIN(AD137,MAX(0,$B137-((E$5&lt;AC$5)*F137+(K$5&lt;AC$5)*L137+(Q$5&lt;AC$5)*R137+(W$5&lt;AC$5)*X137+(AI$5&lt;AC$5)*AJ137+(AO$5&lt;AC$5)*AP137+(AU$5&lt;AC$5)*AV137)))</f>
        <v/>
      </c>
      <c r="AF137">
        <f>IF(AD137-AE137&lt;0.005,0,AD137-AE137)</f>
        <v/>
      </c>
      <c r="AG137">
        <f>AL136</f>
        <v/>
      </c>
      <c r="AH137">
        <f>AG137*Plan!D11/100/12</f>
        <v/>
      </c>
      <c r="AI137">
        <f>MIN(Plan!E11,AG137+AH137)</f>
        <v/>
      </c>
      <c r="AJ137">
        <f>AG137+AH137-AI137</f>
        <v/>
      </c>
      <c r="AK137">
        <f>MIN(AJ137,MAX(0,$B137-((E$5&lt;AI$5)*F137+(K$5&lt;AI$5)*L137+(Q$5&lt;AI$5)*R137+(W$5&lt;AI$5)*X137+(AC$5&lt;AI$5)*AD137+(AO$5&lt;AI$5)*AP137+(AU$5&lt;AI$5)*AV137)))</f>
        <v/>
      </c>
      <c r="AL137">
        <f>IF(AJ137-AK137&lt;0.005,0,AJ137-AK137)</f>
        <v/>
      </c>
      <c r="AM137">
        <f>AR136</f>
        <v/>
      </c>
      <c r="AN137">
        <f>AM137*Plan!D12/100/12</f>
        <v/>
      </c>
      <c r="AO137">
        <f>MIN(Plan!E12,AM137+AN137)</f>
        <v/>
      </c>
      <c r="AP137">
        <f>AM137+AN137-AO137</f>
        <v/>
      </c>
      <c r="AQ137">
        <f>MIN(AP137,MAX(0,$B137-((E$5&lt;AO$5)*F137+(K$5&lt;AO$5)*L137+(Q$5&lt;AO$5)*R137+(W$5&lt;AO$5)*X137+(AC$5&lt;AO$5)*AD137+(AI$5&lt;AO$5)*AJ137+(AU$5&lt;AO$5)*AV137)))</f>
        <v/>
      </c>
      <c r="AR137">
        <f>IF(AP137-AQ137&lt;0.005,0,AP137-AQ137)</f>
        <v/>
      </c>
      <c r="AS137">
        <f>AX136</f>
        <v/>
      </c>
      <c r="AT137">
        <f>AS137*Plan!D13/100/12</f>
        <v/>
      </c>
      <c r="AU137">
        <f>MIN(Plan!E13,AS137+AT137)</f>
        <v/>
      </c>
      <c r="AV137">
        <f>AS137+AT137-AU137</f>
        <v/>
      </c>
      <c r="AW137">
        <f>MIN(AV137,MAX(0,$B137-((E$5&lt;AU$5)*F137+(K$5&lt;AU$5)*L137+(Q$5&lt;AU$5)*R137+(W$5&lt;AU$5)*X137+(AC$5&lt;AU$5)*AD137+(AI$5&lt;AU$5)*AJ137+(AO$5&lt;AU$5)*AP137)))</f>
        <v/>
      </c>
      <c r="AX137">
        <f>IF(AV137-AW137&lt;0.005,0,AV137-AW137)</f>
        <v/>
      </c>
      <c r="BC137">
        <f>H137+N137+T137+Z137+AF137+AL137+AR137+AX137</f>
        <v/>
      </c>
    </row>
    <row r="138">
      <c r="A138" t="n">
        <v>132</v>
      </c>
      <c r="B138" s="19">
        <f>MAX(0,$B$3-(E138+K138+Q138+W138+AC138+AI138+AO138+AU138))</f>
        <v/>
      </c>
      <c r="C138">
        <f>H137</f>
        <v/>
      </c>
      <c r="D138">
        <f>C138*Plan!D6/100/12</f>
        <v/>
      </c>
      <c r="E138">
        <f>MIN(Plan!E6,C138+D138)</f>
        <v/>
      </c>
      <c r="F138">
        <f>C138+D138-E138</f>
        <v/>
      </c>
      <c r="G138">
        <f>MIN(F138,MAX(0,$B138-((K$5&lt;E$5)*L138+(Q$5&lt;E$5)*R138+(W$5&lt;E$5)*X138+(AC$5&lt;E$5)*AD138+(AI$5&lt;E$5)*AJ138+(AO$5&lt;E$5)*AP138+(AU$5&lt;E$5)*AV138)))</f>
        <v/>
      </c>
      <c r="H138">
        <f>IF(F138-G138&lt;0.005,0,F138-G138)</f>
        <v/>
      </c>
      <c r="I138">
        <f>N137</f>
        <v/>
      </c>
      <c r="J138">
        <f>I138*Plan!D7/100/12</f>
        <v/>
      </c>
      <c r="K138">
        <f>MIN(Plan!E7,I138+J138)</f>
        <v/>
      </c>
      <c r="L138">
        <f>I138+J138-K138</f>
        <v/>
      </c>
      <c r="M138">
        <f>MIN(L138,MAX(0,$B138-((E$5&lt;K$5)*F138+(Q$5&lt;K$5)*R138+(W$5&lt;K$5)*X138+(AC$5&lt;K$5)*AD138+(AI$5&lt;K$5)*AJ138+(AO$5&lt;K$5)*AP138+(AU$5&lt;K$5)*AV138)))</f>
        <v/>
      </c>
      <c r="N138">
        <f>IF(L138-M138&lt;0.005,0,L138-M138)</f>
        <v/>
      </c>
      <c r="O138">
        <f>T137</f>
        <v/>
      </c>
      <c r="P138">
        <f>O138*Plan!D8/100/12</f>
        <v/>
      </c>
      <c r="Q138">
        <f>MIN(Plan!E8,O138+P138)</f>
        <v/>
      </c>
      <c r="R138">
        <f>O138+P138-Q138</f>
        <v/>
      </c>
      <c r="S138">
        <f>MIN(R138,MAX(0,$B138-((E$5&lt;Q$5)*F138+(K$5&lt;Q$5)*L138+(W$5&lt;Q$5)*X138+(AC$5&lt;Q$5)*AD138+(AI$5&lt;Q$5)*AJ138+(AO$5&lt;Q$5)*AP138+(AU$5&lt;Q$5)*AV138)))</f>
        <v/>
      </c>
      <c r="T138">
        <f>IF(R138-S138&lt;0.005,0,R138-S138)</f>
        <v/>
      </c>
      <c r="U138">
        <f>Z137</f>
        <v/>
      </c>
      <c r="V138">
        <f>U138*Plan!D9/100/12</f>
        <v/>
      </c>
      <c r="W138">
        <f>MIN(Plan!E9,U138+V138)</f>
        <v/>
      </c>
      <c r="X138">
        <f>U138+V138-W138</f>
        <v/>
      </c>
      <c r="Y138">
        <f>MIN(X138,MAX(0,$B138-((E$5&lt;W$5)*F138+(K$5&lt;W$5)*L138+(Q$5&lt;W$5)*R138+(AC$5&lt;W$5)*AD138+(AI$5&lt;W$5)*AJ138+(AO$5&lt;W$5)*AP138+(AU$5&lt;W$5)*AV138)))</f>
        <v/>
      </c>
      <c r="Z138">
        <f>IF(X138-Y138&lt;0.005,0,X138-Y138)</f>
        <v/>
      </c>
      <c r="AA138">
        <f>AF137</f>
        <v/>
      </c>
      <c r="AB138">
        <f>AA138*Plan!D10/100/12</f>
        <v/>
      </c>
      <c r="AC138">
        <f>MIN(Plan!E10,AA138+AB138)</f>
        <v/>
      </c>
      <c r="AD138">
        <f>AA138+AB138-AC138</f>
        <v/>
      </c>
      <c r="AE138">
        <f>MIN(AD138,MAX(0,$B138-((E$5&lt;AC$5)*F138+(K$5&lt;AC$5)*L138+(Q$5&lt;AC$5)*R138+(W$5&lt;AC$5)*X138+(AI$5&lt;AC$5)*AJ138+(AO$5&lt;AC$5)*AP138+(AU$5&lt;AC$5)*AV138)))</f>
        <v/>
      </c>
      <c r="AF138">
        <f>IF(AD138-AE138&lt;0.005,0,AD138-AE138)</f>
        <v/>
      </c>
      <c r="AG138">
        <f>AL137</f>
        <v/>
      </c>
      <c r="AH138">
        <f>AG138*Plan!D11/100/12</f>
        <v/>
      </c>
      <c r="AI138">
        <f>MIN(Plan!E11,AG138+AH138)</f>
        <v/>
      </c>
      <c r="AJ138">
        <f>AG138+AH138-AI138</f>
        <v/>
      </c>
      <c r="AK138">
        <f>MIN(AJ138,MAX(0,$B138-((E$5&lt;AI$5)*F138+(K$5&lt;AI$5)*L138+(Q$5&lt;AI$5)*R138+(W$5&lt;AI$5)*X138+(AC$5&lt;AI$5)*AD138+(AO$5&lt;AI$5)*AP138+(AU$5&lt;AI$5)*AV138)))</f>
        <v/>
      </c>
      <c r="AL138">
        <f>IF(AJ138-AK138&lt;0.005,0,AJ138-AK138)</f>
        <v/>
      </c>
      <c r="AM138">
        <f>AR137</f>
        <v/>
      </c>
      <c r="AN138">
        <f>AM138*Plan!D12/100/12</f>
        <v/>
      </c>
      <c r="AO138">
        <f>MIN(Plan!E12,AM138+AN138)</f>
        <v/>
      </c>
      <c r="AP138">
        <f>AM138+AN138-AO138</f>
        <v/>
      </c>
      <c r="AQ138">
        <f>MIN(AP138,MAX(0,$B138-((E$5&lt;AO$5)*F138+(K$5&lt;AO$5)*L138+(Q$5&lt;AO$5)*R138+(W$5&lt;AO$5)*X138+(AC$5&lt;AO$5)*AD138+(AI$5&lt;AO$5)*AJ138+(AU$5&lt;AO$5)*AV138)))</f>
        <v/>
      </c>
      <c r="AR138">
        <f>IF(AP138-AQ138&lt;0.005,0,AP138-AQ138)</f>
        <v/>
      </c>
      <c r="AS138">
        <f>AX137</f>
        <v/>
      </c>
      <c r="AT138">
        <f>AS138*Plan!D13/100/12</f>
        <v/>
      </c>
      <c r="AU138">
        <f>MIN(Plan!E13,AS138+AT138)</f>
        <v/>
      </c>
      <c r="AV138">
        <f>AS138+AT138-AU138</f>
        <v/>
      </c>
      <c r="AW138">
        <f>MIN(AV138,MAX(0,$B138-((E$5&lt;AU$5)*F138+(K$5&lt;AU$5)*L138+(Q$5&lt;AU$5)*R138+(W$5&lt;AU$5)*X138+(AC$5&lt;AU$5)*AD138+(AI$5&lt;AU$5)*AJ138+(AO$5&lt;AU$5)*AP138)))</f>
        <v/>
      </c>
      <c r="AX138">
        <f>IF(AV138-AW138&lt;0.005,0,AV138-AW138)</f>
        <v/>
      </c>
      <c r="BC138">
        <f>H138+N138+T138+Z138+AF138+AL138+AR138+AX138</f>
        <v/>
      </c>
    </row>
    <row r="139">
      <c r="A139" t="n">
        <v>133</v>
      </c>
      <c r="B139" s="19">
        <f>MAX(0,$B$3-(E139+K139+Q139+W139+AC139+AI139+AO139+AU139))</f>
        <v/>
      </c>
      <c r="C139">
        <f>H138</f>
        <v/>
      </c>
      <c r="D139">
        <f>C139*Plan!D6/100/12</f>
        <v/>
      </c>
      <c r="E139">
        <f>MIN(Plan!E6,C139+D139)</f>
        <v/>
      </c>
      <c r="F139">
        <f>C139+D139-E139</f>
        <v/>
      </c>
      <c r="G139">
        <f>MIN(F139,MAX(0,$B139-((K$5&lt;E$5)*L139+(Q$5&lt;E$5)*R139+(W$5&lt;E$5)*X139+(AC$5&lt;E$5)*AD139+(AI$5&lt;E$5)*AJ139+(AO$5&lt;E$5)*AP139+(AU$5&lt;E$5)*AV139)))</f>
        <v/>
      </c>
      <c r="H139">
        <f>IF(F139-G139&lt;0.005,0,F139-G139)</f>
        <v/>
      </c>
      <c r="I139">
        <f>N138</f>
        <v/>
      </c>
      <c r="J139">
        <f>I139*Plan!D7/100/12</f>
        <v/>
      </c>
      <c r="K139">
        <f>MIN(Plan!E7,I139+J139)</f>
        <v/>
      </c>
      <c r="L139">
        <f>I139+J139-K139</f>
        <v/>
      </c>
      <c r="M139">
        <f>MIN(L139,MAX(0,$B139-((E$5&lt;K$5)*F139+(Q$5&lt;K$5)*R139+(W$5&lt;K$5)*X139+(AC$5&lt;K$5)*AD139+(AI$5&lt;K$5)*AJ139+(AO$5&lt;K$5)*AP139+(AU$5&lt;K$5)*AV139)))</f>
        <v/>
      </c>
      <c r="N139">
        <f>IF(L139-M139&lt;0.005,0,L139-M139)</f>
        <v/>
      </c>
      <c r="O139">
        <f>T138</f>
        <v/>
      </c>
      <c r="P139">
        <f>O139*Plan!D8/100/12</f>
        <v/>
      </c>
      <c r="Q139">
        <f>MIN(Plan!E8,O139+P139)</f>
        <v/>
      </c>
      <c r="R139">
        <f>O139+P139-Q139</f>
        <v/>
      </c>
      <c r="S139">
        <f>MIN(R139,MAX(0,$B139-((E$5&lt;Q$5)*F139+(K$5&lt;Q$5)*L139+(W$5&lt;Q$5)*X139+(AC$5&lt;Q$5)*AD139+(AI$5&lt;Q$5)*AJ139+(AO$5&lt;Q$5)*AP139+(AU$5&lt;Q$5)*AV139)))</f>
        <v/>
      </c>
      <c r="T139">
        <f>IF(R139-S139&lt;0.005,0,R139-S139)</f>
        <v/>
      </c>
      <c r="U139">
        <f>Z138</f>
        <v/>
      </c>
      <c r="V139">
        <f>U139*Plan!D9/100/12</f>
        <v/>
      </c>
      <c r="W139">
        <f>MIN(Plan!E9,U139+V139)</f>
        <v/>
      </c>
      <c r="X139">
        <f>U139+V139-W139</f>
        <v/>
      </c>
      <c r="Y139">
        <f>MIN(X139,MAX(0,$B139-((E$5&lt;W$5)*F139+(K$5&lt;W$5)*L139+(Q$5&lt;W$5)*R139+(AC$5&lt;W$5)*AD139+(AI$5&lt;W$5)*AJ139+(AO$5&lt;W$5)*AP139+(AU$5&lt;W$5)*AV139)))</f>
        <v/>
      </c>
      <c r="Z139">
        <f>IF(X139-Y139&lt;0.005,0,X139-Y139)</f>
        <v/>
      </c>
      <c r="AA139">
        <f>AF138</f>
        <v/>
      </c>
      <c r="AB139">
        <f>AA139*Plan!D10/100/12</f>
        <v/>
      </c>
      <c r="AC139">
        <f>MIN(Plan!E10,AA139+AB139)</f>
        <v/>
      </c>
      <c r="AD139">
        <f>AA139+AB139-AC139</f>
        <v/>
      </c>
      <c r="AE139">
        <f>MIN(AD139,MAX(0,$B139-((E$5&lt;AC$5)*F139+(K$5&lt;AC$5)*L139+(Q$5&lt;AC$5)*R139+(W$5&lt;AC$5)*X139+(AI$5&lt;AC$5)*AJ139+(AO$5&lt;AC$5)*AP139+(AU$5&lt;AC$5)*AV139)))</f>
        <v/>
      </c>
      <c r="AF139">
        <f>IF(AD139-AE139&lt;0.005,0,AD139-AE139)</f>
        <v/>
      </c>
      <c r="AG139">
        <f>AL138</f>
        <v/>
      </c>
      <c r="AH139">
        <f>AG139*Plan!D11/100/12</f>
        <v/>
      </c>
      <c r="AI139">
        <f>MIN(Plan!E11,AG139+AH139)</f>
        <v/>
      </c>
      <c r="AJ139">
        <f>AG139+AH139-AI139</f>
        <v/>
      </c>
      <c r="AK139">
        <f>MIN(AJ139,MAX(0,$B139-((E$5&lt;AI$5)*F139+(K$5&lt;AI$5)*L139+(Q$5&lt;AI$5)*R139+(W$5&lt;AI$5)*X139+(AC$5&lt;AI$5)*AD139+(AO$5&lt;AI$5)*AP139+(AU$5&lt;AI$5)*AV139)))</f>
        <v/>
      </c>
      <c r="AL139">
        <f>IF(AJ139-AK139&lt;0.005,0,AJ139-AK139)</f>
        <v/>
      </c>
      <c r="AM139">
        <f>AR138</f>
        <v/>
      </c>
      <c r="AN139">
        <f>AM139*Plan!D12/100/12</f>
        <v/>
      </c>
      <c r="AO139">
        <f>MIN(Plan!E12,AM139+AN139)</f>
        <v/>
      </c>
      <c r="AP139">
        <f>AM139+AN139-AO139</f>
        <v/>
      </c>
      <c r="AQ139">
        <f>MIN(AP139,MAX(0,$B139-((E$5&lt;AO$5)*F139+(K$5&lt;AO$5)*L139+(Q$5&lt;AO$5)*R139+(W$5&lt;AO$5)*X139+(AC$5&lt;AO$5)*AD139+(AI$5&lt;AO$5)*AJ139+(AU$5&lt;AO$5)*AV139)))</f>
        <v/>
      </c>
      <c r="AR139">
        <f>IF(AP139-AQ139&lt;0.005,0,AP139-AQ139)</f>
        <v/>
      </c>
      <c r="AS139">
        <f>AX138</f>
        <v/>
      </c>
      <c r="AT139">
        <f>AS139*Plan!D13/100/12</f>
        <v/>
      </c>
      <c r="AU139">
        <f>MIN(Plan!E13,AS139+AT139)</f>
        <v/>
      </c>
      <c r="AV139">
        <f>AS139+AT139-AU139</f>
        <v/>
      </c>
      <c r="AW139">
        <f>MIN(AV139,MAX(0,$B139-((E$5&lt;AU$5)*F139+(K$5&lt;AU$5)*L139+(Q$5&lt;AU$5)*R139+(W$5&lt;AU$5)*X139+(AC$5&lt;AU$5)*AD139+(AI$5&lt;AU$5)*AJ139+(AO$5&lt;AU$5)*AP139)))</f>
        <v/>
      </c>
      <c r="AX139">
        <f>IF(AV139-AW139&lt;0.005,0,AV139-AW139)</f>
        <v/>
      </c>
      <c r="BC139">
        <f>H139+N139+T139+Z139+AF139+AL139+AR139+AX139</f>
        <v/>
      </c>
    </row>
    <row r="140">
      <c r="A140" t="n">
        <v>134</v>
      </c>
      <c r="B140" s="19">
        <f>MAX(0,$B$3-(E140+K140+Q140+W140+AC140+AI140+AO140+AU140))</f>
        <v/>
      </c>
      <c r="C140">
        <f>H139</f>
        <v/>
      </c>
      <c r="D140">
        <f>C140*Plan!D6/100/12</f>
        <v/>
      </c>
      <c r="E140">
        <f>MIN(Plan!E6,C140+D140)</f>
        <v/>
      </c>
      <c r="F140">
        <f>C140+D140-E140</f>
        <v/>
      </c>
      <c r="G140">
        <f>MIN(F140,MAX(0,$B140-((K$5&lt;E$5)*L140+(Q$5&lt;E$5)*R140+(W$5&lt;E$5)*X140+(AC$5&lt;E$5)*AD140+(AI$5&lt;E$5)*AJ140+(AO$5&lt;E$5)*AP140+(AU$5&lt;E$5)*AV140)))</f>
        <v/>
      </c>
      <c r="H140">
        <f>IF(F140-G140&lt;0.005,0,F140-G140)</f>
        <v/>
      </c>
      <c r="I140">
        <f>N139</f>
        <v/>
      </c>
      <c r="J140">
        <f>I140*Plan!D7/100/12</f>
        <v/>
      </c>
      <c r="K140">
        <f>MIN(Plan!E7,I140+J140)</f>
        <v/>
      </c>
      <c r="L140">
        <f>I140+J140-K140</f>
        <v/>
      </c>
      <c r="M140">
        <f>MIN(L140,MAX(0,$B140-((E$5&lt;K$5)*F140+(Q$5&lt;K$5)*R140+(W$5&lt;K$5)*X140+(AC$5&lt;K$5)*AD140+(AI$5&lt;K$5)*AJ140+(AO$5&lt;K$5)*AP140+(AU$5&lt;K$5)*AV140)))</f>
        <v/>
      </c>
      <c r="N140">
        <f>IF(L140-M140&lt;0.005,0,L140-M140)</f>
        <v/>
      </c>
      <c r="O140">
        <f>T139</f>
        <v/>
      </c>
      <c r="P140">
        <f>O140*Plan!D8/100/12</f>
        <v/>
      </c>
      <c r="Q140">
        <f>MIN(Plan!E8,O140+P140)</f>
        <v/>
      </c>
      <c r="R140">
        <f>O140+P140-Q140</f>
        <v/>
      </c>
      <c r="S140">
        <f>MIN(R140,MAX(0,$B140-((E$5&lt;Q$5)*F140+(K$5&lt;Q$5)*L140+(W$5&lt;Q$5)*X140+(AC$5&lt;Q$5)*AD140+(AI$5&lt;Q$5)*AJ140+(AO$5&lt;Q$5)*AP140+(AU$5&lt;Q$5)*AV140)))</f>
        <v/>
      </c>
      <c r="T140">
        <f>IF(R140-S140&lt;0.005,0,R140-S140)</f>
        <v/>
      </c>
      <c r="U140">
        <f>Z139</f>
        <v/>
      </c>
      <c r="V140">
        <f>U140*Plan!D9/100/12</f>
        <v/>
      </c>
      <c r="W140">
        <f>MIN(Plan!E9,U140+V140)</f>
        <v/>
      </c>
      <c r="X140">
        <f>U140+V140-W140</f>
        <v/>
      </c>
      <c r="Y140">
        <f>MIN(X140,MAX(0,$B140-((E$5&lt;W$5)*F140+(K$5&lt;W$5)*L140+(Q$5&lt;W$5)*R140+(AC$5&lt;W$5)*AD140+(AI$5&lt;W$5)*AJ140+(AO$5&lt;W$5)*AP140+(AU$5&lt;W$5)*AV140)))</f>
        <v/>
      </c>
      <c r="Z140">
        <f>IF(X140-Y140&lt;0.005,0,X140-Y140)</f>
        <v/>
      </c>
      <c r="AA140">
        <f>AF139</f>
        <v/>
      </c>
      <c r="AB140">
        <f>AA140*Plan!D10/100/12</f>
        <v/>
      </c>
      <c r="AC140">
        <f>MIN(Plan!E10,AA140+AB140)</f>
        <v/>
      </c>
      <c r="AD140">
        <f>AA140+AB140-AC140</f>
        <v/>
      </c>
      <c r="AE140">
        <f>MIN(AD140,MAX(0,$B140-((E$5&lt;AC$5)*F140+(K$5&lt;AC$5)*L140+(Q$5&lt;AC$5)*R140+(W$5&lt;AC$5)*X140+(AI$5&lt;AC$5)*AJ140+(AO$5&lt;AC$5)*AP140+(AU$5&lt;AC$5)*AV140)))</f>
        <v/>
      </c>
      <c r="AF140">
        <f>IF(AD140-AE140&lt;0.005,0,AD140-AE140)</f>
        <v/>
      </c>
      <c r="AG140">
        <f>AL139</f>
        <v/>
      </c>
      <c r="AH140">
        <f>AG140*Plan!D11/100/12</f>
        <v/>
      </c>
      <c r="AI140">
        <f>MIN(Plan!E11,AG140+AH140)</f>
        <v/>
      </c>
      <c r="AJ140">
        <f>AG140+AH140-AI140</f>
        <v/>
      </c>
      <c r="AK140">
        <f>MIN(AJ140,MAX(0,$B140-((E$5&lt;AI$5)*F140+(K$5&lt;AI$5)*L140+(Q$5&lt;AI$5)*R140+(W$5&lt;AI$5)*X140+(AC$5&lt;AI$5)*AD140+(AO$5&lt;AI$5)*AP140+(AU$5&lt;AI$5)*AV140)))</f>
        <v/>
      </c>
      <c r="AL140">
        <f>IF(AJ140-AK140&lt;0.005,0,AJ140-AK140)</f>
        <v/>
      </c>
      <c r="AM140">
        <f>AR139</f>
        <v/>
      </c>
      <c r="AN140">
        <f>AM140*Plan!D12/100/12</f>
        <v/>
      </c>
      <c r="AO140">
        <f>MIN(Plan!E12,AM140+AN140)</f>
        <v/>
      </c>
      <c r="AP140">
        <f>AM140+AN140-AO140</f>
        <v/>
      </c>
      <c r="AQ140">
        <f>MIN(AP140,MAX(0,$B140-((E$5&lt;AO$5)*F140+(K$5&lt;AO$5)*L140+(Q$5&lt;AO$5)*R140+(W$5&lt;AO$5)*X140+(AC$5&lt;AO$5)*AD140+(AI$5&lt;AO$5)*AJ140+(AU$5&lt;AO$5)*AV140)))</f>
        <v/>
      </c>
      <c r="AR140">
        <f>IF(AP140-AQ140&lt;0.005,0,AP140-AQ140)</f>
        <v/>
      </c>
      <c r="AS140">
        <f>AX139</f>
        <v/>
      </c>
      <c r="AT140">
        <f>AS140*Plan!D13/100/12</f>
        <v/>
      </c>
      <c r="AU140">
        <f>MIN(Plan!E13,AS140+AT140)</f>
        <v/>
      </c>
      <c r="AV140">
        <f>AS140+AT140-AU140</f>
        <v/>
      </c>
      <c r="AW140">
        <f>MIN(AV140,MAX(0,$B140-((E$5&lt;AU$5)*F140+(K$5&lt;AU$5)*L140+(Q$5&lt;AU$5)*R140+(W$5&lt;AU$5)*X140+(AC$5&lt;AU$5)*AD140+(AI$5&lt;AU$5)*AJ140+(AO$5&lt;AU$5)*AP140)))</f>
        <v/>
      </c>
      <c r="AX140">
        <f>IF(AV140-AW140&lt;0.005,0,AV140-AW140)</f>
        <v/>
      </c>
      <c r="BC140">
        <f>H140+N140+T140+Z140+AF140+AL140+AR140+AX140</f>
        <v/>
      </c>
    </row>
    <row r="141">
      <c r="A141" t="n">
        <v>135</v>
      </c>
      <c r="B141" s="19">
        <f>MAX(0,$B$3-(E141+K141+Q141+W141+AC141+AI141+AO141+AU141))</f>
        <v/>
      </c>
      <c r="C141">
        <f>H140</f>
        <v/>
      </c>
      <c r="D141">
        <f>C141*Plan!D6/100/12</f>
        <v/>
      </c>
      <c r="E141">
        <f>MIN(Plan!E6,C141+D141)</f>
        <v/>
      </c>
      <c r="F141">
        <f>C141+D141-E141</f>
        <v/>
      </c>
      <c r="G141">
        <f>MIN(F141,MAX(0,$B141-((K$5&lt;E$5)*L141+(Q$5&lt;E$5)*R141+(W$5&lt;E$5)*X141+(AC$5&lt;E$5)*AD141+(AI$5&lt;E$5)*AJ141+(AO$5&lt;E$5)*AP141+(AU$5&lt;E$5)*AV141)))</f>
        <v/>
      </c>
      <c r="H141">
        <f>IF(F141-G141&lt;0.005,0,F141-G141)</f>
        <v/>
      </c>
      <c r="I141">
        <f>N140</f>
        <v/>
      </c>
      <c r="J141">
        <f>I141*Plan!D7/100/12</f>
        <v/>
      </c>
      <c r="K141">
        <f>MIN(Plan!E7,I141+J141)</f>
        <v/>
      </c>
      <c r="L141">
        <f>I141+J141-K141</f>
        <v/>
      </c>
      <c r="M141">
        <f>MIN(L141,MAX(0,$B141-((E$5&lt;K$5)*F141+(Q$5&lt;K$5)*R141+(W$5&lt;K$5)*X141+(AC$5&lt;K$5)*AD141+(AI$5&lt;K$5)*AJ141+(AO$5&lt;K$5)*AP141+(AU$5&lt;K$5)*AV141)))</f>
        <v/>
      </c>
      <c r="N141">
        <f>IF(L141-M141&lt;0.005,0,L141-M141)</f>
        <v/>
      </c>
      <c r="O141">
        <f>T140</f>
        <v/>
      </c>
      <c r="P141">
        <f>O141*Plan!D8/100/12</f>
        <v/>
      </c>
      <c r="Q141">
        <f>MIN(Plan!E8,O141+P141)</f>
        <v/>
      </c>
      <c r="R141">
        <f>O141+P141-Q141</f>
        <v/>
      </c>
      <c r="S141">
        <f>MIN(R141,MAX(0,$B141-((E$5&lt;Q$5)*F141+(K$5&lt;Q$5)*L141+(W$5&lt;Q$5)*X141+(AC$5&lt;Q$5)*AD141+(AI$5&lt;Q$5)*AJ141+(AO$5&lt;Q$5)*AP141+(AU$5&lt;Q$5)*AV141)))</f>
        <v/>
      </c>
      <c r="T141">
        <f>IF(R141-S141&lt;0.005,0,R141-S141)</f>
        <v/>
      </c>
      <c r="U141">
        <f>Z140</f>
        <v/>
      </c>
      <c r="V141">
        <f>U141*Plan!D9/100/12</f>
        <v/>
      </c>
      <c r="W141">
        <f>MIN(Plan!E9,U141+V141)</f>
        <v/>
      </c>
      <c r="X141">
        <f>U141+V141-W141</f>
        <v/>
      </c>
      <c r="Y141">
        <f>MIN(X141,MAX(0,$B141-((E$5&lt;W$5)*F141+(K$5&lt;W$5)*L141+(Q$5&lt;W$5)*R141+(AC$5&lt;W$5)*AD141+(AI$5&lt;W$5)*AJ141+(AO$5&lt;W$5)*AP141+(AU$5&lt;W$5)*AV141)))</f>
        <v/>
      </c>
      <c r="Z141">
        <f>IF(X141-Y141&lt;0.005,0,X141-Y141)</f>
        <v/>
      </c>
      <c r="AA141">
        <f>AF140</f>
        <v/>
      </c>
      <c r="AB141">
        <f>AA141*Plan!D10/100/12</f>
        <v/>
      </c>
      <c r="AC141">
        <f>MIN(Plan!E10,AA141+AB141)</f>
        <v/>
      </c>
      <c r="AD141">
        <f>AA141+AB141-AC141</f>
        <v/>
      </c>
      <c r="AE141">
        <f>MIN(AD141,MAX(0,$B141-((E$5&lt;AC$5)*F141+(K$5&lt;AC$5)*L141+(Q$5&lt;AC$5)*R141+(W$5&lt;AC$5)*X141+(AI$5&lt;AC$5)*AJ141+(AO$5&lt;AC$5)*AP141+(AU$5&lt;AC$5)*AV141)))</f>
        <v/>
      </c>
      <c r="AF141">
        <f>IF(AD141-AE141&lt;0.005,0,AD141-AE141)</f>
        <v/>
      </c>
      <c r="AG141">
        <f>AL140</f>
        <v/>
      </c>
      <c r="AH141">
        <f>AG141*Plan!D11/100/12</f>
        <v/>
      </c>
      <c r="AI141">
        <f>MIN(Plan!E11,AG141+AH141)</f>
        <v/>
      </c>
      <c r="AJ141">
        <f>AG141+AH141-AI141</f>
        <v/>
      </c>
      <c r="AK141">
        <f>MIN(AJ141,MAX(0,$B141-((E$5&lt;AI$5)*F141+(K$5&lt;AI$5)*L141+(Q$5&lt;AI$5)*R141+(W$5&lt;AI$5)*X141+(AC$5&lt;AI$5)*AD141+(AO$5&lt;AI$5)*AP141+(AU$5&lt;AI$5)*AV141)))</f>
        <v/>
      </c>
      <c r="AL141">
        <f>IF(AJ141-AK141&lt;0.005,0,AJ141-AK141)</f>
        <v/>
      </c>
      <c r="AM141">
        <f>AR140</f>
        <v/>
      </c>
      <c r="AN141">
        <f>AM141*Plan!D12/100/12</f>
        <v/>
      </c>
      <c r="AO141">
        <f>MIN(Plan!E12,AM141+AN141)</f>
        <v/>
      </c>
      <c r="AP141">
        <f>AM141+AN141-AO141</f>
        <v/>
      </c>
      <c r="AQ141">
        <f>MIN(AP141,MAX(0,$B141-((E$5&lt;AO$5)*F141+(K$5&lt;AO$5)*L141+(Q$5&lt;AO$5)*R141+(W$5&lt;AO$5)*X141+(AC$5&lt;AO$5)*AD141+(AI$5&lt;AO$5)*AJ141+(AU$5&lt;AO$5)*AV141)))</f>
        <v/>
      </c>
      <c r="AR141">
        <f>IF(AP141-AQ141&lt;0.005,0,AP141-AQ141)</f>
        <v/>
      </c>
      <c r="AS141">
        <f>AX140</f>
        <v/>
      </c>
      <c r="AT141">
        <f>AS141*Plan!D13/100/12</f>
        <v/>
      </c>
      <c r="AU141">
        <f>MIN(Plan!E13,AS141+AT141)</f>
        <v/>
      </c>
      <c r="AV141">
        <f>AS141+AT141-AU141</f>
        <v/>
      </c>
      <c r="AW141">
        <f>MIN(AV141,MAX(0,$B141-((E$5&lt;AU$5)*F141+(K$5&lt;AU$5)*L141+(Q$5&lt;AU$5)*R141+(W$5&lt;AU$5)*X141+(AC$5&lt;AU$5)*AD141+(AI$5&lt;AU$5)*AJ141+(AO$5&lt;AU$5)*AP141)))</f>
        <v/>
      </c>
      <c r="AX141">
        <f>IF(AV141-AW141&lt;0.005,0,AV141-AW141)</f>
        <v/>
      </c>
      <c r="BC141">
        <f>H141+N141+T141+Z141+AF141+AL141+AR141+AX141</f>
        <v/>
      </c>
    </row>
    <row r="142">
      <c r="A142" t="n">
        <v>136</v>
      </c>
      <c r="B142" s="19">
        <f>MAX(0,$B$3-(E142+K142+Q142+W142+AC142+AI142+AO142+AU142))</f>
        <v/>
      </c>
      <c r="C142">
        <f>H141</f>
        <v/>
      </c>
      <c r="D142">
        <f>C142*Plan!D6/100/12</f>
        <v/>
      </c>
      <c r="E142">
        <f>MIN(Plan!E6,C142+D142)</f>
        <v/>
      </c>
      <c r="F142">
        <f>C142+D142-E142</f>
        <v/>
      </c>
      <c r="G142">
        <f>MIN(F142,MAX(0,$B142-((K$5&lt;E$5)*L142+(Q$5&lt;E$5)*R142+(W$5&lt;E$5)*X142+(AC$5&lt;E$5)*AD142+(AI$5&lt;E$5)*AJ142+(AO$5&lt;E$5)*AP142+(AU$5&lt;E$5)*AV142)))</f>
        <v/>
      </c>
      <c r="H142">
        <f>IF(F142-G142&lt;0.005,0,F142-G142)</f>
        <v/>
      </c>
      <c r="I142">
        <f>N141</f>
        <v/>
      </c>
      <c r="J142">
        <f>I142*Plan!D7/100/12</f>
        <v/>
      </c>
      <c r="K142">
        <f>MIN(Plan!E7,I142+J142)</f>
        <v/>
      </c>
      <c r="L142">
        <f>I142+J142-K142</f>
        <v/>
      </c>
      <c r="M142">
        <f>MIN(L142,MAX(0,$B142-((E$5&lt;K$5)*F142+(Q$5&lt;K$5)*R142+(W$5&lt;K$5)*X142+(AC$5&lt;K$5)*AD142+(AI$5&lt;K$5)*AJ142+(AO$5&lt;K$5)*AP142+(AU$5&lt;K$5)*AV142)))</f>
        <v/>
      </c>
      <c r="N142">
        <f>IF(L142-M142&lt;0.005,0,L142-M142)</f>
        <v/>
      </c>
      <c r="O142">
        <f>T141</f>
        <v/>
      </c>
      <c r="P142">
        <f>O142*Plan!D8/100/12</f>
        <v/>
      </c>
      <c r="Q142">
        <f>MIN(Plan!E8,O142+P142)</f>
        <v/>
      </c>
      <c r="R142">
        <f>O142+P142-Q142</f>
        <v/>
      </c>
      <c r="S142">
        <f>MIN(R142,MAX(0,$B142-((E$5&lt;Q$5)*F142+(K$5&lt;Q$5)*L142+(W$5&lt;Q$5)*X142+(AC$5&lt;Q$5)*AD142+(AI$5&lt;Q$5)*AJ142+(AO$5&lt;Q$5)*AP142+(AU$5&lt;Q$5)*AV142)))</f>
        <v/>
      </c>
      <c r="T142">
        <f>IF(R142-S142&lt;0.005,0,R142-S142)</f>
        <v/>
      </c>
      <c r="U142">
        <f>Z141</f>
        <v/>
      </c>
      <c r="V142">
        <f>U142*Plan!D9/100/12</f>
        <v/>
      </c>
      <c r="W142">
        <f>MIN(Plan!E9,U142+V142)</f>
        <v/>
      </c>
      <c r="X142">
        <f>U142+V142-W142</f>
        <v/>
      </c>
      <c r="Y142">
        <f>MIN(X142,MAX(0,$B142-((E$5&lt;W$5)*F142+(K$5&lt;W$5)*L142+(Q$5&lt;W$5)*R142+(AC$5&lt;W$5)*AD142+(AI$5&lt;W$5)*AJ142+(AO$5&lt;W$5)*AP142+(AU$5&lt;W$5)*AV142)))</f>
        <v/>
      </c>
      <c r="Z142">
        <f>IF(X142-Y142&lt;0.005,0,X142-Y142)</f>
        <v/>
      </c>
      <c r="AA142">
        <f>AF141</f>
        <v/>
      </c>
      <c r="AB142">
        <f>AA142*Plan!D10/100/12</f>
        <v/>
      </c>
      <c r="AC142">
        <f>MIN(Plan!E10,AA142+AB142)</f>
        <v/>
      </c>
      <c r="AD142">
        <f>AA142+AB142-AC142</f>
        <v/>
      </c>
      <c r="AE142">
        <f>MIN(AD142,MAX(0,$B142-((E$5&lt;AC$5)*F142+(K$5&lt;AC$5)*L142+(Q$5&lt;AC$5)*R142+(W$5&lt;AC$5)*X142+(AI$5&lt;AC$5)*AJ142+(AO$5&lt;AC$5)*AP142+(AU$5&lt;AC$5)*AV142)))</f>
        <v/>
      </c>
      <c r="AF142">
        <f>IF(AD142-AE142&lt;0.005,0,AD142-AE142)</f>
        <v/>
      </c>
      <c r="AG142">
        <f>AL141</f>
        <v/>
      </c>
      <c r="AH142">
        <f>AG142*Plan!D11/100/12</f>
        <v/>
      </c>
      <c r="AI142">
        <f>MIN(Plan!E11,AG142+AH142)</f>
        <v/>
      </c>
      <c r="AJ142">
        <f>AG142+AH142-AI142</f>
        <v/>
      </c>
      <c r="AK142">
        <f>MIN(AJ142,MAX(0,$B142-((E$5&lt;AI$5)*F142+(K$5&lt;AI$5)*L142+(Q$5&lt;AI$5)*R142+(W$5&lt;AI$5)*X142+(AC$5&lt;AI$5)*AD142+(AO$5&lt;AI$5)*AP142+(AU$5&lt;AI$5)*AV142)))</f>
        <v/>
      </c>
      <c r="AL142">
        <f>IF(AJ142-AK142&lt;0.005,0,AJ142-AK142)</f>
        <v/>
      </c>
      <c r="AM142">
        <f>AR141</f>
        <v/>
      </c>
      <c r="AN142">
        <f>AM142*Plan!D12/100/12</f>
        <v/>
      </c>
      <c r="AO142">
        <f>MIN(Plan!E12,AM142+AN142)</f>
        <v/>
      </c>
      <c r="AP142">
        <f>AM142+AN142-AO142</f>
        <v/>
      </c>
      <c r="AQ142">
        <f>MIN(AP142,MAX(0,$B142-((E$5&lt;AO$5)*F142+(K$5&lt;AO$5)*L142+(Q$5&lt;AO$5)*R142+(W$5&lt;AO$5)*X142+(AC$5&lt;AO$5)*AD142+(AI$5&lt;AO$5)*AJ142+(AU$5&lt;AO$5)*AV142)))</f>
        <v/>
      </c>
      <c r="AR142">
        <f>IF(AP142-AQ142&lt;0.005,0,AP142-AQ142)</f>
        <v/>
      </c>
      <c r="AS142">
        <f>AX141</f>
        <v/>
      </c>
      <c r="AT142">
        <f>AS142*Plan!D13/100/12</f>
        <v/>
      </c>
      <c r="AU142">
        <f>MIN(Plan!E13,AS142+AT142)</f>
        <v/>
      </c>
      <c r="AV142">
        <f>AS142+AT142-AU142</f>
        <v/>
      </c>
      <c r="AW142">
        <f>MIN(AV142,MAX(0,$B142-((E$5&lt;AU$5)*F142+(K$5&lt;AU$5)*L142+(Q$5&lt;AU$5)*R142+(W$5&lt;AU$5)*X142+(AC$5&lt;AU$5)*AD142+(AI$5&lt;AU$5)*AJ142+(AO$5&lt;AU$5)*AP142)))</f>
        <v/>
      </c>
      <c r="AX142">
        <f>IF(AV142-AW142&lt;0.005,0,AV142-AW142)</f>
        <v/>
      </c>
      <c r="BC142">
        <f>H142+N142+T142+Z142+AF142+AL142+AR142+AX142</f>
        <v/>
      </c>
    </row>
    <row r="143">
      <c r="A143" t="n">
        <v>137</v>
      </c>
      <c r="B143" s="19">
        <f>MAX(0,$B$3-(E143+K143+Q143+W143+AC143+AI143+AO143+AU143))</f>
        <v/>
      </c>
      <c r="C143">
        <f>H142</f>
        <v/>
      </c>
      <c r="D143">
        <f>C143*Plan!D6/100/12</f>
        <v/>
      </c>
      <c r="E143">
        <f>MIN(Plan!E6,C143+D143)</f>
        <v/>
      </c>
      <c r="F143">
        <f>C143+D143-E143</f>
        <v/>
      </c>
      <c r="G143">
        <f>MIN(F143,MAX(0,$B143-((K$5&lt;E$5)*L143+(Q$5&lt;E$5)*R143+(W$5&lt;E$5)*X143+(AC$5&lt;E$5)*AD143+(AI$5&lt;E$5)*AJ143+(AO$5&lt;E$5)*AP143+(AU$5&lt;E$5)*AV143)))</f>
        <v/>
      </c>
      <c r="H143">
        <f>IF(F143-G143&lt;0.005,0,F143-G143)</f>
        <v/>
      </c>
      <c r="I143">
        <f>N142</f>
        <v/>
      </c>
      <c r="J143">
        <f>I143*Plan!D7/100/12</f>
        <v/>
      </c>
      <c r="K143">
        <f>MIN(Plan!E7,I143+J143)</f>
        <v/>
      </c>
      <c r="L143">
        <f>I143+J143-K143</f>
        <v/>
      </c>
      <c r="M143">
        <f>MIN(L143,MAX(0,$B143-((E$5&lt;K$5)*F143+(Q$5&lt;K$5)*R143+(W$5&lt;K$5)*X143+(AC$5&lt;K$5)*AD143+(AI$5&lt;K$5)*AJ143+(AO$5&lt;K$5)*AP143+(AU$5&lt;K$5)*AV143)))</f>
        <v/>
      </c>
      <c r="N143">
        <f>IF(L143-M143&lt;0.005,0,L143-M143)</f>
        <v/>
      </c>
      <c r="O143">
        <f>T142</f>
        <v/>
      </c>
      <c r="P143">
        <f>O143*Plan!D8/100/12</f>
        <v/>
      </c>
      <c r="Q143">
        <f>MIN(Plan!E8,O143+P143)</f>
        <v/>
      </c>
      <c r="R143">
        <f>O143+P143-Q143</f>
        <v/>
      </c>
      <c r="S143">
        <f>MIN(R143,MAX(0,$B143-((E$5&lt;Q$5)*F143+(K$5&lt;Q$5)*L143+(W$5&lt;Q$5)*X143+(AC$5&lt;Q$5)*AD143+(AI$5&lt;Q$5)*AJ143+(AO$5&lt;Q$5)*AP143+(AU$5&lt;Q$5)*AV143)))</f>
        <v/>
      </c>
      <c r="T143">
        <f>IF(R143-S143&lt;0.005,0,R143-S143)</f>
        <v/>
      </c>
      <c r="U143">
        <f>Z142</f>
        <v/>
      </c>
      <c r="V143">
        <f>U143*Plan!D9/100/12</f>
        <v/>
      </c>
      <c r="W143">
        <f>MIN(Plan!E9,U143+V143)</f>
        <v/>
      </c>
      <c r="X143">
        <f>U143+V143-W143</f>
        <v/>
      </c>
      <c r="Y143">
        <f>MIN(X143,MAX(0,$B143-((E$5&lt;W$5)*F143+(K$5&lt;W$5)*L143+(Q$5&lt;W$5)*R143+(AC$5&lt;W$5)*AD143+(AI$5&lt;W$5)*AJ143+(AO$5&lt;W$5)*AP143+(AU$5&lt;W$5)*AV143)))</f>
        <v/>
      </c>
      <c r="Z143">
        <f>IF(X143-Y143&lt;0.005,0,X143-Y143)</f>
        <v/>
      </c>
      <c r="AA143">
        <f>AF142</f>
        <v/>
      </c>
      <c r="AB143">
        <f>AA143*Plan!D10/100/12</f>
        <v/>
      </c>
      <c r="AC143">
        <f>MIN(Plan!E10,AA143+AB143)</f>
        <v/>
      </c>
      <c r="AD143">
        <f>AA143+AB143-AC143</f>
        <v/>
      </c>
      <c r="AE143">
        <f>MIN(AD143,MAX(0,$B143-((E$5&lt;AC$5)*F143+(K$5&lt;AC$5)*L143+(Q$5&lt;AC$5)*R143+(W$5&lt;AC$5)*X143+(AI$5&lt;AC$5)*AJ143+(AO$5&lt;AC$5)*AP143+(AU$5&lt;AC$5)*AV143)))</f>
        <v/>
      </c>
      <c r="AF143">
        <f>IF(AD143-AE143&lt;0.005,0,AD143-AE143)</f>
        <v/>
      </c>
      <c r="AG143">
        <f>AL142</f>
        <v/>
      </c>
      <c r="AH143">
        <f>AG143*Plan!D11/100/12</f>
        <v/>
      </c>
      <c r="AI143">
        <f>MIN(Plan!E11,AG143+AH143)</f>
        <v/>
      </c>
      <c r="AJ143">
        <f>AG143+AH143-AI143</f>
        <v/>
      </c>
      <c r="AK143">
        <f>MIN(AJ143,MAX(0,$B143-((E$5&lt;AI$5)*F143+(K$5&lt;AI$5)*L143+(Q$5&lt;AI$5)*R143+(W$5&lt;AI$5)*X143+(AC$5&lt;AI$5)*AD143+(AO$5&lt;AI$5)*AP143+(AU$5&lt;AI$5)*AV143)))</f>
        <v/>
      </c>
      <c r="AL143">
        <f>IF(AJ143-AK143&lt;0.005,0,AJ143-AK143)</f>
        <v/>
      </c>
      <c r="AM143">
        <f>AR142</f>
        <v/>
      </c>
      <c r="AN143">
        <f>AM143*Plan!D12/100/12</f>
        <v/>
      </c>
      <c r="AO143">
        <f>MIN(Plan!E12,AM143+AN143)</f>
        <v/>
      </c>
      <c r="AP143">
        <f>AM143+AN143-AO143</f>
        <v/>
      </c>
      <c r="AQ143">
        <f>MIN(AP143,MAX(0,$B143-((E$5&lt;AO$5)*F143+(K$5&lt;AO$5)*L143+(Q$5&lt;AO$5)*R143+(W$5&lt;AO$5)*X143+(AC$5&lt;AO$5)*AD143+(AI$5&lt;AO$5)*AJ143+(AU$5&lt;AO$5)*AV143)))</f>
        <v/>
      </c>
      <c r="AR143">
        <f>IF(AP143-AQ143&lt;0.005,0,AP143-AQ143)</f>
        <v/>
      </c>
      <c r="AS143">
        <f>AX142</f>
        <v/>
      </c>
      <c r="AT143">
        <f>AS143*Plan!D13/100/12</f>
        <v/>
      </c>
      <c r="AU143">
        <f>MIN(Plan!E13,AS143+AT143)</f>
        <v/>
      </c>
      <c r="AV143">
        <f>AS143+AT143-AU143</f>
        <v/>
      </c>
      <c r="AW143">
        <f>MIN(AV143,MAX(0,$B143-((E$5&lt;AU$5)*F143+(K$5&lt;AU$5)*L143+(Q$5&lt;AU$5)*R143+(W$5&lt;AU$5)*X143+(AC$5&lt;AU$5)*AD143+(AI$5&lt;AU$5)*AJ143+(AO$5&lt;AU$5)*AP143)))</f>
        <v/>
      </c>
      <c r="AX143">
        <f>IF(AV143-AW143&lt;0.005,0,AV143-AW143)</f>
        <v/>
      </c>
      <c r="BC143">
        <f>H143+N143+T143+Z143+AF143+AL143+AR143+AX143</f>
        <v/>
      </c>
    </row>
    <row r="144">
      <c r="A144" t="n">
        <v>138</v>
      </c>
      <c r="B144" s="19">
        <f>MAX(0,$B$3-(E144+K144+Q144+W144+AC144+AI144+AO144+AU144))</f>
        <v/>
      </c>
      <c r="C144">
        <f>H143</f>
        <v/>
      </c>
      <c r="D144">
        <f>C144*Plan!D6/100/12</f>
        <v/>
      </c>
      <c r="E144">
        <f>MIN(Plan!E6,C144+D144)</f>
        <v/>
      </c>
      <c r="F144">
        <f>C144+D144-E144</f>
        <v/>
      </c>
      <c r="G144">
        <f>MIN(F144,MAX(0,$B144-((K$5&lt;E$5)*L144+(Q$5&lt;E$5)*R144+(W$5&lt;E$5)*X144+(AC$5&lt;E$5)*AD144+(AI$5&lt;E$5)*AJ144+(AO$5&lt;E$5)*AP144+(AU$5&lt;E$5)*AV144)))</f>
        <v/>
      </c>
      <c r="H144">
        <f>IF(F144-G144&lt;0.005,0,F144-G144)</f>
        <v/>
      </c>
      <c r="I144">
        <f>N143</f>
        <v/>
      </c>
      <c r="J144">
        <f>I144*Plan!D7/100/12</f>
        <v/>
      </c>
      <c r="K144">
        <f>MIN(Plan!E7,I144+J144)</f>
        <v/>
      </c>
      <c r="L144">
        <f>I144+J144-K144</f>
        <v/>
      </c>
      <c r="M144">
        <f>MIN(L144,MAX(0,$B144-((E$5&lt;K$5)*F144+(Q$5&lt;K$5)*R144+(W$5&lt;K$5)*X144+(AC$5&lt;K$5)*AD144+(AI$5&lt;K$5)*AJ144+(AO$5&lt;K$5)*AP144+(AU$5&lt;K$5)*AV144)))</f>
        <v/>
      </c>
      <c r="N144">
        <f>IF(L144-M144&lt;0.005,0,L144-M144)</f>
        <v/>
      </c>
      <c r="O144">
        <f>T143</f>
        <v/>
      </c>
      <c r="P144">
        <f>O144*Plan!D8/100/12</f>
        <v/>
      </c>
      <c r="Q144">
        <f>MIN(Plan!E8,O144+P144)</f>
        <v/>
      </c>
      <c r="R144">
        <f>O144+P144-Q144</f>
        <v/>
      </c>
      <c r="S144">
        <f>MIN(R144,MAX(0,$B144-((E$5&lt;Q$5)*F144+(K$5&lt;Q$5)*L144+(W$5&lt;Q$5)*X144+(AC$5&lt;Q$5)*AD144+(AI$5&lt;Q$5)*AJ144+(AO$5&lt;Q$5)*AP144+(AU$5&lt;Q$5)*AV144)))</f>
        <v/>
      </c>
      <c r="T144">
        <f>IF(R144-S144&lt;0.005,0,R144-S144)</f>
        <v/>
      </c>
      <c r="U144">
        <f>Z143</f>
        <v/>
      </c>
      <c r="V144">
        <f>U144*Plan!D9/100/12</f>
        <v/>
      </c>
      <c r="W144">
        <f>MIN(Plan!E9,U144+V144)</f>
        <v/>
      </c>
      <c r="X144">
        <f>U144+V144-W144</f>
        <v/>
      </c>
      <c r="Y144">
        <f>MIN(X144,MAX(0,$B144-((E$5&lt;W$5)*F144+(K$5&lt;W$5)*L144+(Q$5&lt;W$5)*R144+(AC$5&lt;W$5)*AD144+(AI$5&lt;W$5)*AJ144+(AO$5&lt;W$5)*AP144+(AU$5&lt;W$5)*AV144)))</f>
        <v/>
      </c>
      <c r="Z144">
        <f>IF(X144-Y144&lt;0.005,0,X144-Y144)</f>
        <v/>
      </c>
      <c r="AA144">
        <f>AF143</f>
        <v/>
      </c>
      <c r="AB144">
        <f>AA144*Plan!D10/100/12</f>
        <v/>
      </c>
      <c r="AC144">
        <f>MIN(Plan!E10,AA144+AB144)</f>
        <v/>
      </c>
      <c r="AD144">
        <f>AA144+AB144-AC144</f>
        <v/>
      </c>
      <c r="AE144">
        <f>MIN(AD144,MAX(0,$B144-((E$5&lt;AC$5)*F144+(K$5&lt;AC$5)*L144+(Q$5&lt;AC$5)*R144+(W$5&lt;AC$5)*X144+(AI$5&lt;AC$5)*AJ144+(AO$5&lt;AC$5)*AP144+(AU$5&lt;AC$5)*AV144)))</f>
        <v/>
      </c>
      <c r="AF144">
        <f>IF(AD144-AE144&lt;0.005,0,AD144-AE144)</f>
        <v/>
      </c>
      <c r="AG144">
        <f>AL143</f>
        <v/>
      </c>
      <c r="AH144">
        <f>AG144*Plan!D11/100/12</f>
        <v/>
      </c>
      <c r="AI144">
        <f>MIN(Plan!E11,AG144+AH144)</f>
        <v/>
      </c>
      <c r="AJ144">
        <f>AG144+AH144-AI144</f>
        <v/>
      </c>
      <c r="AK144">
        <f>MIN(AJ144,MAX(0,$B144-((E$5&lt;AI$5)*F144+(K$5&lt;AI$5)*L144+(Q$5&lt;AI$5)*R144+(W$5&lt;AI$5)*X144+(AC$5&lt;AI$5)*AD144+(AO$5&lt;AI$5)*AP144+(AU$5&lt;AI$5)*AV144)))</f>
        <v/>
      </c>
      <c r="AL144">
        <f>IF(AJ144-AK144&lt;0.005,0,AJ144-AK144)</f>
        <v/>
      </c>
      <c r="AM144">
        <f>AR143</f>
        <v/>
      </c>
      <c r="AN144">
        <f>AM144*Plan!D12/100/12</f>
        <v/>
      </c>
      <c r="AO144">
        <f>MIN(Plan!E12,AM144+AN144)</f>
        <v/>
      </c>
      <c r="AP144">
        <f>AM144+AN144-AO144</f>
        <v/>
      </c>
      <c r="AQ144">
        <f>MIN(AP144,MAX(0,$B144-((E$5&lt;AO$5)*F144+(K$5&lt;AO$5)*L144+(Q$5&lt;AO$5)*R144+(W$5&lt;AO$5)*X144+(AC$5&lt;AO$5)*AD144+(AI$5&lt;AO$5)*AJ144+(AU$5&lt;AO$5)*AV144)))</f>
        <v/>
      </c>
      <c r="AR144">
        <f>IF(AP144-AQ144&lt;0.005,0,AP144-AQ144)</f>
        <v/>
      </c>
      <c r="AS144">
        <f>AX143</f>
        <v/>
      </c>
      <c r="AT144">
        <f>AS144*Plan!D13/100/12</f>
        <v/>
      </c>
      <c r="AU144">
        <f>MIN(Plan!E13,AS144+AT144)</f>
        <v/>
      </c>
      <c r="AV144">
        <f>AS144+AT144-AU144</f>
        <v/>
      </c>
      <c r="AW144">
        <f>MIN(AV144,MAX(0,$B144-((E$5&lt;AU$5)*F144+(K$5&lt;AU$5)*L144+(Q$5&lt;AU$5)*R144+(W$5&lt;AU$5)*X144+(AC$5&lt;AU$5)*AD144+(AI$5&lt;AU$5)*AJ144+(AO$5&lt;AU$5)*AP144)))</f>
        <v/>
      </c>
      <c r="AX144">
        <f>IF(AV144-AW144&lt;0.005,0,AV144-AW144)</f>
        <v/>
      </c>
      <c r="BC144">
        <f>H144+N144+T144+Z144+AF144+AL144+AR144+AX144</f>
        <v/>
      </c>
    </row>
    <row r="145">
      <c r="A145" t="n">
        <v>139</v>
      </c>
      <c r="B145" s="19">
        <f>MAX(0,$B$3-(E145+K145+Q145+W145+AC145+AI145+AO145+AU145))</f>
        <v/>
      </c>
      <c r="C145">
        <f>H144</f>
        <v/>
      </c>
      <c r="D145">
        <f>C145*Plan!D6/100/12</f>
        <v/>
      </c>
      <c r="E145">
        <f>MIN(Plan!E6,C145+D145)</f>
        <v/>
      </c>
      <c r="F145">
        <f>C145+D145-E145</f>
        <v/>
      </c>
      <c r="G145">
        <f>MIN(F145,MAX(0,$B145-((K$5&lt;E$5)*L145+(Q$5&lt;E$5)*R145+(W$5&lt;E$5)*X145+(AC$5&lt;E$5)*AD145+(AI$5&lt;E$5)*AJ145+(AO$5&lt;E$5)*AP145+(AU$5&lt;E$5)*AV145)))</f>
        <v/>
      </c>
      <c r="H145">
        <f>IF(F145-G145&lt;0.005,0,F145-G145)</f>
        <v/>
      </c>
      <c r="I145">
        <f>N144</f>
        <v/>
      </c>
      <c r="J145">
        <f>I145*Plan!D7/100/12</f>
        <v/>
      </c>
      <c r="K145">
        <f>MIN(Plan!E7,I145+J145)</f>
        <v/>
      </c>
      <c r="L145">
        <f>I145+J145-K145</f>
        <v/>
      </c>
      <c r="M145">
        <f>MIN(L145,MAX(0,$B145-((E$5&lt;K$5)*F145+(Q$5&lt;K$5)*R145+(W$5&lt;K$5)*X145+(AC$5&lt;K$5)*AD145+(AI$5&lt;K$5)*AJ145+(AO$5&lt;K$5)*AP145+(AU$5&lt;K$5)*AV145)))</f>
        <v/>
      </c>
      <c r="N145">
        <f>IF(L145-M145&lt;0.005,0,L145-M145)</f>
        <v/>
      </c>
      <c r="O145">
        <f>T144</f>
        <v/>
      </c>
      <c r="P145">
        <f>O145*Plan!D8/100/12</f>
        <v/>
      </c>
      <c r="Q145">
        <f>MIN(Plan!E8,O145+P145)</f>
        <v/>
      </c>
      <c r="R145">
        <f>O145+P145-Q145</f>
        <v/>
      </c>
      <c r="S145">
        <f>MIN(R145,MAX(0,$B145-((E$5&lt;Q$5)*F145+(K$5&lt;Q$5)*L145+(W$5&lt;Q$5)*X145+(AC$5&lt;Q$5)*AD145+(AI$5&lt;Q$5)*AJ145+(AO$5&lt;Q$5)*AP145+(AU$5&lt;Q$5)*AV145)))</f>
        <v/>
      </c>
      <c r="T145">
        <f>IF(R145-S145&lt;0.005,0,R145-S145)</f>
        <v/>
      </c>
      <c r="U145">
        <f>Z144</f>
        <v/>
      </c>
      <c r="V145">
        <f>U145*Plan!D9/100/12</f>
        <v/>
      </c>
      <c r="W145">
        <f>MIN(Plan!E9,U145+V145)</f>
        <v/>
      </c>
      <c r="X145">
        <f>U145+V145-W145</f>
        <v/>
      </c>
      <c r="Y145">
        <f>MIN(X145,MAX(0,$B145-((E$5&lt;W$5)*F145+(K$5&lt;W$5)*L145+(Q$5&lt;W$5)*R145+(AC$5&lt;W$5)*AD145+(AI$5&lt;W$5)*AJ145+(AO$5&lt;W$5)*AP145+(AU$5&lt;W$5)*AV145)))</f>
        <v/>
      </c>
      <c r="Z145">
        <f>IF(X145-Y145&lt;0.005,0,X145-Y145)</f>
        <v/>
      </c>
      <c r="AA145">
        <f>AF144</f>
        <v/>
      </c>
      <c r="AB145">
        <f>AA145*Plan!D10/100/12</f>
        <v/>
      </c>
      <c r="AC145">
        <f>MIN(Plan!E10,AA145+AB145)</f>
        <v/>
      </c>
      <c r="AD145">
        <f>AA145+AB145-AC145</f>
        <v/>
      </c>
      <c r="AE145">
        <f>MIN(AD145,MAX(0,$B145-((E$5&lt;AC$5)*F145+(K$5&lt;AC$5)*L145+(Q$5&lt;AC$5)*R145+(W$5&lt;AC$5)*X145+(AI$5&lt;AC$5)*AJ145+(AO$5&lt;AC$5)*AP145+(AU$5&lt;AC$5)*AV145)))</f>
        <v/>
      </c>
      <c r="AF145">
        <f>IF(AD145-AE145&lt;0.005,0,AD145-AE145)</f>
        <v/>
      </c>
      <c r="AG145">
        <f>AL144</f>
        <v/>
      </c>
      <c r="AH145">
        <f>AG145*Plan!D11/100/12</f>
        <v/>
      </c>
      <c r="AI145">
        <f>MIN(Plan!E11,AG145+AH145)</f>
        <v/>
      </c>
      <c r="AJ145">
        <f>AG145+AH145-AI145</f>
        <v/>
      </c>
      <c r="AK145">
        <f>MIN(AJ145,MAX(0,$B145-((E$5&lt;AI$5)*F145+(K$5&lt;AI$5)*L145+(Q$5&lt;AI$5)*R145+(W$5&lt;AI$5)*X145+(AC$5&lt;AI$5)*AD145+(AO$5&lt;AI$5)*AP145+(AU$5&lt;AI$5)*AV145)))</f>
        <v/>
      </c>
      <c r="AL145">
        <f>IF(AJ145-AK145&lt;0.005,0,AJ145-AK145)</f>
        <v/>
      </c>
      <c r="AM145">
        <f>AR144</f>
        <v/>
      </c>
      <c r="AN145">
        <f>AM145*Plan!D12/100/12</f>
        <v/>
      </c>
      <c r="AO145">
        <f>MIN(Plan!E12,AM145+AN145)</f>
        <v/>
      </c>
      <c r="AP145">
        <f>AM145+AN145-AO145</f>
        <v/>
      </c>
      <c r="AQ145">
        <f>MIN(AP145,MAX(0,$B145-((E$5&lt;AO$5)*F145+(K$5&lt;AO$5)*L145+(Q$5&lt;AO$5)*R145+(W$5&lt;AO$5)*X145+(AC$5&lt;AO$5)*AD145+(AI$5&lt;AO$5)*AJ145+(AU$5&lt;AO$5)*AV145)))</f>
        <v/>
      </c>
      <c r="AR145">
        <f>IF(AP145-AQ145&lt;0.005,0,AP145-AQ145)</f>
        <v/>
      </c>
      <c r="AS145">
        <f>AX144</f>
        <v/>
      </c>
      <c r="AT145">
        <f>AS145*Plan!D13/100/12</f>
        <v/>
      </c>
      <c r="AU145">
        <f>MIN(Plan!E13,AS145+AT145)</f>
        <v/>
      </c>
      <c r="AV145">
        <f>AS145+AT145-AU145</f>
        <v/>
      </c>
      <c r="AW145">
        <f>MIN(AV145,MAX(0,$B145-((E$5&lt;AU$5)*F145+(K$5&lt;AU$5)*L145+(Q$5&lt;AU$5)*R145+(W$5&lt;AU$5)*X145+(AC$5&lt;AU$5)*AD145+(AI$5&lt;AU$5)*AJ145+(AO$5&lt;AU$5)*AP145)))</f>
        <v/>
      </c>
      <c r="AX145">
        <f>IF(AV145-AW145&lt;0.005,0,AV145-AW145)</f>
        <v/>
      </c>
      <c r="BC145">
        <f>H145+N145+T145+Z145+AF145+AL145+AR145+AX145</f>
        <v/>
      </c>
    </row>
    <row r="146">
      <c r="A146" t="n">
        <v>140</v>
      </c>
      <c r="B146" s="19">
        <f>MAX(0,$B$3-(E146+K146+Q146+W146+AC146+AI146+AO146+AU146))</f>
        <v/>
      </c>
      <c r="C146">
        <f>H145</f>
        <v/>
      </c>
      <c r="D146">
        <f>C146*Plan!D6/100/12</f>
        <v/>
      </c>
      <c r="E146">
        <f>MIN(Plan!E6,C146+D146)</f>
        <v/>
      </c>
      <c r="F146">
        <f>C146+D146-E146</f>
        <v/>
      </c>
      <c r="G146">
        <f>MIN(F146,MAX(0,$B146-((K$5&lt;E$5)*L146+(Q$5&lt;E$5)*R146+(W$5&lt;E$5)*X146+(AC$5&lt;E$5)*AD146+(AI$5&lt;E$5)*AJ146+(AO$5&lt;E$5)*AP146+(AU$5&lt;E$5)*AV146)))</f>
        <v/>
      </c>
      <c r="H146">
        <f>IF(F146-G146&lt;0.005,0,F146-G146)</f>
        <v/>
      </c>
      <c r="I146">
        <f>N145</f>
        <v/>
      </c>
      <c r="J146">
        <f>I146*Plan!D7/100/12</f>
        <v/>
      </c>
      <c r="K146">
        <f>MIN(Plan!E7,I146+J146)</f>
        <v/>
      </c>
      <c r="L146">
        <f>I146+J146-K146</f>
        <v/>
      </c>
      <c r="M146">
        <f>MIN(L146,MAX(0,$B146-((E$5&lt;K$5)*F146+(Q$5&lt;K$5)*R146+(W$5&lt;K$5)*X146+(AC$5&lt;K$5)*AD146+(AI$5&lt;K$5)*AJ146+(AO$5&lt;K$5)*AP146+(AU$5&lt;K$5)*AV146)))</f>
        <v/>
      </c>
      <c r="N146">
        <f>IF(L146-M146&lt;0.005,0,L146-M146)</f>
        <v/>
      </c>
      <c r="O146">
        <f>T145</f>
        <v/>
      </c>
      <c r="P146">
        <f>O146*Plan!D8/100/12</f>
        <v/>
      </c>
      <c r="Q146">
        <f>MIN(Plan!E8,O146+P146)</f>
        <v/>
      </c>
      <c r="R146">
        <f>O146+P146-Q146</f>
        <v/>
      </c>
      <c r="S146">
        <f>MIN(R146,MAX(0,$B146-((E$5&lt;Q$5)*F146+(K$5&lt;Q$5)*L146+(W$5&lt;Q$5)*X146+(AC$5&lt;Q$5)*AD146+(AI$5&lt;Q$5)*AJ146+(AO$5&lt;Q$5)*AP146+(AU$5&lt;Q$5)*AV146)))</f>
        <v/>
      </c>
      <c r="T146">
        <f>IF(R146-S146&lt;0.005,0,R146-S146)</f>
        <v/>
      </c>
      <c r="U146">
        <f>Z145</f>
        <v/>
      </c>
      <c r="V146">
        <f>U146*Plan!D9/100/12</f>
        <v/>
      </c>
      <c r="W146">
        <f>MIN(Plan!E9,U146+V146)</f>
        <v/>
      </c>
      <c r="X146">
        <f>U146+V146-W146</f>
        <v/>
      </c>
      <c r="Y146">
        <f>MIN(X146,MAX(0,$B146-((E$5&lt;W$5)*F146+(K$5&lt;W$5)*L146+(Q$5&lt;W$5)*R146+(AC$5&lt;W$5)*AD146+(AI$5&lt;W$5)*AJ146+(AO$5&lt;W$5)*AP146+(AU$5&lt;W$5)*AV146)))</f>
        <v/>
      </c>
      <c r="Z146">
        <f>IF(X146-Y146&lt;0.005,0,X146-Y146)</f>
        <v/>
      </c>
      <c r="AA146">
        <f>AF145</f>
        <v/>
      </c>
      <c r="AB146">
        <f>AA146*Plan!D10/100/12</f>
        <v/>
      </c>
      <c r="AC146">
        <f>MIN(Plan!E10,AA146+AB146)</f>
        <v/>
      </c>
      <c r="AD146">
        <f>AA146+AB146-AC146</f>
        <v/>
      </c>
      <c r="AE146">
        <f>MIN(AD146,MAX(0,$B146-((E$5&lt;AC$5)*F146+(K$5&lt;AC$5)*L146+(Q$5&lt;AC$5)*R146+(W$5&lt;AC$5)*X146+(AI$5&lt;AC$5)*AJ146+(AO$5&lt;AC$5)*AP146+(AU$5&lt;AC$5)*AV146)))</f>
        <v/>
      </c>
      <c r="AF146">
        <f>IF(AD146-AE146&lt;0.005,0,AD146-AE146)</f>
        <v/>
      </c>
      <c r="AG146">
        <f>AL145</f>
        <v/>
      </c>
      <c r="AH146">
        <f>AG146*Plan!D11/100/12</f>
        <v/>
      </c>
      <c r="AI146">
        <f>MIN(Plan!E11,AG146+AH146)</f>
        <v/>
      </c>
      <c r="AJ146">
        <f>AG146+AH146-AI146</f>
        <v/>
      </c>
      <c r="AK146">
        <f>MIN(AJ146,MAX(0,$B146-((E$5&lt;AI$5)*F146+(K$5&lt;AI$5)*L146+(Q$5&lt;AI$5)*R146+(W$5&lt;AI$5)*X146+(AC$5&lt;AI$5)*AD146+(AO$5&lt;AI$5)*AP146+(AU$5&lt;AI$5)*AV146)))</f>
        <v/>
      </c>
      <c r="AL146">
        <f>IF(AJ146-AK146&lt;0.005,0,AJ146-AK146)</f>
        <v/>
      </c>
      <c r="AM146">
        <f>AR145</f>
        <v/>
      </c>
      <c r="AN146">
        <f>AM146*Plan!D12/100/12</f>
        <v/>
      </c>
      <c r="AO146">
        <f>MIN(Plan!E12,AM146+AN146)</f>
        <v/>
      </c>
      <c r="AP146">
        <f>AM146+AN146-AO146</f>
        <v/>
      </c>
      <c r="AQ146">
        <f>MIN(AP146,MAX(0,$B146-((E$5&lt;AO$5)*F146+(K$5&lt;AO$5)*L146+(Q$5&lt;AO$5)*R146+(W$5&lt;AO$5)*X146+(AC$5&lt;AO$5)*AD146+(AI$5&lt;AO$5)*AJ146+(AU$5&lt;AO$5)*AV146)))</f>
        <v/>
      </c>
      <c r="AR146">
        <f>IF(AP146-AQ146&lt;0.005,0,AP146-AQ146)</f>
        <v/>
      </c>
      <c r="AS146">
        <f>AX145</f>
        <v/>
      </c>
      <c r="AT146">
        <f>AS146*Plan!D13/100/12</f>
        <v/>
      </c>
      <c r="AU146">
        <f>MIN(Plan!E13,AS146+AT146)</f>
        <v/>
      </c>
      <c r="AV146">
        <f>AS146+AT146-AU146</f>
        <v/>
      </c>
      <c r="AW146">
        <f>MIN(AV146,MAX(0,$B146-((E$5&lt;AU$5)*F146+(K$5&lt;AU$5)*L146+(Q$5&lt;AU$5)*R146+(W$5&lt;AU$5)*X146+(AC$5&lt;AU$5)*AD146+(AI$5&lt;AU$5)*AJ146+(AO$5&lt;AU$5)*AP146)))</f>
        <v/>
      </c>
      <c r="AX146">
        <f>IF(AV146-AW146&lt;0.005,0,AV146-AW146)</f>
        <v/>
      </c>
      <c r="BC146">
        <f>H146+N146+T146+Z146+AF146+AL146+AR146+AX146</f>
        <v/>
      </c>
    </row>
    <row r="147">
      <c r="A147" t="n">
        <v>141</v>
      </c>
      <c r="B147" s="19">
        <f>MAX(0,$B$3-(E147+K147+Q147+W147+AC147+AI147+AO147+AU147))</f>
        <v/>
      </c>
      <c r="C147">
        <f>H146</f>
        <v/>
      </c>
      <c r="D147">
        <f>C147*Plan!D6/100/12</f>
        <v/>
      </c>
      <c r="E147">
        <f>MIN(Plan!E6,C147+D147)</f>
        <v/>
      </c>
      <c r="F147">
        <f>C147+D147-E147</f>
        <v/>
      </c>
      <c r="G147">
        <f>MIN(F147,MAX(0,$B147-((K$5&lt;E$5)*L147+(Q$5&lt;E$5)*R147+(W$5&lt;E$5)*X147+(AC$5&lt;E$5)*AD147+(AI$5&lt;E$5)*AJ147+(AO$5&lt;E$5)*AP147+(AU$5&lt;E$5)*AV147)))</f>
        <v/>
      </c>
      <c r="H147">
        <f>IF(F147-G147&lt;0.005,0,F147-G147)</f>
        <v/>
      </c>
      <c r="I147">
        <f>N146</f>
        <v/>
      </c>
      <c r="J147">
        <f>I147*Plan!D7/100/12</f>
        <v/>
      </c>
      <c r="K147">
        <f>MIN(Plan!E7,I147+J147)</f>
        <v/>
      </c>
      <c r="L147">
        <f>I147+J147-K147</f>
        <v/>
      </c>
      <c r="M147">
        <f>MIN(L147,MAX(0,$B147-((E$5&lt;K$5)*F147+(Q$5&lt;K$5)*R147+(W$5&lt;K$5)*X147+(AC$5&lt;K$5)*AD147+(AI$5&lt;K$5)*AJ147+(AO$5&lt;K$5)*AP147+(AU$5&lt;K$5)*AV147)))</f>
        <v/>
      </c>
      <c r="N147">
        <f>IF(L147-M147&lt;0.005,0,L147-M147)</f>
        <v/>
      </c>
      <c r="O147">
        <f>T146</f>
        <v/>
      </c>
      <c r="P147">
        <f>O147*Plan!D8/100/12</f>
        <v/>
      </c>
      <c r="Q147">
        <f>MIN(Plan!E8,O147+P147)</f>
        <v/>
      </c>
      <c r="R147">
        <f>O147+P147-Q147</f>
        <v/>
      </c>
      <c r="S147">
        <f>MIN(R147,MAX(0,$B147-((E$5&lt;Q$5)*F147+(K$5&lt;Q$5)*L147+(W$5&lt;Q$5)*X147+(AC$5&lt;Q$5)*AD147+(AI$5&lt;Q$5)*AJ147+(AO$5&lt;Q$5)*AP147+(AU$5&lt;Q$5)*AV147)))</f>
        <v/>
      </c>
      <c r="T147">
        <f>IF(R147-S147&lt;0.005,0,R147-S147)</f>
        <v/>
      </c>
      <c r="U147">
        <f>Z146</f>
        <v/>
      </c>
      <c r="V147">
        <f>U147*Plan!D9/100/12</f>
        <v/>
      </c>
      <c r="W147">
        <f>MIN(Plan!E9,U147+V147)</f>
        <v/>
      </c>
      <c r="X147">
        <f>U147+V147-W147</f>
        <v/>
      </c>
      <c r="Y147">
        <f>MIN(X147,MAX(0,$B147-((E$5&lt;W$5)*F147+(K$5&lt;W$5)*L147+(Q$5&lt;W$5)*R147+(AC$5&lt;W$5)*AD147+(AI$5&lt;W$5)*AJ147+(AO$5&lt;W$5)*AP147+(AU$5&lt;W$5)*AV147)))</f>
        <v/>
      </c>
      <c r="Z147">
        <f>IF(X147-Y147&lt;0.005,0,X147-Y147)</f>
        <v/>
      </c>
      <c r="AA147">
        <f>AF146</f>
        <v/>
      </c>
      <c r="AB147">
        <f>AA147*Plan!D10/100/12</f>
        <v/>
      </c>
      <c r="AC147">
        <f>MIN(Plan!E10,AA147+AB147)</f>
        <v/>
      </c>
      <c r="AD147">
        <f>AA147+AB147-AC147</f>
        <v/>
      </c>
      <c r="AE147">
        <f>MIN(AD147,MAX(0,$B147-((E$5&lt;AC$5)*F147+(K$5&lt;AC$5)*L147+(Q$5&lt;AC$5)*R147+(W$5&lt;AC$5)*X147+(AI$5&lt;AC$5)*AJ147+(AO$5&lt;AC$5)*AP147+(AU$5&lt;AC$5)*AV147)))</f>
        <v/>
      </c>
      <c r="AF147">
        <f>IF(AD147-AE147&lt;0.005,0,AD147-AE147)</f>
        <v/>
      </c>
      <c r="AG147">
        <f>AL146</f>
        <v/>
      </c>
      <c r="AH147">
        <f>AG147*Plan!D11/100/12</f>
        <v/>
      </c>
      <c r="AI147">
        <f>MIN(Plan!E11,AG147+AH147)</f>
        <v/>
      </c>
      <c r="AJ147">
        <f>AG147+AH147-AI147</f>
        <v/>
      </c>
      <c r="AK147">
        <f>MIN(AJ147,MAX(0,$B147-((E$5&lt;AI$5)*F147+(K$5&lt;AI$5)*L147+(Q$5&lt;AI$5)*R147+(W$5&lt;AI$5)*X147+(AC$5&lt;AI$5)*AD147+(AO$5&lt;AI$5)*AP147+(AU$5&lt;AI$5)*AV147)))</f>
        <v/>
      </c>
      <c r="AL147">
        <f>IF(AJ147-AK147&lt;0.005,0,AJ147-AK147)</f>
        <v/>
      </c>
      <c r="AM147">
        <f>AR146</f>
        <v/>
      </c>
      <c r="AN147">
        <f>AM147*Plan!D12/100/12</f>
        <v/>
      </c>
      <c r="AO147">
        <f>MIN(Plan!E12,AM147+AN147)</f>
        <v/>
      </c>
      <c r="AP147">
        <f>AM147+AN147-AO147</f>
        <v/>
      </c>
      <c r="AQ147">
        <f>MIN(AP147,MAX(0,$B147-((E$5&lt;AO$5)*F147+(K$5&lt;AO$5)*L147+(Q$5&lt;AO$5)*R147+(W$5&lt;AO$5)*X147+(AC$5&lt;AO$5)*AD147+(AI$5&lt;AO$5)*AJ147+(AU$5&lt;AO$5)*AV147)))</f>
        <v/>
      </c>
      <c r="AR147">
        <f>IF(AP147-AQ147&lt;0.005,0,AP147-AQ147)</f>
        <v/>
      </c>
      <c r="AS147">
        <f>AX146</f>
        <v/>
      </c>
      <c r="AT147">
        <f>AS147*Plan!D13/100/12</f>
        <v/>
      </c>
      <c r="AU147">
        <f>MIN(Plan!E13,AS147+AT147)</f>
        <v/>
      </c>
      <c r="AV147">
        <f>AS147+AT147-AU147</f>
        <v/>
      </c>
      <c r="AW147">
        <f>MIN(AV147,MAX(0,$B147-((E$5&lt;AU$5)*F147+(K$5&lt;AU$5)*L147+(Q$5&lt;AU$5)*R147+(W$5&lt;AU$5)*X147+(AC$5&lt;AU$5)*AD147+(AI$5&lt;AU$5)*AJ147+(AO$5&lt;AU$5)*AP147)))</f>
        <v/>
      </c>
      <c r="AX147">
        <f>IF(AV147-AW147&lt;0.005,0,AV147-AW147)</f>
        <v/>
      </c>
      <c r="BC147">
        <f>H147+N147+T147+Z147+AF147+AL147+AR147+AX147</f>
        <v/>
      </c>
    </row>
    <row r="148">
      <c r="A148" t="n">
        <v>142</v>
      </c>
      <c r="B148" s="19">
        <f>MAX(0,$B$3-(E148+K148+Q148+W148+AC148+AI148+AO148+AU148))</f>
        <v/>
      </c>
      <c r="C148">
        <f>H147</f>
        <v/>
      </c>
      <c r="D148">
        <f>C148*Plan!D6/100/12</f>
        <v/>
      </c>
      <c r="E148">
        <f>MIN(Plan!E6,C148+D148)</f>
        <v/>
      </c>
      <c r="F148">
        <f>C148+D148-E148</f>
        <v/>
      </c>
      <c r="G148">
        <f>MIN(F148,MAX(0,$B148-((K$5&lt;E$5)*L148+(Q$5&lt;E$5)*R148+(W$5&lt;E$5)*X148+(AC$5&lt;E$5)*AD148+(AI$5&lt;E$5)*AJ148+(AO$5&lt;E$5)*AP148+(AU$5&lt;E$5)*AV148)))</f>
        <v/>
      </c>
      <c r="H148">
        <f>IF(F148-G148&lt;0.005,0,F148-G148)</f>
        <v/>
      </c>
      <c r="I148">
        <f>N147</f>
        <v/>
      </c>
      <c r="J148">
        <f>I148*Plan!D7/100/12</f>
        <v/>
      </c>
      <c r="K148">
        <f>MIN(Plan!E7,I148+J148)</f>
        <v/>
      </c>
      <c r="L148">
        <f>I148+J148-K148</f>
        <v/>
      </c>
      <c r="M148">
        <f>MIN(L148,MAX(0,$B148-((E$5&lt;K$5)*F148+(Q$5&lt;K$5)*R148+(W$5&lt;K$5)*X148+(AC$5&lt;K$5)*AD148+(AI$5&lt;K$5)*AJ148+(AO$5&lt;K$5)*AP148+(AU$5&lt;K$5)*AV148)))</f>
        <v/>
      </c>
      <c r="N148">
        <f>IF(L148-M148&lt;0.005,0,L148-M148)</f>
        <v/>
      </c>
      <c r="O148">
        <f>T147</f>
        <v/>
      </c>
      <c r="P148">
        <f>O148*Plan!D8/100/12</f>
        <v/>
      </c>
      <c r="Q148">
        <f>MIN(Plan!E8,O148+P148)</f>
        <v/>
      </c>
      <c r="R148">
        <f>O148+P148-Q148</f>
        <v/>
      </c>
      <c r="S148">
        <f>MIN(R148,MAX(0,$B148-((E$5&lt;Q$5)*F148+(K$5&lt;Q$5)*L148+(W$5&lt;Q$5)*X148+(AC$5&lt;Q$5)*AD148+(AI$5&lt;Q$5)*AJ148+(AO$5&lt;Q$5)*AP148+(AU$5&lt;Q$5)*AV148)))</f>
        <v/>
      </c>
      <c r="T148">
        <f>IF(R148-S148&lt;0.005,0,R148-S148)</f>
        <v/>
      </c>
      <c r="U148">
        <f>Z147</f>
        <v/>
      </c>
      <c r="V148">
        <f>U148*Plan!D9/100/12</f>
        <v/>
      </c>
      <c r="W148">
        <f>MIN(Plan!E9,U148+V148)</f>
        <v/>
      </c>
      <c r="X148">
        <f>U148+V148-W148</f>
        <v/>
      </c>
      <c r="Y148">
        <f>MIN(X148,MAX(0,$B148-((E$5&lt;W$5)*F148+(K$5&lt;W$5)*L148+(Q$5&lt;W$5)*R148+(AC$5&lt;W$5)*AD148+(AI$5&lt;W$5)*AJ148+(AO$5&lt;W$5)*AP148+(AU$5&lt;W$5)*AV148)))</f>
        <v/>
      </c>
      <c r="Z148">
        <f>IF(X148-Y148&lt;0.005,0,X148-Y148)</f>
        <v/>
      </c>
      <c r="AA148">
        <f>AF147</f>
        <v/>
      </c>
      <c r="AB148">
        <f>AA148*Plan!D10/100/12</f>
        <v/>
      </c>
      <c r="AC148">
        <f>MIN(Plan!E10,AA148+AB148)</f>
        <v/>
      </c>
      <c r="AD148">
        <f>AA148+AB148-AC148</f>
        <v/>
      </c>
      <c r="AE148">
        <f>MIN(AD148,MAX(0,$B148-((E$5&lt;AC$5)*F148+(K$5&lt;AC$5)*L148+(Q$5&lt;AC$5)*R148+(W$5&lt;AC$5)*X148+(AI$5&lt;AC$5)*AJ148+(AO$5&lt;AC$5)*AP148+(AU$5&lt;AC$5)*AV148)))</f>
        <v/>
      </c>
      <c r="AF148">
        <f>IF(AD148-AE148&lt;0.005,0,AD148-AE148)</f>
        <v/>
      </c>
      <c r="AG148">
        <f>AL147</f>
        <v/>
      </c>
      <c r="AH148">
        <f>AG148*Plan!D11/100/12</f>
        <v/>
      </c>
      <c r="AI148">
        <f>MIN(Plan!E11,AG148+AH148)</f>
        <v/>
      </c>
      <c r="AJ148">
        <f>AG148+AH148-AI148</f>
        <v/>
      </c>
      <c r="AK148">
        <f>MIN(AJ148,MAX(0,$B148-((E$5&lt;AI$5)*F148+(K$5&lt;AI$5)*L148+(Q$5&lt;AI$5)*R148+(W$5&lt;AI$5)*X148+(AC$5&lt;AI$5)*AD148+(AO$5&lt;AI$5)*AP148+(AU$5&lt;AI$5)*AV148)))</f>
        <v/>
      </c>
      <c r="AL148">
        <f>IF(AJ148-AK148&lt;0.005,0,AJ148-AK148)</f>
        <v/>
      </c>
      <c r="AM148">
        <f>AR147</f>
        <v/>
      </c>
      <c r="AN148">
        <f>AM148*Plan!D12/100/12</f>
        <v/>
      </c>
      <c r="AO148">
        <f>MIN(Plan!E12,AM148+AN148)</f>
        <v/>
      </c>
      <c r="AP148">
        <f>AM148+AN148-AO148</f>
        <v/>
      </c>
      <c r="AQ148">
        <f>MIN(AP148,MAX(0,$B148-((E$5&lt;AO$5)*F148+(K$5&lt;AO$5)*L148+(Q$5&lt;AO$5)*R148+(W$5&lt;AO$5)*X148+(AC$5&lt;AO$5)*AD148+(AI$5&lt;AO$5)*AJ148+(AU$5&lt;AO$5)*AV148)))</f>
        <v/>
      </c>
      <c r="AR148">
        <f>IF(AP148-AQ148&lt;0.005,0,AP148-AQ148)</f>
        <v/>
      </c>
      <c r="AS148">
        <f>AX147</f>
        <v/>
      </c>
      <c r="AT148">
        <f>AS148*Plan!D13/100/12</f>
        <v/>
      </c>
      <c r="AU148">
        <f>MIN(Plan!E13,AS148+AT148)</f>
        <v/>
      </c>
      <c r="AV148">
        <f>AS148+AT148-AU148</f>
        <v/>
      </c>
      <c r="AW148">
        <f>MIN(AV148,MAX(0,$B148-((E$5&lt;AU$5)*F148+(K$5&lt;AU$5)*L148+(Q$5&lt;AU$5)*R148+(W$5&lt;AU$5)*X148+(AC$5&lt;AU$5)*AD148+(AI$5&lt;AU$5)*AJ148+(AO$5&lt;AU$5)*AP148)))</f>
        <v/>
      </c>
      <c r="AX148">
        <f>IF(AV148-AW148&lt;0.005,0,AV148-AW148)</f>
        <v/>
      </c>
      <c r="BC148">
        <f>H148+N148+T148+Z148+AF148+AL148+AR148+AX148</f>
        <v/>
      </c>
    </row>
    <row r="149">
      <c r="A149" t="n">
        <v>143</v>
      </c>
      <c r="B149" s="19">
        <f>MAX(0,$B$3-(E149+K149+Q149+W149+AC149+AI149+AO149+AU149))</f>
        <v/>
      </c>
      <c r="C149">
        <f>H148</f>
        <v/>
      </c>
      <c r="D149">
        <f>C149*Plan!D6/100/12</f>
        <v/>
      </c>
      <c r="E149">
        <f>MIN(Plan!E6,C149+D149)</f>
        <v/>
      </c>
      <c r="F149">
        <f>C149+D149-E149</f>
        <v/>
      </c>
      <c r="G149">
        <f>MIN(F149,MAX(0,$B149-((K$5&lt;E$5)*L149+(Q$5&lt;E$5)*R149+(W$5&lt;E$5)*X149+(AC$5&lt;E$5)*AD149+(AI$5&lt;E$5)*AJ149+(AO$5&lt;E$5)*AP149+(AU$5&lt;E$5)*AV149)))</f>
        <v/>
      </c>
      <c r="H149">
        <f>IF(F149-G149&lt;0.005,0,F149-G149)</f>
        <v/>
      </c>
      <c r="I149">
        <f>N148</f>
        <v/>
      </c>
      <c r="J149">
        <f>I149*Plan!D7/100/12</f>
        <v/>
      </c>
      <c r="K149">
        <f>MIN(Plan!E7,I149+J149)</f>
        <v/>
      </c>
      <c r="L149">
        <f>I149+J149-K149</f>
        <v/>
      </c>
      <c r="M149">
        <f>MIN(L149,MAX(0,$B149-((E$5&lt;K$5)*F149+(Q$5&lt;K$5)*R149+(W$5&lt;K$5)*X149+(AC$5&lt;K$5)*AD149+(AI$5&lt;K$5)*AJ149+(AO$5&lt;K$5)*AP149+(AU$5&lt;K$5)*AV149)))</f>
        <v/>
      </c>
      <c r="N149">
        <f>IF(L149-M149&lt;0.005,0,L149-M149)</f>
        <v/>
      </c>
      <c r="O149">
        <f>T148</f>
        <v/>
      </c>
      <c r="P149">
        <f>O149*Plan!D8/100/12</f>
        <v/>
      </c>
      <c r="Q149">
        <f>MIN(Plan!E8,O149+P149)</f>
        <v/>
      </c>
      <c r="R149">
        <f>O149+P149-Q149</f>
        <v/>
      </c>
      <c r="S149">
        <f>MIN(R149,MAX(0,$B149-((E$5&lt;Q$5)*F149+(K$5&lt;Q$5)*L149+(W$5&lt;Q$5)*X149+(AC$5&lt;Q$5)*AD149+(AI$5&lt;Q$5)*AJ149+(AO$5&lt;Q$5)*AP149+(AU$5&lt;Q$5)*AV149)))</f>
        <v/>
      </c>
      <c r="T149">
        <f>IF(R149-S149&lt;0.005,0,R149-S149)</f>
        <v/>
      </c>
      <c r="U149">
        <f>Z148</f>
        <v/>
      </c>
      <c r="V149">
        <f>U149*Plan!D9/100/12</f>
        <v/>
      </c>
      <c r="W149">
        <f>MIN(Plan!E9,U149+V149)</f>
        <v/>
      </c>
      <c r="X149">
        <f>U149+V149-W149</f>
        <v/>
      </c>
      <c r="Y149">
        <f>MIN(X149,MAX(0,$B149-((E$5&lt;W$5)*F149+(K$5&lt;W$5)*L149+(Q$5&lt;W$5)*R149+(AC$5&lt;W$5)*AD149+(AI$5&lt;W$5)*AJ149+(AO$5&lt;W$5)*AP149+(AU$5&lt;W$5)*AV149)))</f>
        <v/>
      </c>
      <c r="Z149">
        <f>IF(X149-Y149&lt;0.005,0,X149-Y149)</f>
        <v/>
      </c>
      <c r="AA149">
        <f>AF148</f>
        <v/>
      </c>
      <c r="AB149">
        <f>AA149*Plan!D10/100/12</f>
        <v/>
      </c>
      <c r="AC149">
        <f>MIN(Plan!E10,AA149+AB149)</f>
        <v/>
      </c>
      <c r="AD149">
        <f>AA149+AB149-AC149</f>
        <v/>
      </c>
      <c r="AE149">
        <f>MIN(AD149,MAX(0,$B149-((E$5&lt;AC$5)*F149+(K$5&lt;AC$5)*L149+(Q$5&lt;AC$5)*R149+(W$5&lt;AC$5)*X149+(AI$5&lt;AC$5)*AJ149+(AO$5&lt;AC$5)*AP149+(AU$5&lt;AC$5)*AV149)))</f>
        <v/>
      </c>
      <c r="AF149">
        <f>IF(AD149-AE149&lt;0.005,0,AD149-AE149)</f>
        <v/>
      </c>
      <c r="AG149">
        <f>AL148</f>
        <v/>
      </c>
      <c r="AH149">
        <f>AG149*Plan!D11/100/12</f>
        <v/>
      </c>
      <c r="AI149">
        <f>MIN(Plan!E11,AG149+AH149)</f>
        <v/>
      </c>
      <c r="AJ149">
        <f>AG149+AH149-AI149</f>
        <v/>
      </c>
      <c r="AK149">
        <f>MIN(AJ149,MAX(0,$B149-((E$5&lt;AI$5)*F149+(K$5&lt;AI$5)*L149+(Q$5&lt;AI$5)*R149+(W$5&lt;AI$5)*X149+(AC$5&lt;AI$5)*AD149+(AO$5&lt;AI$5)*AP149+(AU$5&lt;AI$5)*AV149)))</f>
        <v/>
      </c>
      <c r="AL149">
        <f>IF(AJ149-AK149&lt;0.005,0,AJ149-AK149)</f>
        <v/>
      </c>
      <c r="AM149">
        <f>AR148</f>
        <v/>
      </c>
      <c r="AN149">
        <f>AM149*Plan!D12/100/12</f>
        <v/>
      </c>
      <c r="AO149">
        <f>MIN(Plan!E12,AM149+AN149)</f>
        <v/>
      </c>
      <c r="AP149">
        <f>AM149+AN149-AO149</f>
        <v/>
      </c>
      <c r="AQ149">
        <f>MIN(AP149,MAX(0,$B149-((E$5&lt;AO$5)*F149+(K$5&lt;AO$5)*L149+(Q$5&lt;AO$5)*R149+(W$5&lt;AO$5)*X149+(AC$5&lt;AO$5)*AD149+(AI$5&lt;AO$5)*AJ149+(AU$5&lt;AO$5)*AV149)))</f>
        <v/>
      </c>
      <c r="AR149">
        <f>IF(AP149-AQ149&lt;0.005,0,AP149-AQ149)</f>
        <v/>
      </c>
      <c r="AS149">
        <f>AX148</f>
        <v/>
      </c>
      <c r="AT149">
        <f>AS149*Plan!D13/100/12</f>
        <v/>
      </c>
      <c r="AU149">
        <f>MIN(Plan!E13,AS149+AT149)</f>
        <v/>
      </c>
      <c r="AV149">
        <f>AS149+AT149-AU149</f>
        <v/>
      </c>
      <c r="AW149">
        <f>MIN(AV149,MAX(0,$B149-((E$5&lt;AU$5)*F149+(K$5&lt;AU$5)*L149+(Q$5&lt;AU$5)*R149+(W$5&lt;AU$5)*X149+(AC$5&lt;AU$5)*AD149+(AI$5&lt;AU$5)*AJ149+(AO$5&lt;AU$5)*AP149)))</f>
        <v/>
      </c>
      <c r="AX149">
        <f>IF(AV149-AW149&lt;0.005,0,AV149-AW149)</f>
        <v/>
      </c>
      <c r="BC149">
        <f>H149+N149+T149+Z149+AF149+AL149+AR149+AX149</f>
        <v/>
      </c>
    </row>
    <row r="150">
      <c r="A150" t="n">
        <v>144</v>
      </c>
      <c r="B150" s="19">
        <f>MAX(0,$B$3-(E150+K150+Q150+W150+AC150+AI150+AO150+AU150))</f>
        <v/>
      </c>
      <c r="C150">
        <f>H149</f>
        <v/>
      </c>
      <c r="D150">
        <f>C150*Plan!D6/100/12</f>
        <v/>
      </c>
      <c r="E150">
        <f>MIN(Plan!E6,C150+D150)</f>
        <v/>
      </c>
      <c r="F150">
        <f>C150+D150-E150</f>
        <v/>
      </c>
      <c r="G150">
        <f>MIN(F150,MAX(0,$B150-((K$5&lt;E$5)*L150+(Q$5&lt;E$5)*R150+(W$5&lt;E$5)*X150+(AC$5&lt;E$5)*AD150+(AI$5&lt;E$5)*AJ150+(AO$5&lt;E$5)*AP150+(AU$5&lt;E$5)*AV150)))</f>
        <v/>
      </c>
      <c r="H150">
        <f>IF(F150-G150&lt;0.005,0,F150-G150)</f>
        <v/>
      </c>
      <c r="I150">
        <f>N149</f>
        <v/>
      </c>
      <c r="J150">
        <f>I150*Plan!D7/100/12</f>
        <v/>
      </c>
      <c r="K150">
        <f>MIN(Plan!E7,I150+J150)</f>
        <v/>
      </c>
      <c r="L150">
        <f>I150+J150-K150</f>
        <v/>
      </c>
      <c r="M150">
        <f>MIN(L150,MAX(0,$B150-((E$5&lt;K$5)*F150+(Q$5&lt;K$5)*R150+(W$5&lt;K$5)*X150+(AC$5&lt;K$5)*AD150+(AI$5&lt;K$5)*AJ150+(AO$5&lt;K$5)*AP150+(AU$5&lt;K$5)*AV150)))</f>
        <v/>
      </c>
      <c r="N150">
        <f>IF(L150-M150&lt;0.005,0,L150-M150)</f>
        <v/>
      </c>
      <c r="O150">
        <f>T149</f>
        <v/>
      </c>
      <c r="P150">
        <f>O150*Plan!D8/100/12</f>
        <v/>
      </c>
      <c r="Q150">
        <f>MIN(Plan!E8,O150+P150)</f>
        <v/>
      </c>
      <c r="R150">
        <f>O150+P150-Q150</f>
        <v/>
      </c>
      <c r="S150">
        <f>MIN(R150,MAX(0,$B150-((E$5&lt;Q$5)*F150+(K$5&lt;Q$5)*L150+(W$5&lt;Q$5)*X150+(AC$5&lt;Q$5)*AD150+(AI$5&lt;Q$5)*AJ150+(AO$5&lt;Q$5)*AP150+(AU$5&lt;Q$5)*AV150)))</f>
        <v/>
      </c>
      <c r="T150">
        <f>IF(R150-S150&lt;0.005,0,R150-S150)</f>
        <v/>
      </c>
      <c r="U150">
        <f>Z149</f>
        <v/>
      </c>
      <c r="V150">
        <f>U150*Plan!D9/100/12</f>
        <v/>
      </c>
      <c r="W150">
        <f>MIN(Plan!E9,U150+V150)</f>
        <v/>
      </c>
      <c r="X150">
        <f>U150+V150-W150</f>
        <v/>
      </c>
      <c r="Y150">
        <f>MIN(X150,MAX(0,$B150-((E$5&lt;W$5)*F150+(K$5&lt;W$5)*L150+(Q$5&lt;W$5)*R150+(AC$5&lt;W$5)*AD150+(AI$5&lt;W$5)*AJ150+(AO$5&lt;W$5)*AP150+(AU$5&lt;W$5)*AV150)))</f>
        <v/>
      </c>
      <c r="Z150">
        <f>IF(X150-Y150&lt;0.005,0,X150-Y150)</f>
        <v/>
      </c>
      <c r="AA150">
        <f>AF149</f>
        <v/>
      </c>
      <c r="AB150">
        <f>AA150*Plan!D10/100/12</f>
        <v/>
      </c>
      <c r="AC150">
        <f>MIN(Plan!E10,AA150+AB150)</f>
        <v/>
      </c>
      <c r="AD150">
        <f>AA150+AB150-AC150</f>
        <v/>
      </c>
      <c r="AE150">
        <f>MIN(AD150,MAX(0,$B150-((E$5&lt;AC$5)*F150+(K$5&lt;AC$5)*L150+(Q$5&lt;AC$5)*R150+(W$5&lt;AC$5)*X150+(AI$5&lt;AC$5)*AJ150+(AO$5&lt;AC$5)*AP150+(AU$5&lt;AC$5)*AV150)))</f>
        <v/>
      </c>
      <c r="AF150">
        <f>IF(AD150-AE150&lt;0.005,0,AD150-AE150)</f>
        <v/>
      </c>
      <c r="AG150">
        <f>AL149</f>
        <v/>
      </c>
      <c r="AH150">
        <f>AG150*Plan!D11/100/12</f>
        <v/>
      </c>
      <c r="AI150">
        <f>MIN(Plan!E11,AG150+AH150)</f>
        <v/>
      </c>
      <c r="AJ150">
        <f>AG150+AH150-AI150</f>
        <v/>
      </c>
      <c r="AK150">
        <f>MIN(AJ150,MAX(0,$B150-((E$5&lt;AI$5)*F150+(K$5&lt;AI$5)*L150+(Q$5&lt;AI$5)*R150+(W$5&lt;AI$5)*X150+(AC$5&lt;AI$5)*AD150+(AO$5&lt;AI$5)*AP150+(AU$5&lt;AI$5)*AV150)))</f>
        <v/>
      </c>
      <c r="AL150">
        <f>IF(AJ150-AK150&lt;0.005,0,AJ150-AK150)</f>
        <v/>
      </c>
      <c r="AM150">
        <f>AR149</f>
        <v/>
      </c>
      <c r="AN150">
        <f>AM150*Plan!D12/100/12</f>
        <v/>
      </c>
      <c r="AO150">
        <f>MIN(Plan!E12,AM150+AN150)</f>
        <v/>
      </c>
      <c r="AP150">
        <f>AM150+AN150-AO150</f>
        <v/>
      </c>
      <c r="AQ150">
        <f>MIN(AP150,MAX(0,$B150-((E$5&lt;AO$5)*F150+(K$5&lt;AO$5)*L150+(Q$5&lt;AO$5)*R150+(W$5&lt;AO$5)*X150+(AC$5&lt;AO$5)*AD150+(AI$5&lt;AO$5)*AJ150+(AU$5&lt;AO$5)*AV150)))</f>
        <v/>
      </c>
      <c r="AR150">
        <f>IF(AP150-AQ150&lt;0.005,0,AP150-AQ150)</f>
        <v/>
      </c>
      <c r="AS150">
        <f>AX149</f>
        <v/>
      </c>
      <c r="AT150">
        <f>AS150*Plan!D13/100/12</f>
        <v/>
      </c>
      <c r="AU150">
        <f>MIN(Plan!E13,AS150+AT150)</f>
        <v/>
      </c>
      <c r="AV150">
        <f>AS150+AT150-AU150</f>
        <v/>
      </c>
      <c r="AW150">
        <f>MIN(AV150,MAX(0,$B150-((E$5&lt;AU$5)*F150+(K$5&lt;AU$5)*L150+(Q$5&lt;AU$5)*R150+(W$5&lt;AU$5)*X150+(AC$5&lt;AU$5)*AD150+(AI$5&lt;AU$5)*AJ150+(AO$5&lt;AU$5)*AP150)))</f>
        <v/>
      </c>
      <c r="AX150">
        <f>IF(AV150-AW150&lt;0.005,0,AV150-AW150)</f>
        <v/>
      </c>
      <c r="BC150">
        <f>H150+N150+T150+Z150+AF150+AL150+AR150+AX150</f>
        <v/>
      </c>
    </row>
    <row r="151">
      <c r="A151" t="n">
        <v>145</v>
      </c>
      <c r="B151" s="19">
        <f>MAX(0,$B$3-(E151+K151+Q151+W151+AC151+AI151+AO151+AU151))</f>
        <v/>
      </c>
      <c r="C151">
        <f>H150</f>
        <v/>
      </c>
      <c r="D151">
        <f>C151*Plan!D6/100/12</f>
        <v/>
      </c>
      <c r="E151">
        <f>MIN(Plan!E6,C151+D151)</f>
        <v/>
      </c>
      <c r="F151">
        <f>C151+D151-E151</f>
        <v/>
      </c>
      <c r="G151">
        <f>MIN(F151,MAX(0,$B151-((K$5&lt;E$5)*L151+(Q$5&lt;E$5)*R151+(W$5&lt;E$5)*X151+(AC$5&lt;E$5)*AD151+(AI$5&lt;E$5)*AJ151+(AO$5&lt;E$5)*AP151+(AU$5&lt;E$5)*AV151)))</f>
        <v/>
      </c>
      <c r="H151">
        <f>IF(F151-G151&lt;0.005,0,F151-G151)</f>
        <v/>
      </c>
      <c r="I151">
        <f>N150</f>
        <v/>
      </c>
      <c r="J151">
        <f>I151*Plan!D7/100/12</f>
        <v/>
      </c>
      <c r="K151">
        <f>MIN(Plan!E7,I151+J151)</f>
        <v/>
      </c>
      <c r="L151">
        <f>I151+J151-K151</f>
        <v/>
      </c>
      <c r="M151">
        <f>MIN(L151,MAX(0,$B151-((E$5&lt;K$5)*F151+(Q$5&lt;K$5)*R151+(W$5&lt;K$5)*X151+(AC$5&lt;K$5)*AD151+(AI$5&lt;K$5)*AJ151+(AO$5&lt;K$5)*AP151+(AU$5&lt;K$5)*AV151)))</f>
        <v/>
      </c>
      <c r="N151">
        <f>IF(L151-M151&lt;0.005,0,L151-M151)</f>
        <v/>
      </c>
      <c r="O151">
        <f>T150</f>
        <v/>
      </c>
      <c r="P151">
        <f>O151*Plan!D8/100/12</f>
        <v/>
      </c>
      <c r="Q151">
        <f>MIN(Plan!E8,O151+P151)</f>
        <v/>
      </c>
      <c r="R151">
        <f>O151+P151-Q151</f>
        <v/>
      </c>
      <c r="S151">
        <f>MIN(R151,MAX(0,$B151-((E$5&lt;Q$5)*F151+(K$5&lt;Q$5)*L151+(W$5&lt;Q$5)*X151+(AC$5&lt;Q$5)*AD151+(AI$5&lt;Q$5)*AJ151+(AO$5&lt;Q$5)*AP151+(AU$5&lt;Q$5)*AV151)))</f>
        <v/>
      </c>
      <c r="T151">
        <f>IF(R151-S151&lt;0.005,0,R151-S151)</f>
        <v/>
      </c>
      <c r="U151">
        <f>Z150</f>
        <v/>
      </c>
      <c r="V151">
        <f>U151*Plan!D9/100/12</f>
        <v/>
      </c>
      <c r="W151">
        <f>MIN(Plan!E9,U151+V151)</f>
        <v/>
      </c>
      <c r="X151">
        <f>U151+V151-W151</f>
        <v/>
      </c>
      <c r="Y151">
        <f>MIN(X151,MAX(0,$B151-((E$5&lt;W$5)*F151+(K$5&lt;W$5)*L151+(Q$5&lt;W$5)*R151+(AC$5&lt;W$5)*AD151+(AI$5&lt;W$5)*AJ151+(AO$5&lt;W$5)*AP151+(AU$5&lt;W$5)*AV151)))</f>
        <v/>
      </c>
      <c r="Z151">
        <f>IF(X151-Y151&lt;0.005,0,X151-Y151)</f>
        <v/>
      </c>
      <c r="AA151">
        <f>AF150</f>
        <v/>
      </c>
      <c r="AB151">
        <f>AA151*Plan!D10/100/12</f>
        <v/>
      </c>
      <c r="AC151">
        <f>MIN(Plan!E10,AA151+AB151)</f>
        <v/>
      </c>
      <c r="AD151">
        <f>AA151+AB151-AC151</f>
        <v/>
      </c>
      <c r="AE151">
        <f>MIN(AD151,MAX(0,$B151-((E$5&lt;AC$5)*F151+(K$5&lt;AC$5)*L151+(Q$5&lt;AC$5)*R151+(W$5&lt;AC$5)*X151+(AI$5&lt;AC$5)*AJ151+(AO$5&lt;AC$5)*AP151+(AU$5&lt;AC$5)*AV151)))</f>
        <v/>
      </c>
      <c r="AF151">
        <f>IF(AD151-AE151&lt;0.005,0,AD151-AE151)</f>
        <v/>
      </c>
      <c r="AG151">
        <f>AL150</f>
        <v/>
      </c>
      <c r="AH151">
        <f>AG151*Plan!D11/100/12</f>
        <v/>
      </c>
      <c r="AI151">
        <f>MIN(Plan!E11,AG151+AH151)</f>
        <v/>
      </c>
      <c r="AJ151">
        <f>AG151+AH151-AI151</f>
        <v/>
      </c>
      <c r="AK151">
        <f>MIN(AJ151,MAX(0,$B151-((E$5&lt;AI$5)*F151+(K$5&lt;AI$5)*L151+(Q$5&lt;AI$5)*R151+(W$5&lt;AI$5)*X151+(AC$5&lt;AI$5)*AD151+(AO$5&lt;AI$5)*AP151+(AU$5&lt;AI$5)*AV151)))</f>
        <v/>
      </c>
      <c r="AL151">
        <f>IF(AJ151-AK151&lt;0.005,0,AJ151-AK151)</f>
        <v/>
      </c>
      <c r="AM151">
        <f>AR150</f>
        <v/>
      </c>
      <c r="AN151">
        <f>AM151*Plan!D12/100/12</f>
        <v/>
      </c>
      <c r="AO151">
        <f>MIN(Plan!E12,AM151+AN151)</f>
        <v/>
      </c>
      <c r="AP151">
        <f>AM151+AN151-AO151</f>
        <v/>
      </c>
      <c r="AQ151">
        <f>MIN(AP151,MAX(0,$B151-((E$5&lt;AO$5)*F151+(K$5&lt;AO$5)*L151+(Q$5&lt;AO$5)*R151+(W$5&lt;AO$5)*X151+(AC$5&lt;AO$5)*AD151+(AI$5&lt;AO$5)*AJ151+(AU$5&lt;AO$5)*AV151)))</f>
        <v/>
      </c>
      <c r="AR151">
        <f>IF(AP151-AQ151&lt;0.005,0,AP151-AQ151)</f>
        <v/>
      </c>
      <c r="AS151">
        <f>AX150</f>
        <v/>
      </c>
      <c r="AT151">
        <f>AS151*Plan!D13/100/12</f>
        <v/>
      </c>
      <c r="AU151">
        <f>MIN(Plan!E13,AS151+AT151)</f>
        <v/>
      </c>
      <c r="AV151">
        <f>AS151+AT151-AU151</f>
        <v/>
      </c>
      <c r="AW151">
        <f>MIN(AV151,MAX(0,$B151-((E$5&lt;AU$5)*F151+(K$5&lt;AU$5)*L151+(Q$5&lt;AU$5)*R151+(W$5&lt;AU$5)*X151+(AC$5&lt;AU$5)*AD151+(AI$5&lt;AU$5)*AJ151+(AO$5&lt;AU$5)*AP151)))</f>
        <v/>
      </c>
      <c r="AX151">
        <f>IF(AV151-AW151&lt;0.005,0,AV151-AW151)</f>
        <v/>
      </c>
      <c r="BC151">
        <f>H151+N151+T151+Z151+AF151+AL151+AR151+AX151</f>
        <v/>
      </c>
    </row>
    <row r="152">
      <c r="A152" t="n">
        <v>146</v>
      </c>
      <c r="B152" s="19">
        <f>MAX(0,$B$3-(E152+K152+Q152+W152+AC152+AI152+AO152+AU152))</f>
        <v/>
      </c>
      <c r="C152">
        <f>H151</f>
        <v/>
      </c>
      <c r="D152">
        <f>C152*Plan!D6/100/12</f>
        <v/>
      </c>
      <c r="E152">
        <f>MIN(Plan!E6,C152+D152)</f>
        <v/>
      </c>
      <c r="F152">
        <f>C152+D152-E152</f>
        <v/>
      </c>
      <c r="G152">
        <f>MIN(F152,MAX(0,$B152-((K$5&lt;E$5)*L152+(Q$5&lt;E$5)*R152+(W$5&lt;E$5)*X152+(AC$5&lt;E$5)*AD152+(AI$5&lt;E$5)*AJ152+(AO$5&lt;E$5)*AP152+(AU$5&lt;E$5)*AV152)))</f>
        <v/>
      </c>
      <c r="H152">
        <f>IF(F152-G152&lt;0.005,0,F152-G152)</f>
        <v/>
      </c>
      <c r="I152">
        <f>N151</f>
        <v/>
      </c>
      <c r="J152">
        <f>I152*Plan!D7/100/12</f>
        <v/>
      </c>
      <c r="K152">
        <f>MIN(Plan!E7,I152+J152)</f>
        <v/>
      </c>
      <c r="L152">
        <f>I152+J152-K152</f>
        <v/>
      </c>
      <c r="M152">
        <f>MIN(L152,MAX(0,$B152-((E$5&lt;K$5)*F152+(Q$5&lt;K$5)*R152+(W$5&lt;K$5)*X152+(AC$5&lt;K$5)*AD152+(AI$5&lt;K$5)*AJ152+(AO$5&lt;K$5)*AP152+(AU$5&lt;K$5)*AV152)))</f>
        <v/>
      </c>
      <c r="N152">
        <f>IF(L152-M152&lt;0.005,0,L152-M152)</f>
        <v/>
      </c>
      <c r="O152">
        <f>T151</f>
        <v/>
      </c>
      <c r="P152">
        <f>O152*Plan!D8/100/12</f>
        <v/>
      </c>
      <c r="Q152">
        <f>MIN(Plan!E8,O152+P152)</f>
        <v/>
      </c>
      <c r="R152">
        <f>O152+P152-Q152</f>
        <v/>
      </c>
      <c r="S152">
        <f>MIN(R152,MAX(0,$B152-((E$5&lt;Q$5)*F152+(K$5&lt;Q$5)*L152+(W$5&lt;Q$5)*X152+(AC$5&lt;Q$5)*AD152+(AI$5&lt;Q$5)*AJ152+(AO$5&lt;Q$5)*AP152+(AU$5&lt;Q$5)*AV152)))</f>
        <v/>
      </c>
      <c r="T152">
        <f>IF(R152-S152&lt;0.005,0,R152-S152)</f>
        <v/>
      </c>
      <c r="U152">
        <f>Z151</f>
        <v/>
      </c>
      <c r="V152">
        <f>U152*Plan!D9/100/12</f>
        <v/>
      </c>
      <c r="W152">
        <f>MIN(Plan!E9,U152+V152)</f>
        <v/>
      </c>
      <c r="X152">
        <f>U152+V152-W152</f>
        <v/>
      </c>
      <c r="Y152">
        <f>MIN(X152,MAX(0,$B152-((E$5&lt;W$5)*F152+(K$5&lt;W$5)*L152+(Q$5&lt;W$5)*R152+(AC$5&lt;W$5)*AD152+(AI$5&lt;W$5)*AJ152+(AO$5&lt;W$5)*AP152+(AU$5&lt;W$5)*AV152)))</f>
        <v/>
      </c>
      <c r="Z152">
        <f>IF(X152-Y152&lt;0.005,0,X152-Y152)</f>
        <v/>
      </c>
      <c r="AA152">
        <f>AF151</f>
        <v/>
      </c>
      <c r="AB152">
        <f>AA152*Plan!D10/100/12</f>
        <v/>
      </c>
      <c r="AC152">
        <f>MIN(Plan!E10,AA152+AB152)</f>
        <v/>
      </c>
      <c r="AD152">
        <f>AA152+AB152-AC152</f>
        <v/>
      </c>
      <c r="AE152">
        <f>MIN(AD152,MAX(0,$B152-((E$5&lt;AC$5)*F152+(K$5&lt;AC$5)*L152+(Q$5&lt;AC$5)*R152+(W$5&lt;AC$5)*X152+(AI$5&lt;AC$5)*AJ152+(AO$5&lt;AC$5)*AP152+(AU$5&lt;AC$5)*AV152)))</f>
        <v/>
      </c>
      <c r="AF152">
        <f>IF(AD152-AE152&lt;0.005,0,AD152-AE152)</f>
        <v/>
      </c>
      <c r="AG152">
        <f>AL151</f>
        <v/>
      </c>
      <c r="AH152">
        <f>AG152*Plan!D11/100/12</f>
        <v/>
      </c>
      <c r="AI152">
        <f>MIN(Plan!E11,AG152+AH152)</f>
        <v/>
      </c>
      <c r="AJ152">
        <f>AG152+AH152-AI152</f>
        <v/>
      </c>
      <c r="AK152">
        <f>MIN(AJ152,MAX(0,$B152-((E$5&lt;AI$5)*F152+(K$5&lt;AI$5)*L152+(Q$5&lt;AI$5)*R152+(W$5&lt;AI$5)*X152+(AC$5&lt;AI$5)*AD152+(AO$5&lt;AI$5)*AP152+(AU$5&lt;AI$5)*AV152)))</f>
        <v/>
      </c>
      <c r="AL152">
        <f>IF(AJ152-AK152&lt;0.005,0,AJ152-AK152)</f>
        <v/>
      </c>
      <c r="AM152">
        <f>AR151</f>
        <v/>
      </c>
      <c r="AN152">
        <f>AM152*Plan!D12/100/12</f>
        <v/>
      </c>
      <c r="AO152">
        <f>MIN(Plan!E12,AM152+AN152)</f>
        <v/>
      </c>
      <c r="AP152">
        <f>AM152+AN152-AO152</f>
        <v/>
      </c>
      <c r="AQ152">
        <f>MIN(AP152,MAX(0,$B152-((E$5&lt;AO$5)*F152+(K$5&lt;AO$5)*L152+(Q$5&lt;AO$5)*R152+(W$5&lt;AO$5)*X152+(AC$5&lt;AO$5)*AD152+(AI$5&lt;AO$5)*AJ152+(AU$5&lt;AO$5)*AV152)))</f>
        <v/>
      </c>
      <c r="AR152">
        <f>IF(AP152-AQ152&lt;0.005,0,AP152-AQ152)</f>
        <v/>
      </c>
      <c r="AS152">
        <f>AX151</f>
        <v/>
      </c>
      <c r="AT152">
        <f>AS152*Plan!D13/100/12</f>
        <v/>
      </c>
      <c r="AU152">
        <f>MIN(Plan!E13,AS152+AT152)</f>
        <v/>
      </c>
      <c r="AV152">
        <f>AS152+AT152-AU152</f>
        <v/>
      </c>
      <c r="AW152">
        <f>MIN(AV152,MAX(0,$B152-((E$5&lt;AU$5)*F152+(K$5&lt;AU$5)*L152+(Q$5&lt;AU$5)*R152+(W$5&lt;AU$5)*X152+(AC$5&lt;AU$5)*AD152+(AI$5&lt;AU$5)*AJ152+(AO$5&lt;AU$5)*AP152)))</f>
        <v/>
      </c>
      <c r="AX152">
        <f>IF(AV152-AW152&lt;0.005,0,AV152-AW152)</f>
        <v/>
      </c>
      <c r="BC152">
        <f>H152+N152+T152+Z152+AF152+AL152+AR152+AX152</f>
        <v/>
      </c>
    </row>
    <row r="153">
      <c r="A153" t="n">
        <v>147</v>
      </c>
      <c r="B153" s="19">
        <f>MAX(0,$B$3-(E153+K153+Q153+W153+AC153+AI153+AO153+AU153))</f>
        <v/>
      </c>
      <c r="C153">
        <f>H152</f>
        <v/>
      </c>
      <c r="D153">
        <f>C153*Plan!D6/100/12</f>
        <v/>
      </c>
      <c r="E153">
        <f>MIN(Plan!E6,C153+D153)</f>
        <v/>
      </c>
      <c r="F153">
        <f>C153+D153-E153</f>
        <v/>
      </c>
      <c r="G153">
        <f>MIN(F153,MAX(0,$B153-((K$5&lt;E$5)*L153+(Q$5&lt;E$5)*R153+(W$5&lt;E$5)*X153+(AC$5&lt;E$5)*AD153+(AI$5&lt;E$5)*AJ153+(AO$5&lt;E$5)*AP153+(AU$5&lt;E$5)*AV153)))</f>
        <v/>
      </c>
      <c r="H153">
        <f>IF(F153-G153&lt;0.005,0,F153-G153)</f>
        <v/>
      </c>
      <c r="I153">
        <f>N152</f>
        <v/>
      </c>
      <c r="J153">
        <f>I153*Plan!D7/100/12</f>
        <v/>
      </c>
      <c r="K153">
        <f>MIN(Plan!E7,I153+J153)</f>
        <v/>
      </c>
      <c r="L153">
        <f>I153+J153-K153</f>
        <v/>
      </c>
      <c r="M153">
        <f>MIN(L153,MAX(0,$B153-((E$5&lt;K$5)*F153+(Q$5&lt;K$5)*R153+(W$5&lt;K$5)*X153+(AC$5&lt;K$5)*AD153+(AI$5&lt;K$5)*AJ153+(AO$5&lt;K$5)*AP153+(AU$5&lt;K$5)*AV153)))</f>
        <v/>
      </c>
      <c r="N153">
        <f>IF(L153-M153&lt;0.005,0,L153-M153)</f>
        <v/>
      </c>
      <c r="O153">
        <f>T152</f>
        <v/>
      </c>
      <c r="P153">
        <f>O153*Plan!D8/100/12</f>
        <v/>
      </c>
      <c r="Q153">
        <f>MIN(Plan!E8,O153+P153)</f>
        <v/>
      </c>
      <c r="R153">
        <f>O153+P153-Q153</f>
        <v/>
      </c>
      <c r="S153">
        <f>MIN(R153,MAX(0,$B153-((E$5&lt;Q$5)*F153+(K$5&lt;Q$5)*L153+(W$5&lt;Q$5)*X153+(AC$5&lt;Q$5)*AD153+(AI$5&lt;Q$5)*AJ153+(AO$5&lt;Q$5)*AP153+(AU$5&lt;Q$5)*AV153)))</f>
        <v/>
      </c>
      <c r="T153">
        <f>IF(R153-S153&lt;0.005,0,R153-S153)</f>
        <v/>
      </c>
      <c r="U153">
        <f>Z152</f>
        <v/>
      </c>
      <c r="V153">
        <f>U153*Plan!D9/100/12</f>
        <v/>
      </c>
      <c r="W153">
        <f>MIN(Plan!E9,U153+V153)</f>
        <v/>
      </c>
      <c r="X153">
        <f>U153+V153-W153</f>
        <v/>
      </c>
      <c r="Y153">
        <f>MIN(X153,MAX(0,$B153-((E$5&lt;W$5)*F153+(K$5&lt;W$5)*L153+(Q$5&lt;W$5)*R153+(AC$5&lt;W$5)*AD153+(AI$5&lt;W$5)*AJ153+(AO$5&lt;W$5)*AP153+(AU$5&lt;W$5)*AV153)))</f>
        <v/>
      </c>
      <c r="Z153">
        <f>IF(X153-Y153&lt;0.005,0,X153-Y153)</f>
        <v/>
      </c>
      <c r="AA153">
        <f>AF152</f>
        <v/>
      </c>
      <c r="AB153">
        <f>AA153*Plan!D10/100/12</f>
        <v/>
      </c>
      <c r="AC153">
        <f>MIN(Plan!E10,AA153+AB153)</f>
        <v/>
      </c>
      <c r="AD153">
        <f>AA153+AB153-AC153</f>
        <v/>
      </c>
      <c r="AE153">
        <f>MIN(AD153,MAX(0,$B153-((E$5&lt;AC$5)*F153+(K$5&lt;AC$5)*L153+(Q$5&lt;AC$5)*R153+(W$5&lt;AC$5)*X153+(AI$5&lt;AC$5)*AJ153+(AO$5&lt;AC$5)*AP153+(AU$5&lt;AC$5)*AV153)))</f>
        <v/>
      </c>
      <c r="AF153">
        <f>IF(AD153-AE153&lt;0.005,0,AD153-AE153)</f>
        <v/>
      </c>
      <c r="AG153">
        <f>AL152</f>
        <v/>
      </c>
      <c r="AH153">
        <f>AG153*Plan!D11/100/12</f>
        <v/>
      </c>
      <c r="AI153">
        <f>MIN(Plan!E11,AG153+AH153)</f>
        <v/>
      </c>
      <c r="AJ153">
        <f>AG153+AH153-AI153</f>
        <v/>
      </c>
      <c r="AK153">
        <f>MIN(AJ153,MAX(0,$B153-((E$5&lt;AI$5)*F153+(K$5&lt;AI$5)*L153+(Q$5&lt;AI$5)*R153+(W$5&lt;AI$5)*X153+(AC$5&lt;AI$5)*AD153+(AO$5&lt;AI$5)*AP153+(AU$5&lt;AI$5)*AV153)))</f>
        <v/>
      </c>
      <c r="AL153">
        <f>IF(AJ153-AK153&lt;0.005,0,AJ153-AK153)</f>
        <v/>
      </c>
      <c r="AM153">
        <f>AR152</f>
        <v/>
      </c>
      <c r="AN153">
        <f>AM153*Plan!D12/100/12</f>
        <v/>
      </c>
      <c r="AO153">
        <f>MIN(Plan!E12,AM153+AN153)</f>
        <v/>
      </c>
      <c r="AP153">
        <f>AM153+AN153-AO153</f>
        <v/>
      </c>
      <c r="AQ153">
        <f>MIN(AP153,MAX(0,$B153-((E$5&lt;AO$5)*F153+(K$5&lt;AO$5)*L153+(Q$5&lt;AO$5)*R153+(W$5&lt;AO$5)*X153+(AC$5&lt;AO$5)*AD153+(AI$5&lt;AO$5)*AJ153+(AU$5&lt;AO$5)*AV153)))</f>
        <v/>
      </c>
      <c r="AR153">
        <f>IF(AP153-AQ153&lt;0.005,0,AP153-AQ153)</f>
        <v/>
      </c>
      <c r="AS153">
        <f>AX152</f>
        <v/>
      </c>
      <c r="AT153">
        <f>AS153*Plan!D13/100/12</f>
        <v/>
      </c>
      <c r="AU153">
        <f>MIN(Plan!E13,AS153+AT153)</f>
        <v/>
      </c>
      <c r="AV153">
        <f>AS153+AT153-AU153</f>
        <v/>
      </c>
      <c r="AW153">
        <f>MIN(AV153,MAX(0,$B153-((E$5&lt;AU$5)*F153+(K$5&lt;AU$5)*L153+(Q$5&lt;AU$5)*R153+(W$5&lt;AU$5)*X153+(AC$5&lt;AU$5)*AD153+(AI$5&lt;AU$5)*AJ153+(AO$5&lt;AU$5)*AP153)))</f>
        <v/>
      </c>
      <c r="AX153">
        <f>IF(AV153-AW153&lt;0.005,0,AV153-AW153)</f>
        <v/>
      </c>
      <c r="BC153">
        <f>H153+N153+T153+Z153+AF153+AL153+AR153+AX153</f>
        <v/>
      </c>
    </row>
    <row r="154">
      <c r="A154" t="n">
        <v>148</v>
      </c>
      <c r="B154" s="19">
        <f>MAX(0,$B$3-(E154+K154+Q154+W154+AC154+AI154+AO154+AU154))</f>
        <v/>
      </c>
      <c r="C154">
        <f>H153</f>
        <v/>
      </c>
      <c r="D154">
        <f>C154*Plan!D6/100/12</f>
        <v/>
      </c>
      <c r="E154">
        <f>MIN(Plan!E6,C154+D154)</f>
        <v/>
      </c>
      <c r="F154">
        <f>C154+D154-E154</f>
        <v/>
      </c>
      <c r="G154">
        <f>MIN(F154,MAX(0,$B154-((K$5&lt;E$5)*L154+(Q$5&lt;E$5)*R154+(W$5&lt;E$5)*X154+(AC$5&lt;E$5)*AD154+(AI$5&lt;E$5)*AJ154+(AO$5&lt;E$5)*AP154+(AU$5&lt;E$5)*AV154)))</f>
        <v/>
      </c>
      <c r="H154">
        <f>IF(F154-G154&lt;0.005,0,F154-G154)</f>
        <v/>
      </c>
      <c r="I154">
        <f>N153</f>
        <v/>
      </c>
      <c r="J154">
        <f>I154*Plan!D7/100/12</f>
        <v/>
      </c>
      <c r="K154">
        <f>MIN(Plan!E7,I154+J154)</f>
        <v/>
      </c>
      <c r="L154">
        <f>I154+J154-K154</f>
        <v/>
      </c>
      <c r="M154">
        <f>MIN(L154,MAX(0,$B154-((E$5&lt;K$5)*F154+(Q$5&lt;K$5)*R154+(W$5&lt;K$5)*X154+(AC$5&lt;K$5)*AD154+(AI$5&lt;K$5)*AJ154+(AO$5&lt;K$5)*AP154+(AU$5&lt;K$5)*AV154)))</f>
        <v/>
      </c>
      <c r="N154">
        <f>IF(L154-M154&lt;0.005,0,L154-M154)</f>
        <v/>
      </c>
      <c r="O154">
        <f>T153</f>
        <v/>
      </c>
      <c r="P154">
        <f>O154*Plan!D8/100/12</f>
        <v/>
      </c>
      <c r="Q154">
        <f>MIN(Plan!E8,O154+P154)</f>
        <v/>
      </c>
      <c r="R154">
        <f>O154+P154-Q154</f>
        <v/>
      </c>
      <c r="S154">
        <f>MIN(R154,MAX(0,$B154-((E$5&lt;Q$5)*F154+(K$5&lt;Q$5)*L154+(W$5&lt;Q$5)*X154+(AC$5&lt;Q$5)*AD154+(AI$5&lt;Q$5)*AJ154+(AO$5&lt;Q$5)*AP154+(AU$5&lt;Q$5)*AV154)))</f>
        <v/>
      </c>
      <c r="T154">
        <f>IF(R154-S154&lt;0.005,0,R154-S154)</f>
        <v/>
      </c>
      <c r="U154">
        <f>Z153</f>
        <v/>
      </c>
      <c r="V154">
        <f>U154*Plan!D9/100/12</f>
        <v/>
      </c>
      <c r="W154">
        <f>MIN(Plan!E9,U154+V154)</f>
        <v/>
      </c>
      <c r="X154">
        <f>U154+V154-W154</f>
        <v/>
      </c>
      <c r="Y154">
        <f>MIN(X154,MAX(0,$B154-((E$5&lt;W$5)*F154+(K$5&lt;W$5)*L154+(Q$5&lt;W$5)*R154+(AC$5&lt;W$5)*AD154+(AI$5&lt;W$5)*AJ154+(AO$5&lt;W$5)*AP154+(AU$5&lt;W$5)*AV154)))</f>
        <v/>
      </c>
      <c r="Z154">
        <f>IF(X154-Y154&lt;0.005,0,X154-Y154)</f>
        <v/>
      </c>
      <c r="AA154">
        <f>AF153</f>
        <v/>
      </c>
      <c r="AB154">
        <f>AA154*Plan!D10/100/12</f>
        <v/>
      </c>
      <c r="AC154">
        <f>MIN(Plan!E10,AA154+AB154)</f>
        <v/>
      </c>
      <c r="AD154">
        <f>AA154+AB154-AC154</f>
        <v/>
      </c>
      <c r="AE154">
        <f>MIN(AD154,MAX(0,$B154-((E$5&lt;AC$5)*F154+(K$5&lt;AC$5)*L154+(Q$5&lt;AC$5)*R154+(W$5&lt;AC$5)*X154+(AI$5&lt;AC$5)*AJ154+(AO$5&lt;AC$5)*AP154+(AU$5&lt;AC$5)*AV154)))</f>
        <v/>
      </c>
      <c r="AF154">
        <f>IF(AD154-AE154&lt;0.005,0,AD154-AE154)</f>
        <v/>
      </c>
      <c r="AG154">
        <f>AL153</f>
        <v/>
      </c>
      <c r="AH154">
        <f>AG154*Plan!D11/100/12</f>
        <v/>
      </c>
      <c r="AI154">
        <f>MIN(Plan!E11,AG154+AH154)</f>
        <v/>
      </c>
      <c r="AJ154">
        <f>AG154+AH154-AI154</f>
        <v/>
      </c>
      <c r="AK154">
        <f>MIN(AJ154,MAX(0,$B154-((E$5&lt;AI$5)*F154+(K$5&lt;AI$5)*L154+(Q$5&lt;AI$5)*R154+(W$5&lt;AI$5)*X154+(AC$5&lt;AI$5)*AD154+(AO$5&lt;AI$5)*AP154+(AU$5&lt;AI$5)*AV154)))</f>
        <v/>
      </c>
      <c r="AL154">
        <f>IF(AJ154-AK154&lt;0.005,0,AJ154-AK154)</f>
        <v/>
      </c>
      <c r="AM154">
        <f>AR153</f>
        <v/>
      </c>
      <c r="AN154">
        <f>AM154*Plan!D12/100/12</f>
        <v/>
      </c>
      <c r="AO154">
        <f>MIN(Plan!E12,AM154+AN154)</f>
        <v/>
      </c>
      <c r="AP154">
        <f>AM154+AN154-AO154</f>
        <v/>
      </c>
      <c r="AQ154">
        <f>MIN(AP154,MAX(0,$B154-((E$5&lt;AO$5)*F154+(K$5&lt;AO$5)*L154+(Q$5&lt;AO$5)*R154+(W$5&lt;AO$5)*X154+(AC$5&lt;AO$5)*AD154+(AI$5&lt;AO$5)*AJ154+(AU$5&lt;AO$5)*AV154)))</f>
        <v/>
      </c>
      <c r="AR154">
        <f>IF(AP154-AQ154&lt;0.005,0,AP154-AQ154)</f>
        <v/>
      </c>
      <c r="AS154">
        <f>AX153</f>
        <v/>
      </c>
      <c r="AT154">
        <f>AS154*Plan!D13/100/12</f>
        <v/>
      </c>
      <c r="AU154">
        <f>MIN(Plan!E13,AS154+AT154)</f>
        <v/>
      </c>
      <c r="AV154">
        <f>AS154+AT154-AU154</f>
        <v/>
      </c>
      <c r="AW154">
        <f>MIN(AV154,MAX(0,$B154-((E$5&lt;AU$5)*F154+(K$5&lt;AU$5)*L154+(Q$5&lt;AU$5)*R154+(W$5&lt;AU$5)*X154+(AC$5&lt;AU$5)*AD154+(AI$5&lt;AU$5)*AJ154+(AO$5&lt;AU$5)*AP154)))</f>
        <v/>
      </c>
      <c r="AX154">
        <f>IF(AV154-AW154&lt;0.005,0,AV154-AW154)</f>
        <v/>
      </c>
      <c r="BC154">
        <f>H154+N154+T154+Z154+AF154+AL154+AR154+AX154</f>
        <v/>
      </c>
    </row>
    <row r="155">
      <c r="A155" t="n">
        <v>149</v>
      </c>
      <c r="B155" s="19">
        <f>MAX(0,$B$3-(E155+K155+Q155+W155+AC155+AI155+AO155+AU155))</f>
        <v/>
      </c>
      <c r="C155">
        <f>H154</f>
        <v/>
      </c>
      <c r="D155">
        <f>C155*Plan!D6/100/12</f>
        <v/>
      </c>
      <c r="E155">
        <f>MIN(Plan!E6,C155+D155)</f>
        <v/>
      </c>
      <c r="F155">
        <f>C155+D155-E155</f>
        <v/>
      </c>
      <c r="G155">
        <f>MIN(F155,MAX(0,$B155-((K$5&lt;E$5)*L155+(Q$5&lt;E$5)*R155+(W$5&lt;E$5)*X155+(AC$5&lt;E$5)*AD155+(AI$5&lt;E$5)*AJ155+(AO$5&lt;E$5)*AP155+(AU$5&lt;E$5)*AV155)))</f>
        <v/>
      </c>
      <c r="H155">
        <f>IF(F155-G155&lt;0.005,0,F155-G155)</f>
        <v/>
      </c>
      <c r="I155">
        <f>N154</f>
        <v/>
      </c>
      <c r="J155">
        <f>I155*Plan!D7/100/12</f>
        <v/>
      </c>
      <c r="K155">
        <f>MIN(Plan!E7,I155+J155)</f>
        <v/>
      </c>
      <c r="L155">
        <f>I155+J155-K155</f>
        <v/>
      </c>
      <c r="M155">
        <f>MIN(L155,MAX(0,$B155-((E$5&lt;K$5)*F155+(Q$5&lt;K$5)*R155+(W$5&lt;K$5)*X155+(AC$5&lt;K$5)*AD155+(AI$5&lt;K$5)*AJ155+(AO$5&lt;K$5)*AP155+(AU$5&lt;K$5)*AV155)))</f>
        <v/>
      </c>
      <c r="N155">
        <f>IF(L155-M155&lt;0.005,0,L155-M155)</f>
        <v/>
      </c>
      <c r="O155">
        <f>T154</f>
        <v/>
      </c>
      <c r="P155">
        <f>O155*Plan!D8/100/12</f>
        <v/>
      </c>
      <c r="Q155">
        <f>MIN(Plan!E8,O155+P155)</f>
        <v/>
      </c>
      <c r="R155">
        <f>O155+P155-Q155</f>
        <v/>
      </c>
      <c r="S155">
        <f>MIN(R155,MAX(0,$B155-((E$5&lt;Q$5)*F155+(K$5&lt;Q$5)*L155+(W$5&lt;Q$5)*X155+(AC$5&lt;Q$5)*AD155+(AI$5&lt;Q$5)*AJ155+(AO$5&lt;Q$5)*AP155+(AU$5&lt;Q$5)*AV155)))</f>
        <v/>
      </c>
      <c r="T155">
        <f>IF(R155-S155&lt;0.005,0,R155-S155)</f>
        <v/>
      </c>
      <c r="U155">
        <f>Z154</f>
        <v/>
      </c>
      <c r="V155">
        <f>U155*Plan!D9/100/12</f>
        <v/>
      </c>
      <c r="W155">
        <f>MIN(Plan!E9,U155+V155)</f>
        <v/>
      </c>
      <c r="X155">
        <f>U155+V155-W155</f>
        <v/>
      </c>
      <c r="Y155">
        <f>MIN(X155,MAX(0,$B155-((E$5&lt;W$5)*F155+(K$5&lt;W$5)*L155+(Q$5&lt;W$5)*R155+(AC$5&lt;W$5)*AD155+(AI$5&lt;W$5)*AJ155+(AO$5&lt;W$5)*AP155+(AU$5&lt;W$5)*AV155)))</f>
        <v/>
      </c>
      <c r="Z155">
        <f>IF(X155-Y155&lt;0.005,0,X155-Y155)</f>
        <v/>
      </c>
      <c r="AA155">
        <f>AF154</f>
        <v/>
      </c>
      <c r="AB155">
        <f>AA155*Plan!D10/100/12</f>
        <v/>
      </c>
      <c r="AC155">
        <f>MIN(Plan!E10,AA155+AB155)</f>
        <v/>
      </c>
      <c r="AD155">
        <f>AA155+AB155-AC155</f>
        <v/>
      </c>
      <c r="AE155">
        <f>MIN(AD155,MAX(0,$B155-((E$5&lt;AC$5)*F155+(K$5&lt;AC$5)*L155+(Q$5&lt;AC$5)*R155+(W$5&lt;AC$5)*X155+(AI$5&lt;AC$5)*AJ155+(AO$5&lt;AC$5)*AP155+(AU$5&lt;AC$5)*AV155)))</f>
        <v/>
      </c>
      <c r="AF155">
        <f>IF(AD155-AE155&lt;0.005,0,AD155-AE155)</f>
        <v/>
      </c>
      <c r="AG155">
        <f>AL154</f>
        <v/>
      </c>
      <c r="AH155">
        <f>AG155*Plan!D11/100/12</f>
        <v/>
      </c>
      <c r="AI155">
        <f>MIN(Plan!E11,AG155+AH155)</f>
        <v/>
      </c>
      <c r="AJ155">
        <f>AG155+AH155-AI155</f>
        <v/>
      </c>
      <c r="AK155">
        <f>MIN(AJ155,MAX(0,$B155-((E$5&lt;AI$5)*F155+(K$5&lt;AI$5)*L155+(Q$5&lt;AI$5)*R155+(W$5&lt;AI$5)*X155+(AC$5&lt;AI$5)*AD155+(AO$5&lt;AI$5)*AP155+(AU$5&lt;AI$5)*AV155)))</f>
        <v/>
      </c>
      <c r="AL155">
        <f>IF(AJ155-AK155&lt;0.005,0,AJ155-AK155)</f>
        <v/>
      </c>
      <c r="AM155">
        <f>AR154</f>
        <v/>
      </c>
      <c r="AN155">
        <f>AM155*Plan!D12/100/12</f>
        <v/>
      </c>
      <c r="AO155">
        <f>MIN(Plan!E12,AM155+AN155)</f>
        <v/>
      </c>
      <c r="AP155">
        <f>AM155+AN155-AO155</f>
        <v/>
      </c>
      <c r="AQ155">
        <f>MIN(AP155,MAX(0,$B155-((E$5&lt;AO$5)*F155+(K$5&lt;AO$5)*L155+(Q$5&lt;AO$5)*R155+(W$5&lt;AO$5)*X155+(AC$5&lt;AO$5)*AD155+(AI$5&lt;AO$5)*AJ155+(AU$5&lt;AO$5)*AV155)))</f>
        <v/>
      </c>
      <c r="AR155">
        <f>IF(AP155-AQ155&lt;0.005,0,AP155-AQ155)</f>
        <v/>
      </c>
      <c r="AS155">
        <f>AX154</f>
        <v/>
      </c>
      <c r="AT155">
        <f>AS155*Plan!D13/100/12</f>
        <v/>
      </c>
      <c r="AU155">
        <f>MIN(Plan!E13,AS155+AT155)</f>
        <v/>
      </c>
      <c r="AV155">
        <f>AS155+AT155-AU155</f>
        <v/>
      </c>
      <c r="AW155">
        <f>MIN(AV155,MAX(0,$B155-((E$5&lt;AU$5)*F155+(K$5&lt;AU$5)*L155+(Q$5&lt;AU$5)*R155+(W$5&lt;AU$5)*X155+(AC$5&lt;AU$5)*AD155+(AI$5&lt;AU$5)*AJ155+(AO$5&lt;AU$5)*AP155)))</f>
        <v/>
      </c>
      <c r="AX155">
        <f>IF(AV155-AW155&lt;0.005,0,AV155-AW155)</f>
        <v/>
      </c>
      <c r="BC155">
        <f>H155+N155+T155+Z155+AF155+AL155+AR155+AX155</f>
        <v/>
      </c>
    </row>
    <row r="156">
      <c r="A156" t="n">
        <v>150</v>
      </c>
      <c r="B156" s="19">
        <f>MAX(0,$B$3-(E156+K156+Q156+W156+AC156+AI156+AO156+AU156))</f>
        <v/>
      </c>
      <c r="C156">
        <f>H155</f>
        <v/>
      </c>
      <c r="D156">
        <f>C156*Plan!D6/100/12</f>
        <v/>
      </c>
      <c r="E156">
        <f>MIN(Plan!E6,C156+D156)</f>
        <v/>
      </c>
      <c r="F156">
        <f>C156+D156-E156</f>
        <v/>
      </c>
      <c r="G156">
        <f>MIN(F156,MAX(0,$B156-((K$5&lt;E$5)*L156+(Q$5&lt;E$5)*R156+(W$5&lt;E$5)*X156+(AC$5&lt;E$5)*AD156+(AI$5&lt;E$5)*AJ156+(AO$5&lt;E$5)*AP156+(AU$5&lt;E$5)*AV156)))</f>
        <v/>
      </c>
      <c r="H156">
        <f>IF(F156-G156&lt;0.005,0,F156-G156)</f>
        <v/>
      </c>
      <c r="I156">
        <f>N155</f>
        <v/>
      </c>
      <c r="J156">
        <f>I156*Plan!D7/100/12</f>
        <v/>
      </c>
      <c r="K156">
        <f>MIN(Plan!E7,I156+J156)</f>
        <v/>
      </c>
      <c r="L156">
        <f>I156+J156-K156</f>
        <v/>
      </c>
      <c r="M156">
        <f>MIN(L156,MAX(0,$B156-((E$5&lt;K$5)*F156+(Q$5&lt;K$5)*R156+(W$5&lt;K$5)*X156+(AC$5&lt;K$5)*AD156+(AI$5&lt;K$5)*AJ156+(AO$5&lt;K$5)*AP156+(AU$5&lt;K$5)*AV156)))</f>
        <v/>
      </c>
      <c r="N156">
        <f>IF(L156-M156&lt;0.005,0,L156-M156)</f>
        <v/>
      </c>
      <c r="O156">
        <f>T155</f>
        <v/>
      </c>
      <c r="P156">
        <f>O156*Plan!D8/100/12</f>
        <v/>
      </c>
      <c r="Q156">
        <f>MIN(Plan!E8,O156+P156)</f>
        <v/>
      </c>
      <c r="R156">
        <f>O156+P156-Q156</f>
        <v/>
      </c>
      <c r="S156">
        <f>MIN(R156,MAX(0,$B156-((E$5&lt;Q$5)*F156+(K$5&lt;Q$5)*L156+(W$5&lt;Q$5)*X156+(AC$5&lt;Q$5)*AD156+(AI$5&lt;Q$5)*AJ156+(AO$5&lt;Q$5)*AP156+(AU$5&lt;Q$5)*AV156)))</f>
        <v/>
      </c>
      <c r="T156">
        <f>IF(R156-S156&lt;0.005,0,R156-S156)</f>
        <v/>
      </c>
      <c r="U156">
        <f>Z155</f>
        <v/>
      </c>
      <c r="V156">
        <f>U156*Plan!D9/100/12</f>
        <v/>
      </c>
      <c r="W156">
        <f>MIN(Plan!E9,U156+V156)</f>
        <v/>
      </c>
      <c r="X156">
        <f>U156+V156-W156</f>
        <v/>
      </c>
      <c r="Y156">
        <f>MIN(X156,MAX(0,$B156-((E$5&lt;W$5)*F156+(K$5&lt;W$5)*L156+(Q$5&lt;W$5)*R156+(AC$5&lt;W$5)*AD156+(AI$5&lt;W$5)*AJ156+(AO$5&lt;W$5)*AP156+(AU$5&lt;W$5)*AV156)))</f>
        <v/>
      </c>
      <c r="Z156">
        <f>IF(X156-Y156&lt;0.005,0,X156-Y156)</f>
        <v/>
      </c>
      <c r="AA156">
        <f>AF155</f>
        <v/>
      </c>
      <c r="AB156">
        <f>AA156*Plan!D10/100/12</f>
        <v/>
      </c>
      <c r="AC156">
        <f>MIN(Plan!E10,AA156+AB156)</f>
        <v/>
      </c>
      <c r="AD156">
        <f>AA156+AB156-AC156</f>
        <v/>
      </c>
      <c r="AE156">
        <f>MIN(AD156,MAX(0,$B156-((E$5&lt;AC$5)*F156+(K$5&lt;AC$5)*L156+(Q$5&lt;AC$5)*R156+(W$5&lt;AC$5)*X156+(AI$5&lt;AC$5)*AJ156+(AO$5&lt;AC$5)*AP156+(AU$5&lt;AC$5)*AV156)))</f>
        <v/>
      </c>
      <c r="AF156">
        <f>IF(AD156-AE156&lt;0.005,0,AD156-AE156)</f>
        <v/>
      </c>
      <c r="AG156">
        <f>AL155</f>
        <v/>
      </c>
      <c r="AH156">
        <f>AG156*Plan!D11/100/12</f>
        <v/>
      </c>
      <c r="AI156">
        <f>MIN(Plan!E11,AG156+AH156)</f>
        <v/>
      </c>
      <c r="AJ156">
        <f>AG156+AH156-AI156</f>
        <v/>
      </c>
      <c r="AK156">
        <f>MIN(AJ156,MAX(0,$B156-((E$5&lt;AI$5)*F156+(K$5&lt;AI$5)*L156+(Q$5&lt;AI$5)*R156+(W$5&lt;AI$5)*X156+(AC$5&lt;AI$5)*AD156+(AO$5&lt;AI$5)*AP156+(AU$5&lt;AI$5)*AV156)))</f>
        <v/>
      </c>
      <c r="AL156">
        <f>IF(AJ156-AK156&lt;0.005,0,AJ156-AK156)</f>
        <v/>
      </c>
      <c r="AM156">
        <f>AR155</f>
        <v/>
      </c>
      <c r="AN156">
        <f>AM156*Plan!D12/100/12</f>
        <v/>
      </c>
      <c r="AO156">
        <f>MIN(Plan!E12,AM156+AN156)</f>
        <v/>
      </c>
      <c r="AP156">
        <f>AM156+AN156-AO156</f>
        <v/>
      </c>
      <c r="AQ156">
        <f>MIN(AP156,MAX(0,$B156-((E$5&lt;AO$5)*F156+(K$5&lt;AO$5)*L156+(Q$5&lt;AO$5)*R156+(W$5&lt;AO$5)*X156+(AC$5&lt;AO$5)*AD156+(AI$5&lt;AO$5)*AJ156+(AU$5&lt;AO$5)*AV156)))</f>
        <v/>
      </c>
      <c r="AR156">
        <f>IF(AP156-AQ156&lt;0.005,0,AP156-AQ156)</f>
        <v/>
      </c>
      <c r="AS156">
        <f>AX155</f>
        <v/>
      </c>
      <c r="AT156">
        <f>AS156*Plan!D13/100/12</f>
        <v/>
      </c>
      <c r="AU156">
        <f>MIN(Plan!E13,AS156+AT156)</f>
        <v/>
      </c>
      <c r="AV156">
        <f>AS156+AT156-AU156</f>
        <v/>
      </c>
      <c r="AW156">
        <f>MIN(AV156,MAX(0,$B156-((E$5&lt;AU$5)*F156+(K$5&lt;AU$5)*L156+(Q$5&lt;AU$5)*R156+(W$5&lt;AU$5)*X156+(AC$5&lt;AU$5)*AD156+(AI$5&lt;AU$5)*AJ156+(AO$5&lt;AU$5)*AP156)))</f>
        <v/>
      </c>
      <c r="AX156">
        <f>IF(AV156-AW156&lt;0.005,0,AV156-AW156)</f>
        <v/>
      </c>
      <c r="BC156">
        <f>H156+N156+T156+Z156+AF156+AL156+AR156+AX156</f>
        <v/>
      </c>
    </row>
    <row r="157">
      <c r="A157" t="n">
        <v>151</v>
      </c>
      <c r="B157" s="19">
        <f>MAX(0,$B$3-(E157+K157+Q157+W157+AC157+AI157+AO157+AU157))</f>
        <v/>
      </c>
      <c r="C157">
        <f>H156</f>
        <v/>
      </c>
      <c r="D157">
        <f>C157*Plan!D6/100/12</f>
        <v/>
      </c>
      <c r="E157">
        <f>MIN(Plan!E6,C157+D157)</f>
        <v/>
      </c>
      <c r="F157">
        <f>C157+D157-E157</f>
        <v/>
      </c>
      <c r="G157">
        <f>MIN(F157,MAX(0,$B157-((K$5&lt;E$5)*L157+(Q$5&lt;E$5)*R157+(W$5&lt;E$5)*X157+(AC$5&lt;E$5)*AD157+(AI$5&lt;E$5)*AJ157+(AO$5&lt;E$5)*AP157+(AU$5&lt;E$5)*AV157)))</f>
        <v/>
      </c>
      <c r="H157">
        <f>IF(F157-G157&lt;0.005,0,F157-G157)</f>
        <v/>
      </c>
      <c r="I157">
        <f>N156</f>
        <v/>
      </c>
      <c r="J157">
        <f>I157*Plan!D7/100/12</f>
        <v/>
      </c>
      <c r="K157">
        <f>MIN(Plan!E7,I157+J157)</f>
        <v/>
      </c>
      <c r="L157">
        <f>I157+J157-K157</f>
        <v/>
      </c>
      <c r="M157">
        <f>MIN(L157,MAX(0,$B157-((E$5&lt;K$5)*F157+(Q$5&lt;K$5)*R157+(W$5&lt;K$5)*X157+(AC$5&lt;K$5)*AD157+(AI$5&lt;K$5)*AJ157+(AO$5&lt;K$5)*AP157+(AU$5&lt;K$5)*AV157)))</f>
        <v/>
      </c>
      <c r="N157">
        <f>IF(L157-M157&lt;0.005,0,L157-M157)</f>
        <v/>
      </c>
      <c r="O157">
        <f>T156</f>
        <v/>
      </c>
      <c r="P157">
        <f>O157*Plan!D8/100/12</f>
        <v/>
      </c>
      <c r="Q157">
        <f>MIN(Plan!E8,O157+P157)</f>
        <v/>
      </c>
      <c r="R157">
        <f>O157+P157-Q157</f>
        <v/>
      </c>
      <c r="S157">
        <f>MIN(R157,MAX(0,$B157-((E$5&lt;Q$5)*F157+(K$5&lt;Q$5)*L157+(W$5&lt;Q$5)*X157+(AC$5&lt;Q$5)*AD157+(AI$5&lt;Q$5)*AJ157+(AO$5&lt;Q$5)*AP157+(AU$5&lt;Q$5)*AV157)))</f>
        <v/>
      </c>
      <c r="T157">
        <f>IF(R157-S157&lt;0.005,0,R157-S157)</f>
        <v/>
      </c>
      <c r="U157">
        <f>Z156</f>
        <v/>
      </c>
      <c r="V157">
        <f>U157*Plan!D9/100/12</f>
        <v/>
      </c>
      <c r="W157">
        <f>MIN(Plan!E9,U157+V157)</f>
        <v/>
      </c>
      <c r="X157">
        <f>U157+V157-W157</f>
        <v/>
      </c>
      <c r="Y157">
        <f>MIN(X157,MAX(0,$B157-((E$5&lt;W$5)*F157+(K$5&lt;W$5)*L157+(Q$5&lt;W$5)*R157+(AC$5&lt;W$5)*AD157+(AI$5&lt;W$5)*AJ157+(AO$5&lt;W$5)*AP157+(AU$5&lt;W$5)*AV157)))</f>
        <v/>
      </c>
      <c r="Z157">
        <f>IF(X157-Y157&lt;0.005,0,X157-Y157)</f>
        <v/>
      </c>
      <c r="AA157">
        <f>AF156</f>
        <v/>
      </c>
      <c r="AB157">
        <f>AA157*Plan!D10/100/12</f>
        <v/>
      </c>
      <c r="AC157">
        <f>MIN(Plan!E10,AA157+AB157)</f>
        <v/>
      </c>
      <c r="AD157">
        <f>AA157+AB157-AC157</f>
        <v/>
      </c>
      <c r="AE157">
        <f>MIN(AD157,MAX(0,$B157-((E$5&lt;AC$5)*F157+(K$5&lt;AC$5)*L157+(Q$5&lt;AC$5)*R157+(W$5&lt;AC$5)*X157+(AI$5&lt;AC$5)*AJ157+(AO$5&lt;AC$5)*AP157+(AU$5&lt;AC$5)*AV157)))</f>
        <v/>
      </c>
      <c r="AF157">
        <f>IF(AD157-AE157&lt;0.005,0,AD157-AE157)</f>
        <v/>
      </c>
      <c r="AG157">
        <f>AL156</f>
        <v/>
      </c>
      <c r="AH157">
        <f>AG157*Plan!D11/100/12</f>
        <v/>
      </c>
      <c r="AI157">
        <f>MIN(Plan!E11,AG157+AH157)</f>
        <v/>
      </c>
      <c r="AJ157">
        <f>AG157+AH157-AI157</f>
        <v/>
      </c>
      <c r="AK157">
        <f>MIN(AJ157,MAX(0,$B157-((E$5&lt;AI$5)*F157+(K$5&lt;AI$5)*L157+(Q$5&lt;AI$5)*R157+(W$5&lt;AI$5)*X157+(AC$5&lt;AI$5)*AD157+(AO$5&lt;AI$5)*AP157+(AU$5&lt;AI$5)*AV157)))</f>
        <v/>
      </c>
      <c r="AL157">
        <f>IF(AJ157-AK157&lt;0.005,0,AJ157-AK157)</f>
        <v/>
      </c>
      <c r="AM157">
        <f>AR156</f>
        <v/>
      </c>
      <c r="AN157">
        <f>AM157*Plan!D12/100/12</f>
        <v/>
      </c>
      <c r="AO157">
        <f>MIN(Plan!E12,AM157+AN157)</f>
        <v/>
      </c>
      <c r="AP157">
        <f>AM157+AN157-AO157</f>
        <v/>
      </c>
      <c r="AQ157">
        <f>MIN(AP157,MAX(0,$B157-((E$5&lt;AO$5)*F157+(K$5&lt;AO$5)*L157+(Q$5&lt;AO$5)*R157+(W$5&lt;AO$5)*X157+(AC$5&lt;AO$5)*AD157+(AI$5&lt;AO$5)*AJ157+(AU$5&lt;AO$5)*AV157)))</f>
        <v/>
      </c>
      <c r="AR157">
        <f>IF(AP157-AQ157&lt;0.005,0,AP157-AQ157)</f>
        <v/>
      </c>
      <c r="AS157">
        <f>AX156</f>
        <v/>
      </c>
      <c r="AT157">
        <f>AS157*Plan!D13/100/12</f>
        <v/>
      </c>
      <c r="AU157">
        <f>MIN(Plan!E13,AS157+AT157)</f>
        <v/>
      </c>
      <c r="AV157">
        <f>AS157+AT157-AU157</f>
        <v/>
      </c>
      <c r="AW157">
        <f>MIN(AV157,MAX(0,$B157-((E$5&lt;AU$5)*F157+(K$5&lt;AU$5)*L157+(Q$5&lt;AU$5)*R157+(W$5&lt;AU$5)*X157+(AC$5&lt;AU$5)*AD157+(AI$5&lt;AU$5)*AJ157+(AO$5&lt;AU$5)*AP157)))</f>
        <v/>
      </c>
      <c r="AX157">
        <f>IF(AV157-AW157&lt;0.005,0,AV157-AW157)</f>
        <v/>
      </c>
      <c r="BC157">
        <f>H157+N157+T157+Z157+AF157+AL157+AR157+AX157</f>
        <v/>
      </c>
    </row>
    <row r="158">
      <c r="A158" t="n">
        <v>152</v>
      </c>
      <c r="B158" s="19">
        <f>MAX(0,$B$3-(E158+K158+Q158+W158+AC158+AI158+AO158+AU158))</f>
        <v/>
      </c>
      <c r="C158">
        <f>H157</f>
        <v/>
      </c>
      <c r="D158">
        <f>C158*Plan!D6/100/12</f>
        <v/>
      </c>
      <c r="E158">
        <f>MIN(Plan!E6,C158+D158)</f>
        <v/>
      </c>
      <c r="F158">
        <f>C158+D158-E158</f>
        <v/>
      </c>
      <c r="G158">
        <f>MIN(F158,MAX(0,$B158-((K$5&lt;E$5)*L158+(Q$5&lt;E$5)*R158+(W$5&lt;E$5)*X158+(AC$5&lt;E$5)*AD158+(AI$5&lt;E$5)*AJ158+(AO$5&lt;E$5)*AP158+(AU$5&lt;E$5)*AV158)))</f>
        <v/>
      </c>
      <c r="H158">
        <f>IF(F158-G158&lt;0.005,0,F158-G158)</f>
        <v/>
      </c>
      <c r="I158">
        <f>N157</f>
        <v/>
      </c>
      <c r="J158">
        <f>I158*Plan!D7/100/12</f>
        <v/>
      </c>
      <c r="K158">
        <f>MIN(Plan!E7,I158+J158)</f>
        <v/>
      </c>
      <c r="L158">
        <f>I158+J158-K158</f>
        <v/>
      </c>
      <c r="M158">
        <f>MIN(L158,MAX(0,$B158-((E$5&lt;K$5)*F158+(Q$5&lt;K$5)*R158+(W$5&lt;K$5)*X158+(AC$5&lt;K$5)*AD158+(AI$5&lt;K$5)*AJ158+(AO$5&lt;K$5)*AP158+(AU$5&lt;K$5)*AV158)))</f>
        <v/>
      </c>
      <c r="N158">
        <f>IF(L158-M158&lt;0.005,0,L158-M158)</f>
        <v/>
      </c>
      <c r="O158">
        <f>T157</f>
        <v/>
      </c>
      <c r="P158">
        <f>O158*Plan!D8/100/12</f>
        <v/>
      </c>
      <c r="Q158">
        <f>MIN(Plan!E8,O158+P158)</f>
        <v/>
      </c>
      <c r="R158">
        <f>O158+P158-Q158</f>
        <v/>
      </c>
      <c r="S158">
        <f>MIN(R158,MAX(0,$B158-((E$5&lt;Q$5)*F158+(K$5&lt;Q$5)*L158+(W$5&lt;Q$5)*X158+(AC$5&lt;Q$5)*AD158+(AI$5&lt;Q$5)*AJ158+(AO$5&lt;Q$5)*AP158+(AU$5&lt;Q$5)*AV158)))</f>
        <v/>
      </c>
      <c r="T158">
        <f>IF(R158-S158&lt;0.005,0,R158-S158)</f>
        <v/>
      </c>
      <c r="U158">
        <f>Z157</f>
        <v/>
      </c>
      <c r="V158">
        <f>U158*Plan!D9/100/12</f>
        <v/>
      </c>
      <c r="W158">
        <f>MIN(Plan!E9,U158+V158)</f>
        <v/>
      </c>
      <c r="X158">
        <f>U158+V158-W158</f>
        <v/>
      </c>
      <c r="Y158">
        <f>MIN(X158,MAX(0,$B158-((E$5&lt;W$5)*F158+(K$5&lt;W$5)*L158+(Q$5&lt;W$5)*R158+(AC$5&lt;W$5)*AD158+(AI$5&lt;W$5)*AJ158+(AO$5&lt;W$5)*AP158+(AU$5&lt;W$5)*AV158)))</f>
        <v/>
      </c>
      <c r="Z158">
        <f>IF(X158-Y158&lt;0.005,0,X158-Y158)</f>
        <v/>
      </c>
      <c r="AA158">
        <f>AF157</f>
        <v/>
      </c>
      <c r="AB158">
        <f>AA158*Plan!D10/100/12</f>
        <v/>
      </c>
      <c r="AC158">
        <f>MIN(Plan!E10,AA158+AB158)</f>
        <v/>
      </c>
      <c r="AD158">
        <f>AA158+AB158-AC158</f>
        <v/>
      </c>
      <c r="AE158">
        <f>MIN(AD158,MAX(0,$B158-((E$5&lt;AC$5)*F158+(K$5&lt;AC$5)*L158+(Q$5&lt;AC$5)*R158+(W$5&lt;AC$5)*X158+(AI$5&lt;AC$5)*AJ158+(AO$5&lt;AC$5)*AP158+(AU$5&lt;AC$5)*AV158)))</f>
        <v/>
      </c>
      <c r="AF158">
        <f>IF(AD158-AE158&lt;0.005,0,AD158-AE158)</f>
        <v/>
      </c>
      <c r="AG158">
        <f>AL157</f>
        <v/>
      </c>
      <c r="AH158">
        <f>AG158*Plan!D11/100/12</f>
        <v/>
      </c>
      <c r="AI158">
        <f>MIN(Plan!E11,AG158+AH158)</f>
        <v/>
      </c>
      <c r="AJ158">
        <f>AG158+AH158-AI158</f>
        <v/>
      </c>
      <c r="AK158">
        <f>MIN(AJ158,MAX(0,$B158-((E$5&lt;AI$5)*F158+(K$5&lt;AI$5)*L158+(Q$5&lt;AI$5)*R158+(W$5&lt;AI$5)*X158+(AC$5&lt;AI$5)*AD158+(AO$5&lt;AI$5)*AP158+(AU$5&lt;AI$5)*AV158)))</f>
        <v/>
      </c>
      <c r="AL158">
        <f>IF(AJ158-AK158&lt;0.005,0,AJ158-AK158)</f>
        <v/>
      </c>
      <c r="AM158">
        <f>AR157</f>
        <v/>
      </c>
      <c r="AN158">
        <f>AM158*Plan!D12/100/12</f>
        <v/>
      </c>
      <c r="AO158">
        <f>MIN(Plan!E12,AM158+AN158)</f>
        <v/>
      </c>
      <c r="AP158">
        <f>AM158+AN158-AO158</f>
        <v/>
      </c>
      <c r="AQ158">
        <f>MIN(AP158,MAX(0,$B158-((E$5&lt;AO$5)*F158+(K$5&lt;AO$5)*L158+(Q$5&lt;AO$5)*R158+(W$5&lt;AO$5)*X158+(AC$5&lt;AO$5)*AD158+(AI$5&lt;AO$5)*AJ158+(AU$5&lt;AO$5)*AV158)))</f>
        <v/>
      </c>
      <c r="AR158">
        <f>IF(AP158-AQ158&lt;0.005,0,AP158-AQ158)</f>
        <v/>
      </c>
      <c r="AS158">
        <f>AX157</f>
        <v/>
      </c>
      <c r="AT158">
        <f>AS158*Plan!D13/100/12</f>
        <v/>
      </c>
      <c r="AU158">
        <f>MIN(Plan!E13,AS158+AT158)</f>
        <v/>
      </c>
      <c r="AV158">
        <f>AS158+AT158-AU158</f>
        <v/>
      </c>
      <c r="AW158">
        <f>MIN(AV158,MAX(0,$B158-((E$5&lt;AU$5)*F158+(K$5&lt;AU$5)*L158+(Q$5&lt;AU$5)*R158+(W$5&lt;AU$5)*X158+(AC$5&lt;AU$5)*AD158+(AI$5&lt;AU$5)*AJ158+(AO$5&lt;AU$5)*AP158)))</f>
        <v/>
      </c>
      <c r="AX158">
        <f>IF(AV158-AW158&lt;0.005,0,AV158-AW158)</f>
        <v/>
      </c>
      <c r="BC158">
        <f>H158+N158+T158+Z158+AF158+AL158+AR158+AX158</f>
        <v/>
      </c>
    </row>
    <row r="159">
      <c r="A159" t="n">
        <v>153</v>
      </c>
      <c r="B159" s="19">
        <f>MAX(0,$B$3-(E159+K159+Q159+W159+AC159+AI159+AO159+AU159))</f>
        <v/>
      </c>
      <c r="C159">
        <f>H158</f>
        <v/>
      </c>
      <c r="D159">
        <f>C159*Plan!D6/100/12</f>
        <v/>
      </c>
      <c r="E159">
        <f>MIN(Plan!E6,C159+D159)</f>
        <v/>
      </c>
      <c r="F159">
        <f>C159+D159-E159</f>
        <v/>
      </c>
      <c r="G159">
        <f>MIN(F159,MAX(0,$B159-((K$5&lt;E$5)*L159+(Q$5&lt;E$5)*R159+(W$5&lt;E$5)*X159+(AC$5&lt;E$5)*AD159+(AI$5&lt;E$5)*AJ159+(AO$5&lt;E$5)*AP159+(AU$5&lt;E$5)*AV159)))</f>
        <v/>
      </c>
      <c r="H159">
        <f>IF(F159-G159&lt;0.005,0,F159-G159)</f>
        <v/>
      </c>
      <c r="I159">
        <f>N158</f>
        <v/>
      </c>
      <c r="J159">
        <f>I159*Plan!D7/100/12</f>
        <v/>
      </c>
      <c r="K159">
        <f>MIN(Plan!E7,I159+J159)</f>
        <v/>
      </c>
      <c r="L159">
        <f>I159+J159-K159</f>
        <v/>
      </c>
      <c r="M159">
        <f>MIN(L159,MAX(0,$B159-((E$5&lt;K$5)*F159+(Q$5&lt;K$5)*R159+(W$5&lt;K$5)*X159+(AC$5&lt;K$5)*AD159+(AI$5&lt;K$5)*AJ159+(AO$5&lt;K$5)*AP159+(AU$5&lt;K$5)*AV159)))</f>
        <v/>
      </c>
      <c r="N159">
        <f>IF(L159-M159&lt;0.005,0,L159-M159)</f>
        <v/>
      </c>
      <c r="O159">
        <f>T158</f>
        <v/>
      </c>
      <c r="P159">
        <f>O159*Plan!D8/100/12</f>
        <v/>
      </c>
      <c r="Q159">
        <f>MIN(Plan!E8,O159+P159)</f>
        <v/>
      </c>
      <c r="R159">
        <f>O159+P159-Q159</f>
        <v/>
      </c>
      <c r="S159">
        <f>MIN(R159,MAX(0,$B159-((E$5&lt;Q$5)*F159+(K$5&lt;Q$5)*L159+(W$5&lt;Q$5)*X159+(AC$5&lt;Q$5)*AD159+(AI$5&lt;Q$5)*AJ159+(AO$5&lt;Q$5)*AP159+(AU$5&lt;Q$5)*AV159)))</f>
        <v/>
      </c>
      <c r="T159">
        <f>IF(R159-S159&lt;0.005,0,R159-S159)</f>
        <v/>
      </c>
      <c r="U159">
        <f>Z158</f>
        <v/>
      </c>
      <c r="V159">
        <f>U159*Plan!D9/100/12</f>
        <v/>
      </c>
      <c r="W159">
        <f>MIN(Plan!E9,U159+V159)</f>
        <v/>
      </c>
      <c r="X159">
        <f>U159+V159-W159</f>
        <v/>
      </c>
      <c r="Y159">
        <f>MIN(X159,MAX(0,$B159-((E$5&lt;W$5)*F159+(K$5&lt;W$5)*L159+(Q$5&lt;W$5)*R159+(AC$5&lt;W$5)*AD159+(AI$5&lt;W$5)*AJ159+(AO$5&lt;W$5)*AP159+(AU$5&lt;W$5)*AV159)))</f>
        <v/>
      </c>
      <c r="Z159">
        <f>IF(X159-Y159&lt;0.005,0,X159-Y159)</f>
        <v/>
      </c>
      <c r="AA159">
        <f>AF158</f>
        <v/>
      </c>
      <c r="AB159">
        <f>AA159*Plan!D10/100/12</f>
        <v/>
      </c>
      <c r="AC159">
        <f>MIN(Plan!E10,AA159+AB159)</f>
        <v/>
      </c>
      <c r="AD159">
        <f>AA159+AB159-AC159</f>
        <v/>
      </c>
      <c r="AE159">
        <f>MIN(AD159,MAX(0,$B159-((E$5&lt;AC$5)*F159+(K$5&lt;AC$5)*L159+(Q$5&lt;AC$5)*R159+(W$5&lt;AC$5)*X159+(AI$5&lt;AC$5)*AJ159+(AO$5&lt;AC$5)*AP159+(AU$5&lt;AC$5)*AV159)))</f>
        <v/>
      </c>
      <c r="AF159">
        <f>IF(AD159-AE159&lt;0.005,0,AD159-AE159)</f>
        <v/>
      </c>
      <c r="AG159">
        <f>AL158</f>
        <v/>
      </c>
      <c r="AH159">
        <f>AG159*Plan!D11/100/12</f>
        <v/>
      </c>
      <c r="AI159">
        <f>MIN(Plan!E11,AG159+AH159)</f>
        <v/>
      </c>
      <c r="AJ159">
        <f>AG159+AH159-AI159</f>
        <v/>
      </c>
      <c r="AK159">
        <f>MIN(AJ159,MAX(0,$B159-((E$5&lt;AI$5)*F159+(K$5&lt;AI$5)*L159+(Q$5&lt;AI$5)*R159+(W$5&lt;AI$5)*X159+(AC$5&lt;AI$5)*AD159+(AO$5&lt;AI$5)*AP159+(AU$5&lt;AI$5)*AV159)))</f>
        <v/>
      </c>
      <c r="AL159">
        <f>IF(AJ159-AK159&lt;0.005,0,AJ159-AK159)</f>
        <v/>
      </c>
      <c r="AM159">
        <f>AR158</f>
        <v/>
      </c>
      <c r="AN159">
        <f>AM159*Plan!D12/100/12</f>
        <v/>
      </c>
      <c r="AO159">
        <f>MIN(Plan!E12,AM159+AN159)</f>
        <v/>
      </c>
      <c r="AP159">
        <f>AM159+AN159-AO159</f>
        <v/>
      </c>
      <c r="AQ159">
        <f>MIN(AP159,MAX(0,$B159-((E$5&lt;AO$5)*F159+(K$5&lt;AO$5)*L159+(Q$5&lt;AO$5)*R159+(W$5&lt;AO$5)*X159+(AC$5&lt;AO$5)*AD159+(AI$5&lt;AO$5)*AJ159+(AU$5&lt;AO$5)*AV159)))</f>
        <v/>
      </c>
      <c r="AR159">
        <f>IF(AP159-AQ159&lt;0.005,0,AP159-AQ159)</f>
        <v/>
      </c>
      <c r="AS159">
        <f>AX158</f>
        <v/>
      </c>
      <c r="AT159">
        <f>AS159*Plan!D13/100/12</f>
        <v/>
      </c>
      <c r="AU159">
        <f>MIN(Plan!E13,AS159+AT159)</f>
        <v/>
      </c>
      <c r="AV159">
        <f>AS159+AT159-AU159</f>
        <v/>
      </c>
      <c r="AW159">
        <f>MIN(AV159,MAX(0,$B159-((E$5&lt;AU$5)*F159+(K$5&lt;AU$5)*L159+(Q$5&lt;AU$5)*R159+(W$5&lt;AU$5)*X159+(AC$5&lt;AU$5)*AD159+(AI$5&lt;AU$5)*AJ159+(AO$5&lt;AU$5)*AP159)))</f>
        <v/>
      </c>
      <c r="AX159">
        <f>IF(AV159-AW159&lt;0.005,0,AV159-AW159)</f>
        <v/>
      </c>
      <c r="BC159">
        <f>H159+N159+T159+Z159+AF159+AL159+AR159+AX159</f>
        <v/>
      </c>
    </row>
    <row r="160">
      <c r="A160" t="n">
        <v>154</v>
      </c>
      <c r="B160" s="19">
        <f>MAX(0,$B$3-(E160+K160+Q160+W160+AC160+AI160+AO160+AU160))</f>
        <v/>
      </c>
      <c r="C160">
        <f>H159</f>
        <v/>
      </c>
      <c r="D160">
        <f>C160*Plan!D6/100/12</f>
        <v/>
      </c>
      <c r="E160">
        <f>MIN(Plan!E6,C160+D160)</f>
        <v/>
      </c>
      <c r="F160">
        <f>C160+D160-E160</f>
        <v/>
      </c>
      <c r="G160">
        <f>MIN(F160,MAX(0,$B160-((K$5&lt;E$5)*L160+(Q$5&lt;E$5)*R160+(W$5&lt;E$5)*X160+(AC$5&lt;E$5)*AD160+(AI$5&lt;E$5)*AJ160+(AO$5&lt;E$5)*AP160+(AU$5&lt;E$5)*AV160)))</f>
        <v/>
      </c>
      <c r="H160">
        <f>IF(F160-G160&lt;0.005,0,F160-G160)</f>
        <v/>
      </c>
      <c r="I160">
        <f>N159</f>
        <v/>
      </c>
      <c r="J160">
        <f>I160*Plan!D7/100/12</f>
        <v/>
      </c>
      <c r="K160">
        <f>MIN(Plan!E7,I160+J160)</f>
        <v/>
      </c>
      <c r="L160">
        <f>I160+J160-K160</f>
        <v/>
      </c>
      <c r="M160">
        <f>MIN(L160,MAX(0,$B160-((E$5&lt;K$5)*F160+(Q$5&lt;K$5)*R160+(W$5&lt;K$5)*X160+(AC$5&lt;K$5)*AD160+(AI$5&lt;K$5)*AJ160+(AO$5&lt;K$5)*AP160+(AU$5&lt;K$5)*AV160)))</f>
        <v/>
      </c>
      <c r="N160">
        <f>IF(L160-M160&lt;0.005,0,L160-M160)</f>
        <v/>
      </c>
      <c r="O160">
        <f>T159</f>
        <v/>
      </c>
      <c r="P160">
        <f>O160*Plan!D8/100/12</f>
        <v/>
      </c>
      <c r="Q160">
        <f>MIN(Plan!E8,O160+P160)</f>
        <v/>
      </c>
      <c r="R160">
        <f>O160+P160-Q160</f>
        <v/>
      </c>
      <c r="S160">
        <f>MIN(R160,MAX(0,$B160-((E$5&lt;Q$5)*F160+(K$5&lt;Q$5)*L160+(W$5&lt;Q$5)*X160+(AC$5&lt;Q$5)*AD160+(AI$5&lt;Q$5)*AJ160+(AO$5&lt;Q$5)*AP160+(AU$5&lt;Q$5)*AV160)))</f>
        <v/>
      </c>
      <c r="T160">
        <f>IF(R160-S160&lt;0.005,0,R160-S160)</f>
        <v/>
      </c>
      <c r="U160">
        <f>Z159</f>
        <v/>
      </c>
      <c r="V160">
        <f>U160*Plan!D9/100/12</f>
        <v/>
      </c>
      <c r="W160">
        <f>MIN(Plan!E9,U160+V160)</f>
        <v/>
      </c>
      <c r="X160">
        <f>U160+V160-W160</f>
        <v/>
      </c>
      <c r="Y160">
        <f>MIN(X160,MAX(0,$B160-((E$5&lt;W$5)*F160+(K$5&lt;W$5)*L160+(Q$5&lt;W$5)*R160+(AC$5&lt;W$5)*AD160+(AI$5&lt;W$5)*AJ160+(AO$5&lt;W$5)*AP160+(AU$5&lt;W$5)*AV160)))</f>
        <v/>
      </c>
      <c r="Z160">
        <f>IF(X160-Y160&lt;0.005,0,X160-Y160)</f>
        <v/>
      </c>
      <c r="AA160">
        <f>AF159</f>
        <v/>
      </c>
      <c r="AB160">
        <f>AA160*Plan!D10/100/12</f>
        <v/>
      </c>
      <c r="AC160">
        <f>MIN(Plan!E10,AA160+AB160)</f>
        <v/>
      </c>
      <c r="AD160">
        <f>AA160+AB160-AC160</f>
        <v/>
      </c>
      <c r="AE160">
        <f>MIN(AD160,MAX(0,$B160-((E$5&lt;AC$5)*F160+(K$5&lt;AC$5)*L160+(Q$5&lt;AC$5)*R160+(W$5&lt;AC$5)*X160+(AI$5&lt;AC$5)*AJ160+(AO$5&lt;AC$5)*AP160+(AU$5&lt;AC$5)*AV160)))</f>
        <v/>
      </c>
      <c r="AF160">
        <f>IF(AD160-AE160&lt;0.005,0,AD160-AE160)</f>
        <v/>
      </c>
      <c r="AG160">
        <f>AL159</f>
        <v/>
      </c>
      <c r="AH160">
        <f>AG160*Plan!D11/100/12</f>
        <v/>
      </c>
      <c r="AI160">
        <f>MIN(Plan!E11,AG160+AH160)</f>
        <v/>
      </c>
      <c r="AJ160">
        <f>AG160+AH160-AI160</f>
        <v/>
      </c>
      <c r="AK160">
        <f>MIN(AJ160,MAX(0,$B160-((E$5&lt;AI$5)*F160+(K$5&lt;AI$5)*L160+(Q$5&lt;AI$5)*R160+(W$5&lt;AI$5)*X160+(AC$5&lt;AI$5)*AD160+(AO$5&lt;AI$5)*AP160+(AU$5&lt;AI$5)*AV160)))</f>
        <v/>
      </c>
      <c r="AL160">
        <f>IF(AJ160-AK160&lt;0.005,0,AJ160-AK160)</f>
        <v/>
      </c>
      <c r="AM160">
        <f>AR159</f>
        <v/>
      </c>
      <c r="AN160">
        <f>AM160*Plan!D12/100/12</f>
        <v/>
      </c>
      <c r="AO160">
        <f>MIN(Plan!E12,AM160+AN160)</f>
        <v/>
      </c>
      <c r="AP160">
        <f>AM160+AN160-AO160</f>
        <v/>
      </c>
      <c r="AQ160">
        <f>MIN(AP160,MAX(0,$B160-((E$5&lt;AO$5)*F160+(K$5&lt;AO$5)*L160+(Q$5&lt;AO$5)*R160+(W$5&lt;AO$5)*X160+(AC$5&lt;AO$5)*AD160+(AI$5&lt;AO$5)*AJ160+(AU$5&lt;AO$5)*AV160)))</f>
        <v/>
      </c>
      <c r="AR160">
        <f>IF(AP160-AQ160&lt;0.005,0,AP160-AQ160)</f>
        <v/>
      </c>
      <c r="AS160">
        <f>AX159</f>
        <v/>
      </c>
      <c r="AT160">
        <f>AS160*Plan!D13/100/12</f>
        <v/>
      </c>
      <c r="AU160">
        <f>MIN(Plan!E13,AS160+AT160)</f>
        <v/>
      </c>
      <c r="AV160">
        <f>AS160+AT160-AU160</f>
        <v/>
      </c>
      <c r="AW160">
        <f>MIN(AV160,MAX(0,$B160-((E$5&lt;AU$5)*F160+(K$5&lt;AU$5)*L160+(Q$5&lt;AU$5)*R160+(W$5&lt;AU$5)*X160+(AC$5&lt;AU$5)*AD160+(AI$5&lt;AU$5)*AJ160+(AO$5&lt;AU$5)*AP160)))</f>
        <v/>
      </c>
      <c r="AX160">
        <f>IF(AV160-AW160&lt;0.005,0,AV160-AW160)</f>
        <v/>
      </c>
      <c r="BC160">
        <f>H160+N160+T160+Z160+AF160+AL160+AR160+AX160</f>
        <v/>
      </c>
    </row>
    <row r="161">
      <c r="A161" t="n">
        <v>155</v>
      </c>
      <c r="B161" s="19">
        <f>MAX(0,$B$3-(E161+K161+Q161+W161+AC161+AI161+AO161+AU161))</f>
        <v/>
      </c>
      <c r="C161">
        <f>H160</f>
        <v/>
      </c>
      <c r="D161">
        <f>C161*Plan!D6/100/12</f>
        <v/>
      </c>
      <c r="E161">
        <f>MIN(Plan!E6,C161+D161)</f>
        <v/>
      </c>
      <c r="F161">
        <f>C161+D161-E161</f>
        <v/>
      </c>
      <c r="G161">
        <f>MIN(F161,MAX(0,$B161-((K$5&lt;E$5)*L161+(Q$5&lt;E$5)*R161+(W$5&lt;E$5)*X161+(AC$5&lt;E$5)*AD161+(AI$5&lt;E$5)*AJ161+(AO$5&lt;E$5)*AP161+(AU$5&lt;E$5)*AV161)))</f>
        <v/>
      </c>
      <c r="H161">
        <f>IF(F161-G161&lt;0.005,0,F161-G161)</f>
        <v/>
      </c>
      <c r="I161">
        <f>N160</f>
        <v/>
      </c>
      <c r="J161">
        <f>I161*Plan!D7/100/12</f>
        <v/>
      </c>
      <c r="K161">
        <f>MIN(Plan!E7,I161+J161)</f>
        <v/>
      </c>
      <c r="L161">
        <f>I161+J161-K161</f>
        <v/>
      </c>
      <c r="M161">
        <f>MIN(L161,MAX(0,$B161-((E$5&lt;K$5)*F161+(Q$5&lt;K$5)*R161+(W$5&lt;K$5)*X161+(AC$5&lt;K$5)*AD161+(AI$5&lt;K$5)*AJ161+(AO$5&lt;K$5)*AP161+(AU$5&lt;K$5)*AV161)))</f>
        <v/>
      </c>
      <c r="N161">
        <f>IF(L161-M161&lt;0.005,0,L161-M161)</f>
        <v/>
      </c>
      <c r="O161">
        <f>T160</f>
        <v/>
      </c>
      <c r="P161">
        <f>O161*Plan!D8/100/12</f>
        <v/>
      </c>
      <c r="Q161">
        <f>MIN(Plan!E8,O161+P161)</f>
        <v/>
      </c>
      <c r="R161">
        <f>O161+P161-Q161</f>
        <v/>
      </c>
      <c r="S161">
        <f>MIN(R161,MAX(0,$B161-((E$5&lt;Q$5)*F161+(K$5&lt;Q$5)*L161+(W$5&lt;Q$5)*X161+(AC$5&lt;Q$5)*AD161+(AI$5&lt;Q$5)*AJ161+(AO$5&lt;Q$5)*AP161+(AU$5&lt;Q$5)*AV161)))</f>
        <v/>
      </c>
      <c r="T161">
        <f>IF(R161-S161&lt;0.005,0,R161-S161)</f>
        <v/>
      </c>
      <c r="U161">
        <f>Z160</f>
        <v/>
      </c>
      <c r="V161">
        <f>U161*Plan!D9/100/12</f>
        <v/>
      </c>
      <c r="W161">
        <f>MIN(Plan!E9,U161+V161)</f>
        <v/>
      </c>
      <c r="X161">
        <f>U161+V161-W161</f>
        <v/>
      </c>
      <c r="Y161">
        <f>MIN(X161,MAX(0,$B161-((E$5&lt;W$5)*F161+(K$5&lt;W$5)*L161+(Q$5&lt;W$5)*R161+(AC$5&lt;W$5)*AD161+(AI$5&lt;W$5)*AJ161+(AO$5&lt;W$5)*AP161+(AU$5&lt;W$5)*AV161)))</f>
        <v/>
      </c>
      <c r="Z161">
        <f>IF(X161-Y161&lt;0.005,0,X161-Y161)</f>
        <v/>
      </c>
      <c r="AA161">
        <f>AF160</f>
        <v/>
      </c>
      <c r="AB161">
        <f>AA161*Plan!D10/100/12</f>
        <v/>
      </c>
      <c r="AC161">
        <f>MIN(Plan!E10,AA161+AB161)</f>
        <v/>
      </c>
      <c r="AD161">
        <f>AA161+AB161-AC161</f>
        <v/>
      </c>
      <c r="AE161">
        <f>MIN(AD161,MAX(0,$B161-((E$5&lt;AC$5)*F161+(K$5&lt;AC$5)*L161+(Q$5&lt;AC$5)*R161+(W$5&lt;AC$5)*X161+(AI$5&lt;AC$5)*AJ161+(AO$5&lt;AC$5)*AP161+(AU$5&lt;AC$5)*AV161)))</f>
        <v/>
      </c>
      <c r="AF161">
        <f>IF(AD161-AE161&lt;0.005,0,AD161-AE161)</f>
        <v/>
      </c>
      <c r="AG161">
        <f>AL160</f>
        <v/>
      </c>
      <c r="AH161">
        <f>AG161*Plan!D11/100/12</f>
        <v/>
      </c>
      <c r="AI161">
        <f>MIN(Plan!E11,AG161+AH161)</f>
        <v/>
      </c>
      <c r="AJ161">
        <f>AG161+AH161-AI161</f>
        <v/>
      </c>
      <c r="AK161">
        <f>MIN(AJ161,MAX(0,$B161-((E$5&lt;AI$5)*F161+(K$5&lt;AI$5)*L161+(Q$5&lt;AI$5)*R161+(W$5&lt;AI$5)*X161+(AC$5&lt;AI$5)*AD161+(AO$5&lt;AI$5)*AP161+(AU$5&lt;AI$5)*AV161)))</f>
        <v/>
      </c>
      <c r="AL161">
        <f>IF(AJ161-AK161&lt;0.005,0,AJ161-AK161)</f>
        <v/>
      </c>
      <c r="AM161">
        <f>AR160</f>
        <v/>
      </c>
      <c r="AN161">
        <f>AM161*Plan!D12/100/12</f>
        <v/>
      </c>
      <c r="AO161">
        <f>MIN(Plan!E12,AM161+AN161)</f>
        <v/>
      </c>
      <c r="AP161">
        <f>AM161+AN161-AO161</f>
        <v/>
      </c>
      <c r="AQ161">
        <f>MIN(AP161,MAX(0,$B161-((E$5&lt;AO$5)*F161+(K$5&lt;AO$5)*L161+(Q$5&lt;AO$5)*R161+(W$5&lt;AO$5)*X161+(AC$5&lt;AO$5)*AD161+(AI$5&lt;AO$5)*AJ161+(AU$5&lt;AO$5)*AV161)))</f>
        <v/>
      </c>
      <c r="AR161">
        <f>IF(AP161-AQ161&lt;0.005,0,AP161-AQ161)</f>
        <v/>
      </c>
      <c r="AS161">
        <f>AX160</f>
        <v/>
      </c>
      <c r="AT161">
        <f>AS161*Plan!D13/100/12</f>
        <v/>
      </c>
      <c r="AU161">
        <f>MIN(Plan!E13,AS161+AT161)</f>
        <v/>
      </c>
      <c r="AV161">
        <f>AS161+AT161-AU161</f>
        <v/>
      </c>
      <c r="AW161">
        <f>MIN(AV161,MAX(0,$B161-((E$5&lt;AU$5)*F161+(K$5&lt;AU$5)*L161+(Q$5&lt;AU$5)*R161+(W$5&lt;AU$5)*X161+(AC$5&lt;AU$5)*AD161+(AI$5&lt;AU$5)*AJ161+(AO$5&lt;AU$5)*AP161)))</f>
        <v/>
      </c>
      <c r="AX161">
        <f>IF(AV161-AW161&lt;0.005,0,AV161-AW161)</f>
        <v/>
      </c>
      <c r="BC161">
        <f>H161+N161+T161+Z161+AF161+AL161+AR161+AX161</f>
        <v/>
      </c>
    </row>
    <row r="162">
      <c r="A162" t="n">
        <v>156</v>
      </c>
      <c r="B162" s="19">
        <f>MAX(0,$B$3-(E162+K162+Q162+W162+AC162+AI162+AO162+AU162))</f>
        <v/>
      </c>
      <c r="C162">
        <f>H161</f>
        <v/>
      </c>
      <c r="D162">
        <f>C162*Plan!D6/100/12</f>
        <v/>
      </c>
      <c r="E162">
        <f>MIN(Plan!E6,C162+D162)</f>
        <v/>
      </c>
      <c r="F162">
        <f>C162+D162-E162</f>
        <v/>
      </c>
      <c r="G162">
        <f>MIN(F162,MAX(0,$B162-((K$5&lt;E$5)*L162+(Q$5&lt;E$5)*R162+(W$5&lt;E$5)*X162+(AC$5&lt;E$5)*AD162+(AI$5&lt;E$5)*AJ162+(AO$5&lt;E$5)*AP162+(AU$5&lt;E$5)*AV162)))</f>
        <v/>
      </c>
      <c r="H162">
        <f>IF(F162-G162&lt;0.005,0,F162-G162)</f>
        <v/>
      </c>
      <c r="I162">
        <f>N161</f>
        <v/>
      </c>
      <c r="J162">
        <f>I162*Plan!D7/100/12</f>
        <v/>
      </c>
      <c r="K162">
        <f>MIN(Plan!E7,I162+J162)</f>
        <v/>
      </c>
      <c r="L162">
        <f>I162+J162-K162</f>
        <v/>
      </c>
      <c r="M162">
        <f>MIN(L162,MAX(0,$B162-((E$5&lt;K$5)*F162+(Q$5&lt;K$5)*R162+(W$5&lt;K$5)*X162+(AC$5&lt;K$5)*AD162+(AI$5&lt;K$5)*AJ162+(AO$5&lt;K$5)*AP162+(AU$5&lt;K$5)*AV162)))</f>
        <v/>
      </c>
      <c r="N162">
        <f>IF(L162-M162&lt;0.005,0,L162-M162)</f>
        <v/>
      </c>
      <c r="O162">
        <f>T161</f>
        <v/>
      </c>
      <c r="P162">
        <f>O162*Plan!D8/100/12</f>
        <v/>
      </c>
      <c r="Q162">
        <f>MIN(Plan!E8,O162+P162)</f>
        <v/>
      </c>
      <c r="R162">
        <f>O162+P162-Q162</f>
        <v/>
      </c>
      <c r="S162">
        <f>MIN(R162,MAX(0,$B162-((E$5&lt;Q$5)*F162+(K$5&lt;Q$5)*L162+(W$5&lt;Q$5)*X162+(AC$5&lt;Q$5)*AD162+(AI$5&lt;Q$5)*AJ162+(AO$5&lt;Q$5)*AP162+(AU$5&lt;Q$5)*AV162)))</f>
        <v/>
      </c>
      <c r="T162">
        <f>IF(R162-S162&lt;0.005,0,R162-S162)</f>
        <v/>
      </c>
      <c r="U162">
        <f>Z161</f>
        <v/>
      </c>
      <c r="V162">
        <f>U162*Plan!D9/100/12</f>
        <v/>
      </c>
      <c r="W162">
        <f>MIN(Plan!E9,U162+V162)</f>
        <v/>
      </c>
      <c r="X162">
        <f>U162+V162-W162</f>
        <v/>
      </c>
      <c r="Y162">
        <f>MIN(X162,MAX(0,$B162-((E$5&lt;W$5)*F162+(K$5&lt;W$5)*L162+(Q$5&lt;W$5)*R162+(AC$5&lt;W$5)*AD162+(AI$5&lt;W$5)*AJ162+(AO$5&lt;W$5)*AP162+(AU$5&lt;W$5)*AV162)))</f>
        <v/>
      </c>
      <c r="Z162">
        <f>IF(X162-Y162&lt;0.005,0,X162-Y162)</f>
        <v/>
      </c>
      <c r="AA162">
        <f>AF161</f>
        <v/>
      </c>
      <c r="AB162">
        <f>AA162*Plan!D10/100/12</f>
        <v/>
      </c>
      <c r="AC162">
        <f>MIN(Plan!E10,AA162+AB162)</f>
        <v/>
      </c>
      <c r="AD162">
        <f>AA162+AB162-AC162</f>
        <v/>
      </c>
      <c r="AE162">
        <f>MIN(AD162,MAX(0,$B162-((E$5&lt;AC$5)*F162+(K$5&lt;AC$5)*L162+(Q$5&lt;AC$5)*R162+(W$5&lt;AC$5)*X162+(AI$5&lt;AC$5)*AJ162+(AO$5&lt;AC$5)*AP162+(AU$5&lt;AC$5)*AV162)))</f>
        <v/>
      </c>
      <c r="AF162">
        <f>IF(AD162-AE162&lt;0.005,0,AD162-AE162)</f>
        <v/>
      </c>
      <c r="AG162">
        <f>AL161</f>
        <v/>
      </c>
      <c r="AH162">
        <f>AG162*Plan!D11/100/12</f>
        <v/>
      </c>
      <c r="AI162">
        <f>MIN(Plan!E11,AG162+AH162)</f>
        <v/>
      </c>
      <c r="AJ162">
        <f>AG162+AH162-AI162</f>
        <v/>
      </c>
      <c r="AK162">
        <f>MIN(AJ162,MAX(0,$B162-((E$5&lt;AI$5)*F162+(K$5&lt;AI$5)*L162+(Q$5&lt;AI$5)*R162+(W$5&lt;AI$5)*X162+(AC$5&lt;AI$5)*AD162+(AO$5&lt;AI$5)*AP162+(AU$5&lt;AI$5)*AV162)))</f>
        <v/>
      </c>
      <c r="AL162">
        <f>IF(AJ162-AK162&lt;0.005,0,AJ162-AK162)</f>
        <v/>
      </c>
      <c r="AM162">
        <f>AR161</f>
        <v/>
      </c>
      <c r="AN162">
        <f>AM162*Plan!D12/100/12</f>
        <v/>
      </c>
      <c r="AO162">
        <f>MIN(Plan!E12,AM162+AN162)</f>
        <v/>
      </c>
      <c r="AP162">
        <f>AM162+AN162-AO162</f>
        <v/>
      </c>
      <c r="AQ162">
        <f>MIN(AP162,MAX(0,$B162-((E$5&lt;AO$5)*F162+(K$5&lt;AO$5)*L162+(Q$5&lt;AO$5)*R162+(W$5&lt;AO$5)*X162+(AC$5&lt;AO$5)*AD162+(AI$5&lt;AO$5)*AJ162+(AU$5&lt;AO$5)*AV162)))</f>
        <v/>
      </c>
      <c r="AR162">
        <f>IF(AP162-AQ162&lt;0.005,0,AP162-AQ162)</f>
        <v/>
      </c>
      <c r="AS162">
        <f>AX161</f>
        <v/>
      </c>
      <c r="AT162">
        <f>AS162*Plan!D13/100/12</f>
        <v/>
      </c>
      <c r="AU162">
        <f>MIN(Plan!E13,AS162+AT162)</f>
        <v/>
      </c>
      <c r="AV162">
        <f>AS162+AT162-AU162</f>
        <v/>
      </c>
      <c r="AW162">
        <f>MIN(AV162,MAX(0,$B162-((E$5&lt;AU$5)*F162+(K$5&lt;AU$5)*L162+(Q$5&lt;AU$5)*R162+(W$5&lt;AU$5)*X162+(AC$5&lt;AU$5)*AD162+(AI$5&lt;AU$5)*AJ162+(AO$5&lt;AU$5)*AP162)))</f>
        <v/>
      </c>
      <c r="AX162">
        <f>IF(AV162-AW162&lt;0.005,0,AV162-AW162)</f>
        <v/>
      </c>
      <c r="BC162">
        <f>H162+N162+T162+Z162+AF162+AL162+AR162+AX162</f>
        <v/>
      </c>
    </row>
    <row r="163">
      <c r="A163" t="n">
        <v>157</v>
      </c>
      <c r="B163" s="19">
        <f>MAX(0,$B$3-(E163+K163+Q163+W163+AC163+AI163+AO163+AU163))</f>
        <v/>
      </c>
      <c r="C163">
        <f>H162</f>
        <v/>
      </c>
      <c r="D163">
        <f>C163*Plan!D6/100/12</f>
        <v/>
      </c>
      <c r="E163">
        <f>MIN(Plan!E6,C163+D163)</f>
        <v/>
      </c>
      <c r="F163">
        <f>C163+D163-E163</f>
        <v/>
      </c>
      <c r="G163">
        <f>MIN(F163,MAX(0,$B163-((K$5&lt;E$5)*L163+(Q$5&lt;E$5)*R163+(W$5&lt;E$5)*X163+(AC$5&lt;E$5)*AD163+(AI$5&lt;E$5)*AJ163+(AO$5&lt;E$5)*AP163+(AU$5&lt;E$5)*AV163)))</f>
        <v/>
      </c>
      <c r="H163">
        <f>IF(F163-G163&lt;0.005,0,F163-G163)</f>
        <v/>
      </c>
      <c r="I163">
        <f>N162</f>
        <v/>
      </c>
      <c r="J163">
        <f>I163*Plan!D7/100/12</f>
        <v/>
      </c>
      <c r="K163">
        <f>MIN(Plan!E7,I163+J163)</f>
        <v/>
      </c>
      <c r="L163">
        <f>I163+J163-K163</f>
        <v/>
      </c>
      <c r="M163">
        <f>MIN(L163,MAX(0,$B163-((E$5&lt;K$5)*F163+(Q$5&lt;K$5)*R163+(W$5&lt;K$5)*X163+(AC$5&lt;K$5)*AD163+(AI$5&lt;K$5)*AJ163+(AO$5&lt;K$5)*AP163+(AU$5&lt;K$5)*AV163)))</f>
        <v/>
      </c>
      <c r="N163">
        <f>IF(L163-M163&lt;0.005,0,L163-M163)</f>
        <v/>
      </c>
      <c r="O163">
        <f>T162</f>
        <v/>
      </c>
      <c r="P163">
        <f>O163*Plan!D8/100/12</f>
        <v/>
      </c>
      <c r="Q163">
        <f>MIN(Plan!E8,O163+P163)</f>
        <v/>
      </c>
      <c r="R163">
        <f>O163+P163-Q163</f>
        <v/>
      </c>
      <c r="S163">
        <f>MIN(R163,MAX(0,$B163-((E$5&lt;Q$5)*F163+(K$5&lt;Q$5)*L163+(W$5&lt;Q$5)*X163+(AC$5&lt;Q$5)*AD163+(AI$5&lt;Q$5)*AJ163+(AO$5&lt;Q$5)*AP163+(AU$5&lt;Q$5)*AV163)))</f>
        <v/>
      </c>
      <c r="T163">
        <f>IF(R163-S163&lt;0.005,0,R163-S163)</f>
        <v/>
      </c>
      <c r="U163">
        <f>Z162</f>
        <v/>
      </c>
      <c r="V163">
        <f>U163*Plan!D9/100/12</f>
        <v/>
      </c>
      <c r="W163">
        <f>MIN(Plan!E9,U163+V163)</f>
        <v/>
      </c>
      <c r="X163">
        <f>U163+V163-W163</f>
        <v/>
      </c>
      <c r="Y163">
        <f>MIN(X163,MAX(0,$B163-((E$5&lt;W$5)*F163+(K$5&lt;W$5)*L163+(Q$5&lt;W$5)*R163+(AC$5&lt;W$5)*AD163+(AI$5&lt;W$5)*AJ163+(AO$5&lt;W$5)*AP163+(AU$5&lt;W$5)*AV163)))</f>
        <v/>
      </c>
      <c r="Z163">
        <f>IF(X163-Y163&lt;0.005,0,X163-Y163)</f>
        <v/>
      </c>
      <c r="AA163">
        <f>AF162</f>
        <v/>
      </c>
      <c r="AB163">
        <f>AA163*Plan!D10/100/12</f>
        <v/>
      </c>
      <c r="AC163">
        <f>MIN(Plan!E10,AA163+AB163)</f>
        <v/>
      </c>
      <c r="AD163">
        <f>AA163+AB163-AC163</f>
        <v/>
      </c>
      <c r="AE163">
        <f>MIN(AD163,MAX(0,$B163-((E$5&lt;AC$5)*F163+(K$5&lt;AC$5)*L163+(Q$5&lt;AC$5)*R163+(W$5&lt;AC$5)*X163+(AI$5&lt;AC$5)*AJ163+(AO$5&lt;AC$5)*AP163+(AU$5&lt;AC$5)*AV163)))</f>
        <v/>
      </c>
      <c r="AF163">
        <f>IF(AD163-AE163&lt;0.005,0,AD163-AE163)</f>
        <v/>
      </c>
      <c r="AG163">
        <f>AL162</f>
        <v/>
      </c>
      <c r="AH163">
        <f>AG163*Plan!D11/100/12</f>
        <v/>
      </c>
      <c r="AI163">
        <f>MIN(Plan!E11,AG163+AH163)</f>
        <v/>
      </c>
      <c r="AJ163">
        <f>AG163+AH163-AI163</f>
        <v/>
      </c>
      <c r="AK163">
        <f>MIN(AJ163,MAX(0,$B163-((E$5&lt;AI$5)*F163+(K$5&lt;AI$5)*L163+(Q$5&lt;AI$5)*R163+(W$5&lt;AI$5)*X163+(AC$5&lt;AI$5)*AD163+(AO$5&lt;AI$5)*AP163+(AU$5&lt;AI$5)*AV163)))</f>
        <v/>
      </c>
      <c r="AL163">
        <f>IF(AJ163-AK163&lt;0.005,0,AJ163-AK163)</f>
        <v/>
      </c>
      <c r="AM163">
        <f>AR162</f>
        <v/>
      </c>
      <c r="AN163">
        <f>AM163*Plan!D12/100/12</f>
        <v/>
      </c>
      <c r="AO163">
        <f>MIN(Plan!E12,AM163+AN163)</f>
        <v/>
      </c>
      <c r="AP163">
        <f>AM163+AN163-AO163</f>
        <v/>
      </c>
      <c r="AQ163">
        <f>MIN(AP163,MAX(0,$B163-((E$5&lt;AO$5)*F163+(K$5&lt;AO$5)*L163+(Q$5&lt;AO$5)*R163+(W$5&lt;AO$5)*X163+(AC$5&lt;AO$5)*AD163+(AI$5&lt;AO$5)*AJ163+(AU$5&lt;AO$5)*AV163)))</f>
        <v/>
      </c>
      <c r="AR163">
        <f>IF(AP163-AQ163&lt;0.005,0,AP163-AQ163)</f>
        <v/>
      </c>
      <c r="AS163">
        <f>AX162</f>
        <v/>
      </c>
      <c r="AT163">
        <f>AS163*Plan!D13/100/12</f>
        <v/>
      </c>
      <c r="AU163">
        <f>MIN(Plan!E13,AS163+AT163)</f>
        <v/>
      </c>
      <c r="AV163">
        <f>AS163+AT163-AU163</f>
        <v/>
      </c>
      <c r="AW163">
        <f>MIN(AV163,MAX(0,$B163-((E$5&lt;AU$5)*F163+(K$5&lt;AU$5)*L163+(Q$5&lt;AU$5)*R163+(W$5&lt;AU$5)*X163+(AC$5&lt;AU$5)*AD163+(AI$5&lt;AU$5)*AJ163+(AO$5&lt;AU$5)*AP163)))</f>
        <v/>
      </c>
      <c r="AX163">
        <f>IF(AV163-AW163&lt;0.005,0,AV163-AW163)</f>
        <v/>
      </c>
      <c r="BC163">
        <f>H163+N163+T163+Z163+AF163+AL163+AR163+AX163</f>
        <v/>
      </c>
    </row>
    <row r="164">
      <c r="A164" t="n">
        <v>158</v>
      </c>
      <c r="B164" s="19">
        <f>MAX(0,$B$3-(E164+K164+Q164+W164+AC164+AI164+AO164+AU164))</f>
        <v/>
      </c>
      <c r="C164">
        <f>H163</f>
        <v/>
      </c>
      <c r="D164">
        <f>C164*Plan!D6/100/12</f>
        <v/>
      </c>
      <c r="E164">
        <f>MIN(Plan!E6,C164+D164)</f>
        <v/>
      </c>
      <c r="F164">
        <f>C164+D164-E164</f>
        <v/>
      </c>
      <c r="G164">
        <f>MIN(F164,MAX(0,$B164-((K$5&lt;E$5)*L164+(Q$5&lt;E$5)*R164+(W$5&lt;E$5)*X164+(AC$5&lt;E$5)*AD164+(AI$5&lt;E$5)*AJ164+(AO$5&lt;E$5)*AP164+(AU$5&lt;E$5)*AV164)))</f>
        <v/>
      </c>
      <c r="H164">
        <f>IF(F164-G164&lt;0.005,0,F164-G164)</f>
        <v/>
      </c>
      <c r="I164">
        <f>N163</f>
        <v/>
      </c>
      <c r="J164">
        <f>I164*Plan!D7/100/12</f>
        <v/>
      </c>
      <c r="K164">
        <f>MIN(Plan!E7,I164+J164)</f>
        <v/>
      </c>
      <c r="L164">
        <f>I164+J164-K164</f>
        <v/>
      </c>
      <c r="M164">
        <f>MIN(L164,MAX(0,$B164-((E$5&lt;K$5)*F164+(Q$5&lt;K$5)*R164+(W$5&lt;K$5)*X164+(AC$5&lt;K$5)*AD164+(AI$5&lt;K$5)*AJ164+(AO$5&lt;K$5)*AP164+(AU$5&lt;K$5)*AV164)))</f>
        <v/>
      </c>
      <c r="N164">
        <f>IF(L164-M164&lt;0.005,0,L164-M164)</f>
        <v/>
      </c>
      <c r="O164">
        <f>T163</f>
        <v/>
      </c>
      <c r="P164">
        <f>O164*Plan!D8/100/12</f>
        <v/>
      </c>
      <c r="Q164">
        <f>MIN(Plan!E8,O164+P164)</f>
        <v/>
      </c>
      <c r="R164">
        <f>O164+P164-Q164</f>
        <v/>
      </c>
      <c r="S164">
        <f>MIN(R164,MAX(0,$B164-((E$5&lt;Q$5)*F164+(K$5&lt;Q$5)*L164+(W$5&lt;Q$5)*X164+(AC$5&lt;Q$5)*AD164+(AI$5&lt;Q$5)*AJ164+(AO$5&lt;Q$5)*AP164+(AU$5&lt;Q$5)*AV164)))</f>
        <v/>
      </c>
      <c r="T164">
        <f>IF(R164-S164&lt;0.005,0,R164-S164)</f>
        <v/>
      </c>
      <c r="U164">
        <f>Z163</f>
        <v/>
      </c>
      <c r="V164">
        <f>U164*Plan!D9/100/12</f>
        <v/>
      </c>
      <c r="W164">
        <f>MIN(Plan!E9,U164+V164)</f>
        <v/>
      </c>
      <c r="X164">
        <f>U164+V164-W164</f>
        <v/>
      </c>
      <c r="Y164">
        <f>MIN(X164,MAX(0,$B164-((E$5&lt;W$5)*F164+(K$5&lt;W$5)*L164+(Q$5&lt;W$5)*R164+(AC$5&lt;W$5)*AD164+(AI$5&lt;W$5)*AJ164+(AO$5&lt;W$5)*AP164+(AU$5&lt;W$5)*AV164)))</f>
        <v/>
      </c>
      <c r="Z164">
        <f>IF(X164-Y164&lt;0.005,0,X164-Y164)</f>
        <v/>
      </c>
      <c r="AA164">
        <f>AF163</f>
        <v/>
      </c>
      <c r="AB164">
        <f>AA164*Plan!D10/100/12</f>
        <v/>
      </c>
      <c r="AC164">
        <f>MIN(Plan!E10,AA164+AB164)</f>
        <v/>
      </c>
      <c r="AD164">
        <f>AA164+AB164-AC164</f>
        <v/>
      </c>
      <c r="AE164">
        <f>MIN(AD164,MAX(0,$B164-((E$5&lt;AC$5)*F164+(K$5&lt;AC$5)*L164+(Q$5&lt;AC$5)*R164+(W$5&lt;AC$5)*X164+(AI$5&lt;AC$5)*AJ164+(AO$5&lt;AC$5)*AP164+(AU$5&lt;AC$5)*AV164)))</f>
        <v/>
      </c>
      <c r="AF164">
        <f>IF(AD164-AE164&lt;0.005,0,AD164-AE164)</f>
        <v/>
      </c>
      <c r="AG164">
        <f>AL163</f>
        <v/>
      </c>
      <c r="AH164">
        <f>AG164*Plan!D11/100/12</f>
        <v/>
      </c>
      <c r="AI164">
        <f>MIN(Plan!E11,AG164+AH164)</f>
        <v/>
      </c>
      <c r="AJ164">
        <f>AG164+AH164-AI164</f>
        <v/>
      </c>
      <c r="AK164">
        <f>MIN(AJ164,MAX(0,$B164-((E$5&lt;AI$5)*F164+(K$5&lt;AI$5)*L164+(Q$5&lt;AI$5)*R164+(W$5&lt;AI$5)*X164+(AC$5&lt;AI$5)*AD164+(AO$5&lt;AI$5)*AP164+(AU$5&lt;AI$5)*AV164)))</f>
        <v/>
      </c>
      <c r="AL164">
        <f>IF(AJ164-AK164&lt;0.005,0,AJ164-AK164)</f>
        <v/>
      </c>
      <c r="AM164">
        <f>AR163</f>
        <v/>
      </c>
      <c r="AN164">
        <f>AM164*Plan!D12/100/12</f>
        <v/>
      </c>
      <c r="AO164">
        <f>MIN(Plan!E12,AM164+AN164)</f>
        <v/>
      </c>
      <c r="AP164">
        <f>AM164+AN164-AO164</f>
        <v/>
      </c>
      <c r="AQ164">
        <f>MIN(AP164,MAX(0,$B164-((E$5&lt;AO$5)*F164+(K$5&lt;AO$5)*L164+(Q$5&lt;AO$5)*R164+(W$5&lt;AO$5)*X164+(AC$5&lt;AO$5)*AD164+(AI$5&lt;AO$5)*AJ164+(AU$5&lt;AO$5)*AV164)))</f>
        <v/>
      </c>
      <c r="AR164">
        <f>IF(AP164-AQ164&lt;0.005,0,AP164-AQ164)</f>
        <v/>
      </c>
      <c r="AS164">
        <f>AX163</f>
        <v/>
      </c>
      <c r="AT164">
        <f>AS164*Plan!D13/100/12</f>
        <v/>
      </c>
      <c r="AU164">
        <f>MIN(Plan!E13,AS164+AT164)</f>
        <v/>
      </c>
      <c r="AV164">
        <f>AS164+AT164-AU164</f>
        <v/>
      </c>
      <c r="AW164">
        <f>MIN(AV164,MAX(0,$B164-((E$5&lt;AU$5)*F164+(K$5&lt;AU$5)*L164+(Q$5&lt;AU$5)*R164+(W$5&lt;AU$5)*X164+(AC$5&lt;AU$5)*AD164+(AI$5&lt;AU$5)*AJ164+(AO$5&lt;AU$5)*AP164)))</f>
        <v/>
      </c>
      <c r="AX164">
        <f>IF(AV164-AW164&lt;0.005,0,AV164-AW164)</f>
        <v/>
      </c>
      <c r="BC164">
        <f>H164+N164+T164+Z164+AF164+AL164+AR164+AX164</f>
        <v/>
      </c>
    </row>
    <row r="165">
      <c r="A165" t="n">
        <v>159</v>
      </c>
      <c r="B165" s="19">
        <f>MAX(0,$B$3-(E165+K165+Q165+W165+AC165+AI165+AO165+AU165))</f>
        <v/>
      </c>
      <c r="C165">
        <f>H164</f>
        <v/>
      </c>
      <c r="D165">
        <f>C165*Plan!D6/100/12</f>
        <v/>
      </c>
      <c r="E165">
        <f>MIN(Plan!E6,C165+D165)</f>
        <v/>
      </c>
      <c r="F165">
        <f>C165+D165-E165</f>
        <v/>
      </c>
      <c r="G165">
        <f>MIN(F165,MAX(0,$B165-((K$5&lt;E$5)*L165+(Q$5&lt;E$5)*R165+(W$5&lt;E$5)*X165+(AC$5&lt;E$5)*AD165+(AI$5&lt;E$5)*AJ165+(AO$5&lt;E$5)*AP165+(AU$5&lt;E$5)*AV165)))</f>
        <v/>
      </c>
      <c r="H165">
        <f>IF(F165-G165&lt;0.005,0,F165-G165)</f>
        <v/>
      </c>
      <c r="I165">
        <f>N164</f>
        <v/>
      </c>
      <c r="J165">
        <f>I165*Plan!D7/100/12</f>
        <v/>
      </c>
      <c r="K165">
        <f>MIN(Plan!E7,I165+J165)</f>
        <v/>
      </c>
      <c r="L165">
        <f>I165+J165-K165</f>
        <v/>
      </c>
      <c r="M165">
        <f>MIN(L165,MAX(0,$B165-((E$5&lt;K$5)*F165+(Q$5&lt;K$5)*R165+(W$5&lt;K$5)*X165+(AC$5&lt;K$5)*AD165+(AI$5&lt;K$5)*AJ165+(AO$5&lt;K$5)*AP165+(AU$5&lt;K$5)*AV165)))</f>
        <v/>
      </c>
      <c r="N165">
        <f>IF(L165-M165&lt;0.005,0,L165-M165)</f>
        <v/>
      </c>
      <c r="O165">
        <f>T164</f>
        <v/>
      </c>
      <c r="P165">
        <f>O165*Plan!D8/100/12</f>
        <v/>
      </c>
      <c r="Q165">
        <f>MIN(Plan!E8,O165+P165)</f>
        <v/>
      </c>
      <c r="R165">
        <f>O165+P165-Q165</f>
        <v/>
      </c>
      <c r="S165">
        <f>MIN(R165,MAX(0,$B165-((E$5&lt;Q$5)*F165+(K$5&lt;Q$5)*L165+(W$5&lt;Q$5)*X165+(AC$5&lt;Q$5)*AD165+(AI$5&lt;Q$5)*AJ165+(AO$5&lt;Q$5)*AP165+(AU$5&lt;Q$5)*AV165)))</f>
        <v/>
      </c>
      <c r="T165">
        <f>IF(R165-S165&lt;0.005,0,R165-S165)</f>
        <v/>
      </c>
      <c r="U165">
        <f>Z164</f>
        <v/>
      </c>
      <c r="V165">
        <f>U165*Plan!D9/100/12</f>
        <v/>
      </c>
      <c r="W165">
        <f>MIN(Plan!E9,U165+V165)</f>
        <v/>
      </c>
      <c r="X165">
        <f>U165+V165-W165</f>
        <v/>
      </c>
      <c r="Y165">
        <f>MIN(X165,MAX(0,$B165-((E$5&lt;W$5)*F165+(K$5&lt;W$5)*L165+(Q$5&lt;W$5)*R165+(AC$5&lt;W$5)*AD165+(AI$5&lt;W$5)*AJ165+(AO$5&lt;W$5)*AP165+(AU$5&lt;W$5)*AV165)))</f>
        <v/>
      </c>
      <c r="Z165">
        <f>IF(X165-Y165&lt;0.005,0,X165-Y165)</f>
        <v/>
      </c>
      <c r="AA165">
        <f>AF164</f>
        <v/>
      </c>
      <c r="AB165">
        <f>AA165*Plan!D10/100/12</f>
        <v/>
      </c>
      <c r="AC165">
        <f>MIN(Plan!E10,AA165+AB165)</f>
        <v/>
      </c>
      <c r="AD165">
        <f>AA165+AB165-AC165</f>
        <v/>
      </c>
      <c r="AE165">
        <f>MIN(AD165,MAX(0,$B165-((E$5&lt;AC$5)*F165+(K$5&lt;AC$5)*L165+(Q$5&lt;AC$5)*R165+(W$5&lt;AC$5)*X165+(AI$5&lt;AC$5)*AJ165+(AO$5&lt;AC$5)*AP165+(AU$5&lt;AC$5)*AV165)))</f>
        <v/>
      </c>
      <c r="AF165">
        <f>IF(AD165-AE165&lt;0.005,0,AD165-AE165)</f>
        <v/>
      </c>
      <c r="AG165">
        <f>AL164</f>
        <v/>
      </c>
      <c r="AH165">
        <f>AG165*Plan!D11/100/12</f>
        <v/>
      </c>
      <c r="AI165">
        <f>MIN(Plan!E11,AG165+AH165)</f>
        <v/>
      </c>
      <c r="AJ165">
        <f>AG165+AH165-AI165</f>
        <v/>
      </c>
      <c r="AK165">
        <f>MIN(AJ165,MAX(0,$B165-((E$5&lt;AI$5)*F165+(K$5&lt;AI$5)*L165+(Q$5&lt;AI$5)*R165+(W$5&lt;AI$5)*X165+(AC$5&lt;AI$5)*AD165+(AO$5&lt;AI$5)*AP165+(AU$5&lt;AI$5)*AV165)))</f>
        <v/>
      </c>
      <c r="AL165">
        <f>IF(AJ165-AK165&lt;0.005,0,AJ165-AK165)</f>
        <v/>
      </c>
      <c r="AM165">
        <f>AR164</f>
        <v/>
      </c>
      <c r="AN165">
        <f>AM165*Plan!D12/100/12</f>
        <v/>
      </c>
      <c r="AO165">
        <f>MIN(Plan!E12,AM165+AN165)</f>
        <v/>
      </c>
      <c r="AP165">
        <f>AM165+AN165-AO165</f>
        <v/>
      </c>
      <c r="AQ165">
        <f>MIN(AP165,MAX(0,$B165-((E$5&lt;AO$5)*F165+(K$5&lt;AO$5)*L165+(Q$5&lt;AO$5)*R165+(W$5&lt;AO$5)*X165+(AC$5&lt;AO$5)*AD165+(AI$5&lt;AO$5)*AJ165+(AU$5&lt;AO$5)*AV165)))</f>
        <v/>
      </c>
      <c r="AR165">
        <f>IF(AP165-AQ165&lt;0.005,0,AP165-AQ165)</f>
        <v/>
      </c>
      <c r="AS165">
        <f>AX164</f>
        <v/>
      </c>
      <c r="AT165">
        <f>AS165*Plan!D13/100/12</f>
        <v/>
      </c>
      <c r="AU165">
        <f>MIN(Plan!E13,AS165+AT165)</f>
        <v/>
      </c>
      <c r="AV165">
        <f>AS165+AT165-AU165</f>
        <v/>
      </c>
      <c r="AW165">
        <f>MIN(AV165,MAX(0,$B165-((E$5&lt;AU$5)*F165+(K$5&lt;AU$5)*L165+(Q$5&lt;AU$5)*R165+(W$5&lt;AU$5)*X165+(AC$5&lt;AU$5)*AD165+(AI$5&lt;AU$5)*AJ165+(AO$5&lt;AU$5)*AP165)))</f>
        <v/>
      </c>
      <c r="AX165">
        <f>IF(AV165-AW165&lt;0.005,0,AV165-AW165)</f>
        <v/>
      </c>
      <c r="BC165">
        <f>H165+N165+T165+Z165+AF165+AL165+AR165+AX165</f>
        <v/>
      </c>
    </row>
    <row r="166">
      <c r="A166" t="n">
        <v>160</v>
      </c>
      <c r="B166" s="19">
        <f>MAX(0,$B$3-(E166+K166+Q166+W166+AC166+AI166+AO166+AU166))</f>
        <v/>
      </c>
      <c r="C166">
        <f>H165</f>
        <v/>
      </c>
      <c r="D166">
        <f>C166*Plan!D6/100/12</f>
        <v/>
      </c>
      <c r="E166">
        <f>MIN(Plan!E6,C166+D166)</f>
        <v/>
      </c>
      <c r="F166">
        <f>C166+D166-E166</f>
        <v/>
      </c>
      <c r="G166">
        <f>MIN(F166,MAX(0,$B166-((K$5&lt;E$5)*L166+(Q$5&lt;E$5)*R166+(W$5&lt;E$5)*X166+(AC$5&lt;E$5)*AD166+(AI$5&lt;E$5)*AJ166+(AO$5&lt;E$5)*AP166+(AU$5&lt;E$5)*AV166)))</f>
        <v/>
      </c>
      <c r="H166">
        <f>IF(F166-G166&lt;0.005,0,F166-G166)</f>
        <v/>
      </c>
      <c r="I166">
        <f>N165</f>
        <v/>
      </c>
      <c r="J166">
        <f>I166*Plan!D7/100/12</f>
        <v/>
      </c>
      <c r="K166">
        <f>MIN(Plan!E7,I166+J166)</f>
        <v/>
      </c>
      <c r="L166">
        <f>I166+J166-K166</f>
        <v/>
      </c>
      <c r="M166">
        <f>MIN(L166,MAX(0,$B166-((E$5&lt;K$5)*F166+(Q$5&lt;K$5)*R166+(W$5&lt;K$5)*X166+(AC$5&lt;K$5)*AD166+(AI$5&lt;K$5)*AJ166+(AO$5&lt;K$5)*AP166+(AU$5&lt;K$5)*AV166)))</f>
        <v/>
      </c>
      <c r="N166">
        <f>IF(L166-M166&lt;0.005,0,L166-M166)</f>
        <v/>
      </c>
      <c r="O166">
        <f>T165</f>
        <v/>
      </c>
      <c r="P166">
        <f>O166*Plan!D8/100/12</f>
        <v/>
      </c>
      <c r="Q166">
        <f>MIN(Plan!E8,O166+P166)</f>
        <v/>
      </c>
      <c r="R166">
        <f>O166+P166-Q166</f>
        <v/>
      </c>
      <c r="S166">
        <f>MIN(R166,MAX(0,$B166-((E$5&lt;Q$5)*F166+(K$5&lt;Q$5)*L166+(W$5&lt;Q$5)*X166+(AC$5&lt;Q$5)*AD166+(AI$5&lt;Q$5)*AJ166+(AO$5&lt;Q$5)*AP166+(AU$5&lt;Q$5)*AV166)))</f>
        <v/>
      </c>
      <c r="T166">
        <f>IF(R166-S166&lt;0.005,0,R166-S166)</f>
        <v/>
      </c>
      <c r="U166">
        <f>Z165</f>
        <v/>
      </c>
      <c r="V166">
        <f>U166*Plan!D9/100/12</f>
        <v/>
      </c>
      <c r="W166">
        <f>MIN(Plan!E9,U166+V166)</f>
        <v/>
      </c>
      <c r="X166">
        <f>U166+V166-W166</f>
        <v/>
      </c>
      <c r="Y166">
        <f>MIN(X166,MAX(0,$B166-((E$5&lt;W$5)*F166+(K$5&lt;W$5)*L166+(Q$5&lt;W$5)*R166+(AC$5&lt;W$5)*AD166+(AI$5&lt;W$5)*AJ166+(AO$5&lt;W$5)*AP166+(AU$5&lt;W$5)*AV166)))</f>
        <v/>
      </c>
      <c r="Z166">
        <f>IF(X166-Y166&lt;0.005,0,X166-Y166)</f>
        <v/>
      </c>
      <c r="AA166">
        <f>AF165</f>
        <v/>
      </c>
      <c r="AB166">
        <f>AA166*Plan!D10/100/12</f>
        <v/>
      </c>
      <c r="AC166">
        <f>MIN(Plan!E10,AA166+AB166)</f>
        <v/>
      </c>
      <c r="AD166">
        <f>AA166+AB166-AC166</f>
        <v/>
      </c>
      <c r="AE166">
        <f>MIN(AD166,MAX(0,$B166-((E$5&lt;AC$5)*F166+(K$5&lt;AC$5)*L166+(Q$5&lt;AC$5)*R166+(W$5&lt;AC$5)*X166+(AI$5&lt;AC$5)*AJ166+(AO$5&lt;AC$5)*AP166+(AU$5&lt;AC$5)*AV166)))</f>
        <v/>
      </c>
      <c r="AF166">
        <f>IF(AD166-AE166&lt;0.005,0,AD166-AE166)</f>
        <v/>
      </c>
      <c r="AG166">
        <f>AL165</f>
        <v/>
      </c>
      <c r="AH166">
        <f>AG166*Plan!D11/100/12</f>
        <v/>
      </c>
      <c r="AI166">
        <f>MIN(Plan!E11,AG166+AH166)</f>
        <v/>
      </c>
      <c r="AJ166">
        <f>AG166+AH166-AI166</f>
        <v/>
      </c>
      <c r="AK166">
        <f>MIN(AJ166,MAX(0,$B166-((E$5&lt;AI$5)*F166+(K$5&lt;AI$5)*L166+(Q$5&lt;AI$5)*R166+(W$5&lt;AI$5)*X166+(AC$5&lt;AI$5)*AD166+(AO$5&lt;AI$5)*AP166+(AU$5&lt;AI$5)*AV166)))</f>
        <v/>
      </c>
      <c r="AL166">
        <f>IF(AJ166-AK166&lt;0.005,0,AJ166-AK166)</f>
        <v/>
      </c>
      <c r="AM166">
        <f>AR165</f>
        <v/>
      </c>
      <c r="AN166">
        <f>AM166*Plan!D12/100/12</f>
        <v/>
      </c>
      <c r="AO166">
        <f>MIN(Plan!E12,AM166+AN166)</f>
        <v/>
      </c>
      <c r="AP166">
        <f>AM166+AN166-AO166</f>
        <v/>
      </c>
      <c r="AQ166">
        <f>MIN(AP166,MAX(0,$B166-((E$5&lt;AO$5)*F166+(K$5&lt;AO$5)*L166+(Q$5&lt;AO$5)*R166+(W$5&lt;AO$5)*X166+(AC$5&lt;AO$5)*AD166+(AI$5&lt;AO$5)*AJ166+(AU$5&lt;AO$5)*AV166)))</f>
        <v/>
      </c>
      <c r="AR166">
        <f>IF(AP166-AQ166&lt;0.005,0,AP166-AQ166)</f>
        <v/>
      </c>
      <c r="AS166">
        <f>AX165</f>
        <v/>
      </c>
      <c r="AT166">
        <f>AS166*Plan!D13/100/12</f>
        <v/>
      </c>
      <c r="AU166">
        <f>MIN(Plan!E13,AS166+AT166)</f>
        <v/>
      </c>
      <c r="AV166">
        <f>AS166+AT166-AU166</f>
        <v/>
      </c>
      <c r="AW166">
        <f>MIN(AV166,MAX(0,$B166-((E$5&lt;AU$5)*F166+(K$5&lt;AU$5)*L166+(Q$5&lt;AU$5)*R166+(W$5&lt;AU$5)*X166+(AC$5&lt;AU$5)*AD166+(AI$5&lt;AU$5)*AJ166+(AO$5&lt;AU$5)*AP166)))</f>
        <v/>
      </c>
      <c r="AX166">
        <f>IF(AV166-AW166&lt;0.005,0,AV166-AW166)</f>
        <v/>
      </c>
      <c r="BC166">
        <f>H166+N166+T166+Z166+AF166+AL166+AR166+AX166</f>
        <v/>
      </c>
    </row>
    <row r="167">
      <c r="A167" t="n">
        <v>161</v>
      </c>
      <c r="B167" s="19">
        <f>MAX(0,$B$3-(E167+K167+Q167+W167+AC167+AI167+AO167+AU167))</f>
        <v/>
      </c>
      <c r="C167">
        <f>H166</f>
        <v/>
      </c>
      <c r="D167">
        <f>C167*Plan!D6/100/12</f>
        <v/>
      </c>
      <c r="E167">
        <f>MIN(Plan!E6,C167+D167)</f>
        <v/>
      </c>
      <c r="F167">
        <f>C167+D167-E167</f>
        <v/>
      </c>
      <c r="G167">
        <f>MIN(F167,MAX(0,$B167-((K$5&lt;E$5)*L167+(Q$5&lt;E$5)*R167+(W$5&lt;E$5)*X167+(AC$5&lt;E$5)*AD167+(AI$5&lt;E$5)*AJ167+(AO$5&lt;E$5)*AP167+(AU$5&lt;E$5)*AV167)))</f>
        <v/>
      </c>
      <c r="H167">
        <f>IF(F167-G167&lt;0.005,0,F167-G167)</f>
        <v/>
      </c>
      <c r="I167">
        <f>N166</f>
        <v/>
      </c>
      <c r="J167">
        <f>I167*Plan!D7/100/12</f>
        <v/>
      </c>
      <c r="K167">
        <f>MIN(Plan!E7,I167+J167)</f>
        <v/>
      </c>
      <c r="L167">
        <f>I167+J167-K167</f>
        <v/>
      </c>
      <c r="M167">
        <f>MIN(L167,MAX(0,$B167-((E$5&lt;K$5)*F167+(Q$5&lt;K$5)*R167+(W$5&lt;K$5)*X167+(AC$5&lt;K$5)*AD167+(AI$5&lt;K$5)*AJ167+(AO$5&lt;K$5)*AP167+(AU$5&lt;K$5)*AV167)))</f>
        <v/>
      </c>
      <c r="N167">
        <f>IF(L167-M167&lt;0.005,0,L167-M167)</f>
        <v/>
      </c>
      <c r="O167">
        <f>T166</f>
        <v/>
      </c>
      <c r="P167">
        <f>O167*Plan!D8/100/12</f>
        <v/>
      </c>
      <c r="Q167">
        <f>MIN(Plan!E8,O167+P167)</f>
        <v/>
      </c>
      <c r="R167">
        <f>O167+P167-Q167</f>
        <v/>
      </c>
      <c r="S167">
        <f>MIN(R167,MAX(0,$B167-((E$5&lt;Q$5)*F167+(K$5&lt;Q$5)*L167+(W$5&lt;Q$5)*X167+(AC$5&lt;Q$5)*AD167+(AI$5&lt;Q$5)*AJ167+(AO$5&lt;Q$5)*AP167+(AU$5&lt;Q$5)*AV167)))</f>
        <v/>
      </c>
      <c r="T167">
        <f>IF(R167-S167&lt;0.005,0,R167-S167)</f>
        <v/>
      </c>
      <c r="U167">
        <f>Z166</f>
        <v/>
      </c>
      <c r="V167">
        <f>U167*Plan!D9/100/12</f>
        <v/>
      </c>
      <c r="W167">
        <f>MIN(Plan!E9,U167+V167)</f>
        <v/>
      </c>
      <c r="X167">
        <f>U167+V167-W167</f>
        <v/>
      </c>
      <c r="Y167">
        <f>MIN(X167,MAX(0,$B167-((E$5&lt;W$5)*F167+(K$5&lt;W$5)*L167+(Q$5&lt;W$5)*R167+(AC$5&lt;W$5)*AD167+(AI$5&lt;W$5)*AJ167+(AO$5&lt;W$5)*AP167+(AU$5&lt;W$5)*AV167)))</f>
        <v/>
      </c>
      <c r="Z167">
        <f>IF(X167-Y167&lt;0.005,0,X167-Y167)</f>
        <v/>
      </c>
      <c r="AA167">
        <f>AF166</f>
        <v/>
      </c>
      <c r="AB167">
        <f>AA167*Plan!D10/100/12</f>
        <v/>
      </c>
      <c r="AC167">
        <f>MIN(Plan!E10,AA167+AB167)</f>
        <v/>
      </c>
      <c r="AD167">
        <f>AA167+AB167-AC167</f>
        <v/>
      </c>
      <c r="AE167">
        <f>MIN(AD167,MAX(0,$B167-((E$5&lt;AC$5)*F167+(K$5&lt;AC$5)*L167+(Q$5&lt;AC$5)*R167+(W$5&lt;AC$5)*X167+(AI$5&lt;AC$5)*AJ167+(AO$5&lt;AC$5)*AP167+(AU$5&lt;AC$5)*AV167)))</f>
        <v/>
      </c>
      <c r="AF167">
        <f>IF(AD167-AE167&lt;0.005,0,AD167-AE167)</f>
        <v/>
      </c>
      <c r="AG167">
        <f>AL166</f>
        <v/>
      </c>
      <c r="AH167">
        <f>AG167*Plan!D11/100/12</f>
        <v/>
      </c>
      <c r="AI167">
        <f>MIN(Plan!E11,AG167+AH167)</f>
        <v/>
      </c>
      <c r="AJ167">
        <f>AG167+AH167-AI167</f>
        <v/>
      </c>
      <c r="AK167">
        <f>MIN(AJ167,MAX(0,$B167-((E$5&lt;AI$5)*F167+(K$5&lt;AI$5)*L167+(Q$5&lt;AI$5)*R167+(W$5&lt;AI$5)*X167+(AC$5&lt;AI$5)*AD167+(AO$5&lt;AI$5)*AP167+(AU$5&lt;AI$5)*AV167)))</f>
        <v/>
      </c>
      <c r="AL167">
        <f>IF(AJ167-AK167&lt;0.005,0,AJ167-AK167)</f>
        <v/>
      </c>
      <c r="AM167">
        <f>AR166</f>
        <v/>
      </c>
      <c r="AN167">
        <f>AM167*Plan!D12/100/12</f>
        <v/>
      </c>
      <c r="AO167">
        <f>MIN(Plan!E12,AM167+AN167)</f>
        <v/>
      </c>
      <c r="AP167">
        <f>AM167+AN167-AO167</f>
        <v/>
      </c>
      <c r="AQ167">
        <f>MIN(AP167,MAX(0,$B167-((E$5&lt;AO$5)*F167+(K$5&lt;AO$5)*L167+(Q$5&lt;AO$5)*R167+(W$5&lt;AO$5)*X167+(AC$5&lt;AO$5)*AD167+(AI$5&lt;AO$5)*AJ167+(AU$5&lt;AO$5)*AV167)))</f>
        <v/>
      </c>
      <c r="AR167">
        <f>IF(AP167-AQ167&lt;0.005,0,AP167-AQ167)</f>
        <v/>
      </c>
      <c r="AS167">
        <f>AX166</f>
        <v/>
      </c>
      <c r="AT167">
        <f>AS167*Plan!D13/100/12</f>
        <v/>
      </c>
      <c r="AU167">
        <f>MIN(Plan!E13,AS167+AT167)</f>
        <v/>
      </c>
      <c r="AV167">
        <f>AS167+AT167-AU167</f>
        <v/>
      </c>
      <c r="AW167">
        <f>MIN(AV167,MAX(0,$B167-((E$5&lt;AU$5)*F167+(K$5&lt;AU$5)*L167+(Q$5&lt;AU$5)*R167+(W$5&lt;AU$5)*X167+(AC$5&lt;AU$5)*AD167+(AI$5&lt;AU$5)*AJ167+(AO$5&lt;AU$5)*AP167)))</f>
        <v/>
      </c>
      <c r="AX167">
        <f>IF(AV167-AW167&lt;0.005,0,AV167-AW167)</f>
        <v/>
      </c>
      <c r="BC167">
        <f>H167+N167+T167+Z167+AF167+AL167+AR167+AX167</f>
        <v/>
      </c>
    </row>
    <row r="168">
      <c r="A168" t="n">
        <v>162</v>
      </c>
      <c r="B168" s="19">
        <f>MAX(0,$B$3-(E168+K168+Q168+W168+AC168+AI168+AO168+AU168))</f>
        <v/>
      </c>
      <c r="C168">
        <f>H167</f>
        <v/>
      </c>
      <c r="D168">
        <f>C168*Plan!D6/100/12</f>
        <v/>
      </c>
      <c r="E168">
        <f>MIN(Plan!E6,C168+D168)</f>
        <v/>
      </c>
      <c r="F168">
        <f>C168+D168-E168</f>
        <v/>
      </c>
      <c r="G168">
        <f>MIN(F168,MAX(0,$B168-((K$5&lt;E$5)*L168+(Q$5&lt;E$5)*R168+(W$5&lt;E$5)*X168+(AC$5&lt;E$5)*AD168+(AI$5&lt;E$5)*AJ168+(AO$5&lt;E$5)*AP168+(AU$5&lt;E$5)*AV168)))</f>
        <v/>
      </c>
      <c r="H168">
        <f>IF(F168-G168&lt;0.005,0,F168-G168)</f>
        <v/>
      </c>
      <c r="I168">
        <f>N167</f>
        <v/>
      </c>
      <c r="J168">
        <f>I168*Plan!D7/100/12</f>
        <v/>
      </c>
      <c r="K168">
        <f>MIN(Plan!E7,I168+J168)</f>
        <v/>
      </c>
      <c r="L168">
        <f>I168+J168-K168</f>
        <v/>
      </c>
      <c r="M168">
        <f>MIN(L168,MAX(0,$B168-((E$5&lt;K$5)*F168+(Q$5&lt;K$5)*R168+(W$5&lt;K$5)*X168+(AC$5&lt;K$5)*AD168+(AI$5&lt;K$5)*AJ168+(AO$5&lt;K$5)*AP168+(AU$5&lt;K$5)*AV168)))</f>
        <v/>
      </c>
      <c r="N168">
        <f>IF(L168-M168&lt;0.005,0,L168-M168)</f>
        <v/>
      </c>
      <c r="O168">
        <f>T167</f>
        <v/>
      </c>
      <c r="P168">
        <f>O168*Plan!D8/100/12</f>
        <v/>
      </c>
      <c r="Q168">
        <f>MIN(Plan!E8,O168+P168)</f>
        <v/>
      </c>
      <c r="R168">
        <f>O168+P168-Q168</f>
        <v/>
      </c>
      <c r="S168">
        <f>MIN(R168,MAX(0,$B168-((E$5&lt;Q$5)*F168+(K$5&lt;Q$5)*L168+(W$5&lt;Q$5)*X168+(AC$5&lt;Q$5)*AD168+(AI$5&lt;Q$5)*AJ168+(AO$5&lt;Q$5)*AP168+(AU$5&lt;Q$5)*AV168)))</f>
        <v/>
      </c>
      <c r="T168">
        <f>IF(R168-S168&lt;0.005,0,R168-S168)</f>
        <v/>
      </c>
      <c r="U168">
        <f>Z167</f>
        <v/>
      </c>
      <c r="V168">
        <f>U168*Plan!D9/100/12</f>
        <v/>
      </c>
      <c r="W168">
        <f>MIN(Plan!E9,U168+V168)</f>
        <v/>
      </c>
      <c r="X168">
        <f>U168+V168-W168</f>
        <v/>
      </c>
      <c r="Y168">
        <f>MIN(X168,MAX(0,$B168-((E$5&lt;W$5)*F168+(K$5&lt;W$5)*L168+(Q$5&lt;W$5)*R168+(AC$5&lt;W$5)*AD168+(AI$5&lt;W$5)*AJ168+(AO$5&lt;W$5)*AP168+(AU$5&lt;W$5)*AV168)))</f>
        <v/>
      </c>
      <c r="Z168">
        <f>IF(X168-Y168&lt;0.005,0,X168-Y168)</f>
        <v/>
      </c>
      <c r="AA168">
        <f>AF167</f>
        <v/>
      </c>
      <c r="AB168">
        <f>AA168*Plan!D10/100/12</f>
        <v/>
      </c>
      <c r="AC168">
        <f>MIN(Plan!E10,AA168+AB168)</f>
        <v/>
      </c>
      <c r="AD168">
        <f>AA168+AB168-AC168</f>
        <v/>
      </c>
      <c r="AE168">
        <f>MIN(AD168,MAX(0,$B168-((E$5&lt;AC$5)*F168+(K$5&lt;AC$5)*L168+(Q$5&lt;AC$5)*R168+(W$5&lt;AC$5)*X168+(AI$5&lt;AC$5)*AJ168+(AO$5&lt;AC$5)*AP168+(AU$5&lt;AC$5)*AV168)))</f>
        <v/>
      </c>
      <c r="AF168">
        <f>IF(AD168-AE168&lt;0.005,0,AD168-AE168)</f>
        <v/>
      </c>
      <c r="AG168">
        <f>AL167</f>
        <v/>
      </c>
      <c r="AH168">
        <f>AG168*Plan!D11/100/12</f>
        <v/>
      </c>
      <c r="AI168">
        <f>MIN(Plan!E11,AG168+AH168)</f>
        <v/>
      </c>
      <c r="AJ168">
        <f>AG168+AH168-AI168</f>
        <v/>
      </c>
      <c r="AK168">
        <f>MIN(AJ168,MAX(0,$B168-((E$5&lt;AI$5)*F168+(K$5&lt;AI$5)*L168+(Q$5&lt;AI$5)*R168+(W$5&lt;AI$5)*X168+(AC$5&lt;AI$5)*AD168+(AO$5&lt;AI$5)*AP168+(AU$5&lt;AI$5)*AV168)))</f>
        <v/>
      </c>
      <c r="AL168">
        <f>IF(AJ168-AK168&lt;0.005,0,AJ168-AK168)</f>
        <v/>
      </c>
      <c r="AM168">
        <f>AR167</f>
        <v/>
      </c>
      <c r="AN168">
        <f>AM168*Plan!D12/100/12</f>
        <v/>
      </c>
      <c r="AO168">
        <f>MIN(Plan!E12,AM168+AN168)</f>
        <v/>
      </c>
      <c r="AP168">
        <f>AM168+AN168-AO168</f>
        <v/>
      </c>
      <c r="AQ168">
        <f>MIN(AP168,MAX(0,$B168-((E$5&lt;AO$5)*F168+(K$5&lt;AO$5)*L168+(Q$5&lt;AO$5)*R168+(W$5&lt;AO$5)*X168+(AC$5&lt;AO$5)*AD168+(AI$5&lt;AO$5)*AJ168+(AU$5&lt;AO$5)*AV168)))</f>
        <v/>
      </c>
      <c r="AR168">
        <f>IF(AP168-AQ168&lt;0.005,0,AP168-AQ168)</f>
        <v/>
      </c>
      <c r="AS168">
        <f>AX167</f>
        <v/>
      </c>
      <c r="AT168">
        <f>AS168*Plan!D13/100/12</f>
        <v/>
      </c>
      <c r="AU168">
        <f>MIN(Plan!E13,AS168+AT168)</f>
        <v/>
      </c>
      <c r="AV168">
        <f>AS168+AT168-AU168</f>
        <v/>
      </c>
      <c r="AW168">
        <f>MIN(AV168,MAX(0,$B168-((E$5&lt;AU$5)*F168+(K$5&lt;AU$5)*L168+(Q$5&lt;AU$5)*R168+(W$5&lt;AU$5)*X168+(AC$5&lt;AU$5)*AD168+(AI$5&lt;AU$5)*AJ168+(AO$5&lt;AU$5)*AP168)))</f>
        <v/>
      </c>
      <c r="AX168">
        <f>IF(AV168-AW168&lt;0.005,0,AV168-AW168)</f>
        <v/>
      </c>
      <c r="BC168">
        <f>H168+N168+T168+Z168+AF168+AL168+AR168+AX168</f>
        <v/>
      </c>
    </row>
    <row r="169">
      <c r="A169" t="n">
        <v>163</v>
      </c>
      <c r="B169" s="19">
        <f>MAX(0,$B$3-(E169+K169+Q169+W169+AC169+AI169+AO169+AU169))</f>
        <v/>
      </c>
      <c r="C169">
        <f>H168</f>
        <v/>
      </c>
      <c r="D169">
        <f>C169*Plan!D6/100/12</f>
        <v/>
      </c>
      <c r="E169">
        <f>MIN(Plan!E6,C169+D169)</f>
        <v/>
      </c>
      <c r="F169">
        <f>C169+D169-E169</f>
        <v/>
      </c>
      <c r="G169">
        <f>MIN(F169,MAX(0,$B169-((K$5&lt;E$5)*L169+(Q$5&lt;E$5)*R169+(W$5&lt;E$5)*X169+(AC$5&lt;E$5)*AD169+(AI$5&lt;E$5)*AJ169+(AO$5&lt;E$5)*AP169+(AU$5&lt;E$5)*AV169)))</f>
        <v/>
      </c>
      <c r="H169">
        <f>IF(F169-G169&lt;0.005,0,F169-G169)</f>
        <v/>
      </c>
      <c r="I169">
        <f>N168</f>
        <v/>
      </c>
      <c r="J169">
        <f>I169*Plan!D7/100/12</f>
        <v/>
      </c>
      <c r="K169">
        <f>MIN(Plan!E7,I169+J169)</f>
        <v/>
      </c>
      <c r="L169">
        <f>I169+J169-K169</f>
        <v/>
      </c>
      <c r="M169">
        <f>MIN(L169,MAX(0,$B169-((E$5&lt;K$5)*F169+(Q$5&lt;K$5)*R169+(W$5&lt;K$5)*X169+(AC$5&lt;K$5)*AD169+(AI$5&lt;K$5)*AJ169+(AO$5&lt;K$5)*AP169+(AU$5&lt;K$5)*AV169)))</f>
        <v/>
      </c>
      <c r="N169">
        <f>IF(L169-M169&lt;0.005,0,L169-M169)</f>
        <v/>
      </c>
      <c r="O169">
        <f>T168</f>
        <v/>
      </c>
      <c r="P169">
        <f>O169*Plan!D8/100/12</f>
        <v/>
      </c>
      <c r="Q169">
        <f>MIN(Plan!E8,O169+P169)</f>
        <v/>
      </c>
      <c r="R169">
        <f>O169+P169-Q169</f>
        <v/>
      </c>
      <c r="S169">
        <f>MIN(R169,MAX(0,$B169-((E$5&lt;Q$5)*F169+(K$5&lt;Q$5)*L169+(W$5&lt;Q$5)*X169+(AC$5&lt;Q$5)*AD169+(AI$5&lt;Q$5)*AJ169+(AO$5&lt;Q$5)*AP169+(AU$5&lt;Q$5)*AV169)))</f>
        <v/>
      </c>
      <c r="T169">
        <f>IF(R169-S169&lt;0.005,0,R169-S169)</f>
        <v/>
      </c>
      <c r="U169">
        <f>Z168</f>
        <v/>
      </c>
      <c r="V169">
        <f>U169*Plan!D9/100/12</f>
        <v/>
      </c>
      <c r="W169">
        <f>MIN(Plan!E9,U169+V169)</f>
        <v/>
      </c>
      <c r="X169">
        <f>U169+V169-W169</f>
        <v/>
      </c>
      <c r="Y169">
        <f>MIN(X169,MAX(0,$B169-((E$5&lt;W$5)*F169+(K$5&lt;W$5)*L169+(Q$5&lt;W$5)*R169+(AC$5&lt;W$5)*AD169+(AI$5&lt;W$5)*AJ169+(AO$5&lt;W$5)*AP169+(AU$5&lt;W$5)*AV169)))</f>
        <v/>
      </c>
      <c r="Z169">
        <f>IF(X169-Y169&lt;0.005,0,X169-Y169)</f>
        <v/>
      </c>
      <c r="AA169">
        <f>AF168</f>
        <v/>
      </c>
      <c r="AB169">
        <f>AA169*Plan!D10/100/12</f>
        <v/>
      </c>
      <c r="AC169">
        <f>MIN(Plan!E10,AA169+AB169)</f>
        <v/>
      </c>
      <c r="AD169">
        <f>AA169+AB169-AC169</f>
        <v/>
      </c>
      <c r="AE169">
        <f>MIN(AD169,MAX(0,$B169-((E$5&lt;AC$5)*F169+(K$5&lt;AC$5)*L169+(Q$5&lt;AC$5)*R169+(W$5&lt;AC$5)*X169+(AI$5&lt;AC$5)*AJ169+(AO$5&lt;AC$5)*AP169+(AU$5&lt;AC$5)*AV169)))</f>
        <v/>
      </c>
      <c r="AF169">
        <f>IF(AD169-AE169&lt;0.005,0,AD169-AE169)</f>
        <v/>
      </c>
      <c r="AG169">
        <f>AL168</f>
        <v/>
      </c>
      <c r="AH169">
        <f>AG169*Plan!D11/100/12</f>
        <v/>
      </c>
      <c r="AI169">
        <f>MIN(Plan!E11,AG169+AH169)</f>
        <v/>
      </c>
      <c r="AJ169">
        <f>AG169+AH169-AI169</f>
        <v/>
      </c>
      <c r="AK169">
        <f>MIN(AJ169,MAX(0,$B169-((E$5&lt;AI$5)*F169+(K$5&lt;AI$5)*L169+(Q$5&lt;AI$5)*R169+(W$5&lt;AI$5)*X169+(AC$5&lt;AI$5)*AD169+(AO$5&lt;AI$5)*AP169+(AU$5&lt;AI$5)*AV169)))</f>
        <v/>
      </c>
      <c r="AL169">
        <f>IF(AJ169-AK169&lt;0.005,0,AJ169-AK169)</f>
        <v/>
      </c>
      <c r="AM169">
        <f>AR168</f>
        <v/>
      </c>
      <c r="AN169">
        <f>AM169*Plan!D12/100/12</f>
        <v/>
      </c>
      <c r="AO169">
        <f>MIN(Plan!E12,AM169+AN169)</f>
        <v/>
      </c>
      <c r="AP169">
        <f>AM169+AN169-AO169</f>
        <v/>
      </c>
      <c r="AQ169">
        <f>MIN(AP169,MAX(0,$B169-((E$5&lt;AO$5)*F169+(K$5&lt;AO$5)*L169+(Q$5&lt;AO$5)*R169+(W$5&lt;AO$5)*X169+(AC$5&lt;AO$5)*AD169+(AI$5&lt;AO$5)*AJ169+(AU$5&lt;AO$5)*AV169)))</f>
        <v/>
      </c>
      <c r="AR169">
        <f>IF(AP169-AQ169&lt;0.005,0,AP169-AQ169)</f>
        <v/>
      </c>
      <c r="AS169">
        <f>AX168</f>
        <v/>
      </c>
      <c r="AT169">
        <f>AS169*Plan!D13/100/12</f>
        <v/>
      </c>
      <c r="AU169">
        <f>MIN(Plan!E13,AS169+AT169)</f>
        <v/>
      </c>
      <c r="AV169">
        <f>AS169+AT169-AU169</f>
        <v/>
      </c>
      <c r="AW169">
        <f>MIN(AV169,MAX(0,$B169-((E$5&lt;AU$5)*F169+(K$5&lt;AU$5)*L169+(Q$5&lt;AU$5)*R169+(W$5&lt;AU$5)*X169+(AC$5&lt;AU$5)*AD169+(AI$5&lt;AU$5)*AJ169+(AO$5&lt;AU$5)*AP169)))</f>
        <v/>
      </c>
      <c r="AX169">
        <f>IF(AV169-AW169&lt;0.005,0,AV169-AW169)</f>
        <v/>
      </c>
      <c r="BC169">
        <f>H169+N169+T169+Z169+AF169+AL169+AR169+AX169</f>
        <v/>
      </c>
    </row>
    <row r="170">
      <c r="A170" t="n">
        <v>164</v>
      </c>
      <c r="B170" s="19">
        <f>MAX(0,$B$3-(E170+K170+Q170+W170+AC170+AI170+AO170+AU170))</f>
        <v/>
      </c>
      <c r="C170">
        <f>H169</f>
        <v/>
      </c>
      <c r="D170">
        <f>C170*Plan!D6/100/12</f>
        <v/>
      </c>
      <c r="E170">
        <f>MIN(Plan!E6,C170+D170)</f>
        <v/>
      </c>
      <c r="F170">
        <f>C170+D170-E170</f>
        <v/>
      </c>
      <c r="G170">
        <f>MIN(F170,MAX(0,$B170-((K$5&lt;E$5)*L170+(Q$5&lt;E$5)*R170+(W$5&lt;E$5)*X170+(AC$5&lt;E$5)*AD170+(AI$5&lt;E$5)*AJ170+(AO$5&lt;E$5)*AP170+(AU$5&lt;E$5)*AV170)))</f>
        <v/>
      </c>
      <c r="H170">
        <f>IF(F170-G170&lt;0.005,0,F170-G170)</f>
        <v/>
      </c>
      <c r="I170">
        <f>N169</f>
        <v/>
      </c>
      <c r="J170">
        <f>I170*Plan!D7/100/12</f>
        <v/>
      </c>
      <c r="K170">
        <f>MIN(Plan!E7,I170+J170)</f>
        <v/>
      </c>
      <c r="L170">
        <f>I170+J170-K170</f>
        <v/>
      </c>
      <c r="M170">
        <f>MIN(L170,MAX(0,$B170-((E$5&lt;K$5)*F170+(Q$5&lt;K$5)*R170+(W$5&lt;K$5)*X170+(AC$5&lt;K$5)*AD170+(AI$5&lt;K$5)*AJ170+(AO$5&lt;K$5)*AP170+(AU$5&lt;K$5)*AV170)))</f>
        <v/>
      </c>
      <c r="N170">
        <f>IF(L170-M170&lt;0.005,0,L170-M170)</f>
        <v/>
      </c>
      <c r="O170">
        <f>T169</f>
        <v/>
      </c>
      <c r="P170">
        <f>O170*Plan!D8/100/12</f>
        <v/>
      </c>
      <c r="Q170">
        <f>MIN(Plan!E8,O170+P170)</f>
        <v/>
      </c>
      <c r="R170">
        <f>O170+P170-Q170</f>
        <v/>
      </c>
      <c r="S170">
        <f>MIN(R170,MAX(0,$B170-((E$5&lt;Q$5)*F170+(K$5&lt;Q$5)*L170+(W$5&lt;Q$5)*X170+(AC$5&lt;Q$5)*AD170+(AI$5&lt;Q$5)*AJ170+(AO$5&lt;Q$5)*AP170+(AU$5&lt;Q$5)*AV170)))</f>
        <v/>
      </c>
      <c r="T170">
        <f>IF(R170-S170&lt;0.005,0,R170-S170)</f>
        <v/>
      </c>
      <c r="U170">
        <f>Z169</f>
        <v/>
      </c>
      <c r="V170">
        <f>U170*Plan!D9/100/12</f>
        <v/>
      </c>
      <c r="W170">
        <f>MIN(Plan!E9,U170+V170)</f>
        <v/>
      </c>
      <c r="X170">
        <f>U170+V170-W170</f>
        <v/>
      </c>
      <c r="Y170">
        <f>MIN(X170,MAX(0,$B170-((E$5&lt;W$5)*F170+(K$5&lt;W$5)*L170+(Q$5&lt;W$5)*R170+(AC$5&lt;W$5)*AD170+(AI$5&lt;W$5)*AJ170+(AO$5&lt;W$5)*AP170+(AU$5&lt;W$5)*AV170)))</f>
        <v/>
      </c>
      <c r="Z170">
        <f>IF(X170-Y170&lt;0.005,0,X170-Y170)</f>
        <v/>
      </c>
      <c r="AA170">
        <f>AF169</f>
        <v/>
      </c>
      <c r="AB170">
        <f>AA170*Plan!D10/100/12</f>
        <v/>
      </c>
      <c r="AC170">
        <f>MIN(Plan!E10,AA170+AB170)</f>
        <v/>
      </c>
      <c r="AD170">
        <f>AA170+AB170-AC170</f>
        <v/>
      </c>
      <c r="AE170">
        <f>MIN(AD170,MAX(0,$B170-((E$5&lt;AC$5)*F170+(K$5&lt;AC$5)*L170+(Q$5&lt;AC$5)*R170+(W$5&lt;AC$5)*X170+(AI$5&lt;AC$5)*AJ170+(AO$5&lt;AC$5)*AP170+(AU$5&lt;AC$5)*AV170)))</f>
        <v/>
      </c>
      <c r="AF170">
        <f>IF(AD170-AE170&lt;0.005,0,AD170-AE170)</f>
        <v/>
      </c>
      <c r="AG170">
        <f>AL169</f>
        <v/>
      </c>
      <c r="AH170">
        <f>AG170*Plan!D11/100/12</f>
        <v/>
      </c>
      <c r="AI170">
        <f>MIN(Plan!E11,AG170+AH170)</f>
        <v/>
      </c>
      <c r="AJ170">
        <f>AG170+AH170-AI170</f>
        <v/>
      </c>
      <c r="AK170">
        <f>MIN(AJ170,MAX(0,$B170-((E$5&lt;AI$5)*F170+(K$5&lt;AI$5)*L170+(Q$5&lt;AI$5)*R170+(W$5&lt;AI$5)*X170+(AC$5&lt;AI$5)*AD170+(AO$5&lt;AI$5)*AP170+(AU$5&lt;AI$5)*AV170)))</f>
        <v/>
      </c>
      <c r="AL170">
        <f>IF(AJ170-AK170&lt;0.005,0,AJ170-AK170)</f>
        <v/>
      </c>
      <c r="AM170">
        <f>AR169</f>
        <v/>
      </c>
      <c r="AN170">
        <f>AM170*Plan!D12/100/12</f>
        <v/>
      </c>
      <c r="AO170">
        <f>MIN(Plan!E12,AM170+AN170)</f>
        <v/>
      </c>
      <c r="AP170">
        <f>AM170+AN170-AO170</f>
        <v/>
      </c>
      <c r="AQ170">
        <f>MIN(AP170,MAX(0,$B170-((E$5&lt;AO$5)*F170+(K$5&lt;AO$5)*L170+(Q$5&lt;AO$5)*R170+(W$5&lt;AO$5)*X170+(AC$5&lt;AO$5)*AD170+(AI$5&lt;AO$5)*AJ170+(AU$5&lt;AO$5)*AV170)))</f>
        <v/>
      </c>
      <c r="AR170">
        <f>IF(AP170-AQ170&lt;0.005,0,AP170-AQ170)</f>
        <v/>
      </c>
      <c r="AS170">
        <f>AX169</f>
        <v/>
      </c>
      <c r="AT170">
        <f>AS170*Plan!D13/100/12</f>
        <v/>
      </c>
      <c r="AU170">
        <f>MIN(Plan!E13,AS170+AT170)</f>
        <v/>
      </c>
      <c r="AV170">
        <f>AS170+AT170-AU170</f>
        <v/>
      </c>
      <c r="AW170">
        <f>MIN(AV170,MAX(0,$B170-((E$5&lt;AU$5)*F170+(K$5&lt;AU$5)*L170+(Q$5&lt;AU$5)*R170+(W$5&lt;AU$5)*X170+(AC$5&lt;AU$5)*AD170+(AI$5&lt;AU$5)*AJ170+(AO$5&lt;AU$5)*AP170)))</f>
        <v/>
      </c>
      <c r="AX170">
        <f>IF(AV170-AW170&lt;0.005,0,AV170-AW170)</f>
        <v/>
      </c>
      <c r="BC170">
        <f>H170+N170+T170+Z170+AF170+AL170+AR170+AX170</f>
        <v/>
      </c>
    </row>
    <row r="171">
      <c r="A171" t="n">
        <v>165</v>
      </c>
      <c r="B171" s="19">
        <f>MAX(0,$B$3-(E171+K171+Q171+W171+AC171+AI171+AO171+AU171))</f>
        <v/>
      </c>
      <c r="C171">
        <f>H170</f>
        <v/>
      </c>
      <c r="D171">
        <f>C171*Plan!D6/100/12</f>
        <v/>
      </c>
      <c r="E171">
        <f>MIN(Plan!E6,C171+D171)</f>
        <v/>
      </c>
      <c r="F171">
        <f>C171+D171-E171</f>
        <v/>
      </c>
      <c r="G171">
        <f>MIN(F171,MAX(0,$B171-((K$5&lt;E$5)*L171+(Q$5&lt;E$5)*R171+(W$5&lt;E$5)*X171+(AC$5&lt;E$5)*AD171+(AI$5&lt;E$5)*AJ171+(AO$5&lt;E$5)*AP171+(AU$5&lt;E$5)*AV171)))</f>
        <v/>
      </c>
      <c r="H171">
        <f>IF(F171-G171&lt;0.005,0,F171-G171)</f>
        <v/>
      </c>
      <c r="I171">
        <f>N170</f>
        <v/>
      </c>
      <c r="J171">
        <f>I171*Plan!D7/100/12</f>
        <v/>
      </c>
      <c r="K171">
        <f>MIN(Plan!E7,I171+J171)</f>
        <v/>
      </c>
      <c r="L171">
        <f>I171+J171-K171</f>
        <v/>
      </c>
      <c r="M171">
        <f>MIN(L171,MAX(0,$B171-((E$5&lt;K$5)*F171+(Q$5&lt;K$5)*R171+(W$5&lt;K$5)*X171+(AC$5&lt;K$5)*AD171+(AI$5&lt;K$5)*AJ171+(AO$5&lt;K$5)*AP171+(AU$5&lt;K$5)*AV171)))</f>
        <v/>
      </c>
      <c r="N171">
        <f>IF(L171-M171&lt;0.005,0,L171-M171)</f>
        <v/>
      </c>
      <c r="O171">
        <f>T170</f>
        <v/>
      </c>
      <c r="P171">
        <f>O171*Plan!D8/100/12</f>
        <v/>
      </c>
      <c r="Q171">
        <f>MIN(Plan!E8,O171+P171)</f>
        <v/>
      </c>
      <c r="R171">
        <f>O171+P171-Q171</f>
        <v/>
      </c>
      <c r="S171">
        <f>MIN(R171,MAX(0,$B171-((E$5&lt;Q$5)*F171+(K$5&lt;Q$5)*L171+(W$5&lt;Q$5)*X171+(AC$5&lt;Q$5)*AD171+(AI$5&lt;Q$5)*AJ171+(AO$5&lt;Q$5)*AP171+(AU$5&lt;Q$5)*AV171)))</f>
        <v/>
      </c>
      <c r="T171">
        <f>IF(R171-S171&lt;0.005,0,R171-S171)</f>
        <v/>
      </c>
      <c r="U171">
        <f>Z170</f>
        <v/>
      </c>
      <c r="V171">
        <f>U171*Plan!D9/100/12</f>
        <v/>
      </c>
      <c r="W171">
        <f>MIN(Plan!E9,U171+V171)</f>
        <v/>
      </c>
      <c r="X171">
        <f>U171+V171-W171</f>
        <v/>
      </c>
      <c r="Y171">
        <f>MIN(X171,MAX(0,$B171-((E$5&lt;W$5)*F171+(K$5&lt;W$5)*L171+(Q$5&lt;W$5)*R171+(AC$5&lt;W$5)*AD171+(AI$5&lt;W$5)*AJ171+(AO$5&lt;W$5)*AP171+(AU$5&lt;W$5)*AV171)))</f>
        <v/>
      </c>
      <c r="Z171">
        <f>IF(X171-Y171&lt;0.005,0,X171-Y171)</f>
        <v/>
      </c>
      <c r="AA171">
        <f>AF170</f>
        <v/>
      </c>
      <c r="AB171">
        <f>AA171*Plan!D10/100/12</f>
        <v/>
      </c>
      <c r="AC171">
        <f>MIN(Plan!E10,AA171+AB171)</f>
        <v/>
      </c>
      <c r="AD171">
        <f>AA171+AB171-AC171</f>
        <v/>
      </c>
      <c r="AE171">
        <f>MIN(AD171,MAX(0,$B171-((E$5&lt;AC$5)*F171+(K$5&lt;AC$5)*L171+(Q$5&lt;AC$5)*R171+(W$5&lt;AC$5)*X171+(AI$5&lt;AC$5)*AJ171+(AO$5&lt;AC$5)*AP171+(AU$5&lt;AC$5)*AV171)))</f>
        <v/>
      </c>
      <c r="AF171">
        <f>IF(AD171-AE171&lt;0.005,0,AD171-AE171)</f>
        <v/>
      </c>
      <c r="AG171">
        <f>AL170</f>
        <v/>
      </c>
      <c r="AH171">
        <f>AG171*Plan!D11/100/12</f>
        <v/>
      </c>
      <c r="AI171">
        <f>MIN(Plan!E11,AG171+AH171)</f>
        <v/>
      </c>
      <c r="AJ171">
        <f>AG171+AH171-AI171</f>
        <v/>
      </c>
      <c r="AK171">
        <f>MIN(AJ171,MAX(0,$B171-((E$5&lt;AI$5)*F171+(K$5&lt;AI$5)*L171+(Q$5&lt;AI$5)*R171+(W$5&lt;AI$5)*X171+(AC$5&lt;AI$5)*AD171+(AO$5&lt;AI$5)*AP171+(AU$5&lt;AI$5)*AV171)))</f>
        <v/>
      </c>
      <c r="AL171">
        <f>IF(AJ171-AK171&lt;0.005,0,AJ171-AK171)</f>
        <v/>
      </c>
      <c r="AM171">
        <f>AR170</f>
        <v/>
      </c>
      <c r="AN171">
        <f>AM171*Plan!D12/100/12</f>
        <v/>
      </c>
      <c r="AO171">
        <f>MIN(Plan!E12,AM171+AN171)</f>
        <v/>
      </c>
      <c r="AP171">
        <f>AM171+AN171-AO171</f>
        <v/>
      </c>
      <c r="AQ171">
        <f>MIN(AP171,MAX(0,$B171-((E$5&lt;AO$5)*F171+(K$5&lt;AO$5)*L171+(Q$5&lt;AO$5)*R171+(W$5&lt;AO$5)*X171+(AC$5&lt;AO$5)*AD171+(AI$5&lt;AO$5)*AJ171+(AU$5&lt;AO$5)*AV171)))</f>
        <v/>
      </c>
      <c r="AR171">
        <f>IF(AP171-AQ171&lt;0.005,0,AP171-AQ171)</f>
        <v/>
      </c>
      <c r="AS171">
        <f>AX170</f>
        <v/>
      </c>
      <c r="AT171">
        <f>AS171*Plan!D13/100/12</f>
        <v/>
      </c>
      <c r="AU171">
        <f>MIN(Plan!E13,AS171+AT171)</f>
        <v/>
      </c>
      <c r="AV171">
        <f>AS171+AT171-AU171</f>
        <v/>
      </c>
      <c r="AW171">
        <f>MIN(AV171,MAX(0,$B171-((E$5&lt;AU$5)*F171+(K$5&lt;AU$5)*L171+(Q$5&lt;AU$5)*R171+(W$5&lt;AU$5)*X171+(AC$5&lt;AU$5)*AD171+(AI$5&lt;AU$5)*AJ171+(AO$5&lt;AU$5)*AP171)))</f>
        <v/>
      </c>
      <c r="AX171">
        <f>IF(AV171-AW171&lt;0.005,0,AV171-AW171)</f>
        <v/>
      </c>
      <c r="BC171">
        <f>H171+N171+T171+Z171+AF171+AL171+AR171+AX171</f>
        <v/>
      </c>
    </row>
    <row r="172">
      <c r="A172" t="n">
        <v>166</v>
      </c>
      <c r="B172" s="19">
        <f>MAX(0,$B$3-(E172+K172+Q172+W172+AC172+AI172+AO172+AU172))</f>
        <v/>
      </c>
      <c r="C172">
        <f>H171</f>
        <v/>
      </c>
      <c r="D172">
        <f>C172*Plan!D6/100/12</f>
        <v/>
      </c>
      <c r="E172">
        <f>MIN(Plan!E6,C172+D172)</f>
        <v/>
      </c>
      <c r="F172">
        <f>C172+D172-E172</f>
        <v/>
      </c>
      <c r="G172">
        <f>MIN(F172,MAX(0,$B172-((K$5&lt;E$5)*L172+(Q$5&lt;E$5)*R172+(W$5&lt;E$5)*X172+(AC$5&lt;E$5)*AD172+(AI$5&lt;E$5)*AJ172+(AO$5&lt;E$5)*AP172+(AU$5&lt;E$5)*AV172)))</f>
        <v/>
      </c>
      <c r="H172">
        <f>IF(F172-G172&lt;0.005,0,F172-G172)</f>
        <v/>
      </c>
      <c r="I172">
        <f>N171</f>
        <v/>
      </c>
      <c r="J172">
        <f>I172*Plan!D7/100/12</f>
        <v/>
      </c>
      <c r="K172">
        <f>MIN(Plan!E7,I172+J172)</f>
        <v/>
      </c>
      <c r="L172">
        <f>I172+J172-K172</f>
        <v/>
      </c>
      <c r="M172">
        <f>MIN(L172,MAX(0,$B172-((E$5&lt;K$5)*F172+(Q$5&lt;K$5)*R172+(W$5&lt;K$5)*X172+(AC$5&lt;K$5)*AD172+(AI$5&lt;K$5)*AJ172+(AO$5&lt;K$5)*AP172+(AU$5&lt;K$5)*AV172)))</f>
        <v/>
      </c>
      <c r="N172">
        <f>IF(L172-M172&lt;0.005,0,L172-M172)</f>
        <v/>
      </c>
      <c r="O172">
        <f>T171</f>
        <v/>
      </c>
      <c r="P172">
        <f>O172*Plan!D8/100/12</f>
        <v/>
      </c>
      <c r="Q172">
        <f>MIN(Plan!E8,O172+P172)</f>
        <v/>
      </c>
      <c r="R172">
        <f>O172+P172-Q172</f>
        <v/>
      </c>
      <c r="S172">
        <f>MIN(R172,MAX(0,$B172-((E$5&lt;Q$5)*F172+(K$5&lt;Q$5)*L172+(W$5&lt;Q$5)*X172+(AC$5&lt;Q$5)*AD172+(AI$5&lt;Q$5)*AJ172+(AO$5&lt;Q$5)*AP172+(AU$5&lt;Q$5)*AV172)))</f>
        <v/>
      </c>
      <c r="T172">
        <f>IF(R172-S172&lt;0.005,0,R172-S172)</f>
        <v/>
      </c>
      <c r="U172">
        <f>Z171</f>
        <v/>
      </c>
      <c r="V172">
        <f>U172*Plan!D9/100/12</f>
        <v/>
      </c>
      <c r="W172">
        <f>MIN(Plan!E9,U172+V172)</f>
        <v/>
      </c>
      <c r="X172">
        <f>U172+V172-W172</f>
        <v/>
      </c>
      <c r="Y172">
        <f>MIN(X172,MAX(0,$B172-((E$5&lt;W$5)*F172+(K$5&lt;W$5)*L172+(Q$5&lt;W$5)*R172+(AC$5&lt;W$5)*AD172+(AI$5&lt;W$5)*AJ172+(AO$5&lt;W$5)*AP172+(AU$5&lt;W$5)*AV172)))</f>
        <v/>
      </c>
      <c r="Z172">
        <f>IF(X172-Y172&lt;0.005,0,X172-Y172)</f>
        <v/>
      </c>
      <c r="AA172">
        <f>AF171</f>
        <v/>
      </c>
      <c r="AB172">
        <f>AA172*Plan!D10/100/12</f>
        <v/>
      </c>
      <c r="AC172">
        <f>MIN(Plan!E10,AA172+AB172)</f>
        <v/>
      </c>
      <c r="AD172">
        <f>AA172+AB172-AC172</f>
        <v/>
      </c>
      <c r="AE172">
        <f>MIN(AD172,MAX(0,$B172-((E$5&lt;AC$5)*F172+(K$5&lt;AC$5)*L172+(Q$5&lt;AC$5)*R172+(W$5&lt;AC$5)*X172+(AI$5&lt;AC$5)*AJ172+(AO$5&lt;AC$5)*AP172+(AU$5&lt;AC$5)*AV172)))</f>
        <v/>
      </c>
      <c r="AF172">
        <f>IF(AD172-AE172&lt;0.005,0,AD172-AE172)</f>
        <v/>
      </c>
      <c r="AG172">
        <f>AL171</f>
        <v/>
      </c>
      <c r="AH172">
        <f>AG172*Plan!D11/100/12</f>
        <v/>
      </c>
      <c r="AI172">
        <f>MIN(Plan!E11,AG172+AH172)</f>
        <v/>
      </c>
      <c r="AJ172">
        <f>AG172+AH172-AI172</f>
        <v/>
      </c>
      <c r="AK172">
        <f>MIN(AJ172,MAX(0,$B172-((E$5&lt;AI$5)*F172+(K$5&lt;AI$5)*L172+(Q$5&lt;AI$5)*R172+(W$5&lt;AI$5)*X172+(AC$5&lt;AI$5)*AD172+(AO$5&lt;AI$5)*AP172+(AU$5&lt;AI$5)*AV172)))</f>
        <v/>
      </c>
      <c r="AL172">
        <f>IF(AJ172-AK172&lt;0.005,0,AJ172-AK172)</f>
        <v/>
      </c>
      <c r="AM172">
        <f>AR171</f>
        <v/>
      </c>
      <c r="AN172">
        <f>AM172*Plan!D12/100/12</f>
        <v/>
      </c>
      <c r="AO172">
        <f>MIN(Plan!E12,AM172+AN172)</f>
        <v/>
      </c>
      <c r="AP172">
        <f>AM172+AN172-AO172</f>
        <v/>
      </c>
      <c r="AQ172">
        <f>MIN(AP172,MAX(0,$B172-((E$5&lt;AO$5)*F172+(K$5&lt;AO$5)*L172+(Q$5&lt;AO$5)*R172+(W$5&lt;AO$5)*X172+(AC$5&lt;AO$5)*AD172+(AI$5&lt;AO$5)*AJ172+(AU$5&lt;AO$5)*AV172)))</f>
        <v/>
      </c>
      <c r="AR172">
        <f>IF(AP172-AQ172&lt;0.005,0,AP172-AQ172)</f>
        <v/>
      </c>
      <c r="AS172">
        <f>AX171</f>
        <v/>
      </c>
      <c r="AT172">
        <f>AS172*Plan!D13/100/12</f>
        <v/>
      </c>
      <c r="AU172">
        <f>MIN(Plan!E13,AS172+AT172)</f>
        <v/>
      </c>
      <c r="AV172">
        <f>AS172+AT172-AU172</f>
        <v/>
      </c>
      <c r="AW172">
        <f>MIN(AV172,MAX(0,$B172-((E$5&lt;AU$5)*F172+(K$5&lt;AU$5)*L172+(Q$5&lt;AU$5)*R172+(W$5&lt;AU$5)*X172+(AC$5&lt;AU$5)*AD172+(AI$5&lt;AU$5)*AJ172+(AO$5&lt;AU$5)*AP172)))</f>
        <v/>
      </c>
      <c r="AX172">
        <f>IF(AV172-AW172&lt;0.005,0,AV172-AW172)</f>
        <v/>
      </c>
      <c r="BC172">
        <f>H172+N172+T172+Z172+AF172+AL172+AR172+AX172</f>
        <v/>
      </c>
    </row>
    <row r="173">
      <c r="A173" t="n">
        <v>167</v>
      </c>
      <c r="B173" s="19">
        <f>MAX(0,$B$3-(E173+K173+Q173+W173+AC173+AI173+AO173+AU173))</f>
        <v/>
      </c>
      <c r="C173">
        <f>H172</f>
        <v/>
      </c>
      <c r="D173">
        <f>C173*Plan!D6/100/12</f>
        <v/>
      </c>
      <c r="E173">
        <f>MIN(Plan!E6,C173+D173)</f>
        <v/>
      </c>
      <c r="F173">
        <f>C173+D173-E173</f>
        <v/>
      </c>
      <c r="G173">
        <f>MIN(F173,MAX(0,$B173-((K$5&lt;E$5)*L173+(Q$5&lt;E$5)*R173+(W$5&lt;E$5)*X173+(AC$5&lt;E$5)*AD173+(AI$5&lt;E$5)*AJ173+(AO$5&lt;E$5)*AP173+(AU$5&lt;E$5)*AV173)))</f>
        <v/>
      </c>
      <c r="H173">
        <f>IF(F173-G173&lt;0.005,0,F173-G173)</f>
        <v/>
      </c>
      <c r="I173">
        <f>N172</f>
        <v/>
      </c>
      <c r="J173">
        <f>I173*Plan!D7/100/12</f>
        <v/>
      </c>
      <c r="K173">
        <f>MIN(Plan!E7,I173+J173)</f>
        <v/>
      </c>
      <c r="L173">
        <f>I173+J173-K173</f>
        <v/>
      </c>
      <c r="M173">
        <f>MIN(L173,MAX(0,$B173-((E$5&lt;K$5)*F173+(Q$5&lt;K$5)*R173+(W$5&lt;K$5)*X173+(AC$5&lt;K$5)*AD173+(AI$5&lt;K$5)*AJ173+(AO$5&lt;K$5)*AP173+(AU$5&lt;K$5)*AV173)))</f>
        <v/>
      </c>
      <c r="N173">
        <f>IF(L173-M173&lt;0.005,0,L173-M173)</f>
        <v/>
      </c>
      <c r="O173">
        <f>T172</f>
        <v/>
      </c>
      <c r="P173">
        <f>O173*Plan!D8/100/12</f>
        <v/>
      </c>
      <c r="Q173">
        <f>MIN(Plan!E8,O173+P173)</f>
        <v/>
      </c>
      <c r="R173">
        <f>O173+P173-Q173</f>
        <v/>
      </c>
      <c r="S173">
        <f>MIN(R173,MAX(0,$B173-((E$5&lt;Q$5)*F173+(K$5&lt;Q$5)*L173+(W$5&lt;Q$5)*X173+(AC$5&lt;Q$5)*AD173+(AI$5&lt;Q$5)*AJ173+(AO$5&lt;Q$5)*AP173+(AU$5&lt;Q$5)*AV173)))</f>
        <v/>
      </c>
      <c r="T173">
        <f>IF(R173-S173&lt;0.005,0,R173-S173)</f>
        <v/>
      </c>
      <c r="U173">
        <f>Z172</f>
        <v/>
      </c>
      <c r="V173">
        <f>U173*Plan!D9/100/12</f>
        <v/>
      </c>
      <c r="W173">
        <f>MIN(Plan!E9,U173+V173)</f>
        <v/>
      </c>
      <c r="X173">
        <f>U173+V173-W173</f>
        <v/>
      </c>
      <c r="Y173">
        <f>MIN(X173,MAX(0,$B173-((E$5&lt;W$5)*F173+(K$5&lt;W$5)*L173+(Q$5&lt;W$5)*R173+(AC$5&lt;W$5)*AD173+(AI$5&lt;W$5)*AJ173+(AO$5&lt;W$5)*AP173+(AU$5&lt;W$5)*AV173)))</f>
        <v/>
      </c>
      <c r="Z173">
        <f>IF(X173-Y173&lt;0.005,0,X173-Y173)</f>
        <v/>
      </c>
      <c r="AA173">
        <f>AF172</f>
        <v/>
      </c>
      <c r="AB173">
        <f>AA173*Plan!D10/100/12</f>
        <v/>
      </c>
      <c r="AC173">
        <f>MIN(Plan!E10,AA173+AB173)</f>
        <v/>
      </c>
      <c r="AD173">
        <f>AA173+AB173-AC173</f>
        <v/>
      </c>
      <c r="AE173">
        <f>MIN(AD173,MAX(0,$B173-((E$5&lt;AC$5)*F173+(K$5&lt;AC$5)*L173+(Q$5&lt;AC$5)*R173+(W$5&lt;AC$5)*X173+(AI$5&lt;AC$5)*AJ173+(AO$5&lt;AC$5)*AP173+(AU$5&lt;AC$5)*AV173)))</f>
        <v/>
      </c>
      <c r="AF173">
        <f>IF(AD173-AE173&lt;0.005,0,AD173-AE173)</f>
        <v/>
      </c>
      <c r="AG173">
        <f>AL172</f>
        <v/>
      </c>
      <c r="AH173">
        <f>AG173*Plan!D11/100/12</f>
        <v/>
      </c>
      <c r="AI173">
        <f>MIN(Plan!E11,AG173+AH173)</f>
        <v/>
      </c>
      <c r="AJ173">
        <f>AG173+AH173-AI173</f>
        <v/>
      </c>
      <c r="AK173">
        <f>MIN(AJ173,MAX(0,$B173-((E$5&lt;AI$5)*F173+(K$5&lt;AI$5)*L173+(Q$5&lt;AI$5)*R173+(W$5&lt;AI$5)*X173+(AC$5&lt;AI$5)*AD173+(AO$5&lt;AI$5)*AP173+(AU$5&lt;AI$5)*AV173)))</f>
        <v/>
      </c>
      <c r="AL173">
        <f>IF(AJ173-AK173&lt;0.005,0,AJ173-AK173)</f>
        <v/>
      </c>
      <c r="AM173">
        <f>AR172</f>
        <v/>
      </c>
      <c r="AN173">
        <f>AM173*Plan!D12/100/12</f>
        <v/>
      </c>
      <c r="AO173">
        <f>MIN(Plan!E12,AM173+AN173)</f>
        <v/>
      </c>
      <c r="AP173">
        <f>AM173+AN173-AO173</f>
        <v/>
      </c>
      <c r="AQ173">
        <f>MIN(AP173,MAX(0,$B173-((E$5&lt;AO$5)*F173+(K$5&lt;AO$5)*L173+(Q$5&lt;AO$5)*R173+(W$5&lt;AO$5)*X173+(AC$5&lt;AO$5)*AD173+(AI$5&lt;AO$5)*AJ173+(AU$5&lt;AO$5)*AV173)))</f>
        <v/>
      </c>
      <c r="AR173">
        <f>IF(AP173-AQ173&lt;0.005,0,AP173-AQ173)</f>
        <v/>
      </c>
      <c r="AS173">
        <f>AX172</f>
        <v/>
      </c>
      <c r="AT173">
        <f>AS173*Plan!D13/100/12</f>
        <v/>
      </c>
      <c r="AU173">
        <f>MIN(Plan!E13,AS173+AT173)</f>
        <v/>
      </c>
      <c r="AV173">
        <f>AS173+AT173-AU173</f>
        <v/>
      </c>
      <c r="AW173">
        <f>MIN(AV173,MAX(0,$B173-((E$5&lt;AU$5)*F173+(K$5&lt;AU$5)*L173+(Q$5&lt;AU$5)*R173+(W$5&lt;AU$5)*X173+(AC$5&lt;AU$5)*AD173+(AI$5&lt;AU$5)*AJ173+(AO$5&lt;AU$5)*AP173)))</f>
        <v/>
      </c>
      <c r="AX173">
        <f>IF(AV173-AW173&lt;0.005,0,AV173-AW173)</f>
        <v/>
      </c>
      <c r="BC173">
        <f>H173+N173+T173+Z173+AF173+AL173+AR173+AX173</f>
        <v/>
      </c>
    </row>
    <row r="174">
      <c r="A174" t="n">
        <v>168</v>
      </c>
      <c r="B174" s="19">
        <f>MAX(0,$B$3-(E174+K174+Q174+W174+AC174+AI174+AO174+AU174))</f>
        <v/>
      </c>
      <c r="C174">
        <f>H173</f>
        <v/>
      </c>
      <c r="D174">
        <f>C174*Plan!D6/100/12</f>
        <v/>
      </c>
      <c r="E174">
        <f>MIN(Plan!E6,C174+D174)</f>
        <v/>
      </c>
      <c r="F174">
        <f>C174+D174-E174</f>
        <v/>
      </c>
      <c r="G174">
        <f>MIN(F174,MAX(0,$B174-((K$5&lt;E$5)*L174+(Q$5&lt;E$5)*R174+(W$5&lt;E$5)*X174+(AC$5&lt;E$5)*AD174+(AI$5&lt;E$5)*AJ174+(AO$5&lt;E$5)*AP174+(AU$5&lt;E$5)*AV174)))</f>
        <v/>
      </c>
      <c r="H174">
        <f>IF(F174-G174&lt;0.005,0,F174-G174)</f>
        <v/>
      </c>
      <c r="I174">
        <f>N173</f>
        <v/>
      </c>
      <c r="J174">
        <f>I174*Plan!D7/100/12</f>
        <v/>
      </c>
      <c r="K174">
        <f>MIN(Plan!E7,I174+J174)</f>
        <v/>
      </c>
      <c r="L174">
        <f>I174+J174-K174</f>
        <v/>
      </c>
      <c r="M174">
        <f>MIN(L174,MAX(0,$B174-((E$5&lt;K$5)*F174+(Q$5&lt;K$5)*R174+(W$5&lt;K$5)*X174+(AC$5&lt;K$5)*AD174+(AI$5&lt;K$5)*AJ174+(AO$5&lt;K$5)*AP174+(AU$5&lt;K$5)*AV174)))</f>
        <v/>
      </c>
      <c r="N174">
        <f>IF(L174-M174&lt;0.005,0,L174-M174)</f>
        <v/>
      </c>
      <c r="O174">
        <f>T173</f>
        <v/>
      </c>
      <c r="P174">
        <f>O174*Plan!D8/100/12</f>
        <v/>
      </c>
      <c r="Q174">
        <f>MIN(Plan!E8,O174+P174)</f>
        <v/>
      </c>
      <c r="R174">
        <f>O174+P174-Q174</f>
        <v/>
      </c>
      <c r="S174">
        <f>MIN(R174,MAX(0,$B174-((E$5&lt;Q$5)*F174+(K$5&lt;Q$5)*L174+(W$5&lt;Q$5)*X174+(AC$5&lt;Q$5)*AD174+(AI$5&lt;Q$5)*AJ174+(AO$5&lt;Q$5)*AP174+(AU$5&lt;Q$5)*AV174)))</f>
        <v/>
      </c>
      <c r="T174">
        <f>IF(R174-S174&lt;0.005,0,R174-S174)</f>
        <v/>
      </c>
      <c r="U174">
        <f>Z173</f>
        <v/>
      </c>
      <c r="V174">
        <f>U174*Plan!D9/100/12</f>
        <v/>
      </c>
      <c r="W174">
        <f>MIN(Plan!E9,U174+V174)</f>
        <v/>
      </c>
      <c r="X174">
        <f>U174+V174-W174</f>
        <v/>
      </c>
      <c r="Y174">
        <f>MIN(X174,MAX(0,$B174-((E$5&lt;W$5)*F174+(K$5&lt;W$5)*L174+(Q$5&lt;W$5)*R174+(AC$5&lt;W$5)*AD174+(AI$5&lt;W$5)*AJ174+(AO$5&lt;W$5)*AP174+(AU$5&lt;W$5)*AV174)))</f>
        <v/>
      </c>
      <c r="Z174">
        <f>IF(X174-Y174&lt;0.005,0,X174-Y174)</f>
        <v/>
      </c>
      <c r="AA174">
        <f>AF173</f>
        <v/>
      </c>
      <c r="AB174">
        <f>AA174*Plan!D10/100/12</f>
        <v/>
      </c>
      <c r="AC174">
        <f>MIN(Plan!E10,AA174+AB174)</f>
        <v/>
      </c>
      <c r="AD174">
        <f>AA174+AB174-AC174</f>
        <v/>
      </c>
      <c r="AE174">
        <f>MIN(AD174,MAX(0,$B174-((E$5&lt;AC$5)*F174+(K$5&lt;AC$5)*L174+(Q$5&lt;AC$5)*R174+(W$5&lt;AC$5)*X174+(AI$5&lt;AC$5)*AJ174+(AO$5&lt;AC$5)*AP174+(AU$5&lt;AC$5)*AV174)))</f>
        <v/>
      </c>
      <c r="AF174">
        <f>IF(AD174-AE174&lt;0.005,0,AD174-AE174)</f>
        <v/>
      </c>
      <c r="AG174">
        <f>AL173</f>
        <v/>
      </c>
      <c r="AH174">
        <f>AG174*Plan!D11/100/12</f>
        <v/>
      </c>
      <c r="AI174">
        <f>MIN(Plan!E11,AG174+AH174)</f>
        <v/>
      </c>
      <c r="AJ174">
        <f>AG174+AH174-AI174</f>
        <v/>
      </c>
      <c r="AK174">
        <f>MIN(AJ174,MAX(0,$B174-((E$5&lt;AI$5)*F174+(K$5&lt;AI$5)*L174+(Q$5&lt;AI$5)*R174+(W$5&lt;AI$5)*X174+(AC$5&lt;AI$5)*AD174+(AO$5&lt;AI$5)*AP174+(AU$5&lt;AI$5)*AV174)))</f>
        <v/>
      </c>
      <c r="AL174">
        <f>IF(AJ174-AK174&lt;0.005,0,AJ174-AK174)</f>
        <v/>
      </c>
      <c r="AM174">
        <f>AR173</f>
        <v/>
      </c>
      <c r="AN174">
        <f>AM174*Plan!D12/100/12</f>
        <v/>
      </c>
      <c r="AO174">
        <f>MIN(Plan!E12,AM174+AN174)</f>
        <v/>
      </c>
      <c r="AP174">
        <f>AM174+AN174-AO174</f>
        <v/>
      </c>
      <c r="AQ174">
        <f>MIN(AP174,MAX(0,$B174-((E$5&lt;AO$5)*F174+(K$5&lt;AO$5)*L174+(Q$5&lt;AO$5)*R174+(W$5&lt;AO$5)*X174+(AC$5&lt;AO$5)*AD174+(AI$5&lt;AO$5)*AJ174+(AU$5&lt;AO$5)*AV174)))</f>
        <v/>
      </c>
      <c r="AR174">
        <f>IF(AP174-AQ174&lt;0.005,0,AP174-AQ174)</f>
        <v/>
      </c>
      <c r="AS174">
        <f>AX173</f>
        <v/>
      </c>
      <c r="AT174">
        <f>AS174*Plan!D13/100/12</f>
        <v/>
      </c>
      <c r="AU174">
        <f>MIN(Plan!E13,AS174+AT174)</f>
        <v/>
      </c>
      <c r="AV174">
        <f>AS174+AT174-AU174</f>
        <v/>
      </c>
      <c r="AW174">
        <f>MIN(AV174,MAX(0,$B174-((E$5&lt;AU$5)*F174+(K$5&lt;AU$5)*L174+(Q$5&lt;AU$5)*R174+(W$5&lt;AU$5)*X174+(AC$5&lt;AU$5)*AD174+(AI$5&lt;AU$5)*AJ174+(AO$5&lt;AU$5)*AP174)))</f>
        <v/>
      </c>
      <c r="AX174">
        <f>IF(AV174-AW174&lt;0.005,0,AV174-AW174)</f>
        <v/>
      </c>
      <c r="BC174">
        <f>H174+N174+T174+Z174+AF174+AL174+AR174+AX174</f>
        <v/>
      </c>
    </row>
    <row r="175">
      <c r="A175" t="n">
        <v>169</v>
      </c>
      <c r="B175" s="19">
        <f>MAX(0,$B$3-(E175+K175+Q175+W175+AC175+AI175+AO175+AU175))</f>
        <v/>
      </c>
      <c r="C175">
        <f>H174</f>
        <v/>
      </c>
      <c r="D175">
        <f>C175*Plan!D6/100/12</f>
        <v/>
      </c>
      <c r="E175">
        <f>MIN(Plan!E6,C175+D175)</f>
        <v/>
      </c>
      <c r="F175">
        <f>C175+D175-E175</f>
        <v/>
      </c>
      <c r="G175">
        <f>MIN(F175,MAX(0,$B175-((K$5&lt;E$5)*L175+(Q$5&lt;E$5)*R175+(W$5&lt;E$5)*X175+(AC$5&lt;E$5)*AD175+(AI$5&lt;E$5)*AJ175+(AO$5&lt;E$5)*AP175+(AU$5&lt;E$5)*AV175)))</f>
        <v/>
      </c>
      <c r="H175">
        <f>IF(F175-G175&lt;0.005,0,F175-G175)</f>
        <v/>
      </c>
      <c r="I175">
        <f>N174</f>
        <v/>
      </c>
      <c r="J175">
        <f>I175*Plan!D7/100/12</f>
        <v/>
      </c>
      <c r="K175">
        <f>MIN(Plan!E7,I175+J175)</f>
        <v/>
      </c>
      <c r="L175">
        <f>I175+J175-K175</f>
        <v/>
      </c>
      <c r="M175">
        <f>MIN(L175,MAX(0,$B175-((E$5&lt;K$5)*F175+(Q$5&lt;K$5)*R175+(W$5&lt;K$5)*X175+(AC$5&lt;K$5)*AD175+(AI$5&lt;K$5)*AJ175+(AO$5&lt;K$5)*AP175+(AU$5&lt;K$5)*AV175)))</f>
        <v/>
      </c>
      <c r="N175">
        <f>IF(L175-M175&lt;0.005,0,L175-M175)</f>
        <v/>
      </c>
      <c r="O175">
        <f>T174</f>
        <v/>
      </c>
      <c r="P175">
        <f>O175*Plan!D8/100/12</f>
        <v/>
      </c>
      <c r="Q175">
        <f>MIN(Plan!E8,O175+P175)</f>
        <v/>
      </c>
      <c r="R175">
        <f>O175+P175-Q175</f>
        <v/>
      </c>
      <c r="S175">
        <f>MIN(R175,MAX(0,$B175-((E$5&lt;Q$5)*F175+(K$5&lt;Q$5)*L175+(W$5&lt;Q$5)*X175+(AC$5&lt;Q$5)*AD175+(AI$5&lt;Q$5)*AJ175+(AO$5&lt;Q$5)*AP175+(AU$5&lt;Q$5)*AV175)))</f>
        <v/>
      </c>
      <c r="T175">
        <f>IF(R175-S175&lt;0.005,0,R175-S175)</f>
        <v/>
      </c>
      <c r="U175">
        <f>Z174</f>
        <v/>
      </c>
      <c r="V175">
        <f>U175*Plan!D9/100/12</f>
        <v/>
      </c>
      <c r="W175">
        <f>MIN(Plan!E9,U175+V175)</f>
        <v/>
      </c>
      <c r="X175">
        <f>U175+V175-W175</f>
        <v/>
      </c>
      <c r="Y175">
        <f>MIN(X175,MAX(0,$B175-((E$5&lt;W$5)*F175+(K$5&lt;W$5)*L175+(Q$5&lt;W$5)*R175+(AC$5&lt;W$5)*AD175+(AI$5&lt;W$5)*AJ175+(AO$5&lt;W$5)*AP175+(AU$5&lt;W$5)*AV175)))</f>
        <v/>
      </c>
      <c r="Z175">
        <f>IF(X175-Y175&lt;0.005,0,X175-Y175)</f>
        <v/>
      </c>
      <c r="AA175">
        <f>AF174</f>
        <v/>
      </c>
      <c r="AB175">
        <f>AA175*Plan!D10/100/12</f>
        <v/>
      </c>
      <c r="AC175">
        <f>MIN(Plan!E10,AA175+AB175)</f>
        <v/>
      </c>
      <c r="AD175">
        <f>AA175+AB175-AC175</f>
        <v/>
      </c>
      <c r="AE175">
        <f>MIN(AD175,MAX(0,$B175-((E$5&lt;AC$5)*F175+(K$5&lt;AC$5)*L175+(Q$5&lt;AC$5)*R175+(W$5&lt;AC$5)*X175+(AI$5&lt;AC$5)*AJ175+(AO$5&lt;AC$5)*AP175+(AU$5&lt;AC$5)*AV175)))</f>
        <v/>
      </c>
      <c r="AF175">
        <f>IF(AD175-AE175&lt;0.005,0,AD175-AE175)</f>
        <v/>
      </c>
      <c r="AG175">
        <f>AL174</f>
        <v/>
      </c>
      <c r="AH175">
        <f>AG175*Plan!D11/100/12</f>
        <v/>
      </c>
      <c r="AI175">
        <f>MIN(Plan!E11,AG175+AH175)</f>
        <v/>
      </c>
      <c r="AJ175">
        <f>AG175+AH175-AI175</f>
        <v/>
      </c>
      <c r="AK175">
        <f>MIN(AJ175,MAX(0,$B175-((E$5&lt;AI$5)*F175+(K$5&lt;AI$5)*L175+(Q$5&lt;AI$5)*R175+(W$5&lt;AI$5)*X175+(AC$5&lt;AI$5)*AD175+(AO$5&lt;AI$5)*AP175+(AU$5&lt;AI$5)*AV175)))</f>
        <v/>
      </c>
      <c r="AL175">
        <f>IF(AJ175-AK175&lt;0.005,0,AJ175-AK175)</f>
        <v/>
      </c>
      <c r="AM175">
        <f>AR174</f>
        <v/>
      </c>
      <c r="AN175">
        <f>AM175*Plan!D12/100/12</f>
        <v/>
      </c>
      <c r="AO175">
        <f>MIN(Plan!E12,AM175+AN175)</f>
        <v/>
      </c>
      <c r="AP175">
        <f>AM175+AN175-AO175</f>
        <v/>
      </c>
      <c r="AQ175">
        <f>MIN(AP175,MAX(0,$B175-((E$5&lt;AO$5)*F175+(K$5&lt;AO$5)*L175+(Q$5&lt;AO$5)*R175+(W$5&lt;AO$5)*X175+(AC$5&lt;AO$5)*AD175+(AI$5&lt;AO$5)*AJ175+(AU$5&lt;AO$5)*AV175)))</f>
        <v/>
      </c>
      <c r="AR175">
        <f>IF(AP175-AQ175&lt;0.005,0,AP175-AQ175)</f>
        <v/>
      </c>
      <c r="AS175">
        <f>AX174</f>
        <v/>
      </c>
      <c r="AT175">
        <f>AS175*Plan!D13/100/12</f>
        <v/>
      </c>
      <c r="AU175">
        <f>MIN(Plan!E13,AS175+AT175)</f>
        <v/>
      </c>
      <c r="AV175">
        <f>AS175+AT175-AU175</f>
        <v/>
      </c>
      <c r="AW175">
        <f>MIN(AV175,MAX(0,$B175-((E$5&lt;AU$5)*F175+(K$5&lt;AU$5)*L175+(Q$5&lt;AU$5)*R175+(W$5&lt;AU$5)*X175+(AC$5&lt;AU$5)*AD175+(AI$5&lt;AU$5)*AJ175+(AO$5&lt;AU$5)*AP175)))</f>
        <v/>
      </c>
      <c r="AX175">
        <f>IF(AV175-AW175&lt;0.005,0,AV175-AW175)</f>
        <v/>
      </c>
      <c r="BC175">
        <f>H175+N175+T175+Z175+AF175+AL175+AR175+AX175</f>
        <v/>
      </c>
    </row>
    <row r="176">
      <c r="A176" t="n">
        <v>170</v>
      </c>
      <c r="B176" s="19">
        <f>MAX(0,$B$3-(E176+K176+Q176+W176+AC176+AI176+AO176+AU176))</f>
        <v/>
      </c>
      <c r="C176">
        <f>H175</f>
        <v/>
      </c>
      <c r="D176">
        <f>C176*Plan!D6/100/12</f>
        <v/>
      </c>
      <c r="E176">
        <f>MIN(Plan!E6,C176+D176)</f>
        <v/>
      </c>
      <c r="F176">
        <f>C176+D176-E176</f>
        <v/>
      </c>
      <c r="G176">
        <f>MIN(F176,MAX(0,$B176-((K$5&lt;E$5)*L176+(Q$5&lt;E$5)*R176+(W$5&lt;E$5)*X176+(AC$5&lt;E$5)*AD176+(AI$5&lt;E$5)*AJ176+(AO$5&lt;E$5)*AP176+(AU$5&lt;E$5)*AV176)))</f>
        <v/>
      </c>
      <c r="H176">
        <f>IF(F176-G176&lt;0.005,0,F176-G176)</f>
        <v/>
      </c>
      <c r="I176">
        <f>N175</f>
        <v/>
      </c>
      <c r="J176">
        <f>I176*Plan!D7/100/12</f>
        <v/>
      </c>
      <c r="K176">
        <f>MIN(Plan!E7,I176+J176)</f>
        <v/>
      </c>
      <c r="L176">
        <f>I176+J176-K176</f>
        <v/>
      </c>
      <c r="M176">
        <f>MIN(L176,MAX(0,$B176-((E$5&lt;K$5)*F176+(Q$5&lt;K$5)*R176+(W$5&lt;K$5)*X176+(AC$5&lt;K$5)*AD176+(AI$5&lt;K$5)*AJ176+(AO$5&lt;K$5)*AP176+(AU$5&lt;K$5)*AV176)))</f>
        <v/>
      </c>
      <c r="N176">
        <f>IF(L176-M176&lt;0.005,0,L176-M176)</f>
        <v/>
      </c>
      <c r="O176">
        <f>T175</f>
        <v/>
      </c>
      <c r="P176">
        <f>O176*Plan!D8/100/12</f>
        <v/>
      </c>
      <c r="Q176">
        <f>MIN(Plan!E8,O176+P176)</f>
        <v/>
      </c>
      <c r="R176">
        <f>O176+P176-Q176</f>
        <v/>
      </c>
      <c r="S176">
        <f>MIN(R176,MAX(0,$B176-((E$5&lt;Q$5)*F176+(K$5&lt;Q$5)*L176+(W$5&lt;Q$5)*X176+(AC$5&lt;Q$5)*AD176+(AI$5&lt;Q$5)*AJ176+(AO$5&lt;Q$5)*AP176+(AU$5&lt;Q$5)*AV176)))</f>
        <v/>
      </c>
      <c r="T176">
        <f>IF(R176-S176&lt;0.005,0,R176-S176)</f>
        <v/>
      </c>
      <c r="U176">
        <f>Z175</f>
        <v/>
      </c>
      <c r="V176">
        <f>U176*Plan!D9/100/12</f>
        <v/>
      </c>
      <c r="W176">
        <f>MIN(Plan!E9,U176+V176)</f>
        <v/>
      </c>
      <c r="X176">
        <f>U176+V176-W176</f>
        <v/>
      </c>
      <c r="Y176">
        <f>MIN(X176,MAX(0,$B176-((E$5&lt;W$5)*F176+(K$5&lt;W$5)*L176+(Q$5&lt;W$5)*R176+(AC$5&lt;W$5)*AD176+(AI$5&lt;W$5)*AJ176+(AO$5&lt;W$5)*AP176+(AU$5&lt;W$5)*AV176)))</f>
        <v/>
      </c>
      <c r="Z176">
        <f>IF(X176-Y176&lt;0.005,0,X176-Y176)</f>
        <v/>
      </c>
      <c r="AA176">
        <f>AF175</f>
        <v/>
      </c>
      <c r="AB176">
        <f>AA176*Plan!D10/100/12</f>
        <v/>
      </c>
      <c r="AC176">
        <f>MIN(Plan!E10,AA176+AB176)</f>
        <v/>
      </c>
      <c r="AD176">
        <f>AA176+AB176-AC176</f>
        <v/>
      </c>
      <c r="AE176">
        <f>MIN(AD176,MAX(0,$B176-((E$5&lt;AC$5)*F176+(K$5&lt;AC$5)*L176+(Q$5&lt;AC$5)*R176+(W$5&lt;AC$5)*X176+(AI$5&lt;AC$5)*AJ176+(AO$5&lt;AC$5)*AP176+(AU$5&lt;AC$5)*AV176)))</f>
        <v/>
      </c>
      <c r="AF176">
        <f>IF(AD176-AE176&lt;0.005,0,AD176-AE176)</f>
        <v/>
      </c>
      <c r="AG176">
        <f>AL175</f>
        <v/>
      </c>
      <c r="AH176">
        <f>AG176*Plan!D11/100/12</f>
        <v/>
      </c>
      <c r="AI176">
        <f>MIN(Plan!E11,AG176+AH176)</f>
        <v/>
      </c>
      <c r="AJ176">
        <f>AG176+AH176-AI176</f>
        <v/>
      </c>
      <c r="AK176">
        <f>MIN(AJ176,MAX(0,$B176-((E$5&lt;AI$5)*F176+(K$5&lt;AI$5)*L176+(Q$5&lt;AI$5)*R176+(W$5&lt;AI$5)*X176+(AC$5&lt;AI$5)*AD176+(AO$5&lt;AI$5)*AP176+(AU$5&lt;AI$5)*AV176)))</f>
        <v/>
      </c>
      <c r="AL176">
        <f>IF(AJ176-AK176&lt;0.005,0,AJ176-AK176)</f>
        <v/>
      </c>
      <c r="AM176">
        <f>AR175</f>
        <v/>
      </c>
      <c r="AN176">
        <f>AM176*Plan!D12/100/12</f>
        <v/>
      </c>
      <c r="AO176">
        <f>MIN(Plan!E12,AM176+AN176)</f>
        <v/>
      </c>
      <c r="AP176">
        <f>AM176+AN176-AO176</f>
        <v/>
      </c>
      <c r="AQ176">
        <f>MIN(AP176,MAX(0,$B176-((E$5&lt;AO$5)*F176+(K$5&lt;AO$5)*L176+(Q$5&lt;AO$5)*R176+(W$5&lt;AO$5)*X176+(AC$5&lt;AO$5)*AD176+(AI$5&lt;AO$5)*AJ176+(AU$5&lt;AO$5)*AV176)))</f>
        <v/>
      </c>
      <c r="AR176">
        <f>IF(AP176-AQ176&lt;0.005,0,AP176-AQ176)</f>
        <v/>
      </c>
      <c r="AS176">
        <f>AX175</f>
        <v/>
      </c>
      <c r="AT176">
        <f>AS176*Plan!D13/100/12</f>
        <v/>
      </c>
      <c r="AU176">
        <f>MIN(Plan!E13,AS176+AT176)</f>
        <v/>
      </c>
      <c r="AV176">
        <f>AS176+AT176-AU176</f>
        <v/>
      </c>
      <c r="AW176">
        <f>MIN(AV176,MAX(0,$B176-((E$5&lt;AU$5)*F176+(K$5&lt;AU$5)*L176+(Q$5&lt;AU$5)*R176+(W$5&lt;AU$5)*X176+(AC$5&lt;AU$5)*AD176+(AI$5&lt;AU$5)*AJ176+(AO$5&lt;AU$5)*AP176)))</f>
        <v/>
      </c>
      <c r="AX176">
        <f>IF(AV176-AW176&lt;0.005,0,AV176-AW176)</f>
        <v/>
      </c>
      <c r="BC176">
        <f>H176+N176+T176+Z176+AF176+AL176+AR176+AX176</f>
        <v/>
      </c>
    </row>
    <row r="177">
      <c r="A177" t="n">
        <v>171</v>
      </c>
      <c r="B177" s="19">
        <f>MAX(0,$B$3-(E177+K177+Q177+W177+AC177+AI177+AO177+AU177))</f>
        <v/>
      </c>
      <c r="C177">
        <f>H176</f>
        <v/>
      </c>
      <c r="D177">
        <f>C177*Plan!D6/100/12</f>
        <v/>
      </c>
      <c r="E177">
        <f>MIN(Plan!E6,C177+D177)</f>
        <v/>
      </c>
      <c r="F177">
        <f>C177+D177-E177</f>
        <v/>
      </c>
      <c r="G177">
        <f>MIN(F177,MAX(0,$B177-((K$5&lt;E$5)*L177+(Q$5&lt;E$5)*R177+(W$5&lt;E$5)*X177+(AC$5&lt;E$5)*AD177+(AI$5&lt;E$5)*AJ177+(AO$5&lt;E$5)*AP177+(AU$5&lt;E$5)*AV177)))</f>
        <v/>
      </c>
      <c r="H177">
        <f>IF(F177-G177&lt;0.005,0,F177-G177)</f>
        <v/>
      </c>
      <c r="I177">
        <f>N176</f>
        <v/>
      </c>
      <c r="J177">
        <f>I177*Plan!D7/100/12</f>
        <v/>
      </c>
      <c r="K177">
        <f>MIN(Plan!E7,I177+J177)</f>
        <v/>
      </c>
      <c r="L177">
        <f>I177+J177-K177</f>
        <v/>
      </c>
      <c r="M177">
        <f>MIN(L177,MAX(0,$B177-((E$5&lt;K$5)*F177+(Q$5&lt;K$5)*R177+(W$5&lt;K$5)*X177+(AC$5&lt;K$5)*AD177+(AI$5&lt;K$5)*AJ177+(AO$5&lt;K$5)*AP177+(AU$5&lt;K$5)*AV177)))</f>
        <v/>
      </c>
      <c r="N177">
        <f>IF(L177-M177&lt;0.005,0,L177-M177)</f>
        <v/>
      </c>
      <c r="O177">
        <f>T176</f>
        <v/>
      </c>
      <c r="P177">
        <f>O177*Plan!D8/100/12</f>
        <v/>
      </c>
      <c r="Q177">
        <f>MIN(Plan!E8,O177+P177)</f>
        <v/>
      </c>
      <c r="R177">
        <f>O177+P177-Q177</f>
        <v/>
      </c>
      <c r="S177">
        <f>MIN(R177,MAX(0,$B177-((E$5&lt;Q$5)*F177+(K$5&lt;Q$5)*L177+(W$5&lt;Q$5)*X177+(AC$5&lt;Q$5)*AD177+(AI$5&lt;Q$5)*AJ177+(AO$5&lt;Q$5)*AP177+(AU$5&lt;Q$5)*AV177)))</f>
        <v/>
      </c>
      <c r="T177">
        <f>IF(R177-S177&lt;0.005,0,R177-S177)</f>
        <v/>
      </c>
      <c r="U177">
        <f>Z176</f>
        <v/>
      </c>
      <c r="V177">
        <f>U177*Plan!D9/100/12</f>
        <v/>
      </c>
      <c r="W177">
        <f>MIN(Plan!E9,U177+V177)</f>
        <v/>
      </c>
      <c r="X177">
        <f>U177+V177-W177</f>
        <v/>
      </c>
      <c r="Y177">
        <f>MIN(X177,MAX(0,$B177-((E$5&lt;W$5)*F177+(K$5&lt;W$5)*L177+(Q$5&lt;W$5)*R177+(AC$5&lt;W$5)*AD177+(AI$5&lt;W$5)*AJ177+(AO$5&lt;W$5)*AP177+(AU$5&lt;W$5)*AV177)))</f>
        <v/>
      </c>
      <c r="Z177">
        <f>IF(X177-Y177&lt;0.005,0,X177-Y177)</f>
        <v/>
      </c>
      <c r="AA177">
        <f>AF176</f>
        <v/>
      </c>
      <c r="AB177">
        <f>AA177*Plan!D10/100/12</f>
        <v/>
      </c>
      <c r="AC177">
        <f>MIN(Plan!E10,AA177+AB177)</f>
        <v/>
      </c>
      <c r="AD177">
        <f>AA177+AB177-AC177</f>
        <v/>
      </c>
      <c r="AE177">
        <f>MIN(AD177,MAX(0,$B177-((E$5&lt;AC$5)*F177+(K$5&lt;AC$5)*L177+(Q$5&lt;AC$5)*R177+(W$5&lt;AC$5)*X177+(AI$5&lt;AC$5)*AJ177+(AO$5&lt;AC$5)*AP177+(AU$5&lt;AC$5)*AV177)))</f>
        <v/>
      </c>
      <c r="AF177">
        <f>IF(AD177-AE177&lt;0.005,0,AD177-AE177)</f>
        <v/>
      </c>
      <c r="AG177">
        <f>AL176</f>
        <v/>
      </c>
      <c r="AH177">
        <f>AG177*Plan!D11/100/12</f>
        <v/>
      </c>
      <c r="AI177">
        <f>MIN(Plan!E11,AG177+AH177)</f>
        <v/>
      </c>
      <c r="AJ177">
        <f>AG177+AH177-AI177</f>
        <v/>
      </c>
      <c r="AK177">
        <f>MIN(AJ177,MAX(0,$B177-((E$5&lt;AI$5)*F177+(K$5&lt;AI$5)*L177+(Q$5&lt;AI$5)*R177+(W$5&lt;AI$5)*X177+(AC$5&lt;AI$5)*AD177+(AO$5&lt;AI$5)*AP177+(AU$5&lt;AI$5)*AV177)))</f>
        <v/>
      </c>
      <c r="AL177">
        <f>IF(AJ177-AK177&lt;0.005,0,AJ177-AK177)</f>
        <v/>
      </c>
      <c r="AM177">
        <f>AR176</f>
        <v/>
      </c>
      <c r="AN177">
        <f>AM177*Plan!D12/100/12</f>
        <v/>
      </c>
      <c r="AO177">
        <f>MIN(Plan!E12,AM177+AN177)</f>
        <v/>
      </c>
      <c r="AP177">
        <f>AM177+AN177-AO177</f>
        <v/>
      </c>
      <c r="AQ177">
        <f>MIN(AP177,MAX(0,$B177-((E$5&lt;AO$5)*F177+(K$5&lt;AO$5)*L177+(Q$5&lt;AO$5)*R177+(W$5&lt;AO$5)*X177+(AC$5&lt;AO$5)*AD177+(AI$5&lt;AO$5)*AJ177+(AU$5&lt;AO$5)*AV177)))</f>
        <v/>
      </c>
      <c r="AR177">
        <f>IF(AP177-AQ177&lt;0.005,0,AP177-AQ177)</f>
        <v/>
      </c>
      <c r="AS177">
        <f>AX176</f>
        <v/>
      </c>
      <c r="AT177">
        <f>AS177*Plan!D13/100/12</f>
        <v/>
      </c>
      <c r="AU177">
        <f>MIN(Plan!E13,AS177+AT177)</f>
        <v/>
      </c>
      <c r="AV177">
        <f>AS177+AT177-AU177</f>
        <v/>
      </c>
      <c r="AW177">
        <f>MIN(AV177,MAX(0,$B177-((E$5&lt;AU$5)*F177+(K$5&lt;AU$5)*L177+(Q$5&lt;AU$5)*R177+(W$5&lt;AU$5)*X177+(AC$5&lt;AU$5)*AD177+(AI$5&lt;AU$5)*AJ177+(AO$5&lt;AU$5)*AP177)))</f>
        <v/>
      </c>
      <c r="AX177">
        <f>IF(AV177-AW177&lt;0.005,0,AV177-AW177)</f>
        <v/>
      </c>
      <c r="BC177">
        <f>H177+N177+T177+Z177+AF177+AL177+AR177+AX177</f>
        <v/>
      </c>
    </row>
    <row r="178">
      <c r="A178" t="n">
        <v>172</v>
      </c>
      <c r="B178" s="19">
        <f>MAX(0,$B$3-(E178+K178+Q178+W178+AC178+AI178+AO178+AU178))</f>
        <v/>
      </c>
      <c r="C178">
        <f>H177</f>
        <v/>
      </c>
      <c r="D178">
        <f>C178*Plan!D6/100/12</f>
        <v/>
      </c>
      <c r="E178">
        <f>MIN(Plan!E6,C178+D178)</f>
        <v/>
      </c>
      <c r="F178">
        <f>C178+D178-E178</f>
        <v/>
      </c>
      <c r="G178">
        <f>MIN(F178,MAX(0,$B178-((K$5&lt;E$5)*L178+(Q$5&lt;E$5)*R178+(W$5&lt;E$5)*X178+(AC$5&lt;E$5)*AD178+(AI$5&lt;E$5)*AJ178+(AO$5&lt;E$5)*AP178+(AU$5&lt;E$5)*AV178)))</f>
        <v/>
      </c>
      <c r="H178">
        <f>IF(F178-G178&lt;0.005,0,F178-G178)</f>
        <v/>
      </c>
      <c r="I178">
        <f>N177</f>
        <v/>
      </c>
      <c r="J178">
        <f>I178*Plan!D7/100/12</f>
        <v/>
      </c>
      <c r="K178">
        <f>MIN(Plan!E7,I178+J178)</f>
        <v/>
      </c>
      <c r="L178">
        <f>I178+J178-K178</f>
        <v/>
      </c>
      <c r="M178">
        <f>MIN(L178,MAX(0,$B178-((E$5&lt;K$5)*F178+(Q$5&lt;K$5)*R178+(W$5&lt;K$5)*X178+(AC$5&lt;K$5)*AD178+(AI$5&lt;K$5)*AJ178+(AO$5&lt;K$5)*AP178+(AU$5&lt;K$5)*AV178)))</f>
        <v/>
      </c>
      <c r="N178">
        <f>IF(L178-M178&lt;0.005,0,L178-M178)</f>
        <v/>
      </c>
      <c r="O178">
        <f>T177</f>
        <v/>
      </c>
      <c r="P178">
        <f>O178*Plan!D8/100/12</f>
        <v/>
      </c>
      <c r="Q178">
        <f>MIN(Plan!E8,O178+P178)</f>
        <v/>
      </c>
      <c r="R178">
        <f>O178+P178-Q178</f>
        <v/>
      </c>
      <c r="S178">
        <f>MIN(R178,MAX(0,$B178-((E$5&lt;Q$5)*F178+(K$5&lt;Q$5)*L178+(W$5&lt;Q$5)*X178+(AC$5&lt;Q$5)*AD178+(AI$5&lt;Q$5)*AJ178+(AO$5&lt;Q$5)*AP178+(AU$5&lt;Q$5)*AV178)))</f>
        <v/>
      </c>
      <c r="T178">
        <f>IF(R178-S178&lt;0.005,0,R178-S178)</f>
        <v/>
      </c>
      <c r="U178">
        <f>Z177</f>
        <v/>
      </c>
      <c r="V178">
        <f>U178*Plan!D9/100/12</f>
        <v/>
      </c>
      <c r="W178">
        <f>MIN(Plan!E9,U178+V178)</f>
        <v/>
      </c>
      <c r="X178">
        <f>U178+V178-W178</f>
        <v/>
      </c>
      <c r="Y178">
        <f>MIN(X178,MAX(0,$B178-((E$5&lt;W$5)*F178+(K$5&lt;W$5)*L178+(Q$5&lt;W$5)*R178+(AC$5&lt;W$5)*AD178+(AI$5&lt;W$5)*AJ178+(AO$5&lt;W$5)*AP178+(AU$5&lt;W$5)*AV178)))</f>
        <v/>
      </c>
      <c r="Z178">
        <f>IF(X178-Y178&lt;0.005,0,X178-Y178)</f>
        <v/>
      </c>
      <c r="AA178">
        <f>AF177</f>
        <v/>
      </c>
      <c r="AB178">
        <f>AA178*Plan!D10/100/12</f>
        <v/>
      </c>
      <c r="AC178">
        <f>MIN(Plan!E10,AA178+AB178)</f>
        <v/>
      </c>
      <c r="AD178">
        <f>AA178+AB178-AC178</f>
        <v/>
      </c>
      <c r="AE178">
        <f>MIN(AD178,MAX(0,$B178-((E$5&lt;AC$5)*F178+(K$5&lt;AC$5)*L178+(Q$5&lt;AC$5)*R178+(W$5&lt;AC$5)*X178+(AI$5&lt;AC$5)*AJ178+(AO$5&lt;AC$5)*AP178+(AU$5&lt;AC$5)*AV178)))</f>
        <v/>
      </c>
      <c r="AF178">
        <f>IF(AD178-AE178&lt;0.005,0,AD178-AE178)</f>
        <v/>
      </c>
      <c r="AG178">
        <f>AL177</f>
        <v/>
      </c>
      <c r="AH178">
        <f>AG178*Plan!D11/100/12</f>
        <v/>
      </c>
      <c r="AI178">
        <f>MIN(Plan!E11,AG178+AH178)</f>
        <v/>
      </c>
      <c r="AJ178">
        <f>AG178+AH178-AI178</f>
        <v/>
      </c>
      <c r="AK178">
        <f>MIN(AJ178,MAX(0,$B178-((E$5&lt;AI$5)*F178+(K$5&lt;AI$5)*L178+(Q$5&lt;AI$5)*R178+(W$5&lt;AI$5)*X178+(AC$5&lt;AI$5)*AD178+(AO$5&lt;AI$5)*AP178+(AU$5&lt;AI$5)*AV178)))</f>
        <v/>
      </c>
      <c r="AL178">
        <f>IF(AJ178-AK178&lt;0.005,0,AJ178-AK178)</f>
        <v/>
      </c>
      <c r="AM178">
        <f>AR177</f>
        <v/>
      </c>
      <c r="AN178">
        <f>AM178*Plan!D12/100/12</f>
        <v/>
      </c>
      <c r="AO178">
        <f>MIN(Plan!E12,AM178+AN178)</f>
        <v/>
      </c>
      <c r="AP178">
        <f>AM178+AN178-AO178</f>
        <v/>
      </c>
      <c r="AQ178">
        <f>MIN(AP178,MAX(0,$B178-((E$5&lt;AO$5)*F178+(K$5&lt;AO$5)*L178+(Q$5&lt;AO$5)*R178+(W$5&lt;AO$5)*X178+(AC$5&lt;AO$5)*AD178+(AI$5&lt;AO$5)*AJ178+(AU$5&lt;AO$5)*AV178)))</f>
        <v/>
      </c>
      <c r="AR178">
        <f>IF(AP178-AQ178&lt;0.005,0,AP178-AQ178)</f>
        <v/>
      </c>
      <c r="AS178">
        <f>AX177</f>
        <v/>
      </c>
      <c r="AT178">
        <f>AS178*Plan!D13/100/12</f>
        <v/>
      </c>
      <c r="AU178">
        <f>MIN(Plan!E13,AS178+AT178)</f>
        <v/>
      </c>
      <c r="AV178">
        <f>AS178+AT178-AU178</f>
        <v/>
      </c>
      <c r="AW178">
        <f>MIN(AV178,MAX(0,$B178-((E$5&lt;AU$5)*F178+(K$5&lt;AU$5)*L178+(Q$5&lt;AU$5)*R178+(W$5&lt;AU$5)*X178+(AC$5&lt;AU$5)*AD178+(AI$5&lt;AU$5)*AJ178+(AO$5&lt;AU$5)*AP178)))</f>
        <v/>
      </c>
      <c r="AX178">
        <f>IF(AV178-AW178&lt;0.005,0,AV178-AW178)</f>
        <v/>
      </c>
      <c r="BC178">
        <f>H178+N178+T178+Z178+AF178+AL178+AR178+AX178</f>
        <v/>
      </c>
    </row>
    <row r="179">
      <c r="A179" t="n">
        <v>173</v>
      </c>
      <c r="B179" s="19">
        <f>MAX(0,$B$3-(E179+K179+Q179+W179+AC179+AI179+AO179+AU179))</f>
        <v/>
      </c>
      <c r="C179">
        <f>H178</f>
        <v/>
      </c>
      <c r="D179">
        <f>C179*Plan!D6/100/12</f>
        <v/>
      </c>
      <c r="E179">
        <f>MIN(Plan!E6,C179+D179)</f>
        <v/>
      </c>
      <c r="F179">
        <f>C179+D179-E179</f>
        <v/>
      </c>
      <c r="G179">
        <f>MIN(F179,MAX(0,$B179-((K$5&lt;E$5)*L179+(Q$5&lt;E$5)*R179+(W$5&lt;E$5)*X179+(AC$5&lt;E$5)*AD179+(AI$5&lt;E$5)*AJ179+(AO$5&lt;E$5)*AP179+(AU$5&lt;E$5)*AV179)))</f>
        <v/>
      </c>
      <c r="H179">
        <f>IF(F179-G179&lt;0.005,0,F179-G179)</f>
        <v/>
      </c>
      <c r="I179">
        <f>N178</f>
        <v/>
      </c>
      <c r="J179">
        <f>I179*Plan!D7/100/12</f>
        <v/>
      </c>
      <c r="K179">
        <f>MIN(Plan!E7,I179+J179)</f>
        <v/>
      </c>
      <c r="L179">
        <f>I179+J179-K179</f>
        <v/>
      </c>
      <c r="M179">
        <f>MIN(L179,MAX(0,$B179-((E$5&lt;K$5)*F179+(Q$5&lt;K$5)*R179+(W$5&lt;K$5)*X179+(AC$5&lt;K$5)*AD179+(AI$5&lt;K$5)*AJ179+(AO$5&lt;K$5)*AP179+(AU$5&lt;K$5)*AV179)))</f>
        <v/>
      </c>
      <c r="N179">
        <f>IF(L179-M179&lt;0.005,0,L179-M179)</f>
        <v/>
      </c>
      <c r="O179">
        <f>T178</f>
        <v/>
      </c>
      <c r="P179">
        <f>O179*Plan!D8/100/12</f>
        <v/>
      </c>
      <c r="Q179">
        <f>MIN(Plan!E8,O179+P179)</f>
        <v/>
      </c>
      <c r="R179">
        <f>O179+P179-Q179</f>
        <v/>
      </c>
      <c r="S179">
        <f>MIN(R179,MAX(0,$B179-((E$5&lt;Q$5)*F179+(K$5&lt;Q$5)*L179+(W$5&lt;Q$5)*X179+(AC$5&lt;Q$5)*AD179+(AI$5&lt;Q$5)*AJ179+(AO$5&lt;Q$5)*AP179+(AU$5&lt;Q$5)*AV179)))</f>
        <v/>
      </c>
      <c r="T179">
        <f>IF(R179-S179&lt;0.005,0,R179-S179)</f>
        <v/>
      </c>
      <c r="U179">
        <f>Z178</f>
        <v/>
      </c>
      <c r="V179">
        <f>U179*Plan!D9/100/12</f>
        <v/>
      </c>
      <c r="W179">
        <f>MIN(Plan!E9,U179+V179)</f>
        <v/>
      </c>
      <c r="X179">
        <f>U179+V179-W179</f>
        <v/>
      </c>
      <c r="Y179">
        <f>MIN(X179,MAX(0,$B179-((E$5&lt;W$5)*F179+(K$5&lt;W$5)*L179+(Q$5&lt;W$5)*R179+(AC$5&lt;W$5)*AD179+(AI$5&lt;W$5)*AJ179+(AO$5&lt;W$5)*AP179+(AU$5&lt;W$5)*AV179)))</f>
        <v/>
      </c>
      <c r="Z179">
        <f>IF(X179-Y179&lt;0.005,0,X179-Y179)</f>
        <v/>
      </c>
      <c r="AA179">
        <f>AF178</f>
        <v/>
      </c>
      <c r="AB179">
        <f>AA179*Plan!D10/100/12</f>
        <v/>
      </c>
      <c r="AC179">
        <f>MIN(Plan!E10,AA179+AB179)</f>
        <v/>
      </c>
      <c r="AD179">
        <f>AA179+AB179-AC179</f>
        <v/>
      </c>
      <c r="AE179">
        <f>MIN(AD179,MAX(0,$B179-((E$5&lt;AC$5)*F179+(K$5&lt;AC$5)*L179+(Q$5&lt;AC$5)*R179+(W$5&lt;AC$5)*X179+(AI$5&lt;AC$5)*AJ179+(AO$5&lt;AC$5)*AP179+(AU$5&lt;AC$5)*AV179)))</f>
        <v/>
      </c>
      <c r="AF179">
        <f>IF(AD179-AE179&lt;0.005,0,AD179-AE179)</f>
        <v/>
      </c>
      <c r="AG179">
        <f>AL178</f>
        <v/>
      </c>
      <c r="AH179">
        <f>AG179*Plan!D11/100/12</f>
        <v/>
      </c>
      <c r="AI179">
        <f>MIN(Plan!E11,AG179+AH179)</f>
        <v/>
      </c>
      <c r="AJ179">
        <f>AG179+AH179-AI179</f>
        <v/>
      </c>
      <c r="AK179">
        <f>MIN(AJ179,MAX(0,$B179-((E$5&lt;AI$5)*F179+(K$5&lt;AI$5)*L179+(Q$5&lt;AI$5)*R179+(W$5&lt;AI$5)*X179+(AC$5&lt;AI$5)*AD179+(AO$5&lt;AI$5)*AP179+(AU$5&lt;AI$5)*AV179)))</f>
        <v/>
      </c>
      <c r="AL179">
        <f>IF(AJ179-AK179&lt;0.005,0,AJ179-AK179)</f>
        <v/>
      </c>
      <c r="AM179">
        <f>AR178</f>
        <v/>
      </c>
      <c r="AN179">
        <f>AM179*Plan!D12/100/12</f>
        <v/>
      </c>
      <c r="AO179">
        <f>MIN(Plan!E12,AM179+AN179)</f>
        <v/>
      </c>
      <c r="AP179">
        <f>AM179+AN179-AO179</f>
        <v/>
      </c>
      <c r="AQ179">
        <f>MIN(AP179,MAX(0,$B179-((E$5&lt;AO$5)*F179+(K$5&lt;AO$5)*L179+(Q$5&lt;AO$5)*R179+(W$5&lt;AO$5)*X179+(AC$5&lt;AO$5)*AD179+(AI$5&lt;AO$5)*AJ179+(AU$5&lt;AO$5)*AV179)))</f>
        <v/>
      </c>
      <c r="AR179">
        <f>IF(AP179-AQ179&lt;0.005,0,AP179-AQ179)</f>
        <v/>
      </c>
      <c r="AS179">
        <f>AX178</f>
        <v/>
      </c>
      <c r="AT179">
        <f>AS179*Plan!D13/100/12</f>
        <v/>
      </c>
      <c r="AU179">
        <f>MIN(Plan!E13,AS179+AT179)</f>
        <v/>
      </c>
      <c r="AV179">
        <f>AS179+AT179-AU179</f>
        <v/>
      </c>
      <c r="AW179">
        <f>MIN(AV179,MAX(0,$B179-((E$5&lt;AU$5)*F179+(K$5&lt;AU$5)*L179+(Q$5&lt;AU$5)*R179+(W$5&lt;AU$5)*X179+(AC$5&lt;AU$5)*AD179+(AI$5&lt;AU$5)*AJ179+(AO$5&lt;AU$5)*AP179)))</f>
        <v/>
      </c>
      <c r="AX179">
        <f>IF(AV179-AW179&lt;0.005,0,AV179-AW179)</f>
        <v/>
      </c>
      <c r="BC179">
        <f>H179+N179+T179+Z179+AF179+AL179+AR179+AX179</f>
        <v/>
      </c>
    </row>
    <row r="180">
      <c r="A180" t="n">
        <v>174</v>
      </c>
      <c r="B180" s="19">
        <f>MAX(0,$B$3-(E180+K180+Q180+W180+AC180+AI180+AO180+AU180))</f>
        <v/>
      </c>
      <c r="C180">
        <f>H179</f>
        <v/>
      </c>
      <c r="D180">
        <f>C180*Plan!D6/100/12</f>
        <v/>
      </c>
      <c r="E180">
        <f>MIN(Plan!E6,C180+D180)</f>
        <v/>
      </c>
      <c r="F180">
        <f>C180+D180-E180</f>
        <v/>
      </c>
      <c r="G180">
        <f>MIN(F180,MAX(0,$B180-((K$5&lt;E$5)*L180+(Q$5&lt;E$5)*R180+(W$5&lt;E$5)*X180+(AC$5&lt;E$5)*AD180+(AI$5&lt;E$5)*AJ180+(AO$5&lt;E$5)*AP180+(AU$5&lt;E$5)*AV180)))</f>
        <v/>
      </c>
      <c r="H180">
        <f>IF(F180-G180&lt;0.005,0,F180-G180)</f>
        <v/>
      </c>
      <c r="I180">
        <f>N179</f>
        <v/>
      </c>
      <c r="J180">
        <f>I180*Plan!D7/100/12</f>
        <v/>
      </c>
      <c r="K180">
        <f>MIN(Plan!E7,I180+J180)</f>
        <v/>
      </c>
      <c r="L180">
        <f>I180+J180-K180</f>
        <v/>
      </c>
      <c r="M180">
        <f>MIN(L180,MAX(0,$B180-((E$5&lt;K$5)*F180+(Q$5&lt;K$5)*R180+(W$5&lt;K$5)*X180+(AC$5&lt;K$5)*AD180+(AI$5&lt;K$5)*AJ180+(AO$5&lt;K$5)*AP180+(AU$5&lt;K$5)*AV180)))</f>
        <v/>
      </c>
      <c r="N180">
        <f>IF(L180-M180&lt;0.005,0,L180-M180)</f>
        <v/>
      </c>
      <c r="O180">
        <f>T179</f>
        <v/>
      </c>
      <c r="P180">
        <f>O180*Plan!D8/100/12</f>
        <v/>
      </c>
      <c r="Q180">
        <f>MIN(Plan!E8,O180+P180)</f>
        <v/>
      </c>
      <c r="R180">
        <f>O180+P180-Q180</f>
        <v/>
      </c>
      <c r="S180">
        <f>MIN(R180,MAX(0,$B180-((E$5&lt;Q$5)*F180+(K$5&lt;Q$5)*L180+(W$5&lt;Q$5)*X180+(AC$5&lt;Q$5)*AD180+(AI$5&lt;Q$5)*AJ180+(AO$5&lt;Q$5)*AP180+(AU$5&lt;Q$5)*AV180)))</f>
        <v/>
      </c>
      <c r="T180">
        <f>IF(R180-S180&lt;0.005,0,R180-S180)</f>
        <v/>
      </c>
      <c r="U180">
        <f>Z179</f>
        <v/>
      </c>
      <c r="V180">
        <f>U180*Plan!D9/100/12</f>
        <v/>
      </c>
      <c r="W180">
        <f>MIN(Plan!E9,U180+V180)</f>
        <v/>
      </c>
      <c r="X180">
        <f>U180+V180-W180</f>
        <v/>
      </c>
      <c r="Y180">
        <f>MIN(X180,MAX(0,$B180-((E$5&lt;W$5)*F180+(K$5&lt;W$5)*L180+(Q$5&lt;W$5)*R180+(AC$5&lt;W$5)*AD180+(AI$5&lt;W$5)*AJ180+(AO$5&lt;W$5)*AP180+(AU$5&lt;W$5)*AV180)))</f>
        <v/>
      </c>
      <c r="Z180">
        <f>IF(X180-Y180&lt;0.005,0,X180-Y180)</f>
        <v/>
      </c>
      <c r="AA180">
        <f>AF179</f>
        <v/>
      </c>
      <c r="AB180">
        <f>AA180*Plan!D10/100/12</f>
        <v/>
      </c>
      <c r="AC180">
        <f>MIN(Plan!E10,AA180+AB180)</f>
        <v/>
      </c>
      <c r="AD180">
        <f>AA180+AB180-AC180</f>
        <v/>
      </c>
      <c r="AE180">
        <f>MIN(AD180,MAX(0,$B180-((E$5&lt;AC$5)*F180+(K$5&lt;AC$5)*L180+(Q$5&lt;AC$5)*R180+(W$5&lt;AC$5)*X180+(AI$5&lt;AC$5)*AJ180+(AO$5&lt;AC$5)*AP180+(AU$5&lt;AC$5)*AV180)))</f>
        <v/>
      </c>
      <c r="AF180">
        <f>IF(AD180-AE180&lt;0.005,0,AD180-AE180)</f>
        <v/>
      </c>
      <c r="AG180">
        <f>AL179</f>
        <v/>
      </c>
      <c r="AH180">
        <f>AG180*Plan!D11/100/12</f>
        <v/>
      </c>
      <c r="AI180">
        <f>MIN(Plan!E11,AG180+AH180)</f>
        <v/>
      </c>
      <c r="AJ180">
        <f>AG180+AH180-AI180</f>
        <v/>
      </c>
      <c r="AK180">
        <f>MIN(AJ180,MAX(0,$B180-((E$5&lt;AI$5)*F180+(K$5&lt;AI$5)*L180+(Q$5&lt;AI$5)*R180+(W$5&lt;AI$5)*X180+(AC$5&lt;AI$5)*AD180+(AO$5&lt;AI$5)*AP180+(AU$5&lt;AI$5)*AV180)))</f>
        <v/>
      </c>
      <c r="AL180">
        <f>IF(AJ180-AK180&lt;0.005,0,AJ180-AK180)</f>
        <v/>
      </c>
      <c r="AM180">
        <f>AR179</f>
        <v/>
      </c>
      <c r="AN180">
        <f>AM180*Plan!D12/100/12</f>
        <v/>
      </c>
      <c r="AO180">
        <f>MIN(Plan!E12,AM180+AN180)</f>
        <v/>
      </c>
      <c r="AP180">
        <f>AM180+AN180-AO180</f>
        <v/>
      </c>
      <c r="AQ180">
        <f>MIN(AP180,MAX(0,$B180-((E$5&lt;AO$5)*F180+(K$5&lt;AO$5)*L180+(Q$5&lt;AO$5)*R180+(W$5&lt;AO$5)*X180+(AC$5&lt;AO$5)*AD180+(AI$5&lt;AO$5)*AJ180+(AU$5&lt;AO$5)*AV180)))</f>
        <v/>
      </c>
      <c r="AR180">
        <f>IF(AP180-AQ180&lt;0.005,0,AP180-AQ180)</f>
        <v/>
      </c>
      <c r="AS180">
        <f>AX179</f>
        <v/>
      </c>
      <c r="AT180">
        <f>AS180*Plan!D13/100/12</f>
        <v/>
      </c>
      <c r="AU180">
        <f>MIN(Plan!E13,AS180+AT180)</f>
        <v/>
      </c>
      <c r="AV180">
        <f>AS180+AT180-AU180</f>
        <v/>
      </c>
      <c r="AW180">
        <f>MIN(AV180,MAX(0,$B180-((E$5&lt;AU$5)*F180+(K$5&lt;AU$5)*L180+(Q$5&lt;AU$5)*R180+(W$5&lt;AU$5)*X180+(AC$5&lt;AU$5)*AD180+(AI$5&lt;AU$5)*AJ180+(AO$5&lt;AU$5)*AP180)))</f>
        <v/>
      </c>
      <c r="AX180">
        <f>IF(AV180-AW180&lt;0.005,0,AV180-AW180)</f>
        <v/>
      </c>
      <c r="BC180">
        <f>H180+N180+T180+Z180+AF180+AL180+AR180+AX180</f>
        <v/>
      </c>
    </row>
    <row r="181">
      <c r="A181" t="n">
        <v>175</v>
      </c>
      <c r="B181" s="19">
        <f>MAX(0,$B$3-(E181+K181+Q181+W181+AC181+AI181+AO181+AU181))</f>
        <v/>
      </c>
      <c r="C181">
        <f>H180</f>
        <v/>
      </c>
      <c r="D181">
        <f>C181*Plan!D6/100/12</f>
        <v/>
      </c>
      <c r="E181">
        <f>MIN(Plan!E6,C181+D181)</f>
        <v/>
      </c>
      <c r="F181">
        <f>C181+D181-E181</f>
        <v/>
      </c>
      <c r="G181">
        <f>MIN(F181,MAX(0,$B181-((K$5&lt;E$5)*L181+(Q$5&lt;E$5)*R181+(W$5&lt;E$5)*X181+(AC$5&lt;E$5)*AD181+(AI$5&lt;E$5)*AJ181+(AO$5&lt;E$5)*AP181+(AU$5&lt;E$5)*AV181)))</f>
        <v/>
      </c>
      <c r="H181">
        <f>IF(F181-G181&lt;0.005,0,F181-G181)</f>
        <v/>
      </c>
      <c r="I181">
        <f>N180</f>
        <v/>
      </c>
      <c r="J181">
        <f>I181*Plan!D7/100/12</f>
        <v/>
      </c>
      <c r="K181">
        <f>MIN(Plan!E7,I181+J181)</f>
        <v/>
      </c>
      <c r="L181">
        <f>I181+J181-K181</f>
        <v/>
      </c>
      <c r="M181">
        <f>MIN(L181,MAX(0,$B181-((E$5&lt;K$5)*F181+(Q$5&lt;K$5)*R181+(W$5&lt;K$5)*X181+(AC$5&lt;K$5)*AD181+(AI$5&lt;K$5)*AJ181+(AO$5&lt;K$5)*AP181+(AU$5&lt;K$5)*AV181)))</f>
        <v/>
      </c>
      <c r="N181">
        <f>IF(L181-M181&lt;0.005,0,L181-M181)</f>
        <v/>
      </c>
      <c r="O181">
        <f>T180</f>
        <v/>
      </c>
      <c r="P181">
        <f>O181*Plan!D8/100/12</f>
        <v/>
      </c>
      <c r="Q181">
        <f>MIN(Plan!E8,O181+P181)</f>
        <v/>
      </c>
      <c r="R181">
        <f>O181+P181-Q181</f>
        <v/>
      </c>
      <c r="S181">
        <f>MIN(R181,MAX(0,$B181-((E$5&lt;Q$5)*F181+(K$5&lt;Q$5)*L181+(W$5&lt;Q$5)*X181+(AC$5&lt;Q$5)*AD181+(AI$5&lt;Q$5)*AJ181+(AO$5&lt;Q$5)*AP181+(AU$5&lt;Q$5)*AV181)))</f>
        <v/>
      </c>
      <c r="T181">
        <f>IF(R181-S181&lt;0.005,0,R181-S181)</f>
        <v/>
      </c>
      <c r="U181">
        <f>Z180</f>
        <v/>
      </c>
      <c r="V181">
        <f>U181*Plan!D9/100/12</f>
        <v/>
      </c>
      <c r="W181">
        <f>MIN(Plan!E9,U181+V181)</f>
        <v/>
      </c>
      <c r="X181">
        <f>U181+V181-W181</f>
        <v/>
      </c>
      <c r="Y181">
        <f>MIN(X181,MAX(0,$B181-((E$5&lt;W$5)*F181+(K$5&lt;W$5)*L181+(Q$5&lt;W$5)*R181+(AC$5&lt;W$5)*AD181+(AI$5&lt;W$5)*AJ181+(AO$5&lt;W$5)*AP181+(AU$5&lt;W$5)*AV181)))</f>
        <v/>
      </c>
      <c r="Z181">
        <f>IF(X181-Y181&lt;0.005,0,X181-Y181)</f>
        <v/>
      </c>
      <c r="AA181">
        <f>AF180</f>
        <v/>
      </c>
      <c r="AB181">
        <f>AA181*Plan!D10/100/12</f>
        <v/>
      </c>
      <c r="AC181">
        <f>MIN(Plan!E10,AA181+AB181)</f>
        <v/>
      </c>
      <c r="AD181">
        <f>AA181+AB181-AC181</f>
        <v/>
      </c>
      <c r="AE181">
        <f>MIN(AD181,MAX(0,$B181-((E$5&lt;AC$5)*F181+(K$5&lt;AC$5)*L181+(Q$5&lt;AC$5)*R181+(W$5&lt;AC$5)*X181+(AI$5&lt;AC$5)*AJ181+(AO$5&lt;AC$5)*AP181+(AU$5&lt;AC$5)*AV181)))</f>
        <v/>
      </c>
      <c r="AF181">
        <f>IF(AD181-AE181&lt;0.005,0,AD181-AE181)</f>
        <v/>
      </c>
      <c r="AG181">
        <f>AL180</f>
        <v/>
      </c>
      <c r="AH181">
        <f>AG181*Plan!D11/100/12</f>
        <v/>
      </c>
      <c r="AI181">
        <f>MIN(Plan!E11,AG181+AH181)</f>
        <v/>
      </c>
      <c r="AJ181">
        <f>AG181+AH181-AI181</f>
        <v/>
      </c>
      <c r="AK181">
        <f>MIN(AJ181,MAX(0,$B181-((E$5&lt;AI$5)*F181+(K$5&lt;AI$5)*L181+(Q$5&lt;AI$5)*R181+(W$5&lt;AI$5)*X181+(AC$5&lt;AI$5)*AD181+(AO$5&lt;AI$5)*AP181+(AU$5&lt;AI$5)*AV181)))</f>
        <v/>
      </c>
      <c r="AL181">
        <f>IF(AJ181-AK181&lt;0.005,0,AJ181-AK181)</f>
        <v/>
      </c>
      <c r="AM181">
        <f>AR180</f>
        <v/>
      </c>
      <c r="AN181">
        <f>AM181*Plan!D12/100/12</f>
        <v/>
      </c>
      <c r="AO181">
        <f>MIN(Plan!E12,AM181+AN181)</f>
        <v/>
      </c>
      <c r="AP181">
        <f>AM181+AN181-AO181</f>
        <v/>
      </c>
      <c r="AQ181">
        <f>MIN(AP181,MAX(0,$B181-((E$5&lt;AO$5)*F181+(K$5&lt;AO$5)*L181+(Q$5&lt;AO$5)*R181+(W$5&lt;AO$5)*X181+(AC$5&lt;AO$5)*AD181+(AI$5&lt;AO$5)*AJ181+(AU$5&lt;AO$5)*AV181)))</f>
        <v/>
      </c>
      <c r="AR181">
        <f>IF(AP181-AQ181&lt;0.005,0,AP181-AQ181)</f>
        <v/>
      </c>
      <c r="AS181">
        <f>AX180</f>
        <v/>
      </c>
      <c r="AT181">
        <f>AS181*Plan!D13/100/12</f>
        <v/>
      </c>
      <c r="AU181">
        <f>MIN(Plan!E13,AS181+AT181)</f>
        <v/>
      </c>
      <c r="AV181">
        <f>AS181+AT181-AU181</f>
        <v/>
      </c>
      <c r="AW181">
        <f>MIN(AV181,MAX(0,$B181-((E$5&lt;AU$5)*F181+(K$5&lt;AU$5)*L181+(Q$5&lt;AU$5)*R181+(W$5&lt;AU$5)*X181+(AC$5&lt;AU$5)*AD181+(AI$5&lt;AU$5)*AJ181+(AO$5&lt;AU$5)*AP181)))</f>
        <v/>
      </c>
      <c r="AX181">
        <f>IF(AV181-AW181&lt;0.005,0,AV181-AW181)</f>
        <v/>
      </c>
      <c r="BC181">
        <f>H181+N181+T181+Z181+AF181+AL181+AR181+AX181</f>
        <v/>
      </c>
    </row>
    <row r="182">
      <c r="A182" t="n">
        <v>176</v>
      </c>
      <c r="B182" s="19">
        <f>MAX(0,$B$3-(E182+K182+Q182+W182+AC182+AI182+AO182+AU182))</f>
        <v/>
      </c>
      <c r="C182">
        <f>H181</f>
        <v/>
      </c>
      <c r="D182">
        <f>C182*Plan!D6/100/12</f>
        <v/>
      </c>
      <c r="E182">
        <f>MIN(Plan!E6,C182+D182)</f>
        <v/>
      </c>
      <c r="F182">
        <f>C182+D182-E182</f>
        <v/>
      </c>
      <c r="G182">
        <f>MIN(F182,MAX(0,$B182-((K$5&lt;E$5)*L182+(Q$5&lt;E$5)*R182+(W$5&lt;E$5)*X182+(AC$5&lt;E$5)*AD182+(AI$5&lt;E$5)*AJ182+(AO$5&lt;E$5)*AP182+(AU$5&lt;E$5)*AV182)))</f>
        <v/>
      </c>
      <c r="H182">
        <f>IF(F182-G182&lt;0.005,0,F182-G182)</f>
        <v/>
      </c>
      <c r="I182">
        <f>N181</f>
        <v/>
      </c>
      <c r="J182">
        <f>I182*Plan!D7/100/12</f>
        <v/>
      </c>
      <c r="K182">
        <f>MIN(Plan!E7,I182+J182)</f>
        <v/>
      </c>
      <c r="L182">
        <f>I182+J182-K182</f>
        <v/>
      </c>
      <c r="M182">
        <f>MIN(L182,MAX(0,$B182-((E$5&lt;K$5)*F182+(Q$5&lt;K$5)*R182+(W$5&lt;K$5)*X182+(AC$5&lt;K$5)*AD182+(AI$5&lt;K$5)*AJ182+(AO$5&lt;K$5)*AP182+(AU$5&lt;K$5)*AV182)))</f>
        <v/>
      </c>
      <c r="N182">
        <f>IF(L182-M182&lt;0.005,0,L182-M182)</f>
        <v/>
      </c>
      <c r="O182">
        <f>T181</f>
        <v/>
      </c>
      <c r="P182">
        <f>O182*Plan!D8/100/12</f>
        <v/>
      </c>
      <c r="Q182">
        <f>MIN(Plan!E8,O182+P182)</f>
        <v/>
      </c>
      <c r="R182">
        <f>O182+P182-Q182</f>
        <v/>
      </c>
      <c r="S182">
        <f>MIN(R182,MAX(0,$B182-((E$5&lt;Q$5)*F182+(K$5&lt;Q$5)*L182+(W$5&lt;Q$5)*X182+(AC$5&lt;Q$5)*AD182+(AI$5&lt;Q$5)*AJ182+(AO$5&lt;Q$5)*AP182+(AU$5&lt;Q$5)*AV182)))</f>
        <v/>
      </c>
      <c r="T182">
        <f>IF(R182-S182&lt;0.005,0,R182-S182)</f>
        <v/>
      </c>
      <c r="U182">
        <f>Z181</f>
        <v/>
      </c>
      <c r="V182">
        <f>U182*Plan!D9/100/12</f>
        <v/>
      </c>
      <c r="W182">
        <f>MIN(Plan!E9,U182+V182)</f>
        <v/>
      </c>
      <c r="X182">
        <f>U182+V182-W182</f>
        <v/>
      </c>
      <c r="Y182">
        <f>MIN(X182,MAX(0,$B182-((E$5&lt;W$5)*F182+(K$5&lt;W$5)*L182+(Q$5&lt;W$5)*R182+(AC$5&lt;W$5)*AD182+(AI$5&lt;W$5)*AJ182+(AO$5&lt;W$5)*AP182+(AU$5&lt;W$5)*AV182)))</f>
        <v/>
      </c>
      <c r="Z182">
        <f>IF(X182-Y182&lt;0.005,0,X182-Y182)</f>
        <v/>
      </c>
      <c r="AA182">
        <f>AF181</f>
        <v/>
      </c>
      <c r="AB182">
        <f>AA182*Plan!D10/100/12</f>
        <v/>
      </c>
      <c r="AC182">
        <f>MIN(Plan!E10,AA182+AB182)</f>
        <v/>
      </c>
      <c r="AD182">
        <f>AA182+AB182-AC182</f>
        <v/>
      </c>
      <c r="AE182">
        <f>MIN(AD182,MAX(0,$B182-((E$5&lt;AC$5)*F182+(K$5&lt;AC$5)*L182+(Q$5&lt;AC$5)*R182+(W$5&lt;AC$5)*X182+(AI$5&lt;AC$5)*AJ182+(AO$5&lt;AC$5)*AP182+(AU$5&lt;AC$5)*AV182)))</f>
        <v/>
      </c>
      <c r="AF182">
        <f>IF(AD182-AE182&lt;0.005,0,AD182-AE182)</f>
        <v/>
      </c>
      <c r="AG182">
        <f>AL181</f>
        <v/>
      </c>
      <c r="AH182">
        <f>AG182*Plan!D11/100/12</f>
        <v/>
      </c>
      <c r="AI182">
        <f>MIN(Plan!E11,AG182+AH182)</f>
        <v/>
      </c>
      <c r="AJ182">
        <f>AG182+AH182-AI182</f>
        <v/>
      </c>
      <c r="AK182">
        <f>MIN(AJ182,MAX(0,$B182-((E$5&lt;AI$5)*F182+(K$5&lt;AI$5)*L182+(Q$5&lt;AI$5)*R182+(W$5&lt;AI$5)*X182+(AC$5&lt;AI$5)*AD182+(AO$5&lt;AI$5)*AP182+(AU$5&lt;AI$5)*AV182)))</f>
        <v/>
      </c>
      <c r="AL182">
        <f>IF(AJ182-AK182&lt;0.005,0,AJ182-AK182)</f>
        <v/>
      </c>
      <c r="AM182">
        <f>AR181</f>
        <v/>
      </c>
      <c r="AN182">
        <f>AM182*Plan!D12/100/12</f>
        <v/>
      </c>
      <c r="AO182">
        <f>MIN(Plan!E12,AM182+AN182)</f>
        <v/>
      </c>
      <c r="AP182">
        <f>AM182+AN182-AO182</f>
        <v/>
      </c>
      <c r="AQ182">
        <f>MIN(AP182,MAX(0,$B182-((E$5&lt;AO$5)*F182+(K$5&lt;AO$5)*L182+(Q$5&lt;AO$5)*R182+(W$5&lt;AO$5)*X182+(AC$5&lt;AO$5)*AD182+(AI$5&lt;AO$5)*AJ182+(AU$5&lt;AO$5)*AV182)))</f>
        <v/>
      </c>
      <c r="AR182">
        <f>IF(AP182-AQ182&lt;0.005,0,AP182-AQ182)</f>
        <v/>
      </c>
      <c r="AS182">
        <f>AX181</f>
        <v/>
      </c>
      <c r="AT182">
        <f>AS182*Plan!D13/100/12</f>
        <v/>
      </c>
      <c r="AU182">
        <f>MIN(Plan!E13,AS182+AT182)</f>
        <v/>
      </c>
      <c r="AV182">
        <f>AS182+AT182-AU182</f>
        <v/>
      </c>
      <c r="AW182">
        <f>MIN(AV182,MAX(0,$B182-((E$5&lt;AU$5)*F182+(K$5&lt;AU$5)*L182+(Q$5&lt;AU$5)*R182+(W$5&lt;AU$5)*X182+(AC$5&lt;AU$5)*AD182+(AI$5&lt;AU$5)*AJ182+(AO$5&lt;AU$5)*AP182)))</f>
        <v/>
      </c>
      <c r="AX182">
        <f>IF(AV182-AW182&lt;0.005,0,AV182-AW182)</f>
        <v/>
      </c>
      <c r="BC182">
        <f>H182+N182+T182+Z182+AF182+AL182+AR182+AX182</f>
        <v/>
      </c>
    </row>
    <row r="183">
      <c r="A183" t="n">
        <v>177</v>
      </c>
      <c r="B183" s="19">
        <f>MAX(0,$B$3-(E183+K183+Q183+W183+AC183+AI183+AO183+AU183))</f>
        <v/>
      </c>
      <c r="C183">
        <f>H182</f>
        <v/>
      </c>
      <c r="D183">
        <f>C183*Plan!D6/100/12</f>
        <v/>
      </c>
      <c r="E183">
        <f>MIN(Plan!E6,C183+D183)</f>
        <v/>
      </c>
      <c r="F183">
        <f>C183+D183-E183</f>
        <v/>
      </c>
      <c r="G183">
        <f>MIN(F183,MAX(0,$B183-((K$5&lt;E$5)*L183+(Q$5&lt;E$5)*R183+(W$5&lt;E$5)*X183+(AC$5&lt;E$5)*AD183+(AI$5&lt;E$5)*AJ183+(AO$5&lt;E$5)*AP183+(AU$5&lt;E$5)*AV183)))</f>
        <v/>
      </c>
      <c r="H183">
        <f>IF(F183-G183&lt;0.005,0,F183-G183)</f>
        <v/>
      </c>
      <c r="I183">
        <f>N182</f>
        <v/>
      </c>
      <c r="J183">
        <f>I183*Plan!D7/100/12</f>
        <v/>
      </c>
      <c r="K183">
        <f>MIN(Plan!E7,I183+J183)</f>
        <v/>
      </c>
      <c r="L183">
        <f>I183+J183-K183</f>
        <v/>
      </c>
      <c r="M183">
        <f>MIN(L183,MAX(0,$B183-((E$5&lt;K$5)*F183+(Q$5&lt;K$5)*R183+(W$5&lt;K$5)*X183+(AC$5&lt;K$5)*AD183+(AI$5&lt;K$5)*AJ183+(AO$5&lt;K$5)*AP183+(AU$5&lt;K$5)*AV183)))</f>
        <v/>
      </c>
      <c r="N183">
        <f>IF(L183-M183&lt;0.005,0,L183-M183)</f>
        <v/>
      </c>
      <c r="O183">
        <f>T182</f>
        <v/>
      </c>
      <c r="P183">
        <f>O183*Plan!D8/100/12</f>
        <v/>
      </c>
      <c r="Q183">
        <f>MIN(Plan!E8,O183+P183)</f>
        <v/>
      </c>
      <c r="R183">
        <f>O183+P183-Q183</f>
        <v/>
      </c>
      <c r="S183">
        <f>MIN(R183,MAX(0,$B183-((E$5&lt;Q$5)*F183+(K$5&lt;Q$5)*L183+(W$5&lt;Q$5)*X183+(AC$5&lt;Q$5)*AD183+(AI$5&lt;Q$5)*AJ183+(AO$5&lt;Q$5)*AP183+(AU$5&lt;Q$5)*AV183)))</f>
        <v/>
      </c>
      <c r="T183">
        <f>IF(R183-S183&lt;0.005,0,R183-S183)</f>
        <v/>
      </c>
      <c r="U183">
        <f>Z182</f>
        <v/>
      </c>
      <c r="V183">
        <f>U183*Plan!D9/100/12</f>
        <v/>
      </c>
      <c r="W183">
        <f>MIN(Plan!E9,U183+V183)</f>
        <v/>
      </c>
      <c r="X183">
        <f>U183+V183-W183</f>
        <v/>
      </c>
      <c r="Y183">
        <f>MIN(X183,MAX(0,$B183-((E$5&lt;W$5)*F183+(K$5&lt;W$5)*L183+(Q$5&lt;W$5)*R183+(AC$5&lt;W$5)*AD183+(AI$5&lt;W$5)*AJ183+(AO$5&lt;W$5)*AP183+(AU$5&lt;W$5)*AV183)))</f>
        <v/>
      </c>
      <c r="Z183">
        <f>IF(X183-Y183&lt;0.005,0,X183-Y183)</f>
        <v/>
      </c>
      <c r="AA183">
        <f>AF182</f>
        <v/>
      </c>
      <c r="AB183">
        <f>AA183*Plan!D10/100/12</f>
        <v/>
      </c>
      <c r="AC183">
        <f>MIN(Plan!E10,AA183+AB183)</f>
        <v/>
      </c>
      <c r="AD183">
        <f>AA183+AB183-AC183</f>
        <v/>
      </c>
      <c r="AE183">
        <f>MIN(AD183,MAX(0,$B183-((E$5&lt;AC$5)*F183+(K$5&lt;AC$5)*L183+(Q$5&lt;AC$5)*R183+(W$5&lt;AC$5)*X183+(AI$5&lt;AC$5)*AJ183+(AO$5&lt;AC$5)*AP183+(AU$5&lt;AC$5)*AV183)))</f>
        <v/>
      </c>
      <c r="AF183">
        <f>IF(AD183-AE183&lt;0.005,0,AD183-AE183)</f>
        <v/>
      </c>
      <c r="AG183">
        <f>AL182</f>
        <v/>
      </c>
      <c r="AH183">
        <f>AG183*Plan!D11/100/12</f>
        <v/>
      </c>
      <c r="AI183">
        <f>MIN(Plan!E11,AG183+AH183)</f>
        <v/>
      </c>
      <c r="AJ183">
        <f>AG183+AH183-AI183</f>
        <v/>
      </c>
      <c r="AK183">
        <f>MIN(AJ183,MAX(0,$B183-((E$5&lt;AI$5)*F183+(K$5&lt;AI$5)*L183+(Q$5&lt;AI$5)*R183+(W$5&lt;AI$5)*X183+(AC$5&lt;AI$5)*AD183+(AO$5&lt;AI$5)*AP183+(AU$5&lt;AI$5)*AV183)))</f>
        <v/>
      </c>
      <c r="AL183">
        <f>IF(AJ183-AK183&lt;0.005,0,AJ183-AK183)</f>
        <v/>
      </c>
      <c r="AM183">
        <f>AR182</f>
        <v/>
      </c>
      <c r="AN183">
        <f>AM183*Plan!D12/100/12</f>
        <v/>
      </c>
      <c r="AO183">
        <f>MIN(Plan!E12,AM183+AN183)</f>
        <v/>
      </c>
      <c r="AP183">
        <f>AM183+AN183-AO183</f>
        <v/>
      </c>
      <c r="AQ183">
        <f>MIN(AP183,MAX(0,$B183-((E$5&lt;AO$5)*F183+(K$5&lt;AO$5)*L183+(Q$5&lt;AO$5)*R183+(W$5&lt;AO$5)*X183+(AC$5&lt;AO$5)*AD183+(AI$5&lt;AO$5)*AJ183+(AU$5&lt;AO$5)*AV183)))</f>
        <v/>
      </c>
      <c r="AR183">
        <f>IF(AP183-AQ183&lt;0.005,0,AP183-AQ183)</f>
        <v/>
      </c>
      <c r="AS183">
        <f>AX182</f>
        <v/>
      </c>
      <c r="AT183">
        <f>AS183*Plan!D13/100/12</f>
        <v/>
      </c>
      <c r="AU183">
        <f>MIN(Plan!E13,AS183+AT183)</f>
        <v/>
      </c>
      <c r="AV183">
        <f>AS183+AT183-AU183</f>
        <v/>
      </c>
      <c r="AW183">
        <f>MIN(AV183,MAX(0,$B183-((E$5&lt;AU$5)*F183+(K$5&lt;AU$5)*L183+(Q$5&lt;AU$5)*R183+(W$5&lt;AU$5)*X183+(AC$5&lt;AU$5)*AD183+(AI$5&lt;AU$5)*AJ183+(AO$5&lt;AU$5)*AP183)))</f>
        <v/>
      </c>
      <c r="AX183">
        <f>IF(AV183-AW183&lt;0.005,0,AV183-AW183)</f>
        <v/>
      </c>
      <c r="BC183">
        <f>H183+N183+T183+Z183+AF183+AL183+AR183+AX183</f>
        <v/>
      </c>
    </row>
    <row r="184">
      <c r="A184" t="n">
        <v>178</v>
      </c>
      <c r="B184" s="19">
        <f>MAX(0,$B$3-(E184+K184+Q184+W184+AC184+AI184+AO184+AU184))</f>
        <v/>
      </c>
      <c r="C184">
        <f>H183</f>
        <v/>
      </c>
      <c r="D184">
        <f>C184*Plan!D6/100/12</f>
        <v/>
      </c>
      <c r="E184">
        <f>MIN(Plan!E6,C184+D184)</f>
        <v/>
      </c>
      <c r="F184">
        <f>C184+D184-E184</f>
        <v/>
      </c>
      <c r="G184">
        <f>MIN(F184,MAX(0,$B184-((K$5&lt;E$5)*L184+(Q$5&lt;E$5)*R184+(W$5&lt;E$5)*X184+(AC$5&lt;E$5)*AD184+(AI$5&lt;E$5)*AJ184+(AO$5&lt;E$5)*AP184+(AU$5&lt;E$5)*AV184)))</f>
        <v/>
      </c>
      <c r="H184">
        <f>IF(F184-G184&lt;0.005,0,F184-G184)</f>
        <v/>
      </c>
      <c r="I184">
        <f>N183</f>
        <v/>
      </c>
      <c r="J184">
        <f>I184*Plan!D7/100/12</f>
        <v/>
      </c>
      <c r="K184">
        <f>MIN(Plan!E7,I184+J184)</f>
        <v/>
      </c>
      <c r="L184">
        <f>I184+J184-K184</f>
        <v/>
      </c>
      <c r="M184">
        <f>MIN(L184,MAX(0,$B184-((E$5&lt;K$5)*F184+(Q$5&lt;K$5)*R184+(W$5&lt;K$5)*X184+(AC$5&lt;K$5)*AD184+(AI$5&lt;K$5)*AJ184+(AO$5&lt;K$5)*AP184+(AU$5&lt;K$5)*AV184)))</f>
        <v/>
      </c>
      <c r="N184">
        <f>IF(L184-M184&lt;0.005,0,L184-M184)</f>
        <v/>
      </c>
      <c r="O184">
        <f>T183</f>
        <v/>
      </c>
      <c r="P184">
        <f>O184*Plan!D8/100/12</f>
        <v/>
      </c>
      <c r="Q184">
        <f>MIN(Plan!E8,O184+P184)</f>
        <v/>
      </c>
      <c r="R184">
        <f>O184+P184-Q184</f>
        <v/>
      </c>
      <c r="S184">
        <f>MIN(R184,MAX(0,$B184-((E$5&lt;Q$5)*F184+(K$5&lt;Q$5)*L184+(W$5&lt;Q$5)*X184+(AC$5&lt;Q$5)*AD184+(AI$5&lt;Q$5)*AJ184+(AO$5&lt;Q$5)*AP184+(AU$5&lt;Q$5)*AV184)))</f>
        <v/>
      </c>
      <c r="T184">
        <f>IF(R184-S184&lt;0.005,0,R184-S184)</f>
        <v/>
      </c>
      <c r="U184">
        <f>Z183</f>
        <v/>
      </c>
      <c r="V184">
        <f>U184*Plan!D9/100/12</f>
        <v/>
      </c>
      <c r="W184">
        <f>MIN(Plan!E9,U184+V184)</f>
        <v/>
      </c>
      <c r="X184">
        <f>U184+V184-W184</f>
        <v/>
      </c>
      <c r="Y184">
        <f>MIN(X184,MAX(0,$B184-((E$5&lt;W$5)*F184+(K$5&lt;W$5)*L184+(Q$5&lt;W$5)*R184+(AC$5&lt;W$5)*AD184+(AI$5&lt;W$5)*AJ184+(AO$5&lt;W$5)*AP184+(AU$5&lt;W$5)*AV184)))</f>
        <v/>
      </c>
      <c r="Z184">
        <f>IF(X184-Y184&lt;0.005,0,X184-Y184)</f>
        <v/>
      </c>
      <c r="AA184">
        <f>AF183</f>
        <v/>
      </c>
      <c r="AB184">
        <f>AA184*Plan!D10/100/12</f>
        <v/>
      </c>
      <c r="AC184">
        <f>MIN(Plan!E10,AA184+AB184)</f>
        <v/>
      </c>
      <c r="AD184">
        <f>AA184+AB184-AC184</f>
        <v/>
      </c>
      <c r="AE184">
        <f>MIN(AD184,MAX(0,$B184-((E$5&lt;AC$5)*F184+(K$5&lt;AC$5)*L184+(Q$5&lt;AC$5)*R184+(W$5&lt;AC$5)*X184+(AI$5&lt;AC$5)*AJ184+(AO$5&lt;AC$5)*AP184+(AU$5&lt;AC$5)*AV184)))</f>
        <v/>
      </c>
      <c r="AF184">
        <f>IF(AD184-AE184&lt;0.005,0,AD184-AE184)</f>
        <v/>
      </c>
      <c r="AG184">
        <f>AL183</f>
        <v/>
      </c>
      <c r="AH184">
        <f>AG184*Plan!D11/100/12</f>
        <v/>
      </c>
      <c r="AI184">
        <f>MIN(Plan!E11,AG184+AH184)</f>
        <v/>
      </c>
      <c r="AJ184">
        <f>AG184+AH184-AI184</f>
        <v/>
      </c>
      <c r="AK184">
        <f>MIN(AJ184,MAX(0,$B184-((E$5&lt;AI$5)*F184+(K$5&lt;AI$5)*L184+(Q$5&lt;AI$5)*R184+(W$5&lt;AI$5)*X184+(AC$5&lt;AI$5)*AD184+(AO$5&lt;AI$5)*AP184+(AU$5&lt;AI$5)*AV184)))</f>
        <v/>
      </c>
      <c r="AL184">
        <f>IF(AJ184-AK184&lt;0.005,0,AJ184-AK184)</f>
        <v/>
      </c>
      <c r="AM184">
        <f>AR183</f>
        <v/>
      </c>
      <c r="AN184">
        <f>AM184*Plan!D12/100/12</f>
        <v/>
      </c>
      <c r="AO184">
        <f>MIN(Plan!E12,AM184+AN184)</f>
        <v/>
      </c>
      <c r="AP184">
        <f>AM184+AN184-AO184</f>
        <v/>
      </c>
      <c r="AQ184">
        <f>MIN(AP184,MAX(0,$B184-((E$5&lt;AO$5)*F184+(K$5&lt;AO$5)*L184+(Q$5&lt;AO$5)*R184+(W$5&lt;AO$5)*X184+(AC$5&lt;AO$5)*AD184+(AI$5&lt;AO$5)*AJ184+(AU$5&lt;AO$5)*AV184)))</f>
        <v/>
      </c>
      <c r="AR184">
        <f>IF(AP184-AQ184&lt;0.005,0,AP184-AQ184)</f>
        <v/>
      </c>
      <c r="AS184">
        <f>AX183</f>
        <v/>
      </c>
      <c r="AT184">
        <f>AS184*Plan!D13/100/12</f>
        <v/>
      </c>
      <c r="AU184">
        <f>MIN(Plan!E13,AS184+AT184)</f>
        <v/>
      </c>
      <c r="AV184">
        <f>AS184+AT184-AU184</f>
        <v/>
      </c>
      <c r="AW184">
        <f>MIN(AV184,MAX(0,$B184-((E$5&lt;AU$5)*F184+(K$5&lt;AU$5)*L184+(Q$5&lt;AU$5)*R184+(W$5&lt;AU$5)*X184+(AC$5&lt;AU$5)*AD184+(AI$5&lt;AU$5)*AJ184+(AO$5&lt;AU$5)*AP184)))</f>
        <v/>
      </c>
      <c r="AX184">
        <f>IF(AV184-AW184&lt;0.005,0,AV184-AW184)</f>
        <v/>
      </c>
      <c r="BC184">
        <f>H184+N184+T184+Z184+AF184+AL184+AR184+AX184</f>
        <v/>
      </c>
    </row>
    <row r="185">
      <c r="A185" t="n">
        <v>179</v>
      </c>
      <c r="B185" s="19">
        <f>MAX(0,$B$3-(E185+K185+Q185+W185+AC185+AI185+AO185+AU185))</f>
        <v/>
      </c>
      <c r="C185">
        <f>H184</f>
        <v/>
      </c>
      <c r="D185">
        <f>C185*Plan!D6/100/12</f>
        <v/>
      </c>
      <c r="E185">
        <f>MIN(Plan!E6,C185+D185)</f>
        <v/>
      </c>
      <c r="F185">
        <f>C185+D185-E185</f>
        <v/>
      </c>
      <c r="G185">
        <f>MIN(F185,MAX(0,$B185-((K$5&lt;E$5)*L185+(Q$5&lt;E$5)*R185+(W$5&lt;E$5)*X185+(AC$5&lt;E$5)*AD185+(AI$5&lt;E$5)*AJ185+(AO$5&lt;E$5)*AP185+(AU$5&lt;E$5)*AV185)))</f>
        <v/>
      </c>
      <c r="H185">
        <f>IF(F185-G185&lt;0.005,0,F185-G185)</f>
        <v/>
      </c>
      <c r="I185">
        <f>N184</f>
        <v/>
      </c>
      <c r="J185">
        <f>I185*Plan!D7/100/12</f>
        <v/>
      </c>
      <c r="K185">
        <f>MIN(Plan!E7,I185+J185)</f>
        <v/>
      </c>
      <c r="L185">
        <f>I185+J185-K185</f>
        <v/>
      </c>
      <c r="M185">
        <f>MIN(L185,MAX(0,$B185-((E$5&lt;K$5)*F185+(Q$5&lt;K$5)*R185+(W$5&lt;K$5)*X185+(AC$5&lt;K$5)*AD185+(AI$5&lt;K$5)*AJ185+(AO$5&lt;K$5)*AP185+(AU$5&lt;K$5)*AV185)))</f>
        <v/>
      </c>
      <c r="N185">
        <f>IF(L185-M185&lt;0.005,0,L185-M185)</f>
        <v/>
      </c>
      <c r="O185">
        <f>T184</f>
        <v/>
      </c>
      <c r="P185">
        <f>O185*Plan!D8/100/12</f>
        <v/>
      </c>
      <c r="Q185">
        <f>MIN(Plan!E8,O185+P185)</f>
        <v/>
      </c>
      <c r="R185">
        <f>O185+P185-Q185</f>
        <v/>
      </c>
      <c r="S185">
        <f>MIN(R185,MAX(0,$B185-((E$5&lt;Q$5)*F185+(K$5&lt;Q$5)*L185+(W$5&lt;Q$5)*X185+(AC$5&lt;Q$5)*AD185+(AI$5&lt;Q$5)*AJ185+(AO$5&lt;Q$5)*AP185+(AU$5&lt;Q$5)*AV185)))</f>
        <v/>
      </c>
      <c r="T185">
        <f>IF(R185-S185&lt;0.005,0,R185-S185)</f>
        <v/>
      </c>
      <c r="U185">
        <f>Z184</f>
        <v/>
      </c>
      <c r="V185">
        <f>U185*Plan!D9/100/12</f>
        <v/>
      </c>
      <c r="W185">
        <f>MIN(Plan!E9,U185+V185)</f>
        <v/>
      </c>
      <c r="X185">
        <f>U185+V185-W185</f>
        <v/>
      </c>
      <c r="Y185">
        <f>MIN(X185,MAX(0,$B185-((E$5&lt;W$5)*F185+(K$5&lt;W$5)*L185+(Q$5&lt;W$5)*R185+(AC$5&lt;W$5)*AD185+(AI$5&lt;W$5)*AJ185+(AO$5&lt;W$5)*AP185+(AU$5&lt;W$5)*AV185)))</f>
        <v/>
      </c>
      <c r="Z185">
        <f>IF(X185-Y185&lt;0.005,0,X185-Y185)</f>
        <v/>
      </c>
      <c r="AA185">
        <f>AF184</f>
        <v/>
      </c>
      <c r="AB185">
        <f>AA185*Plan!D10/100/12</f>
        <v/>
      </c>
      <c r="AC185">
        <f>MIN(Plan!E10,AA185+AB185)</f>
        <v/>
      </c>
      <c r="AD185">
        <f>AA185+AB185-AC185</f>
        <v/>
      </c>
      <c r="AE185">
        <f>MIN(AD185,MAX(0,$B185-((E$5&lt;AC$5)*F185+(K$5&lt;AC$5)*L185+(Q$5&lt;AC$5)*R185+(W$5&lt;AC$5)*X185+(AI$5&lt;AC$5)*AJ185+(AO$5&lt;AC$5)*AP185+(AU$5&lt;AC$5)*AV185)))</f>
        <v/>
      </c>
      <c r="AF185">
        <f>IF(AD185-AE185&lt;0.005,0,AD185-AE185)</f>
        <v/>
      </c>
      <c r="AG185">
        <f>AL184</f>
        <v/>
      </c>
      <c r="AH185">
        <f>AG185*Plan!D11/100/12</f>
        <v/>
      </c>
      <c r="AI185">
        <f>MIN(Plan!E11,AG185+AH185)</f>
        <v/>
      </c>
      <c r="AJ185">
        <f>AG185+AH185-AI185</f>
        <v/>
      </c>
      <c r="AK185">
        <f>MIN(AJ185,MAX(0,$B185-((E$5&lt;AI$5)*F185+(K$5&lt;AI$5)*L185+(Q$5&lt;AI$5)*R185+(W$5&lt;AI$5)*X185+(AC$5&lt;AI$5)*AD185+(AO$5&lt;AI$5)*AP185+(AU$5&lt;AI$5)*AV185)))</f>
        <v/>
      </c>
      <c r="AL185">
        <f>IF(AJ185-AK185&lt;0.005,0,AJ185-AK185)</f>
        <v/>
      </c>
      <c r="AM185">
        <f>AR184</f>
        <v/>
      </c>
      <c r="AN185">
        <f>AM185*Plan!D12/100/12</f>
        <v/>
      </c>
      <c r="AO185">
        <f>MIN(Plan!E12,AM185+AN185)</f>
        <v/>
      </c>
      <c r="AP185">
        <f>AM185+AN185-AO185</f>
        <v/>
      </c>
      <c r="AQ185">
        <f>MIN(AP185,MAX(0,$B185-((E$5&lt;AO$5)*F185+(K$5&lt;AO$5)*L185+(Q$5&lt;AO$5)*R185+(W$5&lt;AO$5)*X185+(AC$5&lt;AO$5)*AD185+(AI$5&lt;AO$5)*AJ185+(AU$5&lt;AO$5)*AV185)))</f>
        <v/>
      </c>
      <c r="AR185">
        <f>IF(AP185-AQ185&lt;0.005,0,AP185-AQ185)</f>
        <v/>
      </c>
      <c r="AS185">
        <f>AX184</f>
        <v/>
      </c>
      <c r="AT185">
        <f>AS185*Plan!D13/100/12</f>
        <v/>
      </c>
      <c r="AU185">
        <f>MIN(Plan!E13,AS185+AT185)</f>
        <v/>
      </c>
      <c r="AV185">
        <f>AS185+AT185-AU185</f>
        <v/>
      </c>
      <c r="AW185">
        <f>MIN(AV185,MAX(0,$B185-((E$5&lt;AU$5)*F185+(K$5&lt;AU$5)*L185+(Q$5&lt;AU$5)*R185+(W$5&lt;AU$5)*X185+(AC$5&lt;AU$5)*AD185+(AI$5&lt;AU$5)*AJ185+(AO$5&lt;AU$5)*AP185)))</f>
        <v/>
      </c>
      <c r="AX185">
        <f>IF(AV185-AW185&lt;0.005,0,AV185-AW185)</f>
        <v/>
      </c>
      <c r="BC185">
        <f>H185+N185+T185+Z185+AF185+AL185+AR185+AX185</f>
        <v/>
      </c>
    </row>
    <row r="186">
      <c r="A186" t="n">
        <v>180</v>
      </c>
      <c r="B186" s="19">
        <f>MAX(0,$B$3-(E186+K186+Q186+W186+AC186+AI186+AO186+AU186))</f>
        <v/>
      </c>
      <c r="C186">
        <f>H185</f>
        <v/>
      </c>
      <c r="D186">
        <f>C186*Plan!D6/100/12</f>
        <v/>
      </c>
      <c r="E186">
        <f>MIN(Plan!E6,C186+D186)</f>
        <v/>
      </c>
      <c r="F186">
        <f>C186+D186-E186</f>
        <v/>
      </c>
      <c r="G186">
        <f>MIN(F186,MAX(0,$B186-((K$5&lt;E$5)*L186+(Q$5&lt;E$5)*R186+(W$5&lt;E$5)*X186+(AC$5&lt;E$5)*AD186+(AI$5&lt;E$5)*AJ186+(AO$5&lt;E$5)*AP186+(AU$5&lt;E$5)*AV186)))</f>
        <v/>
      </c>
      <c r="H186">
        <f>IF(F186-G186&lt;0.005,0,F186-G186)</f>
        <v/>
      </c>
      <c r="I186">
        <f>N185</f>
        <v/>
      </c>
      <c r="J186">
        <f>I186*Plan!D7/100/12</f>
        <v/>
      </c>
      <c r="K186">
        <f>MIN(Plan!E7,I186+J186)</f>
        <v/>
      </c>
      <c r="L186">
        <f>I186+J186-K186</f>
        <v/>
      </c>
      <c r="M186">
        <f>MIN(L186,MAX(0,$B186-((E$5&lt;K$5)*F186+(Q$5&lt;K$5)*R186+(W$5&lt;K$5)*X186+(AC$5&lt;K$5)*AD186+(AI$5&lt;K$5)*AJ186+(AO$5&lt;K$5)*AP186+(AU$5&lt;K$5)*AV186)))</f>
        <v/>
      </c>
      <c r="N186">
        <f>IF(L186-M186&lt;0.005,0,L186-M186)</f>
        <v/>
      </c>
      <c r="O186">
        <f>T185</f>
        <v/>
      </c>
      <c r="P186">
        <f>O186*Plan!D8/100/12</f>
        <v/>
      </c>
      <c r="Q186">
        <f>MIN(Plan!E8,O186+P186)</f>
        <v/>
      </c>
      <c r="R186">
        <f>O186+P186-Q186</f>
        <v/>
      </c>
      <c r="S186">
        <f>MIN(R186,MAX(0,$B186-((E$5&lt;Q$5)*F186+(K$5&lt;Q$5)*L186+(W$5&lt;Q$5)*X186+(AC$5&lt;Q$5)*AD186+(AI$5&lt;Q$5)*AJ186+(AO$5&lt;Q$5)*AP186+(AU$5&lt;Q$5)*AV186)))</f>
        <v/>
      </c>
      <c r="T186">
        <f>IF(R186-S186&lt;0.005,0,R186-S186)</f>
        <v/>
      </c>
      <c r="U186">
        <f>Z185</f>
        <v/>
      </c>
      <c r="V186">
        <f>U186*Plan!D9/100/12</f>
        <v/>
      </c>
      <c r="W186">
        <f>MIN(Plan!E9,U186+V186)</f>
        <v/>
      </c>
      <c r="X186">
        <f>U186+V186-W186</f>
        <v/>
      </c>
      <c r="Y186">
        <f>MIN(X186,MAX(0,$B186-((E$5&lt;W$5)*F186+(K$5&lt;W$5)*L186+(Q$5&lt;W$5)*R186+(AC$5&lt;W$5)*AD186+(AI$5&lt;W$5)*AJ186+(AO$5&lt;W$5)*AP186+(AU$5&lt;W$5)*AV186)))</f>
        <v/>
      </c>
      <c r="Z186">
        <f>IF(X186-Y186&lt;0.005,0,X186-Y186)</f>
        <v/>
      </c>
      <c r="AA186">
        <f>AF185</f>
        <v/>
      </c>
      <c r="AB186">
        <f>AA186*Plan!D10/100/12</f>
        <v/>
      </c>
      <c r="AC186">
        <f>MIN(Plan!E10,AA186+AB186)</f>
        <v/>
      </c>
      <c r="AD186">
        <f>AA186+AB186-AC186</f>
        <v/>
      </c>
      <c r="AE186">
        <f>MIN(AD186,MAX(0,$B186-((E$5&lt;AC$5)*F186+(K$5&lt;AC$5)*L186+(Q$5&lt;AC$5)*R186+(W$5&lt;AC$5)*X186+(AI$5&lt;AC$5)*AJ186+(AO$5&lt;AC$5)*AP186+(AU$5&lt;AC$5)*AV186)))</f>
        <v/>
      </c>
      <c r="AF186">
        <f>IF(AD186-AE186&lt;0.005,0,AD186-AE186)</f>
        <v/>
      </c>
      <c r="AG186">
        <f>AL185</f>
        <v/>
      </c>
      <c r="AH186">
        <f>AG186*Plan!D11/100/12</f>
        <v/>
      </c>
      <c r="AI186">
        <f>MIN(Plan!E11,AG186+AH186)</f>
        <v/>
      </c>
      <c r="AJ186">
        <f>AG186+AH186-AI186</f>
        <v/>
      </c>
      <c r="AK186">
        <f>MIN(AJ186,MAX(0,$B186-((E$5&lt;AI$5)*F186+(K$5&lt;AI$5)*L186+(Q$5&lt;AI$5)*R186+(W$5&lt;AI$5)*X186+(AC$5&lt;AI$5)*AD186+(AO$5&lt;AI$5)*AP186+(AU$5&lt;AI$5)*AV186)))</f>
        <v/>
      </c>
      <c r="AL186">
        <f>IF(AJ186-AK186&lt;0.005,0,AJ186-AK186)</f>
        <v/>
      </c>
      <c r="AM186">
        <f>AR185</f>
        <v/>
      </c>
      <c r="AN186">
        <f>AM186*Plan!D12/100/12</f>
        <v/>
      </c>
      <c r="AO186">
        <f>MIN(Plan!E12,AM186+AN186)</f>
        <v/>
      </c>
      <c r="AP186">
        <f>AM186+AN186-AO186</f>
        <v/>
      </c>
      <c r="AQ186">
        <f>MIN(AP186,MAX(0,$B186-((E$5&lt;AO$5)*F186+(K$5&lt;AO$5)*L186+(Q$5&lt;AO$5)*R186+(W$5&lt;AO$5)*X186+(AC$5&lt;AO$5)*AD186+(AI$5&lt;AO$5)*AJ186+(AU$5&lt;AO$5)*AV186)))</f>
        <v/>
      </c>
      <c r="AR186">
        <f>IF(AP186-AQ186&lt;0.005,0,AP186-AQ186)</f>
        <v/>
      </c>
      <c r="AS186">
        <f>AX185</f>
        <v/>
      </c>
      <c r="AT186">
        <f>AS186*Plan!D13/100/12</f>
        <v/>
      </c>
      <c r="AU186">
        <f>MIN(Plan!E13,AS186+AT186)</f>
        <v/>
      </c>
      <c r="AV186">
        <f>AS186+AT186-AU186</f>
        <v/>
      </c>
      <c r="AW186">
        <f>MIN(AV186,MAX(0,$B186-((E$5&lt;AU$5)*F186+(K$5&lt;AU$5)*L186+(Q$5&lt;AU$5)*R186+(W$5&lt;AU$5)*X186+(AC$5&lt;AU$5)*AD186+(AI$5&lt;AU$5)*AJ186+(AO$5&lt;AU$5)*AP186)))</f>
        <v/>
      </c>
      <c r="AX186">
        <f>IF(AV186-AW186&lt;0.005,0,AV186-AW186)</f>
        <v/>
      </c>
      <c r="BC186">
        <f>H186+N186+T186+Z186+AF186+AL186+AR186+AX186</f>
        <v/>
      </c>
    </row>
    <row r="187">
      <c r="A187" t="n">
        <v>181</v>
      </c>
      <c r="B187" s="19">
        <f>MAX(0,$B$3-(E187+K187+Q187+W187+AC187+AI187+AO187+AU187))</f>
        <v/>
      </c>
      <c r="C187">
        <f>H186</f>
        <v/>
      </c>
      <c r="D187">
        <f>C187*Plan!D6/100/12</f>
        <v/>
      </c>
      <c r="E187">
        <f>MIN(Plan!E6,C187+D187)</f>
        <v/>
      </c>
      <c r="F187">
        <f>C187+D187-E187</f>
        <v/>
      </c>
      <c r="G187">
        <f>MIN(F187,MAX(0,$B187-((K$5&lt;E$5)*L187+(Q$5&lt;E$5)*R187+(W$5&lt;E$5)*X187+(AC$5&lt;E$5)*AD187+(AI$5&lt;E$5)*AJ187+(AO$5&lt;E$5)*AP187+(AU$5&lt;E$5)*AV187)))</f>
        <v/>
      </c>
      <c r="H187">
        <f>IF(F187-G187&lt;0.005,0,F187-G187)</f>
        <v/>
      </c>
      <c r="I187">
        <f>N186</f>
        <v/>
      </c>
      <c r="J187">
        <f>I187*Plan!D7/100/12</f>
        <v/>
      </c>
      <c r="K187">
        <f>MIN(Plan!E7,I187+J187)</f>
        <v/>
      </c>
      <c r="L187">
        <f>I187+J187-K187</f>
        <v/>
      </c>
      <c r="M187">
        <f>MIN(L187,MAX(0,$B187-((E$5&lt;K$5)*F187+(Q$5&lt;K$5)*R187+(W$5&lt;K$5)*X187+(AC$5&lt;K$5)*AD187+(AI$5&lt;K$5)*AJ187+(AO$5&lt;K$5)*AP187+(AU$5&lt;K$5)*AV187)))</f>
        <v/>
      </c>
      <c r="N187">
        <f>IF(L187-M187&lt;0.005,0,L187-M187)</f>
        <v/>
      </c>
      <c r="O187">
        <f>T186</f>
        <v/>
      </c>
      <c r="P187">
        <f>O187*Plan!D8/100/12</f>
        <v/>
      </c>
      <c r="Q187">
        <f>MIN(Plan!E8,O187+P187)</f>
        <v/>
      </c>
      <c r="R187">
        <f>O187+P187-Q187</f>
        <v/>
      </c>
      <c r="S187">
        <f>MIN(R187,MAX(0,$B187-((E$5&lt;Q$5)*F187+(K$5&lt;Q$5)*L187+(W$5&lt;Q$5)*X187+(AC$5&lt;Q$5)*AD187+(AI$5&lt;Q$5)*AJ187+(AO$5&lt;Q$5)*AP187+(AU$5&lt;Q$5)*AV187)))</f>
        <v/>
      </c>
      <c r="T187">
        <f>IF(R187-S187&lt;0.005,0,R187-S187)</f>
        <v/>
      </c>
      <c r="U187">
        <f>Z186</f>
        <v/>
      </c>
      <c r="V187">
        <f>U187*Plan!D9/100/12</f>
        <v/>
      </c>
      <c r="W187">
        <f>MIN(Plan!E9,U187+V187)</f>
        <v/>
      </c>
      <c r="X187">
        <f>U187+V187-W187</f>
        <v/>
      </c>
      <c r="Y187">
        <f>MIN(X187,MAX(0,$B187-((E$5&lt;W$5)*F187+(K$5&lt;W$5)*L187+(Q$5&lt;W$5)*R187+(AC$5&lt;W$5)*AD187+(AI$5&lt;W$5)*AJ187+(AO$5&lt;W$5)*AP187+(AU$5&lt;W$5)*AV187)))</f>
        <v/>
      </c>
      <c r="Z187">
        <f>IF(X187-Y187&lt;0.005,0,X187-Y187)</f>
        <v/>
      </c>
      <c r="AA187">
        <f>AF186</f>
        <v/>
      </c>
      <c r="AB187">
        <f>AA187*Plan!D10/100/12</f>
        <v/>
      </c>
      <c r="AC187">
        <f>MIN(Plan!E10,AA187+AB187)</f>
        <v/>
      </c>
      <c r="AD187">
        <f>AA187+AB187-AC187</f>
        <v/>
      </c>
      <c r="AE187">
        <f>MIN(AD187,MAX(0,$B187-((E$5&lt;AC$5)*F187+(K$5&lt;AC$5)*L187+(Q$5&lt;AC$5)*R187+(W$5&lt;AC$5)*X187+(AI$5&lt;AC$5)*AJ187+(AO$5&lt;AC$5)*AP187+(AU$5&lt;AC$5)*AV187)))</f>
        <v/>
      </c>
      <c r="AF187">
        <f>IF(AD187-AE187&lt;0.005,0,AD187-AE187)</f>
        <v/>
      </c>
      <c r="AG187">
        <f>AL186</f>
        <v/>
      </c>
      <c r="AH187">
        <f>AG187*Plan!D11/100/12</f>
        <v/>
      </c>
      <c r="AI187">
        <f>MIN(Plan!E11,AG187+AH187)</f>
        <v/>
      </c>
      <c r="AJ187">
        <f>AG187+AH187-AI187</f>
        <v/>
      </c>
      <c r="AK187">
        <f>MIN(AJ187,MAX(0,$B187-((E$5&lt;AI$5)*F187+(K$5&lt;AI$5)*L187+(Q$5&lt;AI$5)*R187+(W$5&lt;AI$5)*X187+(AC$5&lt;AI$5)*AD187+(AO$5&lt;AI$5)*AP187+(AU$5&lt;AI$5)*AV187)))</f>
        <v/>
      </c>
      <c r="AL187">
        <f>IF(AJ187-AK187&lt;0.005,0,AJ187-AK187)</f>
        <v/>
      </c>
      <c r="AM187">
        <f>AR186</f>
        <v/>
      </c>
      <c r="AN187">
        <f>AM187*Plan!D12/100/12</f>
        <v/>
      </c>
      <c r="AO187">
        <f>MIN(Plan!E12,AM187+AN187)</f>
        <v/>
      </c>
      <c r="AP187">
        <f>AM187+AN187-AO187</f>
        <v/>
      </c>
      <c r="AQ187">
        <f>MIN(AP187,MAX(0,$B187-((E$5&lt;AO$5)*F187+(K$5&lt;AO$5)*L187+(Q$5&lt;AO$5)*R187+(W$5&lt;AO$5)*X187+(AC$5&lt;AO$5)*AD187+(AI$5&lt;AO$5)*AJ187+(AU$5&lt;AO$5)*AV187)))</f>
        <v/>
      </c>
      <c r="AR187">
        <f>IF(AP187-AQ187&lt;0.005,0,AP187-AQ187)</f>
        <v/>
      </c>
      <c r="AS187">
        <f>AX186</f>
        <v/>
      </c>
      <c r="AT187">
        <f>AS187*Plan!D13/100/12</f>
        <v/>
      </c>
      <c r="AU187">
        <f>MIN(Plan!E13,AS187+AT187)</f>
        <v/>
      </c>
      <c r="AV187">
        <f>AS187+AT187-AU187</f>
        <v/>
      </c>
      <c r="AW187">
        <f>MIN(AV187,MAX(0,$B187-((E$5&lt;AU$5)*F187+(K$5&lt;AU$5)*L187+(Q$5&lt;AU$5)*R187+(W$5&lt;AU$5)*X187+(AC$5&lt;AU$5)*AD187+(AI$5&lt;AU$5)*AJ187+(AO$5&lt;AU$5)*AP187)))</f>
        <v/>
      </c>
      <c r="AX187">
        <f>IF(AV187-AW187&lt;0.005,0,AV187-AW187)</f>
        <v/>
      </c>
      <c r="BC187">
        <f>H187+N187+T187+Z187+AF187+AL187+AR187+AX187</f>
        <v/>
      </c>
    </row>
    <row r="188">
      <c r="A188" t="n">
        <v>182</v>
      </c>
      <c r="B188" s="19">
        <f>MAX(0,$B$3-(E188+K188+Q188+W188+AC188+AI188+AO188+AU188))</f>
        <v/>
      </c>
      <c r="C188">
        <f>H187</f>
        <v/>
      </c>
      <c r="D188">
        <f>C188*Plan!D6/100/12</f>
        <v/>
      </c>
      <c r="E188">
        <f>MIN(Plan!E6,C188+D188)</f>
        <v/>
      </c>
      <c r="F188">
        <f>C188+D188-E188</f>
        <v/>
      </c>
      <c r="G188">
        <f>MIN(F188,MAX(0,$B188-((K$5&lt;E$5)*L188+(Q$5&lt;E$5)*R188+(W$5&lt;E$5)*X188+(AC$5&lt;E$5)*AD188+(AI$5&lt;E$5)*AJ188+(AO$5&lt;E$5)*AP188+(AU$5&lt;E$5)*AV188)))</f>
        <v/>
      </c>
      <c r="H188">
        <f>IF(F188-G188&lt;0.005,0,F188-G188)</f>
        <v/>
      </c>
      <c r="I188">
        <f>N187</f>
        <v/>
      </c>
      <c r="J188">
        <f>I188*Plan!D7/100/12</f>
        <v/>
      </c>
      <c r="K188">
        <f>MIN(Plan!E7,I188+J188)</f>
        <v/>
      </c>
      <c r="L188">
        <f>I188+J188-K188</f>
        <v/>
      </c>
      <c r="M188">
        <f>MIN(L188,MAX(0,$B188-((E$5&lt;K$5)*F188+(Q$5&lt;K$5)*R188+(W$5&lt;K$5)*X188+(AC$5&lt;K$5)*AD188+(AI$5&lt;K$5)*AJ188+(AO$5&lt;K$5)*AP188+(AU$5&lt;K$5)*AV188)))</f>
        <v/>
      </c>
      <c r="N188">
        <f>IF(L188-M188&lt;0.005,0,L188-M188)</f>
        <v/>
      </c>
      <c r="O188">
        <f>T187</f>
        <v/>
      </c>
      <c r="P188">
        <f>O188*Plan!D8/100/12</f>
        <v/>
      </c>
      <c r="Q188">
        <f>MIN(Plan!E8,O188+P188)</f>
        <v/>
      </c>
      <c r="R188">
        <f>O188+P188-Q188</f>
        <v/>
      </c>
      <c r="S188">
        <f>MIN(R188,MAX(0,$B188-((E$5&lt;Q$5)*F188+(K$5&lt;Q$5)*L188+(W$5&lt;Q$5)*X188+(AC$5&lt;Q$5)*AD188+(AI$5&lt;Q$5)*AJ188+(AO$5&lt;Q$5)*AP188+(AU$5&lt;Q$5)*AV188)))</f>
        <v/>
      </c>
      <c r="T188">
        <f>IF(R188-S188&lt;0.005,0,R188-S188)</f>
        <v/>
      </c>
      <c r="U188">
        <f>Z187</f>
        <v/>
      </c>
      <c r="V188">
        <f>U188*Plan!D9/100/12</f>
        <v/>
      </c>
      <c r="W188">
        <f>MIN(Plan!E9,U188+V188)</f>
        <v/>
      </c>
      <c r="X188">
        <f>U188+V188-W188</f>
        <v/>
      </c>
      <c r="Y188">
        <f>MIN(X188,MAX(0,$B188-((E$5&lt;W$5)*F188+(K$5&lt;W$5)*L188+(Q$5&lt;W$5)*R188+(AC$5&lt;W$5)*AD188+(AI$5&lt;W$5)*AJ188+(AO$5&lt;W$5)*AP188+(AU$5&lt;W$5)*AV188)))</f>
        <v/>
      </c>
      <c r="Z188">
        <f>IF(X188-Y188&lt;0.005,0,X188-Y188)</f>
        <v/>
      </c>
      <c r="AA188">
        <f>AF187</f>
        <v/>
      </c>
      <c r="AB188">
        <f>AA188*Plan!D10/100/12</f>
        <v/>
      </c>
      <c r="AC188">
        <f>MIN(Plan!E10,AA188+AB188)</f>
        <v/>
      </c>
      <c r="AD188">
        <f>AA188+AB188-AC188</f>
        <v/>
      </c>
      <c r="AE188">
        <f>MIN(AD188,MAX(0,$B188-((E$5&lt;AC$5)*F188+(K$5&lt;AC$5)*L188+(Q$5&lt;AC$5)*R188+(W$5&lt;AC$5)*X188+(AI$5&lt;AC$5)*AJ188+(AO$5&lt;AC$5)*AP188+(AU$5&lt;AC$5)*AV188)))</f>
        <v/>
      </c>
      <c r="AF188">
        <f>IF(AD188-AE188&lt;0.005,0,AD188-AE188)</f>
        <v/>
      </c>
      <c r="AG188">
        <f>AL187</f>
        <v/>
      </c>
      <c r="AH188">
        <f>AG188*Plan!D11/100/12</f>
        <v/>
      </c>
      <c r="AI188">
        <f>MIN(Plan!E11,AG188+AH188)</f>
        <v/>
      </c>
      <c r="AJ188">
        <f>AG188+AH188-AI188</f>
        <v/>
      </c>
      <c r="AK188">
        <f>MIN(AJ188,MAX(0,$B188-((E$5&lt;AI$5)*F188+(K$5&lt;AI$5)*L188+(Q$5&lt;AI$5)*R188+(W$5&lt;AI$5)*X188+(AC$5&lt;AI$5)*AD188+(AO$5&lt;AI$5)*AP188+(AU$5&lt;AI$5)*AV188)))</f>
        <v/>
      </c>
      <c r="AL188">
        <f>IF(AJ188-AK188&lt;0.005,0,AJ188-AK188)</f>
        <v/>
      </c>
      <c r="AM188">
        <f>AR187</f>
        <v/>
      </c>
      <c r="AN188">
        <f>AM188*Plan!D12/100/12</f>
        <v/>
      </c>
      <c r="AO188">
        <f>MIN(Plan!E12,AM188+AN188)</f>
        <v/>
      </c>
      <c r="AP188">
        <f>AM188+AN188-AO188</f>
        <v/>
      </c>
      <c r="AQ188">
        <f>MIN(AP188,MAX(0,$B188-((E$5&lt;AO$5)*F188+(K$5&lt;AO$5)*L188+(Q$5&lt;AO$5)*R188+(W$5&lt;AO$5)*X188+(AC$5&lt;AO$5)*AD188+(AI$5&lt;AO$5)*AJ188+(AU$5&lt;AO$5)*AV188)))</f>
        <v/>
      </c>
      <c r="AR188">
        <f>IF(AP188-AQ188&lt;0.005,0,AP188-AQ188)</f>
        <v/>
      </c>
      <c r="AS188">
        <f>AX187</f>
        <v/>
      </c>
      <c r="AT188">
        <f>AS188*Plan!D13/100/12</f>
        <v/>
      </c>
      <c r="AU188">
        <f>MIN(Plan!E13,AS188+AT188)</f>
        <v/>
      </c>
      <c r="AV188">
        <f>AS188+AT188-AU188</f>
        <v/>
      </c>
      <c r="AW188">
        <f>MIN(AV188,MAX(0,$B188-((E$5&lt;AU$5)*F188+(K$5&lt;AU$5)*L188+(Q$5&lt;AU$5)*R188+(W$5&lt;AU$5)*X188+(AC$5&lt;AU$5)*AD188+(AI$5&lt;AU$5)*AJ188+(AO$5&lt;AU$5)*AP188)))</f>
        <v/>
      </c>
      <c r="AX188">
        <f>IF(AV188-AW188&lt;0.005,0,AV188-AW188)</f>
        <v/>
      </c>
      <c r="BC188">
        <f>H188+N188+T188+Z188+AF188+AL188+AR188+AX188</f>
        <v/>
      </c>
    </row>
    <row r="189">
      <c r="A189" t="n">
        <v>183</v>
      </c>
      <c r="B189" s="19">
        <f>MAX(0,$B$3-(E189+K189+Q189+W189+AC189+AI189+AO189+AU189))</f>
        <v/>
      </c>
      <c r="C189">
        <f>H188</f>
        <v/>
      </c>
      <c r="D189">
        <f>C189*Plan!D6/100/12</f>
        <v/>
      </c>
      <c r="E189">
        <f>MIN(Plan!E6,C189+D189)</f>
        <v/>
      </c>
      <c r="F189">
        <f>C189+D189-E189</f>
        <v/>
      </c>
      <c r="G189">
        <f>MIN(F189,MAX(0,$B189-((K$5&lt;E$5)*L189+(Q$5&lt;E$5)*R189+(W$5&lt;E$5)*X189+(AC$5&lt;E$5)*AD189+(AI$5&lt;E$5)*AJ189+(AO$5&lt;E$5)*AP189+(AU$5&lt;E$5)*AV189)))</f>
        <v/>
      </c>
      <c r="H189">
        <f>IF(F189-G189&lt;0.005,0,F189-G189)</f>
        <v/>
      </c>
      <c r="I189">
        <f>N188</f>
        <v/>
      </c>
      <c r="J189">
        <f>I189*Plan!D7/100/12</f>
        <v/>
      </c>
      <c r="K189">
        <f>MIN(Plan!E7,I189+J189)</f>
        <v/>
      </c>
      <c r="L189">
        <f>I189+J189-K189</f>
        <v/>
      </c>
      <c r="M189">
        <f>MIN(L189,MAX(0,$B189-((E$5&lt;K$5)*F189+(Q$5&lt;K$5)*R189+(W$5&lt;K$5)*X189+(AC$5&lt;K$5)*AD189+(AI$5&lt;K$5)*AJ189+(AO$5&lt;K$5)*AP189+(AU$5&lt;K$5)*AV189)))</f>
        <v/>
      </c>
      <c r="N189">
        <f>IF(L189-M189&lt;0.005,0,L189-M189)</f>
        <v/>
      </c>
      <c r="O189">
        <f>T188</f>
        <v/>
      </c>
      <c r="P189">
        <f>O189*Plan!D8/100/12</f>
        <v/>
      </c>
      <c r="Q189">
        <f>MIN(Plan!E8,O189+P189)</f>
        <v/>
      </c>
      <c r="R189">
        <f>O189+P189-Q189</f>
        <v/>
      </c>
      <c r="S189">
        <f>MIN(R189,MAX(0,$B189-((E$5&lt;Q$5)*F189+(K$5&lt;Q$5)*L189+(W$5&lt;Q$5)*X189+(AC$5&lt;Q$5)*AD189+(AI$5&lt;Q$5)*AJ189+(AO$5&lt;Q$5)*AP189+(AU$5&lt;Q$5)*AV189)))</f>
        <v/>
      </c>
      <c r="T189">
        <f>IF(R189-S189&lt;0.005,0,R189-S189)</f>
        <v/>
      </c>
      <c r="U189">
        <f>Z188</f>
        <v/>
      </c>
      <c r="V189">
        <f>U189*Plan!D9/100/12</f>
        <v/>
      </c>
      <c r="W189">
        <f>MIN(Plan!E9,U189+V189)</f>
        <v/>
      </c>
      <c r="X189">
        <f>U189+V189-W189</f>
        <v/>
      </c>
      <c r="Y189">
        <f>MIN(X189,MAX(0,$B189-((E$5&lt;W$5)*F189+(K$5&lt;W$5)*L189+(Q$5&lt;W$5)*R189+(AC$5&lt;W$5)*AD189+(AI$5&lt;W$5)*AJ189+(AO$5&lt;W$5)*AP189+(AU$5&lt;W$5)*AV189)))</f>
        <v/>
      </c>
      <c r="Z189">
        <f>IF(X189-Y189&lt;0.005,0,X189-Y189)</f>
        <v/>
      </c>
      <c r="AA189">
        <f>AF188</f>
        <v/>
      </c>
      <c r="AB189">
        <f>AA189*Plan!D10/100/12</f>
        <v/>
      </c>
      <c r="AC189">
        <f>MIN(Plan!E10,AA189+AB189)</f>
        <v/>
      </c>
      <c r="AD189">
        <f>AA189+AB189-AC189</f>
        <v/>
      </c>
      <c r="AE189">
        <f>MIN(AD189,MAX(0,$B189-((E$5&lt;AC$5)*F189+(K$5&lt;AC$5)*L189+(Q$5&lt;AC$5)*R189+(W$5&lt;AC$5)*X189+(AI$5&lt;AC$5)*AJ189+(AO$5&lt;AC$5)*AP189+(AU$5&lt;AC$5)*AV189)))</f>
        <v/>
      </c>
      <c r="AF189">
        <f>IF(AD189-AE189&lt;0.005,0,AD189-AE189)</f>
        <v/>
      </c>
      <c r="AG189">
        <f>AL188</f>
        <v/>
      </c>
      <c r="AH189">
        <f>AG189*Plan!D11/100/12</f>
        <v/>
      </c>
      <c r="AI189">
        <f>MIN(Plan!E11,AG189+AH189)</f>
        <v/>
      </c>
      <c r="AJ189">
        <f>AG189+AH189-AI189</f>
        <v/>
      </c>
      <c r="AK189">
        <f>MIN(AJ189,MAX(0,$B189-((E$5&lt;AI$5)*F189+(K$5&lt;AI$5)*L189+(Q$5&lt;AI$5)*R189+(W$5&lt;AI$5)*X189+(AC$5&lt;AI$5)*AD189+(AO$5&lt;AI$5)*AP189+(AU$5&lt;AI$5)*AV189)))</f>
        <v/>
      </c>
      <c r="AL189">
        <f>IF(AJ189-AK189&lt;0.005,0,AJ189-AK189)</f>
        <v/>
      </c>
      <c r="AM189">
        <f>AR188</f>
        <v/>
      </c>
      <c r="AN189">
        <f>AM189*Plan!D12/100/12</f>
        <v/>
      </c>
      <c r="AO189">
        <f>MIN(Plan!E12,AM189+AN189)</f>
        <v/>
      </c>
      <c r="AP189">
        <f>AM189+AN189-AO189</f>
        <v/>
      </c>
      <c r="AQ189">
        <f>MIN(AP189,MAX(0,$B189-((E$5&lt;AO$5)*F189+(K$5&lt;AO$5)*L189+(Q$5&lt;AO$5)*R189+(W$5&lt;AO$5)*X189+(AC$5&lt;AO$5)*AD189+(AI$5&lt;AO$5)*AJ189+(AU$5&lt;AO$5)*AV189)))</f>
        <v/>
      </c>
      <c r="AR189">
        <f>IF(AP189-AQ189&lt;0.005,0,AP189-AQ189)</f>
        <v/>
      </c>
      <c r="AS189">
        <f>AX188</f>
        <v/>
      </c>
      <c r="AT189">
        <f>AS189*Plan!D13/100/12</f>
        <v/>
      </c>
      <c r="AU189">
        <f>MIN(Plan!E13,AS189+AT189)</f>
        <v/>
      </c>
      <c r="AV189">
        <f>AS189+AT189-AU189</f>
        <v/>
      </c>
      <c r="AW189">
        <f>MIN(AV189,MAX(0,$B189-((E$5&lt;AU$5)*F189+(K$5&lt;AU$5)*L189+(Q$5&lt;AU$5)*R189+(W$5&lt;AU$5)*X189+(AC$5&lt;AU$5)*AD189+(AI$5&lt;AU$5)*AJ189+(AO$5&lt;AU$5)*AP189)))</f>
        <v/>
      </c>
      <c r="AX189">
        <f>IF(AV189-AW189&lt;0.005,0,AV189-AW189)</f>
        <v/>
      </c>
      <c r="BC189">
        <f>H189+N189+T189+Z189+AF189+AL189+AR189+AX189</f>
        <v/>
      </c>
    </row>
    <row r="190">
      <c r="A190" t="n">
        <v>184</v>
      </c>
      <c r="B190" s="19">
        <f>MAX(0,$B$3-(E190+K190+Q190+W190+AC190+AI190+AO190+AU190))</f>
        <v/>
      </c>
      <c r="C190">
        <f>H189</f>
        <v/>
      </c>
      <c r="D190">
        <f>C190*Plan!D6/100/12</f>
        <v/>
      </c>
      <c r="E190">
        <f>MIN(Plan!E6,C190+D190)</f>
        <v/>
      </c>
      <c r="F190">
        <f>C190+D190-E190</f>
        <v/>
      </c>
      <c r="G190">
        <f>MIN(F190,MAX(0,$B190-((K$5&lt;E$5)*L190+(Q$5&lt;E$5)*R190+(W$5&lt;E$5)*X190+(AC$5&lt;E$5)*AD190+(AI$5&lt;E$5)*AJ190+(AO$5&lt;E$5)*AP190+(AU$5&lt;E$5)*AV190)))</f>
        <v/>
      </c>
      <c r="H190">
        <f>IF(F190-G190&lt;0.005,0,F190-G190)</f>
        <v/>
      </c>
      <c r="I190">
        <f>N189</f>
        <v/>
      </c>
      <c r="J190">
        <f>I190*Plan!D7/100/12</f>
        <v/>
      </c>
      <c r="K190">
        <f>MIN(Plan!E7,I190+J190)</f>
        <v/>
      </c>
      <c r="L190">
        <f>I190+J190-K190</f>
        <v/>
      </c>
      <c r="M190">
        <f>MIN(L190,MAX(0,$B190-((E$5&lt;K$5)*F190+(Q$5&lt;K$5)*R190+(W$5&lt;K$5)*X190+(AC$5&lt;K$5)*AD190+(AI$5&lt;K$5)*AJ190+(AO$5&lt;K$5)*AP190+(AU$5&lt;K$5)*AV190)))</f>
        <v/>
      </c>
      <c r="N190">
        <f>IF(L190-M190&lt;0.005,0,L190-M190)</f>
        <v/>
      </c>
      <c r="O190">
        <f>T189</f>
        <v/>
      </c>
      <c r="P190">
        <f>O190*Plan!D8/100/12</f>
        <v/>
      </c>
      <c r="Q190">
        <f>MIN(Plan!E8,O190+P190)</f>
        <v/>
      </c>
      <c r="R190">
        <f>O190+P190-Q190</f>
        <v/>
      </c>
      <c r="S190">
        <f>MIN(R190,MAX(0,$B190-((E$5&lt;Q$5)*F190+(K$5&lt;Q$5)*L190+(W$5&lt;Q$5)*X190+(AC$5&lt;Q$5)*AD190+(AI$5&lt;Q$5)*AJ190+(AO$5&lt;Q$5)*AP190+(AU$5&lt;Q$5)*AV190)))</f>
        <v/>
      </c>
      <c r="T190">
        <f>IF(R190-S190&lt;0.005,0,R190-S190)</f>
        <v/>
      </c>
      <c r="U190">
        <f>Z189</f>
        <v/>
      </c>
      <c r="V190">
        <f>U190*Plan!D9/100/12</f>
        <v/>
      </c>
      <c r="W190">
        <f>MIN(Plan!E9,U190+V190)</f>
        <v/>
      </c>
      <c r="X190">
        <f>U190+V190-W190</f>
        <v/>
      </c>
      <c r="Y190">
        <f>MIN(X190,MAX(0,$B190-((E$5&lt;W$5)*F190+(K$5&lt;W$5)*L190+(Q$5&lt;W$5)*R190+(AC$5&lt;W$5)*AD190+(AI$5&lt;W$5)*AJ190+(AO$5&lt;W$5)*AP190+(AU$5&lt;W$5)*AV190)))</f>
        <v/>
      </c>
      <c r="Z190">
        <f>IF(X190-Y190&lt;0.005,0,X190-Y190)</f>
        <v/>
      </c>
      <c r="AA190">
        <f>AF189</f>
        <v/>
      </c>
      <c r="AB190">
        <f>AA190*Plan!D10/100/12</f>
        <v/>
      </c>
      <c r="AC190">
        <f>MIN(Plan!E10,AA190+AB190)</f>
        <v/>
      </c>
      <c r="AD190">
        <f>AA190+AB190-AC190</f>
        <v/>
      </c>
      <c r="AE190">
        <f>MIN(AD190,MAX(0,$B190-((E$5&lt;AC$5)*F190+(K$5&lt;AC$5)*L190+(Q$5&lt;AC$5)*R190+(W$5&lt;AC$5)*X190+(AI$5&lt;AC$5)*AJ190+(AO$5&lt;AC$5)*AP190+(AU$5&lt;AC$5)*AV190)))</f>
        <v/>
      </c>
      <c r="AF190">
        <f>IF(AD190-AE190&lt;0.005,0,AD190-AE190)</f>
        <v/>
      </c>
      <c r="AG190">
        <f>AL189</f>
        <v/>
      </c>
      <c r="AH190">
        <f>AG190*Plan!D11/100/12</f>
        <v/>
      </c>
      <c r="AI190">
        <f>MIN(Plan!E11,AG190+AH190)</f>
        <v/>
      </c>
      <c r="AJ190">
        <f>AG190+AH190-AI190</f>
        <v/>
      </c>
      <c r="AK190">
        <f>MIN(AJ190,MAX(0,$B190-((E$5&lt;AI$5)*F190+(K$5&lt;AI$5)*L190+(Q$5&lt;AI$5)*R190+(W$5&lt;AI$5)*X190+(AC$5&lt;AI$5)*AD190+(AO$5&lt;AI$5)*AP190+(AU$5&lt;AI$5)*AV190)))</f>
        <v/>
      </c>
      <c r="AL190">
        <f>IF(AJ190-AK190&lt;0.005,0,AJ190-AK190)</f>
        <v/>
      </c>
      <c r="AM190">
        <f>AR189</f>
        <v/>
      </c>
      <c r="AN190">
        <f>AM190*Plan!D12/100/12</f>
        <v/>
      </c>
      <c r="AO190">
        <f>MIN(Plan!E12,AM190+AN190)</f>
        <v/>
      </c>
      <c r="AP190">
        <f>AM190+AN190-AO190</f>
        <v/>
      </c>
      <c r="AQ190">
        <f>MIN(AP190,MAX(0,$B190-((E$5&lt;AO$5)*F190+(K$5&lt;AO$5)*L190+(Q$5&lt;AO$5)*R190+(W$5&lt;AO$5)*X190+(AC$5&lt;AO$5)*AD190+(AI$5&lt;AO$5)*AJ190+(AU$5&lt;AO$5)*AV190)))</f>
        <v/>
      </c>
      <c r="AR190">
        <f>IF(AP190-AQ190&lt;0.005,0,AP190-AQ190)</f>
        <v/>
      </c>
      <c r="AS190">
        <f>AX189</f>
        <v/>
      </c>
      <c r="AT190">
        <f>AS190*Plan!D13/100/12</f>
        <v/>
      </c>
      <c r="AU190">
        <f>MIN(Plan!E13,AS190+AT190)</f>
        <v/>
      </c>
      <c r="AV190">
        <f>AS190+AT190-AU190</f>
        <v/>
      </c>
      <c r="AW190">
        <f>MIN(AV190,MAX(0,$B190-((E$5&lt;AU$5)*F190+(K$5&lt;AU$5)*L190+(Q$5&lt;AU$5)*R190+(W$5&lt;AU$5)*X190+(AC$5&lt;AU$5)*AD190+(AI$5&lt;AU$5)*AJ190+(AO$5&lt;AU$5)*AP190)))</f>
        <v/>
      </c>
      <c r="AX190">
        <f>IF(AV190-AW190&lt;0.005,0,AV190-AW190)</f>
        <v/>
      </c>
      <c r="BC190">
        <f>H190+N190+T190+Z190+AF190+AL190+AR190+AX190</f>
        <v/>
      </c>
    </row>
    <row r="191">
      <c r="A191" t="n">
        <v>185</v>
      </c>
      <c r="B191" s="19">
        <f>MAX(0,$B$3-(E191+K191+Q191+W191+AC191+AI191+AO191+AU191))</f>
        <v/>
      </c>
      <c r="C191">
        <f>H190</f>
        <v/>
      </c>
      <c r="D191">
        <f>C191*Plan!D6/100/12</f>
        <v/>
      </c>
      <c r="E191">
        <f>MIN(Plan!E6,C191+D191)</f>
        <v/>
      </c>
      <c r="F191">
        <f>C191+D191-E191</f>
        <v/>
      </c>
      <c r="G191">
        <f>MIN(F191,MAX(0,$B191-((K$5&lt;E$5)*L191+(Q$5&lt;E$5)*R191+(W$5&lt;E$5)*X191+(AC$5&lt;E$5)*AD191+(AI$5&lt;E$5)*AJ191+(AO$5&lt;E$5)*AP191+(AU$5&lt;E$5)*AV191)))</f>
        <v/>
      </c>
      <c r="H191">
        <f>IF(F191-G191&lt;0.005,0,F191-G191)</f>
        <v/>
      </c>
      <c r="I191">
        <f>N190</f>
        <v/>
      </c>
      <c r="J191">
        <f>I191*Plan!D7/100/12</f>
        <v/>
      </c>
      <c r="K191">
        <f>MIN(Plan!E7,I191+J191)</f>
        <v/>
      </c>
      <c r="L191">
        <f>I191+J191-K191</f>
        <v/>
      </c>
      <c r="M191">
        <f>MIN(L191,MAX(0,$B191-((E$5&lt;K$5)*F191+(Q$5&lt;K$5)*R191+(W$5&lt;K$5)*X191+(AC$5&lt;K$5)*AD191+(AI$5&lt;K$5)*AJ191+(AO$5&lt;K$5)*AP191+(AU$5&lt;K$5)*AV191)))</f>
        <v/>
      </c>
      <c r="N191">
        <f>IF(L191-M191&lt;0.005,0,L191-M191)</f>
        <v/>
      </c>
      <c r="O191">
        <f>T190</f>
        <v/>
      </c>
      <c r="P191">
        <f>O191*Plan!D8/100/12</f>
        <v/>
      </c>
      <c r="Q191">
        <f>MIN(Plan!E8,O191+P191)</f>
        <v/>
      </c>
      <c r="R191">
        <f>O191+P191-Q191</f>
        <v/>
      </c>
      <c r="S191">
        <f>MIN(R191,MAX(0,$B191-((E$5&lt;Q$5)*F191+(K$5&lt;Q$5)*L191+(W$5&lt;Q$5)*X191+(AC$5&lt;Q$5)*AD191+(AI$5&lt;Q$5)*AJ191+(AO$5&lt;Q$5)*AP191+(AU$5&lt;Q$5)*AV191)))</f>
        <v/>
      </c>
      <c r="T191">
        <f>IF(R191-S191&lt;0.005,0,R191-S191)</f>
        <v/>
      </c>
      <c r="U191">
        <f>Z190</f>
        <v/>
      </c>
      <c r="V191">
        <f>U191*Plan!D9/100/12</f>
        <v/>
      </c>
      <c r="W191">
        <f>MIN(Plan!E9,U191+V191)</f>
        <v/>
      </c>
      <c r="X191">
        <f>U191+V191-W191</f>
        <v/>
      </c>
      <c r="Y191">
        <f>MIN(X191,MAX(0,$B191-((E$5&lt;W$5)*F191+(K$5&lt;W$5)*L191+(Q$5&lt;W$5)*R191+(AC$5&lt;W$5)*AD191+(AI$5&lt;W$5)*AJ191+(AO$5&lt;W$5)*AP191+(AU$5&lt;W$5)*AV191)))</f>
        <v/>
      </c>
      <c r="Z191">
        <f>IF(X191-Y191&lt;0.005,0,X191-Y191)</f>
        <v/>
      </c>
      <c r="AA191">
        <f>AF190</f>
        <v/>
      </c>
      <c r="AB191">
        <f>AA191*Plan!D10/100/12</f>
        <v/>
      </c>
      <c r="AC191">
        <f>MIN(Plan!E10,AA191+AB191)</f>
        <v/>
      </c>
      <c r="AD191">
        <f>AA191+AB191-AC191</f>
        <v/>
      </c>
      <c r="AE191">
        <f>MIN(AD191,MAX(0,$B191-((E$5&lt;AC$5)*F191+(K$5&lt;AC$5)*L191+(Q$5&lt;AC$5)*R191+(W$5&lt;AC$5)*X191+(AI$5&lt;AC$5)*AJ191+(AO$5&lt;AC$5)*AP191+(AU$5&lt;AC$5)*AV191)))</f>
        <v/>
      </c>
      <c r="AF191">
        <f>IF(AD191-AE191&lt;0.005,0,AD191-AE191)</f>
        <v/>
      </c>
      <c r="AG191">
        <f>AL190</f>
        <v/>
      </c>
      <c r="AH191">
        <f>AG191*Plan!D11/100/12</f>
        <v/>
      </c>
      <c r="AI191">
        <f>MIN(Plan!E11,AG191+AH191)</f>
        <v/>
      </c>
      <c r="AJ191">
        <f>AG191+AH191-AI191</f>
        <v/>
      </c>
      <c r="AK191">
        <f>MIN(AJ191,MAX(0,$B191-((E$5&lt;AI$5)*F191+(K$5&lt;AI$5)*L191+(Q$5&lt;AI$5)*R191+(W$5&lt;AI$5)*X191+(AC$5&lt;AI$5)*AD191+(AO$5&lt;AI$5)*AP191+(AU$5&lt;AI$5)*AV191)))</f>
        <v/>
      </c>
      <c r="AL191">
        <f>IF(AJ191-AK191&lt;0.005,0,AJ191-AK191)</f>
        <v/>
      </c>
      <c r="AM191">
        <f>AR190</f>
        <v/>
      </c>
      <c r="AN191">
        <f>AM191*Plan!D12/100/12</f>
        <v/>
      </c>
      <c r="AO191">
        <f>MIN(Plan!E12,AM191+AN191)</f>
        <v/>
      </c>
      <c r="AP191">
        <f>AM191+AN191-AO191</f>
        <v/>
      </c>
      <c r="AQ191">
        <f>MIN(AP191,MAX(0,$B191-((E$5&lt;AO$5)*F191+(K$5&lt;AO$5)*L191+(Q$5&lt;AO$5)*R191+(W$5&lt;AO$5)*X191+(AC$5&lt;AO$5)*AD191+(AI$5&lt;AO$5)*AJ191+(AU$5&lt;AO$5)*AV191)))</f>
        <v/>
      </c>
      <c r="AR191">
        <f>IF(AP191-AQ191&lt;0.005,0,AP191-AQ191)</f>
        <v/>
      </c>
      <c r="AS191">
        <f>AX190</f>
        <v/>
      </c>
      <c r="AT191">
        <f>AS191*Plan!D13/100/12</f>
        <v/>
      </c>
      <c r="AU191">
        <f>MIN(Plan!E13,AS191+AT191)</f>
        <v/>
      </c>
      <c r="AV191">
        <f>AS191+AT191-AU191</f>
        <v/>
      </c>
      <c r="AW191">
        <f>MIN(AV191,MAX(0,$B191-((E$5&lt;AU$5)*F191+(K$5&lt;AU$5)*L191+(Q$5&lt;AU$5)*R191+(W$5&lt;AU$5)*X191+(AC$5&lt;AU$5)*AD191+(AI$5&lt;AU$5)*AJ191+(AO$5&lt;AU$5)*AP191)))</f>
        <v/>
      </c>
      <c r="AX191">
        <f>IF(AV191-AW191&lt;0.005,0,AV191-AW191)</f>
        <v/>
      </c>
      <c r="BC191">
        <f>H191+N191+T191+Z191+AF191+AL191+AR191+AX191</f>
        <v/>
      </c>
    </row>
    <row r="192">
      <c r="A192" t="n">
        <v>186</v>
      </c>
      <c r="B192" s="19">
        <f>MAX(0,$B$3-(E192+K192+Q192+W192+AC192+AI192+AO192+AU192))</f>
        <v/>
      </c>
      <c r="C192">
        <f>H191</f>
        <v/>
      </c>
      <c r="D192">
        <f>C192*Plan!D6/100/12</f>
        <v/>
      </c>
      <c r="E192">
        <f>MIN(Plan!E6,C192+D192)</f>
        <v/>
      </c>
      <c r="F192">
        <f>C192+D192-E192</f>
        <v/>
      </c>
      <c r="G192">
        <f>MIN(F192,MAX(0,$B192-((K$5&lt;E$5)*L192+(Q$5&lt;E$5)*R192+(W$5&lt;E$5)*X192+(AC$5&lt;E$5)*AD192+(AI$5&lt;E$5)*AJ192+(AO$5&lt;E$5)*AP192+(AU$5&lt;E$5)*AV192)))</f>
        <v/>
      </c>
      <c r="H192">
        <f>IF(F192-G192&lt;0.005,0,F192-G192)</f>
        <v/>
      </c>
      <c r="I192">
        <f>N191</f>
        <v/>
      </c>
      <c r="J192">
        <f>I192*Plan!D7/100/12</f>
        <v/>
      </c>
      <c r="K192">
        <f>MIN(Plan!E7,I192+J192)</f>
        <v/>
      </c>
      <c r="L192">
        <f>I192+J192-K192</f>
        <v/>
      </c>
      <c r="M192">
        <f>MIN(L192,MAX(0,$B192-((E$5&lt;K$5)*F192+(Q$5&lt;K$5)*R192+(W$5&lt;K$5)*X192+(AC$5&lt;K$5)*AD192+(AI$5&lt;K$5)*AJ192+(AO$5&lt;K$5)*AP192+(AU$5&lt;K$5)*AV192)))</f>
        <v/>
      </c>
      <c r="N192">
        <f>IF(L192-M192&lt;0.005,0,L192-M192)</f>
        <v/>
      </c>
      <c r="O192">
        <f>T191</f>
        <v/>
      </c>
      <c r="P192">
        <f>O192*Plan!D8/100/12</f>
        <v/>
      </c>
      <c r="Q192">
        <f>MIN(Plan!E8,O192+P192)</f>
        <v/>
      </c>
      <c r="R192">
        <f>O192+P192-Q192</f>
        <v/>
      </c>
      <c r="S192">
        <f>MIN(R192,MAX(0,$B192-((E$5&lt;Q$5)*F192+(K$5&lt;Q$5)*L192+(W$5&lt;Q$5)*X192+(AC$5&lt;Q$5)*AD192+(AI$5&lt;Q$5)*AJ192+(AO$5&lt;Q$5)*AP192+(AU$5&lt;Q$5)*AV192)))</f>
        <v/>
      </c>
      <c r="T192">
        <f>IF(R192-S192&lt;0.005,0,R192-S192)</f>
        <v/>
      </c>
      <c r="U192">
        <f>Z191</f>
        <v/>
      </c>
      <c r="V192">
        <f>U192*Plan!D9/100/12</f>
        <v/>
      </c>
      <c r="W192">
        <f>MIN(Plan!E9,U192+V192)</f>
        <v/>
      </c>
      <c r="X192">
        <f>U192+V192-W192</f>
        <v/>
      </c>
      <c r="Y192">
        <f>MIN(X192,MAX(0,$B192-((E$5&lt;W$5)*F192+(K$5&lt;W$5)*L192+(Q$5&lt;W$5)*R192+(AC$5&lt;W$5)*AD192+(AI$5&lt;W$5)*AJ192+(AO$5&lt;W$5)*AP192+(AU$5&lt;W$5)*AV192)))</f>
        <v/>
      </c>
      <c r="Z192">
        <f>IF(X192-Y192&lt;0.005,0,X192-Y192)</f>
        <v/>
      </c>
      <c r="AA192">
        <f>AF191</f>
        <v/>
      </c>
      <c r="AB192">
        <f>AA192*Plan!D10/100/12</f>
        <v/>
      </c>
      <c r="AC192">
        <f>MIN(Plan!E10,AA192+AB192)</f>
        <v/>
      </c>
      <c r="AD192">
        <f>AA192+AB192-AC192</f>
        <v/>
      </c>
      <c r="AE192">
        <f>MIN(AD192,MAX(0,$B192-((E$5&lt;AC$5)*F192+(K$5&lt;AC$5)*L192+(Q$5&lt;AC$5)*R192+(W$5&lt;AC$5)*X192+(AI$5&lt;AC$5)*AJ192+(AO$5&lt;AC$5)*AP192+(AU$5&lt;AC$5)*AV192)))</f>
        <v/>
      </c>
      <c r="AF192">
        <f>IF(AD192-AE192&lt;0.005,0,AD192-AE192)</f>
        <v/>
      </c>
      <c r="AG192">
        <f>AL191</f>
        <v/>
      </c>
      <c r="AH192">
        <f>AG192*Plan!D11/100/12</f>
        <v/>
      </c>
      <c r="AI192">
        <f>MIN(Plan!E11,AG192+AH192)</f>
        <v/>
      </c>
      <c r="AJ192">
        <f>AG192+AH192-AI192</f>
        <v/>
      </c>
      <c r="AK192">
        <f>MIN(AJ192,MAX(0,$B192-((E$5&lt;AI$5)*F192+(K$5&lt;AI$5)*L192+(Q$5&lt;AI$5)*R192+(W$5&lt;AI$5)*X192+(AC$5&lt;AI$5)*AD192+(AO$5&lt;AI$5)*AP192+(AU$5&lt;AI$5)*AV192)))</f>
        <v/>
      </c>
      <c r="AL192">
        <f>IF(AJ192-AK192&lt;0.005,0,AJ192-AK192)</f>
        <v/>
      </c>
      <c r="AM192">
        <f>AR191</f>
        <v/>
      </c>
      <c r="AN192">
        <f>AM192*Plan!D12/100/12</f>
        <v/>
      </c>
      <c r="AO192">
        <f>MIN(Plan!E12,AM192+AN192)</f>
        <v/>
      </c>
      <c r="AP192">
        <f>AM192+AN192-AO192</f>
        <v/>
      </c>
      <c r="AQ192">
        <f>MIN(AP192,MAX(0,$B192-((E$5&lt;AO$5)*F192+(K$5&lt;AO$5)*L192+(Q$5&lt;AO$5)*R192+(W$5&lt;AO$5)*X192+(AC$5&lt;AO$5)*AD192+(AI$5&lt;AO$5)*AJ192+(AU$5&lt;AO$5)*AV192)))</f>
        <v/>
      </c>
      <c r="AR192">
        <f>IF(AP192-AQ192&lt;0.005,0,AP192-AQ192)</f>
        <v/>
      </c>
      <c r="AS192">
        <f>AX191</f>
        <v/>
      </c>
      <c r="AT192">
        <f>AS192*Plan!D13/100/12</f>
        <v/>
      </c>
      <c r="AU192">
        <f>MIN(Plan!E13,AS192+AT192)</f>
        <v/>
      </c>
      <c r="AV192">
        <f>AS192+AT192-AU192</f>
        <v/>
      </c>
      <c r="AW192">
        <f>MIN(AV192,MAX(0,$B192-((E$5&lt;AU$5)*F192+(K$5&lt;AU$5)*L192+(Q$5&lt;AU$5)*R192+(W$5&lt;AU$5)*X192+(AC$5&lt;AU$5)*AD192+(AI$5&lt;AU$5)*AJ192+(AO$5&lt;AU$5)*AP192)))</f>
        <v/>
      </c>
      <c r="AX192">
        <f>IF(AV192-AW192&lt;0.005,0,AV192-AW192)</f>
        <v/>
      </c>
      <c r="BC192">
        <f>H192+N192+T192+Z192+AF192+AL192+AR192+AX192</f>
        <v/>
      </c>
    </row>
    <row r="193">
      <c r="A193" t="n">
        <v>187</v>
      </c>
      <c r="B193" s="19">
        <f>MAX(0,$B$3-(E193+K193+Q193+W193+AC193+AI193+AO193+AU193))</f>
        <v/>
      </c>
      <c r="C193">
        <f>H192</f>
        <v/>
      </c>
      <c r="D193">
        <f>C193*Plan!D6/100/12</f>
        <v/>
      </c>
      <c r="E193">
        <f>MIN(Plan!E6,C193+D193)</f>
        <v/>
      </c>
      <c r="F193">
        <f>C193+D193-E193</f>
        <v/>
      </c>
      <c r="G193">
        <f>MIN(F193,MAX(0,$B193-((K$5&lt;E$5)*L193+(Q$5&lt;E$5)*R193+(W$5&lt;E$5)*X193+(AC$5&lt;E$5)*AD193+(AI$5&lt;E$5)*AJ193+(AO$5&lt;E$5)*AP193+(AU$5&lt;E$5)*AV193)))</f>
        <v/>
      </c>
      <c r="H193">
        <f>IF(F193-G193&lt;0.005,0,F193-G193)</f>
        <v/>
      </c>
      <c r="I193">
        <f>N192</f>
        <v/>
      </c>
      <c r="J193">
        <f>I193*Plan!D7/100/12</f>
        <v/>
      </c>
      <c r="K193">
        <f>MIN(Plan!E7,I193+J193)</f>
        <v/>
      </c>
      <c r="L193">
        <f>I193+J193-K193</f>
        <v/>
      </c>
      <c r="M193">
        <f>MIN(L193,MAX(0,$B193-((E$5&lt;K$5)*F193+(Q$5&lt;K$5)*R193+(W$5&lt;K$5)*X193+(AC$5&lt;K$5)*AD193+(AI$5&lt;K$5)*AJ193+(AO$5&lt;K$5)*AP193+(AU$5&lt;K$5)*AV193)))</f>
        <v/>
      </c>
      <c r="N193">
        <f>IF(L193-M193&lt;0.005,0,L193-M193)</f>
        <v/>
      </c>
      <c r="O193">
        <f>T192</f>
        <v/>
      </c>
      <c r="P193">
        <f>O193*Plan!D8/100/12</f>
        <v/>
      </c>
      <c r="Q193">
        <f>MIN(Plan!E8,O193+P193)</f>
        <v/>
      </c>
      <c r="R193">
        <f>O193+P193-Q193</f>
        <v/>
      </c>
      <c r="S193">
        <f>MIN(R193,MAX(0,$B193-((E$5&lt;Q$5)*F193+(K$5&lt;Q$5)*L193+(W$5&lt;Q$5)*X193+(AC$5&lt;Q$5)*AD193+(AI$5&lt;Q$5)*AJ193+(AO$5&lt;Q$5)*AP193+(AU$5&lt;Q$5)*AV193)))</f>
        <v/>
      </c>
      <c r="T193">
        <f>IF(R193-S193&lt;0.005,0,R193-S193)</f>
        <v/>
      </c>
      <c r="U193">
        <f>Z192</f>
        <v/>
      </c>
      <c r="V193">
        <f>U193*Plan!D9/100/12</f>
        <v/>
      </c>
      <c r="W193">
        <f>MIN(Plan!E9,U193+V193)</f>
        <v/>
      </c>
      <c r="X193">
        <f>U193+V193-W193</f>
        <v/>
      </c>
      <c r="Y193">
        <f>MIN(X193,MAX(0,$B193-((E$5&lt;W$5)*F193+(K$5&lt;W$5)*L193+(Q$5&lt;W$5)*R193+(AC$5&lt;W$5)*AD193+(AI$5&lt;W$5)*AJ193+(AO$5&lt;W$5)*AP193+(AU$5&lt;W$5)*AV193)))</f>
        <v/>
      </c>
      <c r="Z193">
        <f>IF(X193-Y193&lt;0.005,0,X193-Y193)</f>
        <v/>
      </c>
      <c r="AA193">
        <f>AF192</f>
        <v/>
      </c>
      <c r="AB193">
        <f>AA193*Plan!D10/100/12</f>
        <v/>
      </c>
      <c r="AC193">
        <f>MIN(Plan!E10,AA193+AB193)</f>
        <v/>
      </c>
      <c r="AD193">
        <f>AA193+AB193-AC193</f>
        <v/>
      </c>
      <c r="AE193">
        <f>MIN(AD193,MAX(0,$B193-((E$5&lt;AC$5)*F193+(K$5&lt;AC$5)*L193+(Q$5&lt;AC$5)*R193+(W$5&lt;AC$5)*X193+(AI$5&lt;AC$5)*AJ193+(AO$5&lt;AC$5)*AP193+(AU$5&lt;AC$5)*AV193)))</f>
        <v/>
      </c>
      <c r="AF193">
        <f>IF(AD193-AE193&lt;0.005,0,AD193-AE193)</f>
        <v/>
      </c>
      <c r="AG193">
        <f>AL192</f>
        <v/>
      </c>
      <c r="AH193">
        <f>AG193*Plan!D11/100/12</f>
        <v/>
      </c>
      <c r="AI193">
        <f>MIN(Plan!E11,AG193+AH193)</f>
        <v/>
      </c>
      <c r="AJ193">
        <f>AG193+AH193-AI193</f>
        <v/>
      </c>
      <c r="AK193">
        <f>MIN(AJ193,MAX(0,$B193-((E$5&lt;AI$5)*F193+(K$5&lt;AI$5)*L193+(Q$5&lt;AI$5)*R193+(W$5&lt;AI$5)*X193+(AC$5&lt;AI$5)*AD193+(AO$5&lt;AI$5)*AP193+(AU$5&lt;AI$5)*AV193)))</f>
        <v/>
      </c>
      <c r="AL193">
        <f>IF(AJ193-AK193&lt;0.005,0,AJ193-AK193)</f>
        <v/>
      </c>
      <c r="AM193">
        <f>AR192</f>
        <v/>
      </c>
      <c r="AN193">
        <f>AM193*Plan!D12/100/12</f>
        <v/>
      </c>
      <c r="AO193">
        <f>MIN(Plan!E12,AM193+AN193)</f>
        <v/>
      </c>
      <c r="AP193">
        <f>AM193+AN193-AO193</f>
        <v/>
      </c>
      <c r="AQ193">
        <f>MIN(AP193,MAX(0,$B193-((E$5&lt;AO$5)*F193+(K$5&lt;AO$5)*L193+(Q$5&lt;AO$5)*R193+(W$5&lt;AO$5)*X193+(AC$5&lt;AO$5)*AD193+(AI$5&lt;AO$5)*AJ193+(AU$5&lt;AO$5)*AV193)))</f>
        <v/>
      </c>
      <c r="AR193">
        <f>IF(AP193-AQ193&lt;0.005,0,AP193-AQ193)</f>
        <v/>
      </c>
      <c r="AS193">
        <f>AX192</f>
        <v/>
      </c>
      <c r="AT193">
        <f>AS193*Plan!D13/100/12</f>
        <v/>
      </c>
      <c r="AU193">
        <f>MIN(Plan!E13,AS193+AT193)</f>
        <v/>
      </c>
      <c r="AV193">
        <f>AS193+AT193-AU193</f>
        <v/>
      </c>
      <c r="AW193">
        <f>MIN(AV193,MAX(0,$B193-((E$5&lt;AU$5)*F193+(K$5&lt;AU$5)*L193+(Q$5&lt;AU$5)*R193+(W$5&lt;AU$5)*X193+(AC$5&lt;AU$5)*AD193+(AI$5&lt;AU$5)*AJ193+(AO$5&lt;AU$5)*AP193)))</f>
        <v/>
      </c>
      <c r="AX193">
        <f>IF(AV193-AW193&lt;0.005,0,AV193-AW193)</f>
        <v/>
      </c>
      <c r="BC193">
        <f>H193+N193+T193+Z193+AF193+AL193+AR193+AX193</f>
        <v/>
      </c>
    </row>
    <row r="194">
      <c r="A194" t="n">
        <v>188</v>
      </c>
      <c r="B194" s="19">
        <f>MAX(0,$B$3-(E194+K194+Q194+W194+AC194+AI194+AO194+AU194))</f>
        <v/>
      </c>
      <c r="C194">
        <f>H193</f>
        <v/>
      </c>
      <c r="D194">
        <f>C194*Plan!D6/100/12</f>
        <v/>
      </c>
      <c r="E194">
        <f>MIN(Plan!E6,C194+D194)</f>
        <v/>
      </c>
      <c r="F194">
        <f>C194+D194-E194</f>
        <v/>
      </c>
      <c r="G194">
        <f>MIN(F194,MAX(0,$B194-((K$5&lt;E$5)*L194+(Q$5&lt;E$5)*R194+(W$5&lt;E$5)*X194+(AC$5&lt;E$5)*AD194+(AI$5&lt;E$5)*AJ194+(AO$5&lt;E$5)*AP194+(AU$5&lt;E$5)*AV194)))</f>
        <v/>
      </c>
      <c r="H194">
        <f>IF(F194-G194&lt;0.005,0,F194-G194)</f>
        <v/>
      </c>
      <c r="I194">
        <f>N193</f>
        <v/>
      </c>
      <c r="J194">
        <f>I194*Plan!D7/100/12</f>
        <v/>
      </c>
      <c r="K194">
        <f>MIN(Plan!E7,I194+J194)</f>
        <v/>
      </c>
      <c r="L194">
        <f>I194+J194-K194</f>
        <v/>
      </c>
      <c r="M194">
        <f>MIN(L194,MAX(0,$B194-((E$5&lt;K$5)*F194+(Q$5&lt;K$5)*R194+(W$5&lt;K$5)*X194+(AC$5&lt;K$5)*AD194+(AI$5&lt;K$5)*AJ194+(AO$5&lt;K$5)*AP194+(AU$5&lt;K$5)*AV194)))</f>
        <v/>
      </c>
      <c r="N194">
        <f>IF(L194-M194&lt;0.005,0,L194-M194)</f>
        <v/>
      </c>
      <c r="O194">
        <f>T193</f>
        <v/>
      </c>
      <c r="P194">
        <f>O194*Plan!D8/100/12</f>
        <v/>
      </c>
      <c r="Q194">
        <f>MIN(Plan!E8,O194+P194)</f>
        <v/>
      </c>
      <c r="R194">
        <f>O194+P194-Q194</f>
        <v/>
      </c>
      <c r="S194">
        <f>MIN(R194,MAX(0,$B194-((E$5&lt;Q$5)*F194+(K$5&lt;Q$5)*L194+(W$5&lt;Q$5)*X194+(AC$5&lt;Q$5)*AD194+(AI$5&lt;Q$5)*AJ194+(AO$5&lt;Q$5)*AP194+(AU$5&lt;Q$5)*AV194)))</f>
        <v/>
      </c>
      <c r="T194">
        <f>IF(R194-S194&lt;0.005,0,R194-S194)</f>
        <v/>
      </c>
      <c r="U194">
        <f>Z193</f>
        <v/>
      </c>
      <c r="V194">
        <f>U194*Plan!D9/100/12</f>
        <v/>
      </c>
      <c r="W194">
        <f>MIN(Plan!E9,U194+V194)</f>
        <v/>
      </c>
      <c r="X194">
        <f>U194+V194-W194</f>
        <v/>
      </c>
      <c r="Y194">
        <f>MIN(X194,MAX(0,$B194-((E$5&lt;W$5)*F194+(K$5&lt;W$5)*L194+(Q$5&lt;W$5)*R194+(AC$5&lt;W$5)*AD194+(AI$5&lt;W$5)*AJ194+(AO$5&lt;W$5)*AP194+(AU$5&lt;W$5)*AV194)))</f>
        <v/>
      </c>
      <c r="Z194">
        <f>IF(X194-Y194&lt;0.005,0,X194-Y194)</f>
        <v/>
      </c>
      <c r="AA194">
        <f>AF193</f>
        <v/>
      </c>
      <c r="AB194">
        <f>AA194*Plan!D10/100/12</f>
        <v/>
      </c>
      <c r="AC194">
        <f>MIN(Plan!E10,AA194+AB194)</f>
        <v/>
      </c>
      <c r="AD194">
        <f>AA194+AB194-AC194</f>
        <v/>
      </c>
      <c r="AE194">
        <f>MIN(AD194,MAX(0,$B194-((E$5&lt;AC$5)*F194+(K$5&lt;AC$5)*L194+(Q$5&lt;AC$5)*R194+(W$5&lt;AC$5)*X194+(AI$5&lt;AC$5)*AJ194+(AO$5&lt;AC$5)*AP194+(AU$5&lt;AC$5)*AV194)))</f>
        <v/>
      </c>
      <c r="AF194">
        <f>IF(AD194-AE194&lt;0.005,0,AD194-AE194)</f>
        <v/>
      </c>
      <c r="AG194">
        <f>AL193</f>
        <v/>
      </c>
      <c r="AH194">
        <f>AG194*Plan!D11/100/12</f>
        <v/>
      </c>
      <c r="AI194">
        <f>MIN(Plan!E11,AG194+AH194)</f>
        <v/>
      </c>
      <c r="AJ194">
        <f>AG194+AH194-AI194</f>
        <v/>
      </c>
      <c r="AK194">
        <f>MIN(AJ194,MAX(0,$B194-((E$5&lt;AI$5)*F194+(K$5&lt;AI$5)*L194+(Q$5&lt;AI$5)*R194+(W$5&lt;AI$5)*X194+(AC$5&lt;AI$5)*AD194+(AO$5&lt;AI$5)*AP194+(AU$5&lt;AI$5)*AV194)))</f>
        <v/>
      </c>
      <c r="AL194">
        <f>IF(AJ194-AK194&lt;0.005,0,AJ194-AK194)</f>
        <v/>
      </c>
      <c r="AM194">
        <f>AR193</f>
        <v/>
      </c>
      <c r="AN194">
        <f>AM194*Plan!D12/100/12</f>
        <v/>
      </c>
      <c r="AO194">
        <f>MIN(Plan!E12,AM194+AN194)</f>
        <v/>
      </c>
      <c r="AP194">
        <f>AM194+AN194-AO194</f>
        <v/>
      </c>
      <c r="AQ194">
        <f>MIN(AP194,MAX(0,$B194-((E$5&lt;AO$5)*F194+(K$5&lt;AO$5)*L194+(Q$5&lt;AO$5)*R194+(W$5&lt;AO$5)*X194+(AC$5&lt;AO$5)*AD194+(AI$5&lt;AO$5)*AJ194+(AU$5&lt;AO$5)*AV194)))</f>
        <v/>
      </c>
      <c r="AR194">
        <f>IF(AP194-AQ194&lt;0.005,0,AP194-AQ194)</f>
        <v/>
      </c>
      <c r="AS194">
        <f>AX193</f>
        <v/>
      </c>
      <c r="AT194">
        <f>AS194*Plan!D13/100/12</f>
        <v/>
      </c>
      <c r="AU194">
        <f>MIN(Plan!E13,AS194+AT194)</f>
        <v/>
      </c>
      <c r="AV194">
        <f>AS194+AT194-AU194</f>
        <v/>
      </c>
      <c r="AW194">
        <f>MIN(AV194,MAX(0,$B194-((E$5&lt;AU$5)*F194+(K$5&lt;AU$5)*L194+(Q$5&lt;AU$5)*R194+(W$5&lt;AU$5)*X194+(AC$5&lt;AU$5)*AD194+(AI$5&lt;AU$5)*AJ194+(AO$5&lt;AU$5)*AP194)))</f>
        <v/>
      </c>
      <c r="AX194">
        <f>IF(AV194-AW194&lt;0.005,0,AV194-AW194)</f>
        <v/>
      </c>
      <c r="BC194">
        <f>H194+N194+T194+Z194+AF194+AL194+AR194+AX194</f>
        <v/>
      </c>
    </row>
    <row r="195">
      <c r="A195" t="n">
        <v>189</v>
      </c>
      <c r="B195" s="19">
        <f>MAX(0,$B$3-(E195+K195+Q195+W195+AC195+AI195+AO195+AU195))</f>
        <v/>
      </c>
      <c r="C195">
        <f>H194</f>
        <v/>
      </c>
      <c r="D195">
        <f>C195*Plan!D6/100/12</f>
        <v/>
      </c>
      <c r="E195">
        <f>MIN(Plan!E6,C195+D195)</f>
        <v/>
      </c>
      <c r="F195">
        <f>C195+D195-E195</f>
        <v/>
      </c>
      <c r="G195">
        <f>MIN(F195,MAX(0,$B195-((K$5&lt;E$5)*L195+(Q$5&lt;E$5)*R195+(W$5&lt;E$5)*X195+(AC$5&lt;E$5)*AD195+(AI$5&lt;E$5)*AJ195+(AO$5&lt;E$5)*AP195+(AU$5&lt;E$5)*AV195)))</f>
        <v/>
      </c>
      <c r="H195">
        <f>IF(F195-G195&lt;0.005,0,F195-G195)</f>
        <v/>
      </c>
      <c r="I195">
        <f>N194</f>
        <v/>
      </c>
      <c r="J195">
        <f>I195*Plan!D7/100/12</f>
        <v/>
      </c>
      <c r="K195">
        <f>MIN(Plan!E7,I195+J195)</f>
        <v/>
      </c>
      <c r="L195">
        <f>I195+J195-K195</f>
        <v/>
      </c>
      <c r="M195">
        <f>MIN(L195,MAX(0,$B195-((E$5&lt;K$5)*F195+(Q$5&lt;K$5)*R195+(W$5&lt;K$5)*X195+(AC$5&lt;K$5)*AD195+(AI$5&lt;K$5)*AJ195+(AO$5&lt;K$5)*AP195+(AU$5&lt;K$5)*AV195)))</f>
        <v/>
      </c>
      <c r="N195">
        <f>IF(L195-M195&lt;0.005,0,L195-M195)</f>
        <v/>
      </c>
      <c r="O195">
        <f>T194</f>
        <v/>
      </c>
      <c r="P195">
        <f>O195*Plan!D8/100/12</f>
        <v/>
      </c>
      <c r="Q195">
        <f>MIN(Plan!E8,O195+P195)</f>
        <v/>
      </c>
      <c r="R195">
        <f>O195+P195-Q195</f>
        <v/>
      </c>
      <c r="S195">
        <f>MIN(R195,MAX(0,$B195-((E$5&lt;Q$5)*F195+(K$5&lt;Q$5)*L195+(W$5&lt;Q$5)*X195+(AC$5&lt;Q$5)*AD195+(AI$5&lt;Q$5)*AJ195+(AO$5&lt;Q$5)*AP195+(AU$5&lt;Q$5)*AV195)))</f>
        <v/>
      </c>
      <c r="T195">
        <f>IF(R195-S195&lt;0.005,0,R195-S195)</f>
        <v/>
      </c>
      <c r="U195">
        <f>Z194</f>
        <v/>
      </c>
      <c r="V195">
        <f>U195*Plan!D9/100/12</f>
        <v/>
      </c>
      <c r="W195">
        <f>MIN(Plan!E9,U195+V195)</f>
        <v/>
      </c>
      <c r="X195">
        <f>U195+V195-W195</f>
        <v/>
      </c>
      <c r="Y195">
        <f>MIN(X195,MAX(0,$B195-((E$5&lt;W$5)*F195+(K$5&lt;W$5)*L195+(Q$5&lt;W$5)*R195+(AC$5&lt;W$5)*AD195+(AI$5&lt;W$5)*AJ195+(AO$5&lt;W$5)*AP195+(AU$5&lt;W$5)*AV195)))</f>
        <v/>
      </c>
      <c r="Z195">
        <f>IF(X195-Y195&lt;0.005,0,X195-Y195)</f>
        <v/>
      </c>
      <c r="AA195">
        <f>AF194</f>
        <v/>
      </c>
      <c r="AB195">
        <f>AA195*Plan!D10/100/12</f>
        <v/>
      </c>
      <c r="AC195">
        <f>MIN(Plan!E10,AA195+AB195)</f>
        <v/>
      </c>
      <c r="AD195">
        <f>AA195+AB195-AC195</f>
        <v/>
      </c>
      <c r="AE195">
        <f>MIN(AD195,MAX(0,$B195-((E$5&lt;AC$5)*F195+(K$5&lt;AC$5)*L195+(Q$5&lt;AC$5)*R195+(W$5&lt;AC$5)*X195+(AI$5&lt;AC$5)*AJ195+(AO$5&lt;AC$5)*AP195+(AU$5&lt;AC$5)*AV195)))</f>
        <v/>
      </c>
      <c r="AF195">
        <f>IF(AD195-AE195&lt;0.005,0,AD195-AE195)</f>
        <v/>
      </c>
      <c r="AG195">
        <f>AL194</f>
        <v/>
      </c>
      <c r="AH195">
        <f>AG195*Plan!D11/100/12</f>
        <v/>
      </c>
      <c r="AI195">
        <f>MIN(Plan!E11,AG195+AH195)</f>
        <v/>
      </c>
      <c r="AJ195">
        <f>AG195+AH195-AI195</f>
        <v/>
      </c>
      <c r="AK195">
        <f>MIN(AJ195,MAX(0,$B195-((E$5&lt;AI$5)*F195+(K$5&lt;AI$5)*L195+(Q$5&lt;AI$5)*R195+(W$5&lt;AI$5)*X195+(AC$5&lt;AI$5)*AD195+(AO$5&lt;AI$5)*AP195+(AU$5&lt;AI$5)*AV195)))</f>
        <v/>
      </c>
      <c r="AL195">
        <f>IF(AJ195-AK195&lt;0.005,0,AJ195-AK195)</f>
        <v/>
      </c>
      <c r="AM195">
        <f>AR194</f>
        <v/>
      </c>
      <c r="AN195">
        <f>AM195*Plan!D12/100/12</f>
        <v/>
      </c>
      <c r="AO195">
        <f>MIN(Plan!E12,AM195+AN195)</f>
        <v/>
      </c>
      <c r="AP195">
        <f>AM195+AN195-AO195</f>
        <v/>
      </c>
      <c r="AQ195">
        <f>MIN(AP195,MAX(0,$B195-((E$5&lt;AO$5)*F195+(K$5&lt;AO$5)*L195+(Q$5&lt;AO$5)*R195+(W$5&lt;AO$5)*X195+(AC$5&lt;AO$5)*AD195+(AI$5&lt;AO$5)*AJ195+(AU$5&lt;AO$5)*AV195)))</f>
        <v/>
      </c>
      <c r="AR195">
        <f>IF(AP195-AQ195&lt;0.005,0,AP195-AQ195)</f>
        <v/>
      </c>
      <c r="AS195">
        <f>AX194</f>
        <v/>
      </c>
      <c r="AT195">
        <f>AS195*Plan!D13/100/12</f>
        <v/>
      </c>
      <c r="AU195">
        <f>MIN(Plan!E13,AS195+AT195)</f>
        <v/>
      </c>
      <c r="AV195">
        <f>AS195+AT195-AU195</f>
        <v/>
      </c>
      <c r="AW195">
        <f>MIN(AV195,MAX(0,$B195-((E$5&lt;AU$5)*F195+(K$5&lt;AU$5)*L195+(Q$5&lt;AU$5)*R195+(W$5&lt;AU$5)*X195+(AC$5&lt;AU$5)*AD195+(AI$5&lt;AU$5)*AJ195+(AO$5&lt;AU$5)*AP195)))</f>
        <v/>
      </c>
      <c r="AX195">
        <f>IF(AV195-AW195&lt;0.005,0,AV195-AW195)</f>
        <v/>
      </c>
      <c r="BC195">
        <f>H195+N195+T195+Z195+AF195+AL195+AR195+AX195</f>
        <v/>
      </c>
    </row>
    <row r="196">
      <c r="A196" t="n">
        <v>190</v>
      </c>
      <c r="B196" s="19">
        <f>MAX(0,$B$3-(E196+K196+Q196+W196+AC196+AI196+AO196+AU196))</f>
        <v/>
      </c>
      <c r="C196">
        <f>H195</f>
        <v/>
      </c>
      <c r="D196">
        <f>C196*Plan!D6/100/12</f>
        <v/>
      </c>
      <c r="E196">
        <f>MIN(Plan!E6,C196+D196)</f>
        <v/>
      </c>
      <c r="F196">
        <f>C196+D196-E196</f>
        <v/>
      </c>
      <c r="G196">
        <f>MIN(F196,MAX(0,$B196-((K$5&lt;E$5)*L196+(Q$5&lt;E$5)*R196+(W$5&lt;E$5)*X196+(AC$5&lt;E$5)*AD196+(AI$5&lt;E$5)*AJ196+(AO$5&lt;E$5)*AP196+(AU$5&lt;E$5)*AV196)))</f>
        <v/>
      </c>
      <c r="H196">
        <f>IF(F196-G196&lt;0.005,0,F196-G196)</f>
        <v/>
      </c>
      <c r="I196">
        <f>N195</f>
        <v/>
      </c>
      <c r="J196">
        <f>I196*Plan!D7/100/12</f>
        <v/>
      </c>
      <c r="K196">
        <f>MIN(Plan!E7,I196+J196)</f>
        <v/>
      </c>
      <c r="L196">
        <f>I196+J196-K196</f>
        <v/>
      </c>
      <c r="M196">
        <f>MIN(L196,MAX(0,$B196-((E$5&lt;K$5)*F196+(Q$5&lt;K$5)*R196+(W$5&lt;K$5)*X196+(AC$5&lt;K$5)*AD196+(AI$5&lt;K$5)*AJ196+(AO$5&lt;K$5)*AP196+(AU$5&lt;K$5)*AV196)))</f>
        <v/>
      </c>
      <c r="N196">
        <f>IF(L196-M196&lt;0.005,0,L196-M196)</f>
        <v/>
      </c>
      <c r="O196">
        <f>T195</f>
        <v/>
      </c>
      <c r="P196">
        <f>O196*Plan!D8/100/12</f>
        <v/>
      </c>
      <c r="Q196">
        <f>MIN(Plan!E8,O196+P196)</f>
        <v/>
      </c>
      <c r="R196">
        <f>O196+P196-Q196</f>
        <v/>
      </c>
      <c r="S196">
        <f>MIN(R196,MAX(0,$B196-((E$5&lt;Q$5)*F196+(K$5&lt;Q$5)*L196+(W$5&lt;Q$5)*X196+(AC$5&lt;Q$5)*AD196+(AI$5&lt;Q$5)*AJ196+(AO$5&lt;Q$5)*AP196+(AU$5&lt;Q$5)*AV196)))</f>
        <v/>
      </c>
      <c r="T196">
        <f>IF(R196-S196&lt;0.005,0,R196-S196)</f>
        <v/>
      </c>
      <c r="U196">
        <f>Z195</f>
        <v/>
      </c>
      <c r="V196">
        <f>U196*Plan!D9/100/12</f>
        <v/>
      </c>
      <c r="W196">
        <f>MIN(Plan!E9,U196+V196)</f>
        <v/>
      </c>
      <c r="X196">
        <f>U196+V196-W196</f>
        <v/>
      </c>
      <c r="Y196">
        <f>MIN(X196,MAX(0,$B196-((E$5&lt;W$5)*F196+(K$5&lt;W$5)*L196+(Q$5&lt;W$5)*R196+(AC$5&lt;W$5)*AD196+(AI$5&lt;W$5)*AJ196+(AO$5&lt;W$5)*AP196+(AU$5&lt;W$5)*AV196)))</f>
        <v/>
      </c>
      <c r="Z196">
        <f>IF(X196-Y196&lt;0.005,0,X196-Y196)</f>
        <v/>
      </c>
      <c r="AA196">
        <f>AF195</f>
        <v/>
      </c>
      <c r="AB196">
        <f>AA196*Plan!D10/100/12</f>
        <v/>
      </c>
      <c r="AC196">
        <f>MIN(Plan!E10,AA196+AB196)</f>
        <v/>
      </c>
      <c r="AD196">
        <f>AA196+AB196-AC196</f>
        <v/>
      </c>
      <c r="AE196">
        <f>MIN(AD196,MAX(0,$B196-((E$5&lt;AC$5)*F196+(K$5&lt;AC$5)*L196+(Q$5&lt;AC$5)*R196+(W$5&lt;AC$5)*X196+(AI$5&lt;AC$5)*AJ196+(AO$5&lt;AC$5)*AP196+(AU$5&lt;AC$5)*AV196)))</f>
        <v/>
      </c>
      <c r="AF196">
        <f>IF(AD196-AE196&lt;0.005,0,AD196-AE196)</f>
        <v/>
      </c>
      <c r="AG196">
        <f>AL195</f>
        <v/>
      </c>
      <c r="AH196">
        <f>AG196*Plan!D11/100/12</f>
        <v/>
      </c>
      <c r="AI196">
        <f>MIN(Plan!E11,AG196+AH196)</f>
        <v/>
      </c>
      <c r="AJ196">
        <f>AG196+AH196-AI196</f>
        <v/>
      </c>
      <c r="AK196">
        <f>MIN(AJ196,MAX(0,$B196-((E$5&lt;AI$5)*F196+(K$5&lt;AI$5)*L196+(Q$5&lt;AI$5)*R196+(W$5&lt;AI$5)*X196+(AC$5&lt;AI$5)*AD196+(AO$5&lt;AI$5)*AP196+(AU$5&lt;AI$5)*AV196)))</f>
        <v/>
      </c>
      <c r="AL196">
        <f>IF(AJ196-AK196&lt;0.005,0,AJ196-AK196)</f>
        <v/>
      </c>
      <c r="AM196">
        <f>AR195</f>
        <v/>
      </c>
      <c r="AN196">
        <f>AM196*Plan!D12/100/12</f>
        <v/>
      </c>
      <c r="AO196">
        <f>MIN(Plan!E12,AM196+AN196)</f>
        <v/>
      </c>
      <c r="AP196">
        <f>AM196+AN196-AO196</f>
        <v/>
      </c>
      <c r="AQ196">
        <f>MIN(AP196,MAX(0,$B196-((E$5&lt;AO$5)*F196+(K$5&lt;AO$5)*L196+(Q$5&lt;AO$5)*R196+(W$5&lt;AO$5)*X196+(AC$5&lt;AO$5)*AD196+(AI$5&lt;AO$5)*AJ196+(AU$5&lt;AO$5)*AV196)))</f>
        <v/>
      </c>
      <c r="AR196">
        <f>IF(AP196-AQ196&lt;0.005,0,AP196-AQ196)</f>
        <v/>
      </c>
      <c r="AS196">
        <f>AX195</f>
        <v/>
      </c>
      <c r="AT196">
        <f>AS196*Plan!D13/100/12</f>
        <v/>
      </c>
      <c r="AU196">
        <f>MIN(Plan!E13,AS196+AT196)</f>
        <v/>
      </c>
      <c r="AV196">
        <f>AS196+AT196-AU196</f>
        <v/>
      </c>
      <c r="AW196">
        <f>MIN(AV196,MAX(0,$B196-((E$5&lt;AU$5)*F196+(K$5&lt;AU$5)*L196+(Q$5&lt;AU$5)*R196+(W$5&lt;AU$5)*X196+(AC$5&lt;AU$5)*AD196+(AI$5&lt;AU$5)*AJ196+(AO$5&lt;AU$5)*AP196)))</f>
        <v/>
      </c>
      <c r="AX196">
        <f>IF(AV196-AW196&lt;0.005,0,AV196-AW196)</f>
        <v/>
      </c>
      <c r="BC196">
        <f>H196+N196+T196+Z196+AF196+AL196+AR196+AX196</f>
        <v/>
      </c>
    </row>
    <row r="197">
      <c r="A197" t="n">
        <v>191</v>
      </c>
      <c r="B197" s="19">
        <f>MAX(0,$B$3-(E197+K197+Q197+W197+AC197+AI197+AO197+AU197))</f>
        <v/>
      </c>
      <c r="C197">
        <f>H196</f>
        <v/>
      </c>
      <c r="D197">
        <f>C197*Plan!D6/100/12</f>
        <v/>
      </c>
      <c r="E197">
        <f>MIN(Plan!E6,C197+D197)</f>
        <v/>
      </c>
      <c r="F197">
        <f>C197+D197-E197</f>
        <v/>
      </c>
      <c r="G197">
        <f>MIN(F197,MAX(0,$B197-((K$5&lt;E$5)*L197+(Q$5&lt;E$5)*R197+(W$5&lt;E$5)*X197+(AC$5&lt;E$5)*AD197+(AI$5&lt;E$5)*AJ197+(AO$5&lt;E$5)*AP197+(AU$5&lt;E$5)*AV197)))</f>
        <v/>
      </c>
      <c r="H197">
        <f>IF(F197-G197&lt;0.005,0,F197-G197)</f>
        <v/>
      </c>
      <c r="I197">
        <f>N196</f>
        <v/>
      </c>
      <c r="J197">
        <f>I197*Plan!D7/100/12</f>
        <v/>
      </c>
      <c r="K197">
        <f>MIN(Plan!E7,I197+J197)</f>
        <v/>
      </c>
      <c r="L197">
        <f>I197+J197-K197</f>
        <v/>
      </c>
      <c r="M197">
        <f>MIN(L197,MAX(0,$B197-((E$5&lt;K$5)*F197+(Q$5&lt;K$5)*R197+(W$5&lt;K$5)*X197+(AC$5&lt;K$5)*AD197+(AI$5&lt;K$5)*AJ197+(AO$5&lt;K$5)*AP197+(AU$5&lt;K$5)*AV197)))</f>
        <v/>
      </c>
      <c r="N197">
        <f>IF(L197-M197&lt;0.005,0,L197-M197)</f>
        <v/>
      </c>
      <c r="O197">
        <f>T196</f>
        <v/>
      </c>
      <c r="P197">
        <f>O197*Plan!D8/100/12</f>
        <v/>
      </c>
      <c r="Q197">
        <f>MIN(Plan!E8,O197+P197)</f>
        <v/>
      </c>
      <c r="R197">
        <f>O197+P197-Q197</f>
        <v/>
      </c>
      <c r="S197">
        <f>MIN(R197,MAX(0,$B197-((E$5&lt;Q$5)*F197+(K$5&lt;Q$5)*L197+(W$5&lt;Q$5)*X197+(AC$5&lt;Q$5)*AD197+(AI$5&lt;Q$5)*AJ197+(AO$5&lt;Q$5)*AP197+(AU$5&lt;Q$5)*AV197)))</f>
        <v/>
      </c>
      <c r="T197">
        <f>IF(R197-S197&lt;0.005,0,R197-S197)</f>
        <v/>
      </c>
      <c r="U197">
        <f>Z196</f>
        <v/>
      </c>
      <c r="V197">
        <f>U197*Plan!D9/100/12</f>
        <v/>
      </c>
      <c r="W197">
        <f>MIN(Plan!E9,U197+V197)</f>
        <v/>
      </c>
      <c r="X197">
        <f>U197+V197-W197</f>
        <v/>
      </c>
      <c r="Y197">
        <f>MIN(X197,MAX(0,$B197-((E$5&lt;W$5)*F197+(K$5&lt;W$5)*L197+(Q$5&lt;W$5)*R197+(AC$5&lt;W$5)*AD197+(AI$5&lt;W$5)*AJ197+(AO$5&lt;W$5)*AP197+(AU$5&lt;W$5)*AV197)))</f>
        <v/>
      </c>
      <c r="Z197">
        <f>IF(X197-Y197&lt;0.005,0,X197-Y197)</f>
        <v/>
      </c>
      <c r="AA197">
        <f>AF196</f>
        <v/>
      </c>
      <c r="AB197">
        <f>AA197*Plan!D10/100/12</f>
        <v/>
      </c>
      <c r="AC197">
        <f>MIN(Plan!E10,AA197+AB197)</f>
        <v/>
      </c>
      <c r="AD197">
        <f>AA197+AB197-AC197</f>
        <v/>
      </c>
      <c r="AE197">
        <f>MIN(AD197,MAX(0,$B197-((E$5&lt;AC$5)*F197+(K$5&lt;AC$5)*L197+(Q$5&lt;AC$5)*R197+(W$5&lt;AC$5)*X197+(AI$5&lt;AC$5)*AJ197+(AO$5&lt;AC$5)*AP197+(AU$5&lt;AC$5)*AV197)))</f>
        <v/>
      </c>
      <c r="AF197">
        <f>IF(AD197-AE197&lt;0.005,0,AD197-AE197)</f>
        <v/>
      </c>
      <c r="AG197">
        <f>AL196</f>
        <v/>
      </c>
      <c r="AH197">
        <f>AG197*Plan!D11/100/12</f>
        <v/>
      </c>
      <c r="AI197">
        <f>MIN(Plan!E11,AG197+AH197)</f>
        <v/>
      </c>
      <c r="AJ197">
        <f>AG197+AH197-AI197</f>
        <v/>
      </c>
      <c r="AK197">
        <f>MIN(AJ197,MAX(0,$B197-((E$5&lt;AI$5)*F197+(K$5&lt;AI$5)*L197+(Q$5&lt;AI$5)*R197+(W$5&lt;AI$5)*X197+(AC$5&lt;AI$5)*AD197+(AO$5&lt;AI$5)*AP197+(AU$5&lt;AI$5)*AV197)))</f>
        <v/>
      </c>
      <c r="AL197">
        <f>IF(AJ197-AK197&lt;0.005,0,AJ197-AK197)</f>
        <v/>
      </c>
      <c r="AM197">
        <f>AR196</f>
        <v/>
      </c>
      <c r="AN197">
        <f>AM197*Plan!D12/100/12</f>
        <v/>
      </c>
      <c r="AO197">
        <f>MIN(Plan!E12,AM197+AN197)</f>
        <v/>
      </c>
      <c r="AP197">
        <f>AM197+AN197-AO197</f>
        <v/>
      </c>
      <c r="AQ197">
        <f>MIN(AP197,MAX(0,$B197-((E$5&lt;AO$5)*F197+(K$5&lt;AO$5)*L197+(Q$5&lt;AO$5)*R197+(W$5&lt;AO$5)*X197+(AC$5&lt;AO$5)*AD197+(AI$5&lt;AO$5)*AJ197+(AU$5&lt;AO$5)*AV197)))</f>
        <v/>
      </c>
      <c r="AR197">
        <f>IF(AP197-AQ197&lt;0.005,0,AP197-AQ197)</f>
        <v/>
      </c>
      <c r="AS197">
        <f>AX196</f>
        <v/>
      </c>
      <c r="AT197">
        <f>AS197*Plan!D13/100/12</f>
        <v/>
      </c>
      <c r="AU197">
        <f>MIN(Plan!E13,AS197+AT197)</f>
        <v/>
      </c>
      <c r="AV197">
        <f>AS197+AT197-AU197</f>
        <v/>
      </c>
      <c r="AW197">
        <f>MIN(AV197,MAX(0,$B197-((E$5&lt;AU$5)*F197+(K$5&lt;AU$5)*L197+(Q$5&lt;AU$5)*R197+(W$5&lt;AU$5)*X197+(AC$5&lt;AU$5)*AD197+(AI$5&lt;AU$5)*AJ197+(AO$5&lt;AU$5)*AP197)))</f>
        <v/>
      </c>
      <c r="AX197">
        <f>IF(AV197-AW197&lt;0.005,0,AV197-AW197)</f>
        <v/>
      </c>
      <c r="BC197">
        <f>H197+N197+T197+Z197+AF197+AL197+AR197+AX197</f>
        <v/>
      </c>
    </row>
    <row r="198">
      <c r="A198" t="n">
        <v>192</v>
      </c>
      <c r="B198" s="19">
        <f>MAX(0,$B$3-(E198+K198+Q198+W198+AC198+AI198+AO198+AU198))</f>
        <v/>
      </c>
      <c r="C198">
        <f>H197</f>
        <v/>
      </c>
      <c r="D198">
        <f>C198*Plan!D6/100/12</f>
        <v/>
      </c>
      <c r="E198">
        <f>MIN(Plan!E6,C198+D198)</f>
        <v/>
      </c>
      <c r="F198">
        <f>C198+D198-E198</f>
        <v/>
      </c>
      <c r="G198">
        <f>MIN(F198,MAX(0,$B198-((K$5&lt;E$5)*L198+(Q$5&lt;E$5)*R198+(W$5&lt;E$5)*X198+(AC$5&lt;E$5)*AD198+(AI$5&lt;E$5)*AJ198+(AO$5&lt;E$5)*AP198+(AU$5&lt;E$5)*AV198)))</f>
        <v/>
      </c>
      <c r="H198">
        <f>IF(F198-G198&lt;0.005,0,F198-G198)</f>
        <v/>
      </c>
      <c r="I198">
        <f>N197</f>
        <v/>
      </c>
      <c r="J198">
        <f>I198*Plan!D7/100/12</f>
        <v/>
      </c>
      <c r="K198">
        <f>MIN(Plan!E7,I198+J198)</f>
        <v/>
      </c>
      <c r="L198">
        <f>I198+J198-K198</f>
        <v/>
      </c>
      <c r="M198">
        <f>MIN(L198,MAX(0,$B198-((E$5&lt;K$5)*F198+(Q$5&lt;K$5)*R198+(W$5&lt;K$5)*X198+(AC$5&lt;K$5)*AD198+(AI$5&lt;K$5)*AJ198+(AO$5&lt;K$5)*AP198+(AU$5&lt;K$5)*AV198)))</f>
        <v/>
      </c>
      <c r="N198">
        <f>IF(L198-M198&lt;0.005,0,L198-M198)</f>
        <v/>
      </c>
      <c r="O198">
        <f>T197</f>
        <v/>
      </c>
      <c r="P198">
        <f>O198*Plan!D8/100/12</f>
        <v/>
      </c>
      <c r="Q198">
        <f>MIN(Plan!E8,O198+P198)</f>
        <v/>
      </c>
      <c r="R198">
        <f>O198+P198-Q198</f>
        <v/>
      </c>
      <c r="S198">
        <f>MIN(R198,MAX(0,$B198-((E$5&lt;Q$5)*F198+(K$5&lt;Q$5)*L198+(W$5&lt;Q$5)*X198+(AC$5&lt;Q$5)*AD198+(AI$5&lt;Q$5)*AJ198+(AO$5&lt;Q$5)*AP198+(AU$5&lt;Q$5)*AV198)))</f>
        <v/>
      </c>
      <c r="T198">
        <f>IF(R198-S198&lt;0.005,0,R198-S198)</f>
        <v/>
      </c>
      <c r="U198">
        <f>Z197</f>
        <v/>
      </c>
      <c r="V198">
        <f>U198*Plan!D9/100/12</f>
        <v/>
      </c>
      <c r="W198">
        <f>MIN(Plan!E9,U198+V198)</f>
        <v/>
      </c>
      <c r="X198">
        <f>U198+V198-W198</f>
        <v/>
      </c>
      <c r="Y198">
        <f>MIN(X198,MAX(0,$B198-((E$5&lt;W$5)*F198+(K$5&lt;W$5)*L198+(Q$5&lt;W$5)*R198+(AC$5&lt;W$5)*AD198+(AI$5&lt;W$5)*AJ198+(AO$5&lt;W$5)*AP198+(AU$5&lt;W$5)*AV198)))</f>
        <v/>
      </c>
      <c r="Z198">
        <f>IF(X198-Y198&lt;0.005,0,X198-Y198)</f>
        <v/>
      </c>
      <c r="AA198">
        <f>AF197</f>
        <v/>
      </c>
      <c r="AB198">
        <f>AA198*Plan!D10/100/12</f>
        <v/>
      </c>
      <c r="AC198">
        <f>MIN(Plan!E10,AA198+AB198)</f>
        <v/>
      </c>
      <c r="AD198">
        <f>AA198+AB198-AC198</f>
        <v/>
      </c>
      <c r="AE198">
        <f>MIN(AD198,MAX(0,$B198-((E$5&lt;AC$5)*F198+(K$5&lt;AC$5)*L198+(Q$5&lt;AC$5)*R198+(W$5&lt;AC$5)*X198+(AI$5&lt;AC$5)*AJ198+(AO$5&lt;AC$5)*AP198+(AU$5&lt;AC$5)*AV198)))</f>
        <v/>
      </c>
      <c r="AF198">
        <f>IF(AD198-AE198&lt;0.005,0,AD198-AE198)</f>
        <v/>
      </c>
      <c r="AG198">
        <f>AL197</f>
        <v/>
      </c>
      <c r="AH198">
        <f>AG198*Plan!D11/100/12</f>
        <v/>
      </c>
      <c r="AI198">
        <f>MIN(Plan!E11,AG198+AH198)</f>
        <v/>
      </c>
      <c r="AJ198">
        <f>AG198+AH198-AI198</f>
        <v/>
      </c>
      <c r="AK198">
        <f>MIN(AJ198,MAX(0,$B198-((E$5&lt;AI$5)*F198+(K$5&lt;AI$5)*L198+(Q$5&lt;AI$5)*R198+(W$5&lt;AI$5)*X198+(AC$5&lt;AI$5)*AD198+(AO$5&lt;AI$5)*AP198+(AU$5&lt;AI$5)*AV198)))</f>
        <v/>
      </c>
      <c r="AL198">
        <f>IF(AJ198-AK198&lt;0.005,0,AJ198-AK198)</f>
        <v/>
      </c>
      <c r="AM198">
        <f>AR197</f>
        <v/>
      </c>
      <c r="AN198">
        <f>AM198*Plan!D12/100/12</f>
        <v/>
      </c>
      <c r="AO198">
        <f>MIN(Plan!E12,AM198+AN198)</f>
        <v/>
      </c>
      <c r="AP198">
        <f>AM198+AN198-AO198</f>
        <v/>
      </c>
      <c r="AQ198">
        <f>MIN(AP198,MAX(0,$B198-((E$5&lt;AO$5)*F198+(K$5&lt;AO$5)*L198+(Q$5&lt;AO$5)*R198+(W$5&lt;AO$5)*X198+(AC$5&lt;AO$5)*AD198+(AI$5&lt;AO$5)*AJ198+(AU$5&lt;AO$5)*AV198)))</f>
        <v/>
      </c>
      <c r="AR198">
        <f>IF(AP198-AQ198&lt;0.005,0,AP198-AQ198)</f>
        <v/>
      </c>
      <c r="AS198">
        <f>AX197</f>
        <v/>
      </c>
      <c r="AT198">
        <f>AS198*Plan!D13/100/12</f>
        <v/>
      </c>
      <c r="AU198">
        <f>MIN(Plan!E13,AS198+AT198)</f>
        <v/>
      </c>
      <c r="AV198">
        <f>AS198+AT198-AU198</f>
        <v/>
      </c>
      <c r="AW198">
        <f>MIN(AV198,MAX(0,$B198-((E$5&lt;AU$5)*F198+(K$5&lt;AU$5)*L198+(Q$5&lt;AU$5)*R198+(W$5&lt;AU$5)*X198+(AC$5&lt;AU$5)*AD198+(AI$5&lt;AU$5)*AJ198+(AO$5&lt;AU$5)*AP198)))</f>
        <v/>
      </c>
      <c r="AX198">
        <f>IF(AV198-AW198&lt;0.005,0,AV198-AW198)</f>
        <v/>
      </c>
      <c r="BC198">
        <f>H198+N198+T198+Z198+AF198+AL198+AR198+AX198</f>
        <v/>
      </c>
    </row>
    <row r="199">
      <c r="A199" t="n">
        <v>193</v>
      </c>
      <c r="B199" s="19">
        <f>MAX(0,$B$3-(E199+K199+Q199+W199+AC199+AI199+AO199+AU199))</f>
        <v/>
      </c>
      <c r="C199">
        <f>H198</f>
        <v/>
      </c>
      <c r="D199">
        <f>C199*Plan!D6/100/12</f>
        <v/>
      </c>
      <c r="E199">
        <f>MIN(Plan!E6,C199+D199)</f>
        <v/>
      </c>
      <c r="F199">
        <f>C199+D199-E199</f>
        <v/>
      </c>
      <c r="G199">
        <f>MIN(F199,MAX(0,$B199-((K$5&lt;E$5)*L199+(Q$5&lt;E$5)*R199+(W$5&lt;E$5)*X199+(AC$5&lt;E$5)*AD199+(AI$5&lt;E$5)*AJ199+(AO$5&lt;E$5)*AP199+(AU$5&lt;E$5)*AV199)))</f>
        <v/>
      </c>
      <c r="H199">
        <f>IF(F199-G199&lt;0.005,0,F199-G199)</f>
        <v/>
      </c>
      <c r="I199">
        <f>N198</f>
        <v/>
      </c>
      <c r="J199">
        <f>I199*Plan!D7/100/12</f>
        <v/>
      </c>
      <c r="K199">
        <f>MIN(Plan!E7,I199+J199)</f>
        <v/>
      </c>
      <c r="L199">
        <f>I199+J199-K199</f>
        <v/>
      </c>
      <c r="M199">
        <f>MIN(L199,MAX(0,$B199-((E$5&lt;K$5)*F199+(Q$5&lt;K$5)*R199+(W$5&lt;K$5)*X199+(AC$5&lt;K$5)*AD199+(AI$5&lt;K$5)*AJ199+(AO$5&lt;K$5)*AP199+(AU$5&lt;K$5)*AV199)))</f>
        <v/>
      </c>
      <c r="N199">
        <f>IF(L199-M199&lt;0.005,0,L199-M199)</f>
        <v/>
      </c>
      <c r="O199">
        <f>T198</f>
        <v/>
      </c>
      <c r="P199">
        <f>O199*Plan!D8/100/12</f>
        <v/>
      </c>
      <c r="Q199">
        <f>MIN(Plan!E8,O199+P199)</f>
        <v/>
      </c>
      <c r="R199">
        <f>O199+P199-Q199</f>
        <v/>
      </c>
      <c r="S199">
        <f>MIN(R199,MAX(0,$B199-((E$5&lt;Q$5)*F199+(K$5&lt;Q$5)*L199+(W$5&lt;Q$5)*X199+(AC$5&lt;Q$5)*AD199+(AI$5&lt;Q$5)*AJ199+(AO$5&lt;Q$5)*AP199+(AU$5&lt;Q$5)*AV199)))</f>
        <v/>
      </c>
      <c r="T199">
        <f>IF(R199-S199&lt;0.005,0,R199-S199)</f>
        <v/>
      </c>
      <c r="U199">
        <f>Z198</f>
        <v/>
      </c>
      <c r="V199">
        <f>U199*Plan!D9/100/12</f>
        <v/>
      </c>
      <c r="W199">
        <f>MIN(Plan!E9,U199+V199)</f>
        <v/>
      </c>
      <c r="X199">
        <f>U199+V199-W199</f>
        <v/>
      </c>
      <c r="Y199">
        <f>MIN(X199,MAX(0,$B199-((E$5&lt;W$5)*F199+(K$5&lt;W$5)*L199+(Q$5&lt;W$5)*R199+(AC$5&lt;W$5)*AD199+(AI$5&lt;W$5)*AJ199+(AO$5&lt;W$5)*AP199+(AU$5&lt;W$5)*AV199)))</f>
        <v/>
      </c>
      <c r="Z199">
        <f>IF(X199-Y199&lt;0.005,0,X199-Y199)</f>
        <v/>
      </c>
      <c r="AA199">
        <f>AF198</f>
        <v/>
      </c>
      <c r="AB199">
        <f>AA199*Plan!D10/100/12</f>
        <v/>
      </c>
      <c r="AC199">
        <f>MIN(Plan!E10,AA199+AB199)</f>
        <v/>
      </c>
      <c r="AD199">
        <f>AA199+AB199-AC199</f>
        <v/>
      </c>
      <c r="AE199">
        <f>MIN(AD199,MAX(0,$B199-((E$5&lt;AC$5)*F199+(K$5&lt;AC$5)*L199+(Q$5&lt;AC$5)*R199+(W$5&lt;AC$5)*X199+(AI$5&lt;AC$5)*AJ199+(AO$5&lt;AC$5)*AP199+(AU$5&lt;AC$5)*AV199)))</f>
        <v/>
      </c>
      <c r="AF199">
        <f>IF(AD199-AE199&lt;0.005,0,AD199-AE199)</f>
        <v/>
      </c>
      <c r="AG199">
        <f>AL198</f>
        <v/>
      </c>
      <c r="AH199">
        <f>AG199*Plan!D11/100/12</f>
        <v/>
      </c>
      <c r="AI199">
        <f>MIN(Plan!E11,AG199+AH199)</f>
        <v/>
      </c>
      <c r="AJ199">
        <f>AG199+AH199-AI199</f>
        <v/>
      </c>
      <c r="AK199">
        <f>MIN(AJ199,MAX(0,$B199-((E$5&lt;AI$5)*F199+(K$5&lt;AI$5)*L199+(Q$5&lt;AI$5)*R199+(W$5&lt;AI$5)*X199+(AC$5&lt;AI$5)*AD199+(AO$5&lt;AI$5)*AP199+(AU$5&lt;AI$5)*AV199)))</f>
        <v/>
      </c>
      <c r="AL199">
        <f>IF(AJ199-AK199&lt;0.005,0,AJ199-AK199)</f>
        <v/>
      </c>
      <c r="AM199">
        <f>AR198</f>
        <v/>
      </c>
      <c r="AN199">
        <f>AM199*Plan!D12/100/12</f>
        <v/>
      </c>
      <c r="AO199">
        <f>MIN(Plan!E12,AM199+AN199)</f>
        <v/>
      </c>
      <c r="AP199">
        <f>AM199+AN199-AO199</f>
        <v/>
      </c>
      <c r="AQ199">
        <f>MIN(AP199,MAX(0,$B199-((E$5&lt;AO$5)*F199+(K$5&lt;AO$5)*L199+(Q$5&lt;AO$5)*R199+(W$5&lt;AO$5)*X199+(AC$5&lt;AO$5)*AD199+(AI$5&lt;AO$5)*AJ199+(AU$5&lt;AO$5)*AV199)))</f>
        <v/>
      </c>
      <c r="AR199">
        <f>IF(AP199-AQ199&lt;0.005,0,AP199-AQ199)</f>
        <v/>
      </c>
      <c r="AS199">
        <f>AX198</f>
        <v/>
      </c>
      <c r="AT199">
        <f>AS199*Plan!D13/100/12</f>
        <v/>
      </c>
      <c r="AU199">
        <f>MIN(Plan!E13,AS199+AT199)</f>
        <v/>
      </c>
      <c r="AV199">
        <f>AS199+AT199-AU199</f>
        <v/>
      </c>
      <c r="AW199">
        <f>MIN(AV199,MAX(0,$B199-((E$5&lt;AU$5)*F199+(K$5&lt;AU$5)*L199+(Q$5&lt;AU$5)*R199+(W$5&lt;AU$5)*X199+(AC$5&lt;AU$5)*AD199+(AI$5&lt;AU$5)*AJ199+(AO$5&lt;AU$5)*AP199)))</f>
        <v/>
      </c>
      <c r="AX199">
        <f>IF(AV199-AW199&lt;0.005,0,AV199-AW199)</f>
        <v/>
      </c>
      <c r="BC199">
        <f>H199+N199+T199+Z199+AF199+AL199+AR199+AX199</f>
        <v/>
      </c>
    </row>
    <row r="200">
      <c r="A200" t="n">
        <v>194</v>
      </c>
      <c r="B200" s="19">
        <f>MAX(0,$B$3-(E200+K200+Q200+W200+AC200+AI200+AO200+AU200))</f>
        <v/>
      </c>
      <c r="C200">
        <f>H199</f>
        <v/>
      </c>
      <c r="D200">
        <f>C200*Plan!D6/100/12</f>
        <v/>
      </c>
      <c r="E200">
        <f>MIN(Plan!E6,C200+D200)</f>
        <v/>
      </c>
      <c r="F200">
        <f>C200+D200-E200</f>
        <v/>
      </c>
      <c r="G200">
        <f>MIN(F200,MAX(0,$B200-((K$5&lt;E$5)*L200+(Q$5&lt;E$5)*R200+(W$5&lt;E$5)*X200+(AC$5&lt;E$5)*AD200+(AI$5&lt;E$5)*AJ200+(AO$5&lt;E$5)*AP200+(AU$5&lt;E$5)*AV200)))</f>
        <v/>
      </c>
      <c r="H200">
        <f>IF(F200-G200&lt;0.005,0,F200-G200)</f>
        <v/>
      </c>
      <c r="I200">
        <f>N199</f>
        <v/>
      </c>
      <c r="J200">
        <f>I200*Plan!D7/100/12</f>
        <v/>
      </c>
      <c r="K200">
        <f>MIN(Plan!E7,I200+J200)</f>
        <v/>
      </c>
      <c r="L200">
        <f>I200+J200-K200</f>
        <v/>
      </c>
      <c r="M200">
        <f>MIN(L200,MAX(0,$B200-((E$5&lt;K$5)*F200+(Q$5&lt;K$5)*R200+(W$5&lt;K$5)*X200+(AC$5&lt;K$5)*AD200+(AI$5&lt;K$5)*AJ200+(AO$5&lt;K$5)*AP200+(AU$5&lt;K$5)*AV200)))</f>
        <v/>
      </c>
      <c r="N200">
        <f>IF(L200-M200&lt;0.005,0,L200-M200)</f>
        <v/>
      </c>
      <c r="O200">
        <f>T199</f>
        <v/>
      </c>
      <c r="P200">
        <f>O200*Plan!D8/100/12</f>
        <v/>
      </c>
      <c r="Q200">
        <f>MIN(Plan!E8,O200+P200)</f>
        <v/>
      </c>
      <c r="R200">
        <f>O200+P200-Q200</f>
        <v/>
      </c>
      <c r="S200">
        <f>MIN(R200,MAX(0,$B200-((E$5&lt;Q$5)*F200+(K$5&lt;Q$5)*L200+(W$5&lt;Q$5)*X200+(AC$5&lt;Q$5)*AD200+(AI$5&lt;Q$5)*AJ200+(AO$5&lt;Q$5)*AP200+(AU$5&lt;Q$5)*AV200)))</f>
        <v/>
      </c>
      <c r="T200">
        <f>IF(R200-S200&lt;0.005,0,R200-S200)</f>
        <v/>
      </c>
      <c r="U200">
        <f>Z199</f>
        <v/>
      </c>
      <c r="V200">
        <f>U200*Plan!D9/100/12</f>
        <v/>
      </c>
      <c r="W200">
        <f>MIN(Plan!E9,U200+V200)</f>
        <v/>
      </c>
      <c r="X200">
        <f>U200+V200-W200</f>
        <v/>
      </c>
      <c r="Y200">
        <f>MIN(X200,MAX(0,$B200-((E$5&lt;W$5)*F200+(K$5&lt;W$5)*L200+(Q$5&lt;W$5)*R200+(AC$5&lt;W$5)*AD200+(AI$5&lt;W$5)*AJ200+(AO$5&lt;W$5)*AP200+(AU$5&lt;W$5)*AV200)))</f>
        <v/>
      </c>
      <c r="Z200">
        <f>IF(X200-Y200&lt;0.005,0,X200-Y200)</f>
        <v/>
      </c>
      <c r="AA200">
        <f>AF199</f>
        <v/>
      </c>
      <c r="AB200">
        <f>AA200*Plan!D10/100/12</f>
        <v/>
      </c>
      <c r="AC200">
        <f>MIN(Plan!E10,AA200+AB200)</f>
        <v/>
      </c>
      <c r="AD200">
        <f>AA200+AB200-AC200</f>
        <v/>
      </c>
      <c r="AE200">
        <f>MIN(AD200,MAX(0,$B200-((E$5&lt;AC$5)*F200+(K$5&lt;AC$5)*L200+(Q$5&lt;AC$5)*R200+(W$5&lt;AC$5)*X200+(AI$5&lt;AC$5)*AJ200+(AO$5&lt;AC$5)*AP200+(AU$5&lt;AC$5)*AV200)))</f>
        <v/>
      </c>
      <c r="AF200">
        <f>IF(AD200-AE200&lt;0.005,0,AD200-AE200)</f>
        <v/>
      </c>
      <c r="AG200">
        <f>AL199</f>
        <v/>
      </c>
      <c r="AH200">
        <f>AG200*Plan!D11/100/12</f>
        <v/>
      </c>
      <c r="AI200">
        <f>MIN(Plan!E11,AG200+AH200)</f>
        <v/>
      </c>
      <c r="AJ200">
        <f>AG200+AH200-AI200</f>
        <v/>
      </c>
      <c r="AK200">
        <f>MIN(AJ200,MAX(0,$B200-((E$5&lt;AI$5)*F200+(K$5&lt;AI$5)*L200+(Q$5&lt;AI$5)*R200+(W$5&lt;AI$5)*X200+(AC$5&lt;AI$5)*AD200+(AO$5&lt;AI$5)*AP200+(AU$5&lt;AI$5)*AV200)))</f>
        <v/>
      </c>
      <c r="AL200">
        <f>IF(AJ200-AK200&lt;0.005,0,AJ200-AK200)</f>
        <v/>
      </c>
      <c r="AM200">
        <f>AR199</f>
        <v/>
      </c>
      <c r="AN200">
        <f>AM200*Plan!D12/100/12</f>
        <v/>
      </c>
      <c r="AO200">
        <f>MIN(Plan!E12,AM200+AN200)</f>
        <v/>
      </c>
      <c r="AP200">
        <f>AM200+AN200-AO200</f>
        <v/>
      </c>
      <c r="AQ200">
        <f>MIN(AP200,MAX(0,$B200-((E$5&lt;AO$5)*F200+(K$5&lt;AO$5)*L200+(Q$5&lt;AO$5)*R200+(W$5&lt;AO$5)*X200+(AC$5&lt;AO$5)*AD200+(AI$5&lt;AO$5)*AJ200+(AU$5&lt;AO$5)*AV200)))</f>
        <v/>
      </c>
      <c r="AR200">
        <f>IF(AP200-AQ200&lt;0.005,0,AP200-AQ200)</f>
        <v/>
      </c>
      <c r="AS200">
        <f>AX199</f>
        <v/>
      </c>
      <c r="AT200">
        <f>AS200*Plan!D13/100/12</f>
        <v/>
      </c>
      <c r="AU200">
        <f>MIN(Plan!E13,AS200+AT200)</f>
        <v/>
      </c>
      <c r="AV200">
        <f>AS200+AT200-AU200</f>
        <v/>
      </c>
      <c r="AW200">
        <f>MIN(AV200,MAX(0,$B200-((E$5&lt;AU$5)*F200+(K$5&lt;AU$5)*L200+(Q$5&lt;AU$5)*R200+(W$5&lt;AU$5)*X200+(AC$5&lt;AU$5)*AD200+(AI$5&lt;AU$5)*AJ200+(AO$5&lt;AU$5)*AP200)))</f>
        <v/>
      </c>
      <c r="AX200">
        <f>IF(AV200-AW200&lt;0.005,0,AV200-AW200)</f>
        <v/>
      </c>
      <c r="BC200">
        <f>H200+N200+T200+Z200+AF200+AL200+AR200+AX200</f>
        <v/>
      </c>
    </row>
    <row r="201">
      <c r="A201" t="n">
        <v>195</v>
      </c>
      <c r="B201" s="19">
        <f>MAX(0,$B$3-(E201+K201+Q201+W201+AC201+AI201+AO201+AU201))</f>
        <v/>
      </c>
      <c r="C201">
        <f>H200</f>
        <v/>
      </c>
      <c r="D201">
        <f>C201*Plan!D6/100/12</f>
        <v/>
      </c>
      <c r="E201">
        <f>MIN(Plan!E6,C201+D201)</f>
        <v/>
      </c>
      <c r="F201">
        <f>C201+D201-E201</f>
        <v/>
      </c>
      <c r="G201">
        <f>MIN(F201,MAX(0,$B201-((K$5&lt;E$5)*L201+(Q$5&lt;E$5)*R201+(W$5&lt;E$5)*X201+(AC$5&lt;E$5)*AD201+(AI$5&lt;E$5)*AJ201+(AO$5&lt;E$5)*AP201+(AU$5&lt;E$5)*AV201)))</f>
        <v/>
      </c>
      <c r="H201">
        <f>IF(F201-G201&lt;0.005,0,F201-G201)</f>
        <v/>
      </c>
      <c r="I201">
        <f>N200</f>
        <v/>
      </c>
      <c r="J201">
        <f>I201*Plan!D7/100/12</f>
        <v/>
      </c>
      <c r="K201">
        <f>MIN(Plan!E7,I201+J201)</f>
        <v/>
      </c>
      <c r="L201">
        <f>I201+J201-K201</f>
        <v/>
      </c>
      <c r="M201">
        <f>MIN(L201,MAX(0,$B201-((E$5&lt;K$5)*F201+(Q$5&lt;K$5)*R201+(W$5&lt;K$5)*X201+(AC$5&lt;K$5)*AD201+(AI$5&lt;K$5)*AJ201+(AO$5&lt;K$5)*AP201+(AU$5&lt;K$5)*AV201)))</f>
        <v/>
      </c>
      <c r="N201">
        <f>IF(L201-M201&lt;0.005,0,L201-M201)</f>
        <v/>
      </c>
      <c r="O201">
        <f>T200</f>
        <v/>
      </c>
      <c r="P201">
        <f>O201*Plan!D8/100/12</f>
        <v/>
      </c>
      <c r="Q201">
        <f>MIN(Plan!E8,O201+P201)</f>
        <v/>
      </c>
      <c r="R201">
        <f>O201+P201-Q201</f>
        <v/>
      </c>
      <c r="S201">
        <f>MIN(R201,MAX(0,$B201-((E$5&lt;Q$5)*F201+(K$5&lt;Q$5)*L201+(W$5&lt;Q$5)*X201+(AC$5&lt;Q$5)*AD201+(AI$5&lt;Q$5)*AJ201+(AO$5&lt;Q$5)*AP201+(AU$5&lt;Q$5)*AV201)))</f>
        <v/>
      </c>
      <c r="T201">
        <f>IF(R201-S201&lt;0.005,0,R201-S201)</f>
        <v/>
      </c>
      <c r="U201">
        <f>Z200</f>
        <v/>
      </c>
      <c r="V201">
        <f>U201*Plan!D9/100/12</f>
        <v/>
      </c>
      <c r="W201">
        <f>MIN(Plan!E9,U201+V201)</f>
        <v/>
      </c>
      <c r="X201">
        <f>U201+V201-W201</f>
        <v/>
      </c>
      <c r="Y201">
        <f>MIN(X201,MAX(0,$B201-((E$5&lt;W$5)*F201+(K$5&lt;W$5)*L201+(Q$5&lt;W$5)*R201+(AC$5&lt;W$5)*AD201+(AI$5&lt;W$5)*AJ201+(AO$5&lt;W$5)*AP201+(AU$5&lt;W$5)*AV201)))</f>
        <v/>
      </c>
      <c r="Z201">
        <f>IF(X201-Y201&lt;0.005,0,X201-Y201)</f>
        <v/>
      </c>
      <c r="AA201">
        <f>AF200</f>
        <v/>
      </c>
      <c r="AB201">
        <f>AA201*Plan!D10/100/12</f>
        <v/>
      </c>
      <c r="AC201">
        <f>MIN(Plan!E10,AA201+AB201)</f>
        <v/>
      </c>
      <c r="AD201">
        <f>AA201+AB201-AC201</f>
        <v/>
      </c>
      <c r="AE201">
        <f>MIN(AD201,MAX(0,$B201-((E$5&lt;AC$5)*F201+(K$5&lt;AC$5)*L201+(Q$5&lt;AC$5)*R201+(W$5&lt;AC$5)*X201+(AI$5&lt;AC$5)*AJ201+(AO$5&lt;AC$5)*AP201+(AU$5&lt;AC$5)*AV201)))</f>
        <v/>
      </c>
      <c r="AF201">
        <f>IF(AD201-AE201&lt;0.005,0,AD201-AE201)</f>
        <v/>
      </c>
      <c r="AG201">
        <f>AL200</f>
        <v/>
      </c>
      <c r="AH201">
        <f>AG201*Plan!D11/100/12</f>
        <v/>
      </c>
      <c r="AI201">
        <f>MIN(Plan!E11,AG201+AH201)</f>
        <v/>
      </c>
      <c r="AJ201">
        <f>AG201+AH201-AI201</f>
        <v/>
      </c>
      <c r="AK201">
        <f>MIN(AJ201,MAX(0,$B201-((E$5&lt;AI$5)*F201+(K$5&lt;AI$5)*L201+(Q$5&lt;AI$5)*R201+(W$5&lt;AI$5)*X201+(AC$5&lt;AI$5)*AD201+(AO$5&lt;AI$5)*AP201+(AU$5&lt;AI$5)*AV201)))</f>
        <v/>
      </c>
      <c r="AL201">
        <f>IF(AJ201-AK201&lt;0.005,0,AJ201-AK201)</f>
        <v/>
      </c>
      <c r="AM201">
        <f>AR200</f>
        <v/>
      </c>
      <c r="AN201">
        <f>AM201*Plan!D12/100/12</f>
        <v/>
      </c>
      <c r="AO201">
        <f>MIN(Plan!E12,AM201+AN201)</f>
        <v/>
      </c>
      <c r="AP201">
        <f>AM201+AN201-AO201</f>
        <v/>
      </c>
      <c r="AQ201">
        <f>MIN(AP201,MAX(0,$B201-((E$5&lt;AO$5)*F201+(K$5&lt;AO$5)*L201+(Q$5&lt;AO$5)*R201+(W$5&lt;AO$5)*X201+(AC$5&lt;AO$5)*AD201+(AI$5&lt;AO$5)*AJ201+(AU$5&lt;AO$5)*AV201)))</f>
        <v/>
      </c>
      <c r="AR201">
        <f>IF(AP201-AQ201&lt;0.005,0,AP201-AQ201)</f>
        <v/>
      </c>
      <c r="AS201">
        <f>AX200</f>
        <v/>
      </c>
      <c r="AT201">
        <f>AS201*Plan!D13/100/12</f>
        <v/>
      </c>
      <c r="AU201">
        <f>MIN(Plan!E13,AS201+AT201)</f>
        <v/>
      </c>
      <c r="AV201">
        <f>AS201+AT201-AU201</f>
        <v/>
      </c>
      <c r="AW201">
        <f>MIN(AV201,MAX(0,$B201-((E$5&lt;AU$5)*F201+(K$5&lt;AU$5)*L201+(Q$5&lt;AU$5)*R201+(W$5&lt;AU$5)*X201+(AC$5&lt;AU$5)*AD201+(AI$5&lt;AU$5)*AJ201+(AO$5&lt;AU$5)*AP201)))</f>
        <v/>
      </c>
      <c r="AX201">
        <f>IF(AV201-AW201&lt;0.005,0,AV201-AW201)</f>
        <v/>
      </c>
      <c r="BC201">
        <f>H201+N201+T201+Z201+AF201+AL201+AR201+AX201</f>
        <v/>
      </c>
    </row>
    <row r="202">
      <c r="A202" t="n">
        <v>196</v>
      </c>
      <c r="B202" s="19">
        <f>MAX(0,$B$3-(E202+K202+Q202+W202+AC202+AI202+AO202+AU202))</f>
        <v/>
      </c>
      <c r="C202">
        <f>H201</f>
        <v/>
      </c>
      <c r="D202">
        <f>C202*Plan!D6/100/12</f>
        <v/>
      </c>
      <c r="E202">
        <f>MIN(Plan!E6,C202+D202)</f>
        <v/>
      </c>
      <c r="F202">
        <f>C202+D202-E202</f>
        <v/>
      </c>
      <c r="G202">
        <f>MIN(F202,MAX(0,$B202-((K$5&lt;E$5)*L202+(Q$5&lt;E$5)*R202+(W$5&lt;E$5)*X202+(AC$5&lt;E$5)*AD202+(AI$5&lt;E$5)*AJ202+(AO$5&lt;E$5)*AP202+(AU$5&lt;E$5)*AV202)))</f>
        <v/>
      </c>
      <c r="H202">
        <f>IF(F202-G202&lt;0.005,0,F202-G202)</f>
        <v/>
      </c>
      <c r="I202">
        <f>N201</f>
        <v/>
      </c>
      <c r="J202">
        <f>I202*Plan!D7/100/12</f>
        <v/>
      </c>
      <c r="K202">
        <f>MIN(Plan!E7,I202+J202)</f>
        <v/>
      </c>
      <c r="L202">
        <f>I202+J202-K202</f>
        <v/>
      </c>
      <c r="M202">
        <f>MIN(L202,MAX(0,$B202-((E$5&lt;K$5)*F202+(Q$5&lt;K$5)*R202+(W$5&lt;K$5)*X202+(AC$5&lt;K$5)*AD202+(AI$5&lt;K$5)*AJ202+(AO$5&lt;K$5)*AP202+(AU$5&lt;K$5)*AV202)))</f>
        <v/>
      </c>
      <c r="N202">
        <f>IF(L202-M202&lt;0.005,0,L202-M202)</f>
        <v/>
      </c>
      <c r="O202">
        <f>T201</f>
        <v/>
      </c>
      <c r="P202">
        <f>O202*Plan!D8/100/12</f>
        <v/>
      </c>
      <c r="Q202">
        <f>MIN(Plan!E8,O202+P202)</f>
        <v/>
      </c>
      <c r="R202">
        <f>O202+P202-Q202</f>
        <v/>
      </c>
      <c r="S202">
        <f>MIN(R202,MAX(0,$B202-((E$5&lt;Q$5)*F202+(K$5&lt;Q$5)*L202+(W$5&lt;Q$5)*X202+(AC$5&lt;Q$5)*AD202+(AI$5&lt;Q$5)*AJ202+(AO$5&lt;Q$5)*AP202+(AU$5&lt;Q$5)*AV202)))</f>
        <v/>
      </c>
      <c r="T202">
        <f>IF(R202-S202&lt;0.005,0,R202-S202)</f>
        <v/>
      </c>
      <c r="U202">
        <f>Z201</f>
        <v/>
      </c>
      <c r="V202">
        <f>U202*Plan!D9/100/12</f>
        <v/>
      </c>
      <c r="W202">
        <f>MIN(Plan!E9,U202+V202)</f>
        <v/>
      </c>
      <c r="X202">
        <f>U202+V202-W202</f>
        <v/>
      </c>
      <c r="Y202">
        <f>MIN(X202,MAX(0,$B202-((E$5&lt;W$5)*F202+(K$5&lt;W$5)*L202+(Q$5&lt;W$5)*R202+(AC$5&lt;W$5)*AD202+(AI$5&lt;W$5)*AJ202+(AO$5&lt;W$5)*AP202+(AU$5&lt;W$5)*AV202)))</f>
        <v/>
      </c>
      <c r="Z202">
        <f>IF(X202-Y202&lt;0.005,0,X202-Y202)</f>
        <v/>
      </c>
      <c r="AA202">
        <f>AF201</f>
        <v/>
      </c>
      <c r="AB202">
        <f>AA202*Plan!D10/100/12</f>
        <v/>
      </c>
      <c r="AC202">
        <f>MIN(Plan!E10,AA202+AB202)</f>
        <v/>
      </c>
      <c r="AD202">
        <f>AA202+AB202-AC202</f>
        <v/>
      </c>
      <c r="AE202">
        <f>MIN(AD202,MAX(0,$B202-((E$5&lt;AC$5)*F202+(K$5&lt;AC$5)*L202+(Q$5&lt;AC$5)*R202+(W$5&lt;AC$5)*X202+(AI$5&lt;AC$5)*AJ202+(AO$5&lt;AC$5)*AP202+(AU$5&lt;AC$5)*AV202)))</f>
        <v/>
      </c>
      <c r="AF202">
        <f>IF(AD202-AE202&lt;0.005,0,AD202-AE202)</f>
        <v/>
      </c>
      <c r="AG202">
        <f>AL201</f>
        <v/>
      </c>
      <c r="AH202">
        <f>AG202*Plan!D11/100/12</f>
        <v/>
      </c>
      <c r="AI202">
        <f>MIN(Plan!E11,AG202+AH202)</f>
        <v/>
      </c>
      <c r="AJ202">
        <f>AG202+AH202-AI202</f>
        <v/>
      </c>
      <c r="AK202">
        <f>MIN(AJ202,MAX(0,$B202-((E$5&lt;AI$5)*F202+(K$5&lt;AI$5)*L202+(Q$5&lt;AI$5)*R202+(W$5&lt;AI$5)*X202+(AC$5&lt;AI$5)*AD202+(AO$5&lt;AI$5)*AP202+(AU$5&lt;AI$5)*AV202)))</f>
        <v/>
      </c>
      <c r="AL202">
        <f>IF(AJ202-AK202&lt;0.005,0,AJ202-AK202)</f>
        <v/>
      </c>
      <c r="AM202">
        <f>AR201</f>
        <v/>
      </c>
      <c r="AN202">
        <f>AM202*Plan!D12/100/12</f>
        <v/>
      </c>
      <c r="AO202">
        <f>MIN(Plan!E12,AM202+AN202)</f>
        <v/>
      </c>
      <c r="AP202">
        <f>AM202+AN202-AO202</f>
        <v/>
      </c>
      <c r="AQ202">
        <f>MIN(AP202,MAX(0,$B202-((E$5&lt;AO$5)*F202+(K$5&lt;AO$5)*L202+(Q$5&lt;AO$5)*R202+(W$5&lt;AO$5)*X202+(AC$5&lt;AO$5)*AD202+(AI$5&lt;AO$5)*AJ202+(AU$5&lt;AO$5)*AV202)))</f>
        <v/>
      </c>
      <c r="AR202">
        <f>IF(AP202-AQ202&lt;0.005,0,AP202-AQ202)</f>
        <v/>
      </c>
      <c r="AS202">
        <f>AX201</f>
        <v/>
      </c>
      <c r="AT202">
        <f>AS202*Plan!D13/100/12</f>
        <v/>
      </c>
      <c r="AU202">
        <f>MIN(Plan!E13,AS202+AT202)</f>
        <v/>
      </c>
      <c r="AV202">
        <f>AS202+AT202-AU202</f>
        <v/>
      </c>
      <c r="AW202">
        <f>MIN(AV202,MAX(0,$B202-((E$5&lt;AU$5)*F202+(K$5&lt;AU$5)*L202+(Q$5&lt;AU$5)*R202+(W$5&lt;AU$5)*X202+(AC$5&lt;AU$5)*AD202+(AI$5&lt;AU$5)*AJ202+(AO$5&lt;AU$5)*AP202)))</f>
        <v/>
      </c>
      <c r="AX202">
        <f>IF(AV202-AW202&lt;0.005,0,AV202-AW202)</f>
        <v/>
      </c>
      <c r="BC202">
        <f>H202+N202+T202+Z202+AF202+AL202+AR202+AX202</f>
        <v/>
      </c>
    </row>
    <row r="203">
      <c r="A203" t="n">
        <v>197</v>
      </c>
      <c r="B203" s="19">
        <f>MAX(0,$B$3-(E203+K203+Q203+W203+AC203+AI203+AO203+AU203))</f>
        <v/>
      </c>
      <c r="C203">
        <f>H202</f>
        <v/>
      </c>
      <c r="D203">
        <f>C203*Plan!D6/100/12</f>
        <v/>
      </c>
      <c r="E203">
        <f>MIN(Plan!E6,C203+D203)</f>
        <v/>
      </c>
      <c r="F203">
        <f>C203+D203-E203</f>
        <v/>
      </c>
      <c r="G203">
        <f>MIN(F203,MAX(0,$B203-((K$5&lt;E$5)*L203+(Q$5&lt;E$5)*R203+(W$5&lt;E$5)*X203+(AC$5&lt;E$5)*AD203+(AI$5&lt;E$5)*AJ203+(AO$5&lt;E$5)*AP203+(AU$5&lt;E$5)*AV203)))</f>
        <v/>
      </c>
      <c r="H203">
        <f>IF(F203-G203&lt;0.005,0,F203-G203)</f>
        <v/>
      </c>
      <c r="I203">
        <f>N202</f>
        <v/>
      </c>
      <c r="J203">
        <f>I203*Plan!D7/100/12</f>
        <v/>
      </c>
      <c r="K203">
        <f>MIN(Plan!E7,I203+J203)</f>
        <v/>
      </c>
      <c r="L203">
        <f>I203+J203-K203</f>
        <v/>
      </c>
      <c r="M203">
        <f>MIN(L203,MAX(0,$B203-((E$5&lt;K$5)*F203+(Q$5&lt;K$5)*R203+(W$5&lt;K$5)*X203+(AC$5&lt;K$5)*AD203+(AI$5&lt;K$5)*AJ203+(AO$5&lt;K$5)*AP203+(AU$5&lt;K$5)*AV203)))</f>
        <v/>
      </c>
      <c r="N203">
        <f>IF(L203-M203&lt;0.005,0,L203-M203)</f>
        <v/>
      </c>
      <c r="O203">
        <f>T202</f>
        <v/>
      </c>
      <c r="P203">
        <f>O203*Plan!D8/100/12</f>
        <v/>
      </c>
      <c r="Q203">
        <f>MIN(Plan!E8,O203+P203)</f>
        <v/>
      </c>
      <c r="R203">
        <f>O203+P203-Q203</f>
        <v/>
      </c>
      <c r="S203">
        <f>MIN(R203,MAX(0,$B203-((E$5&lt;Q$5)*F203+(K$5&lt;Q$5)*L203+(W$5&lt;Q$5)*X203+(AC$5&lt;Q$5)*AD203+(AI$5&lt;Q$5)*AJ203+(AO$5&lt;Q$5)*AP203+(AU$5&lt;Q$5)*AV203)))</f>
        <v/>
      </c>
      <c r="T203">
        <f>IF(R203-S203&lt;0.005,0,R203-S203)</f>
        <v/>
      </c>
      <c r="U203">
        <f>Z202</f>
        <v/>
      </c>
      <c r="V203">
        <f>U203*Plan!D9/100/12</f>
        <v/>
      </c>
      <c r="W203">
        <f>MIN(Plan!E9,U203+V203)</f>
        <v/>
      </c>
      <c r="X203">
        <f>U203+V203-W203</f>
        <v/>
      </c>
      <c r="Y203">
        <f>MIN(X203,MAX(0,$B203-((E$5&lt;W$5)*F203+(K$5&lt;W$5)*L203+(Q$5&lt;W$5)*R203+(AC$5&lt;W$5)*AD203+(AI$5&lt;W$5)*AJ203+(AO$5&lt;W$5)*AP203+(AU$5&lt;W$5)*AV203)))</f>
        <v/>
      </c>
      <c r="Z203">
        <f>IF(X203-Y203&lt;0.005,0,X203-Y203)</f>
        <v/>
      </c>
      <c r="AA203">
        <f>AF202</f>
        <v/>
      </c>
      <c r="AB203">
        <f>AA203*Plan!D10/100/12</f>
        <v/>
      </c>
      <c r="AC203">
        <f>MIN(Plan!E10,AA203+AB203)</f>
        <v/>
      </c>
      <c r="AD203">
        <f>AA203+AB203-AC203</f>
        <v/>
      </c>
      <c r="AE203">
        <f>MIN(AD203,MAX(0,$B203-((E$5&lt;AC$5)*F203+(K$5&lt;AC$5)*L203+(Q$5&lt;AC$5)*R203+(W$5&lt;AC$5)*X203+(AI$5&lt;AC$5)*AJ203+(AO$5&lt;AC$5)*AP203+(AU$5&lt;AC$5)*AV203)))</f>
        <v/>
      </c>
      <c r="AF203">
        <f>IF(AD203-AE203&lt;0.005,0,AD203-AE203)</f>
        <v/>
      </c>
      <c r="AG203">
        <f>AL202</f>
        <v/>
      </c>
      <c r="AH203">
        <f>AG203*Plan!D11/100/12</f>
        <v/>
      </c>
      <c r="AI203">
        <f>MIN(Plan!E11,AG203+AH203)</f>
        <v/>
      </c>
      <c r="AJ203">
        <f>AG203+AH203-AI203</f>
        <v/>
      </c>
      <c r="AK203">
        <f>MIN(AJ203,MAX(0,$B203-((E$5&lt;AI$5)*F203+(K$5&lt;AI$5)*L203+(Q$5&lt;AI$5)*R203+(W$5&lt;AI$5)*X203+(AC$5&lt;AI$5)*AD203+(AO$5&lt;AI$5)*AP203+(AU$5&lt;AI$5)*AV203)))</f>
        <v/>
      </c>
      <c r="AL203">
        <f>IF(AJ203-AK203&lt;0.005,0,AJ203-AK203)</f>
        <v/>
      </c>
      <c r="AM203">
        <f>AR202</f>
        <v/>
      </c>
      <c r="AN203">
        <f>AM203*Plan!D12/100/12</f>
        <v/>
      </c>
      <c r="AO203">
        <f>MIN(Plan!E12,AM203+AN203)</f>
        <v/>
      </c>
      <c r="AP203">
        <f>AM203+AN203-AO203</f>
        <v/>
      </c>
      <c r="AQ203">
        <f>MIN(AP203,MAX(0,$B203-((E$5&lt;AO$5)*F203+(K$5&lt;AO$5)*L203+(Q$5&lt;AO$5)*R203+(W$5&lt;AO$5)*X203+(AC$5&lt;AO$5)*AD203+(AI$5&lt;AO$5)*AJ203+(AU$5&lt;AO$5)*AV203)))</f>
        <v/>
      </c>
      <c r="AR203">
        <f>IF(AP203-AQ203&lt;0.005,0,AP203-AQ203)</f>
        <v/>
      </c>
      <c r="AS203">
        <f>AX202</f>
        <v/>
      </c>
      <c r="AT203">
        <f>AS203*Plan!D13/100/12</f>
        <v/>
      </c>
      <c r="AU203">
        <f>MIN(Plan!E13,AS203+AT203)</f>
        <v/>
      </c>
      <c r="AV203">
        <f>AS203+AT203-AU203</f>
        <v/>
      </c>
      <c r="AW203">
        <f>MIN(AV203,MAX(0,$B203-((E$5&lt;AU$5)*F203+(K$5&lt;AU$5)*L203+(Q$5&lt;AU$5)*R203+(W$5&lt;AU$5)*X203+(AC$5&lt;AU$5)*AD203+(AI$5&lt;AU$5)*AJ203+(AO$5&lt;AU$5)*AP203)))</f>
        <v/>
      </c>
      <c r="AX203">
        <f>IF(AV203-AW203&lt;0.005,0,AV203-AW203)</f>
        <v/>
      </c>
      <c r="BC203">
        <f>H203+N203+T203+Z203+AF203+AL203+AR203+AX203</f>
        <v/>
      </c>
    </row>
    <row r="204">
      <c r="A204" t="n">
        <v>198</v>
      </c>
      <c r="B204" s="19">
        <f>MAX(0,$B$3-(E204+K204+Q204+W204+AC204+AI204+AO204+AU204))</f>
        <v/>
      </c>
      <c r="C204">
        <f>H203</f>
        <v/>
      </c>
      <c r="D204">
        <f>C204*Plan!D6/100/12</f>
        <v/>
      </c>
      <c r="E204">
        <f>MIN(Plan!E6,C204+D204)</f>
        <v/>
      </c>
      <c r="F204">
        <f>C204+D204-E204</f>
        <v/>
      </c>
      <c r="G204">
        <f>MIN(F204,MAX(0,$B204-((K$5&lt;E$5)*L204+(Q$5&lt;E$5)*R204+(W$5&lt;E$5)*X204+(AC$5&lt;E$5)*AD204+(AI$5&lt;E$5)*AJ204+(AO$5&lt;E$5)*AP204+(AU$5&lt;E$5)*AV204)))</f>
        <v/>
      </c>
      <c r="H204">
        <f>IF(F204-G204&lt;0.005,0,F204-G204)</f>
        <v/>
      </c>
      <c r="I204">
        <f>N203</f>
        <v/>
      </c>
      <c r="J204">
        <f>I204*Plan!D7/100/12</f>
        <v/>
      </c>
      <c r="K204">
        <f>MIN(Plan!E7,I204+J204)</f>
        <v/>
      </c>
      <c r="L204">
        <f>I204+J204-K204</f>
        <v/>
      </c>
      <c r="M204">
        <f>MIN(L204,MAX(0,$B204-((E$5&lt;K$5)*F204+(Q$5&lt;K$5)*R204+(W$5&lt;K$5)*X204+(AC$5&lt;K$5)*AD204+(AI$5&lt;K$5)*AJ204+(AO$5&lt;K$5)*AP204+(AU$5&lt;K$5)*AV204)))</f>
        <v/>
      </c>
      <c r="N204">
        <f>IF(L204-M204&lt;0.005,0,L204-M204)</f>
        <v/>
      </c>
      <c r="O204">
        <f>T203</f>
        <v/>
      </c>
      <c r="P204">
        <f>O204*Plan!D8/100/12</f>
        <v/>
      </c>
      <c r="Q204">
        <f>MIN(Plan!E8,O204+P204)</f>
        <v/>
      </c>
      <c r="R204">
        <f>O204+P204-Q204</f>
        <v/>
      </c>
      <c r="S204">
        <f>MIN(R204,MAX(0,$B204-((E$5&lt;Q$5)*F204+(K$5&lt;Q$5)*L204+(W$5&lt;Q$5)*X204+(AC$5&lt;Q$5)*AD204+(AI$5&lt;Q$5)*AJ204+(AO$5&lt;Q$5)*AP204+(AU$5&lt;Q$5)*AV204)))</f>
        <v/>
      </c>
      <c r="T204">
        <f>IF(R204-S204&lt;0.005,0,R204-S204)</f>
        <v/>
      </c>
      <c r="U204">
        <f>Z203</f>
        <v/>
      </c>
      <c r="V204">
        <f>U204*Plan!D9/100/12</f>
        <v/>
      </c>
      <c r="W204">
        <f>MIN(Plan!E9,U204+V204)</f>
        <v/>
      </c>
      <c r="X204">
        <f>U204+V204-W204</f>
        <v/>
      </c>
      <c r="Y204">
        <f>MIN(X204,MAX(0,$B204-((E$5&lt;W$5)*F204+(K$5&lt;W$5)*L204+(Q$5&lt;W$5)*R204+(AC$5&lt;W$5)*AD204+(AI$5&lt;W$5)*AJ204+(AO$5&lt;W$5)*AP204+(AU$5&lt;W$5)*AV204)))</f>
        <v/>
      </c>
      <c r="Z204">
        <f>IF(X204-Y204&lt;0.005,0,X204-Y204)</f>
        <v/>
      </c>
      <c r="AA204">
        <f>AF203</f>
        <v/>
      </c>
      <c r="AB204">
        <f>AA204*Plan!D10/100/12</f>
        <v/>
      </c>
      <c r="AC204">
        <f>MIN(Plan!E10,AA204+AB204)</f>
        <v/>
      </c>
      <c r="AD204">
        <f>AA204+AB204-AC204</f>
        <v/>
      </c>
      <c r="AE204">
        <f>MIN(AD204,MAX(0,$B204-((E$5&lt;AC$5)*F204+(K$5&lt;AC$5)*L204+(Q$5&lt;AC$5)*R204+(W$5&lt;AC$5)*X204+(AI$5&lt;AC$5)*AJ204+(AO$5&lt;AC$5)*AP204+(AU$5&lt;AC$5)*AV204)))</f>
        <v/>
      </c>
      <c r="AF204">
        <f>IF(AD204-AE204&lt;0.005,0,AD204-AE204)</f>
        <v/>
      </c>
      <c r="AG204">
        <f>AL203</f>
        <v/>
      </c>
      <c r="AH204">
        <f>AG204*Plan!D11/100/12</f>
        <v/>
      </c>
      <c r="AI204">
        <f>MIN(Plan!E11,AG204+AH204)</f>
        <v/>
      </c>
      <c r="AJ204">
        <f>AG204+AH204-AI204</f>
        <v/>
      </c>
      <c r="AK204">
        <f>MIN(AJ204,MAX(0,$B204-((E$5&lt;AI$5)*F204+(K$5&lt;AI$5)*L204+(Q$5&lt;AI$5)*R204+(W$5&lt;AI$5)*X204+(AC$5&lt;AI$5)*AD204+(AO$5&lt;AI$5)*AP204+(AU$5&lt;AI$5)*AV204)))</f>
        <v/>
      </c>
      <c r="AL204">
        <f>IF(AJ204-AK204&lt;0.005,0,AJ204-AK204)</f>
        <v/>
      </c>
      <c r="AM204">
        <f>AR203</f>
        <v/>
      </c>
      <c r="AN204">
        <f>AM204*Plan!D12/100/12</f>
        <v/>
      </c>
      <c r="AO204">
        <f>MIN(Plan!E12,AM204+AN204)</f>
        <v/>
      </c>
      <c r="AP204">
        <f>AM204+AN204-AO204</f>
        <v/>
      </c>
      <c r="AQ204">
        <f>MIN(AP204,MAX(0,$B204-((E$5&lt;AO$5)*F204+(K$5&lt;AO$5)*L204+(Q$5&lt;AO$5)*R204+(W$5&lt;AO$5)*X204+(AC$5&lt;AO$5)*AD204+(AI$5&lt;AO$5)*AJ204+(AU$5&lt;AO$5)*AV204)))</f>
        <v/>
      </c>
      <c r="AR204">
        <f>IF(AP204-AQ204&lt;0.005,0,AP204-AQ204)</f>
        <v/>
      </c>
      <c r="AS204">
        <f>AX203</f>
        <v/>
      </c>
      <c r="AT204">
        <f>AS204*Plan!D13/100/12</f>
        <v/>
      </c>
      <c r="AU204">
        <f>MIN(Plan!E13,AS204+AT204)</f>
        <v/>
      </c>
      <c r="AV204">
        <f>AS204+AT204-AU204</f>
        <v/>
      </c>
      <c r="AW204">
        <f>MIN(AV204,MAX(0,$B204-((E$5&lt;AU$5)*F204+(K$5&lt;AU$5)*L204+(Q$5&lt;AU$5)*R204+(W$5&lt;AU$5)*X204+(AC$5&lt;AU$5)*AD204+(AI$5&lt;AU$5)*AJ204+(AO$5&lt;AU$5)*AP204)))</f>
        <v/>
      </c>
      <c r="AX204">
        <f>IF(AV204-AW204&lt;0.005,0,AV204-AW204)</f>
        <v/>
      </c>
      <c r="BC204">
        <f>H204+N204+T204+Z204+AF204+AL204+AR204+AX204</f>
        <v/>
      </c>
    </row>
    <row r="205">
      <c r="A205" t="n">
        <v>199</v>
      </c>
      <c r="B205" s="19">
        <f>MAX(0,$B$3-(E205+K205+Q205+W205+AC205+AI205+AO205+AU205))</f>
        <v/>
      </c>
      <c r="C205">
        <f>H204</f>
        <v/>
      </c>
      <c r="D205">
        <f>C205*Plan!D6/100/12</f>
        <v/>
      </c>
      <c r="E205">
        <f>MIN(Plan!E6,C205+D205)</f>
        <v/>
      </c>
      <c r="F205">
        <f>C205+D205-E205</f>
        <v/>
      </c>
      <c r="G205">
        <f>MIN(F205,MAX(0,$B205-((K$5&lt;E$5)*L205+(Q$5&lt;E$5)*R205+(W$5&lt;E$5)*X205+(AC$5&lt;E$5)*AD205+(AI$5&lt;E$5)*AJ205+(AO$5&lt;E$5)*AP205+(AU$5&lt;E$5)*AV205)))</f>
        <v/>
      </c>
      <c r="H205">
        <f>IF(F205-G205&lt;0.005,0,F205-G205)</f>
        <v/>
      </c>
      <c r="I205">
        <f>N204</f>
        <v/>
      </c>
      <c r="J205">
        <f>I205*Plan!D7/100/12</f>
        <v/>
      </c>
      <c r="K205">
        <f>MIN(Plan!E7,I205+J205)</f>
        <v/>
      </c>
      <c r="L205">
        <f>I205+J205-K205</f>
        <v/>
      </c>
      <c r="M205">
        <f>MIN(L205,MAX(0,$B205-((E$5&lt;K$5)*F205+(Q$5&lt;K$5)*R205+(W$5&lt;K$5)*X205+(AC$5&lt;K$5)*AD205+(AI$5&lt;K$5)*AJ205+(AO$5&lt;K$5)*AP205+(AU$5&lt;K$5)*AV205)))</f>
        <v/>
      </c>
      <c r="N205">
        <f>IF(L205-M205&lt;0.005,0,L205-M205)</f>
        <v/>
      </c>
      <c r="O205">
        <f>T204</f>
        <v/>
      </c>
      <c r="P205">
        <f>O205*Plan!D8/100/12</f>
        <v/>
      </c>
      <c r="Q205">
        <f>MIN(Plan!E8,O205+P205)</f>
        <v/>
      </c>
      <c r="R205">
        <f>O205+P205-Q205</f>
        <v/>
      </c>
      <c r="S205">
        <f>MIN(R205,MAX(0,$B205-((E$5&lt;Q$5)*F205+(K$5&lt;Q$5)*L205+(W$5&lt;Q$5)*X205+(AC$5&lt;Q$5)*AD205+(AI$5&lt;Q$5)*AJ205+(AO$5&lt;Q$5)*AP205+(AU$5&lt;Q$5)*AV205)))</f>
        <v/>
      </c>
      <c r="T205">
        <f>IF(R205-S205&lt;0.005,0,R205-S205)</f>
        <v/>
      </c>
      <c r="U205">
        <f>Z204</f>
        <v/>
      </c>
      <c r="V205">
        <f>U205*Plan!D9/100/12</f>
        <v/>
      </c>
      <c r="W205">
        <f>MIN(Plan!E9,U205+V205)</f>
        <v/>
      </c>
      <c r="X205">
        <f>U205+V205-W205</f>
        <v/>
      </c>
      <c r="Y205">
        <f>MIN(X205,MAX(0,$B205-((E$5&lt;W$5)*F205+(K$5&lt;W$5)*L205+(Q$5&lt;W$5)*R205+(AC$5&lt;W$5)*AD205+(AI$5&lt;W$5)*AJ205+(AO$5&lt;W$5)*AP205+(AU$5&lt;W$5)*AV205)))</f>
        <v/>
      </c>
      <c r="Z205">
        <f>IF(X205-Y205&lt;0.005,0,X205-Y205)</f>
        <v/>
      </c>
      <c r="AA205">
        <f>AF204</f>
        <v/>
      </c>
      <c r="AB205">
        <f>AA205*Plan!D10/100/12</f>
        <v/>
      </c>
      <c r="AC205">
        <f>MIN(Plan!E10,AA205+AB205)</f>
        <v/>
      </c>
      <c r="AD205">
        <f>AA205+AB205-AC205</f>
        <v/>
      </c>
      <c r="AE205">
        <f>MIN(AD205,MAX(0,$B205-((E$5&lt;AC$5)*F205+(K$5&lt;AC$5)*L205+(Q$5&lt;AC$5)*R205+(W$5&lt;AC$5)*X205+(AI$5&lt;AC$5)*AJ205+(AO$5&lt;AC$5)*AP205+(AU$5&lt;AC$5)*AV205)))</f>
        <v/>
      </c>
      <c r="AF205">
        <f>IF(AD205-AE205&lt;0.005,0,AD205-AE205)</f>
        <v/>
      </c>
      <c r="AG205">
        <f>AL204</f>
        <v/>
      </c>
      <c r="AH205">
        <f>AG205*Plan!D11/100/12</f>
        <v/>
      </c>
      <c r="AI205">
        <f>MIN(Plan!E11,AG205+AH205)</f>
        <v/>
      </c>
      <c r="AJ205">
        <f>AG205+AH205-AI205</f>
        <v/>
      </c>
      <c r="AK205">
        <f>MIN(AJ205,MAX(0,$B205-((E$5&lt;AI$5)*F205+(K$5&lt;AI$5)*L205+(Q$5&lt;AI$5)*R205+(W$5&lt;AI$5)*X205+(AC$5&lt;AI$5)*AD205+(AO$5&lt;AI$5)*AP205+(AU$5&lt;AI$5)*AV205)))</f>
        <v/>
      </c>
      <c r="AL205">
        <f>IF(AJ205-AK205&lt;0.005,0,AJ205-AK205)</f>
        <v/>
      </c>
      <c r="AM205">
        <f>AR204</f>
        <v/>
      </c>
      <c r="AN205">
        <f>AM205*Plan!D12/100/12</f>
        <v/>
      </c>
      <c r="AO205">
        <f>MIN(Plan!E12,AM205+AN205)</f>
        <v/>
      </c>
      <c r="AP205">
        <f>AM205+AN205-AO205</f>
        <v/>
      </c>
      <c r="AQ205">
        <f>MIN(AP205,MAX(0,$B205-((E$5&lt;AO$5)*F205+(K$5&lt;AO$5)*L205+(Q$5&lt;AO$5)*R205+(W$5&lt;AO$5)*X205+(AC$5&lt;AO$5)*AD205+(AI$5&lt;AO$5)*AJ205+(AU$5&lt;AO$5)*AV205)))</f>
        <v/>
      </c>
      <c r="AR205">
        <f>IF(AP205-AQ205&lt;0.005,0,AP205-AQ205)</f>
        <v/>
      </c>
      <c r="AS205">
        <f>AX204</f>
        <v/>
      </c>
      <c r="AT205">
        <f>AS205*Plan!D13/100/12</f>
        <v/>
      </c>
      <c r="AU205">
        <f>MIN(Plan!E13,AS205+AT205)</f>
        <v/>
      </c>
      <c r="AV205">
        <f>AS205+AT205-AU205</f>
        <v/>
      </c>
      <c r="AW205">
        <f>MIN(AV205,MAX(0,$B205-((E$5&lt;AU$5)*F205+(K$5&lt;AU$5)*L205+(Q$5&lt;AU$5)*R205+(W$5&lt;AU$5)*X205+(AC$5&lt;AU$5)*AD205+(AI$5&lt;AU$5)*AJ205+(AO$5&lt;AU$5)*AP205)))</f>
        <v/>
      </c>
      <c r="AX205">
        <f>IF(AV205-AW205&lt;0.005,0,AV205-AW205)</f>
        <v/>
      </c>
      <c r="BC205">
        <f>H205+N205+T205+Z205+AF205+AL205+AR205+AX205</f>
        <v/>
      </c>
    </row>
    <row r="206">
      <c r="A206" t="n">
        <v>200</v>
      </c>
      <c r="B206" s="19">
        <f>MAX(0,$B$3-(E206+K206+Q206+W206+AC206+AI206+AO206+AU206))</f>
        <v/>
      </c>
      <c r="C206">
        <f>H205</f>
        <v/>
      </c>
      <c r="D206">
        <f>C206*Plan!D6/100/12</f>
        <v/>
      </c>
      <c r="E206">
        <f>MIN(Plan!E6,C206+D206)</f>
        <v/>
      </c>
      <c r="F206">
        <f>C206+D206-E206</f>
        <v/>
      </c>
      <c r="G206">
        <f>MIN(F206,MAX(0,$B206-((K$5&lt;E$5)*L206+(Q$5&lt;E$5)*R206+(W$5&lt;E$5)*X206+(AC$5&lt;E$5)*AD206+(AI$5&lt;E$5)*AJ206+(AO$5&lt;E$5)*AP206+(AU$5&lt;E$5)*AV206)))</f>
        <v/>
      </c>
      <c r="H206">
        <f>IF(F206-G206&lt;0.005,0,F206-G206)</f>
        <v/>
      </c>
      <c r="I206">
        <f>N205</f>
        <v/>
      </c>
      <c r="J206">
        <f>I206*Plan!D7/100/12</f>
        <v/>
      </c>
      <c r="K206">
        <f>MIN(Plan!E7,I206+J206)</f>
        <v/>
      </c>
      <c r="L206">
        <f>I206+J206-K206</f>
        <v/>
      </c>
      <c r="M206">
        <f>MIN(L206,MAX(0,$B206-((E$5&lt;K$5)*F206+(Q$5&lt;K$5)*R206+(W$5&lt;K$5)*X206+(AC$5&lt;K$5)*AD206+(AI$5&lt;K$5)*AJ206+(AO$5&lt;K$5)*AP206+(AU$5&lt;K$5)*AV206)))</f>
        <v/>
      </c>
      <c r="N206">
        <f>IF(L206-M206&lt;0.005,0,L206-M206)</f>
        <v/>
      </c>
      <c r="O206">
        <f>T205</f>
        <v/>
      </c>
      <c r="P206">
        <f>O206*Plan!D8/100/12</f>
        <v/>
      </c>
      <c r="Q206">
        <f>MIN(Plan!E8,O206+P206)</f>
        <v/>
      </c>
      <c r="R206">
        <f>O206+P206-Q206</f>
        <v/>
      </c>
      <c r="S206">
        <f>MIN(R206,MAX(0,$B206-((E$5&lt;Q$5)*F206+(K$5&lt;Q$5)*L206+(W$5&lt;Q$5)*X206+(AC$5&lt;Q$5)*AD206+(AI$5&lt;Q$5)*AJ206+(AO$5&lt;Q$5)*AP206+(AU$5&lt;Q$5)*AV206)))</f>
        <v/>
      </c>
      <c r="T206">
        <f>IF(R206-S206&lt;0.005,0,R206-S206)</f>
        <v/>
      </c>
      <c r="U206">
        <f>Z205</f>
        <v/>
      </c>
      <c r="V206">
        <f>U206*Plan!D9/100/12</f>
        <v/>
      </c>
      <c r="W206">
        <f>MIN(Plan!E9,U206+V206)</f>
        <v/>
      </c>
      <c r="X206">
        <f>U206+V206-W206</f>
        <v/>
      </c>
      <c r="Y206">
        <f>MIN(X206,MAX(0,$B206-((E$5&lt;W$5)*F206+(K$5&lt;W$5)*L206+(Q$5&lt;W$5)*R206+(AC$5&lt;W$5)*AD206+(AI$5&lt;W$5)*AJ206+(AO$5&lt;W$5)*AP206+(AU$5&lt;W$5)*AV206)))</f>
        <v/>
      </c>
      <c r="Z206">
        <f>IF(X206-Y206&lt;0.005,0,X206-Y206)</f>
        <v/>
      </c>
      <c r="AA206">
        <f>AF205</f>
        <v/>
      </c>
      <c r="AB206">
        <f>AA206*Plan!D10/100/12</f>
        <v/>
      </c>
      <c r="AC206">
        <f>MIN(Plan!E10,AA206+AB206)</f>
        <v/>
      </c>
      <c r="AD206">
        <f>AA206+AB206-AC206</f>
        <v/>
      </c>
      <c r="AE206">
        <f>MIN(AD206,MAX(0,$B206-((E$5&lt;AC$5)*F206+(K$5&lt;AC$5)*L206+(Q$5&lt;AC$5)*R206+(W$5&lt;AC$5)*X206+(AI$5&lt;AC$5)*AJ206+(AO$5&lt;AC$5)*AP206+(AU$5&lt;AC$5)*AV206)))</f>
        <v/>
      </c>
      <c r="AF206">
        <f>IF(AD206-AE206&lt;0.005,0,AD206-AE206)</f>
        <v/>
      </c>
      <c r="AG206">
        <f>AL205</f>
        <v/>
      </c>
      <c r="AH206">
        <f>AG206*Plan!D11/100/12</f>
        <v/>
      </c>
      <c r="AI206">
        <f>MIN(Plan!E11,AG206+AH206)</f>
        <v/>
      </c>
      <c r="AJ206">
        <f>AG206+AH206-AI206</f>
        <v/>
      </c>
      <c r="AK206">
        <f>MIN(AJ206,MAX(0,$B206-((E$5&lt;AI$5)*F206+(K$5&lt;AI$5)*L206+(Q$5&lt;AI$5)*R206+(W$5&lt;AI$5)*X206+(AC$5&lt;AI$5)*AD206+(AO$5&lt;AI$5)*AP206+(AU$5&lt;AI$5)*AV206)))</f>
        <v/>
      </c>
      <c r="AL206">
        <f>IF(AJ206-AK206&lt;0.005,0,AJ206-AK206)</f>
        <v/>
      </c>
      <c r="AM206">
        <f>AR205</f>
        <v/>
      </c>
      <c r="AN206">
        <f>AM206*Plan!D12/100/12</f>
        <v/>
      </c>
      <c r="AO206">
        <f>MIN(Plan!E12,AM206+AN206)</f>
        <v/>
      </c>
      <c r="AP206">
        <f>AM206+AN206-AO206</f>
        <v/>
      </c>
      <c r="AQ206">
        <f>MIN(AP206,MAX(0,$B206-((E$5&lt;AO$5)*F206+(K$5&lt;AO$5)*L206+(Q$5&lt;AO$5)*R206+(W$5&lt;AO$5)*X206+(AC$5&lt;AO$5)*AD206+(AI$5&lt;AO$5)*AJ206+(AU$5&lt;AO$5)*AV206)))</f>
        <v/>
      </c>
      <c r="AR206">
        <f>IF(AP206-AQ206&lt;0.005,0,AP206-AQ206)</f>
        <v/>
      </c>
      <c r="AS206">
        <f>AX205</f>
        <v/>
      </c>
      <c r="AT206">
        <f>AS206*Plan!D13/100/12</f>
        <v/>
      </c>
      <c r="AU206">
        <f>MIN(Plan!E13,AS206+AT206)</f>
        <v/>
      </c>
      <c r="AV206">
        <f>AS206+AT206-AU206</f>
        <v/>
      </c>
      <c r="AW206">
        <f>MIN(AV206,MAX(0,$B206-((E$5&lt;AU$5)*F206+(K$5&lt;AU$5)*L206+(Q$5&lt;AU$5)*R206+(W$5&lt;AU$5)*X206+(AC$5&lt;AU$5)*AD206+(AI$5&lt;AU$5)*AJ206+(AO$5&lt;AU$5)*AP206)))</f>
        <v/>
      </c>
      <c r="AX206">
        <f>IF(AV206-AW206&lt;0.005,0,AV206-AW206)</f>
        <v/>
      </c>
      <c r="BC206">
        <f>H206+N206+T206+Z206+AF206+AL206+AR206+AX206</f>
        <v/>
      </c>
    </row>
    <row r="207">
      <c r="A207" t="n">
        <v>201</v>
      </c>
      <c r="B207" s="19">
        <f>MAX(0,$B$3-(E207+K207+Q207+W207+AC207+AI207+AO207+AU207))</f>
        <v/>
      </c>
      <c r="C207">
        <f>H206</f>
        <v/>
      </c>
      <c r="D207">
        <f>C207*Plan!D6/100/12</f>
        <v/>
      </c>
      <c r="E207">
        <f>MIN(Plan!E6,C207+D207)</f>
        <v/>
      </c>
      <c r="F207">
        <f>C207+D207-E207</f>
        <v/>
      </c>
      <c r="G207">
        <f>MIN(F207,MAX(0,$B207-((K$5&lt;E$5)*L207+(Q$5&lt;E$5)*R207+(W$5&lt;E$5)*X207+(AC$5&lt;E$5)*AD207+(AI$5&lt;E$5)*AJ207+(AO$5&lt;E$5)*AP207+(AU$5&lt;E$5)*AV207)))</f>
        <v/>
      </c>
      <c r="H207">
        <f>IF(F207-G207&lt;0.005,0,F207-G207)</f>
        <v/>
      </c>
      <c r="I207">
        <f>N206</f>
        <v/>
      </c>
      <c r="J207">
        <f>I207*Plan!D7/100/12</f>
        <v/>
      </c>
      <c r="K207">
        <f>MIN(Plan!E7,I207+J207)</f>
        <v/>
      </c>
      <c r="L207">
        <f>I207+J207-K207</f>
        <v/>
      </c>
      <c r="M207">
        <f>MIN(L207,MAX(0,$B207-((E$5&lt;K$5)*F207+(Q$5&lt;K$5)*R207+(W$5&lt;K$5)*X207+(AC$5&lt;K$5)*AD207+(AI$5&lt;K$5)*AJ207+(AO$5&lt;K$5)*AP207+(AU$5&lt;K$5)*AV207)))</f>
        <v/>
      </c>
      <c r="N207">
        <f>IF(L207-M207&lt;0.005,0,L207-M207)</f>
        <v/>
      </c>
      <c r="O207">
        <f>T206</f>
        <v/>
      </c>
      <c r="P207">
        <f>O207*Plan!D8/100/12</f>
        <v/>
      </c>
      <c r="Q207">
        <f>MIN(Plan!E8,O207+P207)</f>
        <v/>
      </c>
      <c r="R207">
        <f>O207+P207-Q207</f>
        <v/>
      </c>
      <c r="S207">
        <f>MIN(R207,MAX(0,$B207-((E$5&lt;Q$5)*F207+(K$5&lt;Q$5)*L207+(W$5&lt;Q$5)*X207+(AC$5&lt;Q$5)*AD207+(AI$5&lt;Q$5)*AJ207+(AO$5&lt;Q$5)*AP207+(AU$5&lt;Q$5)*AV207)))</f>
        <v/>
      </c>
      <c r="T207">
        <f>IF(R207-S207&lt;0.005,0,R207-S207)</f>
        <v/>
      </c>
      <c r="U207">
        <f>Z206</f>
        <v/>
      </c>
      <c r="V207">
        <f>U207*Plan!D9/100/12</f>
        <v/>
      </c>
      <c r="W207">
        <f>MIN(Plan!E9,U207+V207)</f>
        <v/>
      </c>
      <c r="X207">
        <f>U207+V207-W207</f>
        <v/>
      </c>
      <c r="Y207">
        <f>MIN(X207,MAX(0,$B207-((E$5&lt;W$5)*F207+(K$5&lt;W$5)*L207+(Q$5&lt;W$5)*R207+(AC$5&lt;W$5)*AD207+(AI$5&lt;W$5)*AJ207+(AO$5&lt;W$5)*AP207+(AU$5&lt;W$5)*AV207)))</f>
        <v/>
      </c>
      <c r="Z207">
        <f>IF(X207-Y207&lt;0.005,0,X207-Y207)</f>
        <v/>
      </c>
      <c r="AA207">
        <f>AF206</f>
        <v/>
      </c>
      <c r="AB207">
        <f>AA207*Plan!D10/100/12</f>
        <v/>
      </c>
      <c r="AC207">
        <f>MIN(Plan!E10,AA207+AB207)</f>
        <v/>
      </c>
      <c r="AD207">
        <f>AA207+AB207-AC207</f>
        <v/>
      </c>
      <c r="AE207">
        <f>MIN(AD207,MAX(0,$B207-((E$5&lt;AC$5)*F207+(K$5&lt;AC$5)*L207+(Q$5&lt;AC$5)*R207+(W$5&lt;AC$5)*X207+(AI$5&lt;AC$5)*AJ207+(AO$5&lt;AC$5)*AP207+(AU$5&lt;AC$5)*AV207)))</f>
        <v/>
      </c>
      <c r="AF207">
        <f>IF(AD207-AE207&lt;0.005,0,AD207-AE207)</f>
        <v/>
      </c>
      <c r="AG207">
        <f>AL206</f>
        <v/>
      </c>
      <c r="AH207">
        <f>AG207*Plan!D11/100/12</f>
        <v/>
      </c>
      <c r="AI207">
        <f>MIN(Plan!E11,AG207+AH207)</f>
        <v/>
      </c>
      <c r="AJ207">
        <f>AG207+AH207-AI207</f>
        <v/>
      </c>
      <c r="AK207">
        <f>MIN(AJ207,MAX(0,$B207-((E$5&lt;AI$5)*F207+(K$5&lt;AI$5)*L207+(Q$5&lt;AI$5)*R207+(W$5&lt;AI$5)*X207+(AC$5&lt;AI$5)*AD207+(AO$5&lt;AI$5)*AP207+(AU$5&lt;AI$5)*AV207)))</f>
        <v/>
      </c>
      <c r="AL207">
        <f>IF(AJ207-AK207&lt;0.005,0,AJ207-AK207)</f>
        <v/>
      </c>
      <c r="AM207">
        <f>AR206</f>
        <v/>
      </c>
      <c r="AN207">
        <f>AM207*Plan!D12/100/12</f>
        <v/>
      </c>
      <c r="AO207">
        <f>MIN(Plan!E12,AM207+AN207)</f>
        <v/>
      </c>
      <c r="AP207">
        <f>AM207+AN207-AO207</f>
        <v/>
      </c>
      <c r="AQ207">
        <f>MIN(AP207,MAX(0,$B207-((E$5&lt;AO$5)*F207+(K$5&lt;AO$5)*L207+(Q$5&lt;AO$5)*R207+(W$5&lt;AO$5)*X207+(AC$5&lt;AO$5)*AD207+(AI$5&lt;AO$5)*AJ207+(AU$5&lt;AO$5)*AV207)))</f>
        <v/>
      </c>
      <c r="AR207">
        <f>IF(AP207-AQ207&lt;0.005,0,AP207-AQ207)</f>
        <v/>
      </c>
      <c r="AS207">
        <f>AX206</f>
        <v/>
      </c>
      <c r="AT207">
        <f>AS207*Plan!D13/100/12</f>
        <v/>
      </c>
      <c r="AU207">
        <f>MIN(Plan!E13,AS207+AT207)</f>
        <v/>
      </c>
      <c r="AV207">
        <f>AS207+AT207-AU207</f>
        <v/>
      </c>
      <c r="AW207">
        <f>MIN(AV207,MAX(0,$B207-((E$5&lt;AU$5)*F207+(K$5&lt;AU$5)*L207+(Q$5&lt;AU$5)*R207+(W$5&lt;AU$5)*X207+(AC$5&lt;AU$5)*AD207+(AI$5&lt;AU$5)*AJ207+(AO$5&lt;AU$5)*AP207)))</f>
        <v/>
      </c>
      <c r="AX207">
        <f>IF(AV207-AW207&lt;0.005,0,AV207-AW207)</f>
        <v/>
      </c>
      <c r="BC207">
        <f>H207+N207+T207+Z207+AF207+AL207+AR207+AX207</f>
        <v/>
      </c>
    </row>
    <row r="208">
      <c r="A208" t="n">
        <v>202</v>
      </c>
      <c r="B208" s="19">
        <f>MAX(0,$B$3-(E208+K208+Q208+W208+AC208+AI208+AO208+AU208))</f>
        <v/>
      </c>
      <c r="C208">
        <f>H207</f>
        <v/>
      </c>
      <c r="D208">
        <f>C208*Plan!D6/100/12</f>
        <v/>
      </c>
      <c r="E208">
        <f>MIN(Plan!E6,C208+D208)</f>
        <v/>
      </c>
      <c r="F208">
        <f>C208+D208-E208</f>
        <v/>
      </c>
      <c r="G208">
        <f>MIN(F208,MAX(0,$B208-((K$5&lt;E$5)*L208+(Q$5&lt;E$5)*R208+(W$5&lt;E$5)*X208+(AC$5&lt;E$5)*AD208+(AI$5&lt;E$5)*AJ208+(AO$5&lt;E$5)*AP208+(AU$5&lt;E$5)*AV208)))</f>
        <v/>
      </c>
      <c r="H208">
        <f>IF(F208-G208&lt;0.005,0,F208-G208)</f>
        <v/>
      </c>
      <c r="I208">
        <f>N207</f>
        <v/>
      </c>
      <c r="J208">
        <f>I208*Plan!D7/100/12</f>
        <v/>
      </c>
      <c r="K208">
        <f>MIN(Plan!E7,I208+J208)</f>
        <v/>
      </c>
      <c r="L208">
        <f>I208+J208-K208</f>
        <v/>
      </c>
      <c r="M208">
        <f>MIN(L208,MAX(0,$B208-((E$5&lt;K$5)*F208+(Q$5&lt;K$5)*R208+(W$5&lt;K$5)*X208+(AC$5&lt;K$5)*AD208+(AI$5&lt;K$5)*AJ208+(AO$5&lt;K$5)*AP208+(AU$5&lt;K$5)*AV208)))</f>
        <v/>
      </c>
      <c r="N208">
        <f>IF(L208-M208&lt;0.005,0,L208-M208)</f>
        <v/>
      </c>
      <c r="O208">
        <f>T207</f>
        <v/>
      </c>
      <c r="P208">
        <f>O208*Plan!D8/100/12</f>
        <v/>
      </c>
      <c r="Q208">
        <f>MIN(Plan!E8,O208+P208)</f>
        <v/>
      </c>
      <c r="R208">
        <f>O208+P208-Q208</f>
        <v/>
      </c>
      <c r="S208">
        <f>MIN(R208,MAX(0,$B208-((E$5&lt;Q$5)*F208+(K$5&lt;Q$5)*L208+(W$5&lt;Q$5)*X208+(AC$5&lt;Q$5)*AD208+(AI$5&lt;Q$5)*AJ208+(AO$5&lt;Q$5)*AP208+(AU$5&lt;Q$5)*AV208)))</f>
        <v/>
      </c>
      <c r="T208">
        <f>IF(R208-S208&lt;0.005,0,R208-S208)</f>
        <v/>
      </c>
      <c r="U208">
        <f>Z207</f>
        <v/>
      </c>
      <c r="V208">
        <f>U208*Plan!D9/100/12</f>
        <v/>
      </c>
      <c r="W208">
        <f>MIN(Plan!E9,U208+V208)</f>
        <v/>
      </c>
      <c r="X208">
        <f>U208+V208-W208</f>
        <v/>
      </c>
      <c r="Y208">
        <f>MIN(X208,MAX(0,$B208-((E$5&lt;W$5)*F208+(K$5&lt;W$5)*L208+(Q$5&lt;W$5)*R208+(AC$5&lt;W$5)*AD208+(AI$5&lt;W$5)*AJ208+(AO$5&lt;W$5)*AP208+(AU$5&lt;W$5)*AV208)))</f>
        <v/>
      </c>
      <c r="Z208">
        <f>IF(X208-Y208&lt;0.005,0,X208-Y208)</f>
        <v/>
      </c>
      <c r="AA208">
        <f>AF207</f>
        <v/>
      </c>
      <c r="AB208">
        <f>AA208*Plan!D10/100/12</f>
        <v/>
      </c>
      <c r="AC208">
        <f>MIN(Plan!E10,AA208+AB208)</f>
        <v/>
      </c>
      <c r="AD208">
        <f>AA208+AB208-AC208</f>
        <v/>
      </c>
      <c r="AE208">
        <f>MIN(AD208,MAX(0,$B208-((E$5&lt;AC$5)*F208+(K$5&lt;AC$5)*L208+(Q$5&lt;AC$5)*R208+(W$5&lt;AC$5)*X208+(AI$5&lt;AC$5)*AJ208+(AO$5&lt;AC$5)*AP208+(AU$5&lt;AC$5)*AV208)))</f>
        <v/>
      </c>
      <c r="AF208">
        <f>IF(AD208-AE208&lt;0.005,0,AD208-AE208)</f>
        <v/>
      </c>
      <c r="AG208">
        <f>AL207</f>
        <v/>
      </c>
      <c r="AH208">
        <f>AG208*Plan!D11/100/12</f>
        <v/>
      </c>
      <c r="AI208">
        <f>MIN(Plan!E11,AG208+AH208)</f>
        <v/>
      </c>
      <c r="AJ208">
        <f>AG208+AH208-AI208</f>
        <v/>
      </c>
      <c r="AK208">
        <f>MIN(AJ208,MAX(0,$B208-((E$5&lt;AI$5)*F208+(K$5&lt;AI$5)*L208+(Q$5&lt;AI$5)*R208+(W$5&lt;AI$5)*X208+(AC$5&lt;AI$5)*AD208+(AO$5&lt;AI$5)*AP208+(AU$5&lt;AI$5)*AV208)))</f>
        <v/>
      </c>
      <c r="AL208">
        <f>IF(AJ208-AK208&lt;0.005,0,AJ208-AK208)</f>
        <v/>
      </c>
      <c r="AM208">
        <f>AR207</f>
        <v/>
      </c>
      <c r="AN208">
        <f>AM208*Plan!D12/100/12</f>
        <v/>
      </c>
      <c r="AO208">
        <f>MIN(Plan!E12,AM208+AN208)</f>
        <v/>
      </c>
      <c r="AP208">
        <f>AM208+AN208-AO208</f>
        <v/>
      </c>
      <c r="AQ208">
        <f>MIN(AP208,MAX(0,$B208-((E$5&lt;AO$5)*F208+(K$5&lt;AO$5)*L208+(Q$5&lt;AO$5)*R208+(W$5&lt;AO$5)*X208+(AC$5&lt;AO$5)*AD208+(AI$5&lt;AO$5)*AJ208+(AU$5&lt;AO$5)*AV208)))</f>
        <v/>
      </c>
      <c r="AR208">
        <f>IF(AP208-AQ208&lt;0.005,0,AP208-AQ208)</f>
        <v/>
      </c>
      <c r="AS208">
        <f>AX207</f>
        <v/>
      </c>
      <c r="AT208">
        <f>AS208*Plan!D13/100/12</f>
        <v/>
      </c>
      <c r="AU208">
        <f>MIN(Plan!E13,AS208+AT208)</f>
        <v/>
      </c>
      <c r="AV208">
        <f>AS208+AT208-AU208</f>
        <v/>
      </c>
      <c r="AW208">
        <f>MIN(AV208,MAX(0,$B208-((E$5&lt;AU$5)*F208+(K$5&lt;AU$5)*L208+(Q$5&lt;AU$5)*R208+(W$5&lt;AU$5)*X208+(AC$5&lt;AU$5)*AD208+(AI$5&lt;AU$5)*AJ208+(AO$5&lt;AU$5)*AP208)))</f>
        <v/>
      </c>
      <c r="AX208">
        <f>IF(AV208-AW208&lt;0.005,0,AV208-AW208)</f>
        <v/>
      </c>
      <c r="BC208">
        <f>H208+N208+T208+Z208+AF208+AL208+AR208+AX208</f>
        <v/>
      </c>
    </row>
    <row r="209">
      <c r="A209" t="n">
        <v>203</v>
      </c>
      <c r="B209" s="19">
        <f>MAX(0,$B$3-(E209+K209+Q209+W209+AC209+AI209+AO209+AU209))</f>
        <v/>
      </c>
      <c r="C209">
        <f>H208</f>
        <v/>
      </c>
      <c r="D209">
        <f>C209*Plan!D6/100/12</f>
        <v/>
      </c>
      <c r="E209">
        <f>MIN(Plan!E6,C209+D209)</f>
        <v/>
      </c>
      <c r="F209">
        <f>C209+D209-E209</f>
        <v/>
      </c>
      <c r="G209">
        <f>MIN(F209,MAX(0,$B209-((K$5&lt;E$5)*L209+(Q$5&lt;E$5)*R209+(W$5&lt;E$5)*X209+(AC$5&lt;E$5)*AD209+(AI$5&lt;E$5)*AJ209+(AO$5&lt;E$5)*AP209+(AU$5&lt;E$5)*AV209)))</f>
        <v/>
      </c>
      <c r="H209">
        <f>IF(F209-G209&lt;0.005,0,F209-G209)</f>
        <v/>
      </c>
      <c r="I209">
        <f>N208</f>
        <v/>
      </c>
      <c r="J209">
        <f>I209*Plan!D7/100/12</f>
        <v/>
      </c>
      <c r="K209">
        <f>MIN(Plan!E7,I209+J209)</f>
        <v/>
      </c>
      <c r="L209">
        <f>I209+J209-K209</f>
        <v/>
      </c>
      <c r="M209">
        <f>MIN(L209,MAX(0,$B209-((E$5&lt;K$5)*F209+(Q$5&lt;K$5)*R209+(W$5&lt;K$5)*X209+(AC$5&lt;K$5)*AD209+(AI$5&lt;K$5)*AJ209+(AO$5&lt;K$5)*AP209+(AU$5&lt;K$5)*AV209)))</f>
        <v/>
      </c>
      <c r="N209">
        <f>IF(L209-M209&lt;0.005,0,L209-M209)</f>
        <v/>
      </c>
      <c r="O209">
        <f>T208</f>
        <v/>
      </c>
      <c r="P209">
        <f>O209*Plan!D8/100/12</f>
        <v/>
      </c>
      <c r="Q209">
        <f>MIN(Plan!E8,O209+P209)</f>
        <v/>
      </c>
      <c r="R209">
        <f>O209+P209-Q209</f>
        <v/>
      </c>
      <c r="S209">
        <f>MIN(R209,MAX(0,$B209-((E$5&lt;Q$5)*F209+(K$5&lt;Q$5)*L209+(W$5&lt;Q$5)*X209+(AC$5&lt;Q$5)*AD209+(AI$5&lt;Q$5)*AJ209+(AO$5&lt;Q$5)*AP209+(AU$5&lt;Q$5)*AV209)))</f>
        <v/>
      </c>
      <c r="T209">
        <f>IF(R209-S209&lt;0.005,0,R209-S209)</f>
        <v/>
      </c>
      <c r="U209">
        <f>Z208</f>
        <v/>
      </c>
      <c r="V209">
        <f>U209*Plan!D9/100/12</f>
        <v/>
      </c>
      <c r="W209">
        <f>MIN(Plan!E9,U209+V209)</f>
        <v/>
      </c>
      <c r="X209">
        <f>U209+V209-W209</f>
        <v/>
      </c>
      <c r="Y209">
        <f>MIN(X209,MAX(0,$B209-((E$5&lt;W$5)*F209+(K$5&lt;W$5)*L209+(Q$5&lt;W$5)*R209+(AC$5&lt;W$5)*AD209+(AI$5&lt;W$5)*AJ209+(AO$5&lt;W$5)*AP209+(AU$5&lt;W$5)*AV209)))</f>
        <v/>
      </c>
      <c r="Z209">
        <f>IF(X209-Y209&lt;0.005,0,X209-Y209)</f>
        <v/>
      </c>
      <c r="AA209">
        <f>AF208</f>
        <v/>
      </c>
      <c r="AB209">
        <f>AA209*Plan!D10/100/12</f>
        <v/>
      </c>
      <c r="AC209">
        <f>MIN(Plan!E10,AA209+AB209)</f>
        <v/>
      </c>
      <c r="AD209">
        <f>AA209+AB209-AC209</f>
        <v/>
      </c>
      <c r="AE209">
        <f>MIN(AD209,MAX(0,$B209-((E$5&lt;AC$5)*F209+(K$5&lt;AC$5)*L209+(Q$5&lt;AC$5)*R209+(W$5&lt;AC$5)*X209+(AI$5&lt;AC$5)*AJ209+(AO$5&lt;AC$5)*AP209+(AU$5&lt;AC$5)*AV209)))</f>
        <v/>
      </c>
      <c r="AF209">
        <f>IF(AD209-AE209&lt;0.005,0,AD209-AE209)</f>
        <v/>
      </c>
      <c r="AG209">
        <f>AL208</f>
        <v/>
      </c>
      <c r="AH209">
        <f>AG209*Plan!D11/100/12</f>
        <v/>
      </c>
      <c r="AI209">
        <f>MIN(Plan!E11,AG209+AH209)</f>
        <v/>
      </c>
      <c r="AJ209">
        <f>AG209+AH209-AI209</f>
        <v/>
      </c>
      <c r="AK209">
        <f>MIN(AJ209,MAX(0,$B209-((E$5&lt;AI$5)*F209+(K$5&lt;AI$5)*L209+(Q$5&lt;AI$5)*R209+(W$5&lt;AI$5)*X209+(AC$5&lt;AI$5)*AD209+(AO$5&lt;AI$5)*AP209+(AU$5&lt;AI$5)*AV209)))</f>
        <v/>
      </c>
      <c r="AL209">
        <f>IF(AJ209-AK209&lt;0.005,0,AJ209-AK209)</f>
        <v/>
      </c>
      <c r="AM209">
        <f>AR208</f>
        <v/>
      </c>
      <c r="AN209">
        <f>AM209*Plan!D12/100/12</f>
        <v/>
      </c>
      <c r="AO209">
        <f>MIN(Plan!E12,AM209+AN209)</f>
        <v/>
      </c>
      <c r="AP209">
        <f>AM209+AN209-AO209</f>
        <v/>
      </c>
      <c r="AQ209">
        <f>MIN(AP209,MAX(0,$B209-((E$5&lt;AO$5)*F209+(K$5&lt;AO$5)*L209+(Q$5&lt;AO$5)*R209+(W$5&lt;AO$5)*X209+(AC$5&lt;AO$5)*AD209+(AI$5&lt;AO$5)*AJ209+(AU$5&lt;AO$5)*AV209)))</f>
        <v/>
      </c>
      <c r="AR209">
        <f>IF(AP209-AQ209&lt;0.005,0,AP209-AQ209)</f>
        <v/>
      </c>
      <c r="AS209">
        <f>AX208</f>
        <v/>
      </c>
      <c r="AT209">
        <f>AS209*Plan!D13/100/12</f>
        <v/>
      </c>
      <c r="AU209">
        <f>MIN(Plan!E13,AS209+AT209)</f>
        <v/>
      </c>
      <c r="AV209">
        <f>AS209+AT209-AU209</f>
        <v/>
      </c>
      <c r="AW209">
        <f>MIN(AV209,MAX(0,$B209-((E$5&lt;AU$5)*F209+(K$5&lt;AU$5)*L209+(Q$5&lt;AU$5)*R209+(W$5&lt;AU$5)*X209+(AC$5&lt;AU$5)*AD209+(AI$5&lt;AU$5)*AJ209+(AO$5&lt;AU$5)*AP209)))</f>
        <v/>
      </c>
      <c r="AX209">
        <f>IF(AV209-AW209&lt;0.005,0,AV209-AW209)</f>
        <v/>
      </c>
      <c r="BC209">
        <f>H209+N209+T209+Z209+AF209+AL209+AR209+AX209</f>
        <v/>
      </c>
    </row>
    <row r="210">
      <c r="A210" t="n">
        <v>204</v>
      </c>
      <c r="B210" s="19">
        <f>MAX(0,$B$3-(E210+K210+Q210+W210+AC210+AI210+AO210+AU210))</f>
        <v/>
      </c>
      <c r="C210">
        <f>H209</f>
        <v/>
      </c>
      <c r="D210">
        <f>C210*Plan!D6/100/12</f>
        <v/>
      </c>
      <c r="E210">
        <f>MIN(Plan!E6,C210+D210)</f>
        <v/>
      </c>
      <c r="F210">
        <f>C210+D210-E210</f>
        <v/>
      </c>
      <c r="G210">
        <f>MIN(F210,MAX(0,$B210-((K$5&lt;E$5)*L210+(Q$5&lt;E$5)*R210+(W$5&lt;E$5)*X210+(AC$5&lt;E$5)*AD210+(AI$5&lt;E$5)*AJ210+(AO$5&lt;E$5)*AP210+(AU$5&lt;E$5)*AV210)))</f>
        <v/>
      </c>
      <c r="H210">
        <f>IF(F210-G210&lt;0.005,0,F210-G210)</f>
        <v/>
      </c>
      <c r="I210">
        <f>N209</f>
        <v/>
      </c>
      <c r="J210">
        <f>I210*Plan!D7/100/12</f>
        <v/>
      </c>
      <c r="K210">
        <f>MIN(Plan!E7,I210+J210)</f>
        <v/>
      </c>
      <c r="L210">
        <f>I210+J210-K210</f>
        <v/>
      </c>
      <c r="M210">
        <f>MIN(L210,MAX(0,$B210-((E$5&lt;K$5)*F210+(Q$5&lt;K$5)*R210+(W$5&lt;K$5)*X210+(AC$5&lt;K$5)*AD210+(AI$5&lt;K$5)*AJ210+(AO$5&lt;K$5)*AP210+(AU$5&lt;K$5)*AV210)))</f>
        <v/>
      </c>
      <c r="N210">
        <f>IF(L210-M210&lt;0.005,0,L210-M210)</f>
        <v/>
      </c>
      <c r="O210">
        <f>T209</f>
        <v/>
      </c>
      <c r="P210">
        <f>O210*Plan!D8/100/12</f>
        <v/>
      </c>
      <c r="Q210">
        <f>MIN(Plan!E8,O210+P210)</f>
        <v/>
      </c>
      <c r="R210">
        <f>O210+P210-Q210</f>
        <v/>
      </c>
      <c r="S210">
        <f>MIN(R210,MAX(0,$B210-((E$5&lt;Q$5)*F210+(K$5&lt;Q$5)*L210+(W$5&lt;Q$5)*X210+(AC$5&lt;Q$5)*AD210+(AI$5&lt;Q$5)*AJ210+(AO$5&lt;Q$5)*AP210+(AU$5&lt;Q$5)*AV210)))</f>
        <v/>
      </c>
      <c r="T210">
        <f>IF(R210-S210&lt;0.005,0,R210-S210)</f>
        <v/>
      </c>
      <c r="U210">
        <f>Z209</f>
        <v/>
      </c>
      <c r="V210">
        <f>U210*Plan!D9/100/12</f>
        <v/>
      </c>
      <c r="W210">
        <f>MIN(Plan!E9,U210+V210)</f>
        <v/>
      </c>
      <c r="X210">
        <f>U210+V210-W210</f>
        <v/>
      </c>
      <c r="Y210">
        <f>MIN(X210,MAX(0,$B210-((E$5&lt;W$5)*F210+(K$5&lt;W$5)*L210+(Q$5&lt;W$5)*R210+(AC$5&lt;W$5)*AD210+(AI$5&lt;W$5)*AJ210+(AO$5&lt;W$5)*AP210+(AU$5&lt;W$5)*AV210)))</f>
        <v/>
      </c>
      <c r="Z210">
        <f>IF(X210-Y210&lt;0.005,0,X210-Y210)</f>
        <v/>
      </c>
      <c r="AA210">
        <f>AF209</f>
        <v/>
      </c>
      <c r="AB210">
        <f>AA210*Plan!D10/100/12</f>
        <v/>
      </c>
      <c r="AC210">
        <f>MIN(Plan!E10,AA210+AB210)</f>
        <v/>
      </c>
      <c r="AD210">
        <f>AA210+AB210-AC210</f>
        <v/>
      </c>
      <c r="AE210">
        <f>MIN(AD210,MAX(0,$B210-((E$5&lt;AC$5)*F210+(K$5&lt;AC$5)*L210+(Q$5&lt;AC$5)*R210+(W$5&lt;AC$5)*X210+(AI$5&lt;AC$5)*AJ210+(AO$5&lt;AC$5)*AP210+(AU$5&lt;AC$5)*AV210)))</f>
        <v/>
      </c>
      <c r="AF210">
        <f>IF(AD210-AE210&lt;0.005,0,AD210-AE210)</f>
        <v/>
      </c>
      <c r="AG210">
        <f>AL209</f>
        <v/>
      </c>
      <c r="AH210">
        <f>AG210*Plan!D11/100/12</f>
        <v/>
      </c>
      <c r="AI210">
        <f>MIN(Plan!E11,AG210+AH210)</f>
        <v/>
      </c>
      <c r="AJ210">
        <f>AG210+AH210-AI210</f>
        <v/>
      </c>
      <c r="AK210">
        <f>MIN(AJ210,MAX(0,$B210-((E$5&lt;AI$5)*F210+(K$5&lt;AI$5)*L210+(Q$5&lt;AI$5)*R210+(W$5&lt;AI$5)*X210+(AC$5&lt;AI$5)*AD210+(AO$5&lt;AI$5)*AP210+(AU$5&lt;AI$5)*AV210)))</f>
        <v/>
      </c>
      <c r="AL210">
        <f>IF(AJ210-AK210&lt;0.005,0,AJ210-AK210)</f>
        <v/>
      </c>
      <c r="AM210">
        <f>AR209</f>
        <v/>
      </c>
      <c r="AN210">
        <f>AM210*Plan!D12/100/12</f>
        <v/>
      </c>
      <c r="AO210">
        <f>MIN(Plan!E12,AM210+AN210)</f>
        <v/>
      </c>
      <c r="AP210">
        <f>AM210+AN210-AO210</f>
        <v/>
      </c>
      <c r="AQ210">
        <f>MIN(AP210,MAX(0,$B210-((E$5&lt;AO$5)*F210+(K$5&lt;AO$5)*L210+(Q$5&lt;AO$5)*R210+(W$5&lt;AO$5)*X210+(AC$5&lt;AO$5)*AD210+(AI$5&lt;AO$5)*AJ210+(AU$5&lt;AO$5)*AV210)))</f>
        <v/>
      </c>
      <c r="AR210">
        <f>IF(AP210-AQ210&lt;0.005,0,AP210-AQ210)</f>
        <v/>
      </c>
      <c r="AS210">
        <f>AX209</f>
        <v/>
      </c>
      <c r="AT210">
        <f>AS210*Plan!D13/100/12</f>
        <v/>
      </c>
      <c r="AU210">
        <f>MIN(Plan!E13,AS210+AT210)</f>
        <v/>
      </c>
      <c r="AV210">
        <f>AS210+AT210-AU210</f>
        <v/>
      </c>
      <c r="AW210">
        <f>MIN(AV210,MAX(0,$B210-((E$5&lt;AU$5)*F210+(K$5&lt;AU$5)*L210+(Q$5&lt;AU$5)*R210+(W$5&lt;AU$5)*X210+(AC$5&lt;AU$5)*AD210+(AI$5&lt;AU$5)*AJ210+(AO$5&lt;AU$5)*AP210)))</f>
        <v/>
      </c>
      <c r="AX210">
        <f>IF(AV210-AW210&lt;0.005,0,AV210-AW210)</f>
        <v/>
      </c>
      <c r="BC210">
        <f>H210+N210+T210+Z210+AF210+AL210+AR210+AX210</f>
        <v/>
      </c>
    </row>
    <row r="211">
      <c r="A211" t="n">
        <v>205</v>
      </c>
      <c r="B211" s="19">
        <f>MAX(0,$B$3-(E211+K211+Q211+W211+AC211+AI211+AO211+AU211))</f>
        <v/>
      </c>
      <c r="C211">
        <f>H210</f>
        <v/>
      </c>
      <c r="D211">
        <f>C211*Plan!D6/100/12</f>
        <v/>
      </c>
      <c r="E211">
        <f>MIN(Plan!E6,C211+D211)</f>
        <v/>
      </c>
      <c r="F211">
        <f>C211+D211-E211</f>
        <v/>
      </c>
      <c r="G211">
        <f>MIN(F211,MAX(0,$B211-((K$5&lt;E$5)*L211+(Q$5&lt;E$5)*R211+(W$5&lt;E$5)*X211+(AC$5&lt;E$5)*AD211+(AI$5&lt;E$5)*AJ211+(AO$5&lt;E$5)*AP211+(AU$5&lt;E$5)*AV211)))</f>
        <v/>
      </c>
      <c r="H211">
        <f>IF(F211-G211&lt;0.005,0,F211-G211)</f>
        <v/>
      </c>
      <c r="I211">
        <f>N210</f>
        <v/>
      </c>
      <c r="J211">
        <f>I211*Plan!D7/100/12</f>
        <v/>
      </c>
      <c r="K211">
        <f>MIN(Plan!E7,I211+J211)</f>
        <v/>
      </c>
      <c r="L211">
        <f>I211+J211-K211</f>
        <v/>
      </c>
      <c r="M211">
        <f>MIN(L211,MAX(0,$B211-((E$5&lt;K$5)*F211+(Q$5&lt;K$5)*R211+(W$5&lt;K$5)*X211+(AC$5&lt;K$5)*AD211+(AI$5&lt;K$5)*AJ211+(AO$5&lt;K$5)*AP211+(AU$5&lt;K$5)*AV211)))</f>
        <v/>
      </c>
      <c r="N211">
        <f>IF(L211-M211&lt;0.005,0,L211-M211)</f>
        <v/>
      </c>
      <c r="O211">
        <f>T210</f>
        <v/>
      </c>
      <c r="P211">
        <f>O211*Plan!D8/100/12</f>
        <v/>
      </c>
      <c r="Q211">
        <f>MIN(Plan!E8,O211+P211)</f>
        <v/>
      </c>
      <c r="R211">
        <f>O211+P211-Q211</f>
        <v/>
      </c>
      <c r="S211">
        <f>MIN(R211,MAX(0,$B211-((E$5&lt;Q$5)*F211+(K$5&lt;Q$5)*L211+(W$5&lt;Q$5)*X211+(AC$5&lt;Q$5)*AD211+(AI$5&lt;Q$5)*AJ211+(AO$5&lt;Q$5)*AP211+(AU$5&lt;Q$5)*AV211)))</f>
        <v/>
      </c>
      <c r="T211">
        <f>IF(R211-S211&lt;0.005,0,R211-S211)</f>
        <v/>
      </c>
      <c r="U211">
        <f>Z210</f>
        <v/>
      </c>
      <c r="V211">
        <f>U211*Plan!D9/100/12</f>
        <v/>
      </c>
      <c r="W211">
        <f>MIN(Plan!E9,U211+V211)</f>
        <v/>
      </c>
      <c r="X211">
        <f>U211+V211-W211</f>
        <v/>
      </c>
      <c r="Y211">
        <f>MIN(X211,MAX(0,$B211-((E$5&lt;W$5)*F211+(K$5&lt;W$5)*L211+(Q$5&lt;W$5)*R211+(AC$5&lt;W$5)*AD211+(AI$5&lt;W$5)*AJ211+(AO$5&lt;W$5)*AP211+(AU$5&lt;W$5)*AV211)))</f>
        <v/>
      </c>
      <c r="Z211">
        <f>IF(X211-Y211&lt;0.005,0,X211-Y211)</f>
        <v/>
      </c>
      <c r="AA211">
        <f>AF210</f>
        <v/>
      </c>
      <c r="AB211">
        <f>AA211*Plan!D10/100/12</f>
        <v/>
      </c>
      <c r="AC211">
        <f>MIN(Plan!E10,AA211+AB211)</f>
        <v/>
      </c>
      <c r="AD211">
        <f>AA211+AB211-AC211</f>
        <v/>
      </c>
      <c r="AE211">
        <f>MIN(AD211,MAX(0,$B211-((E$5&lt;AC$5)*F211+(K$5&lt;AC$5)*L211+(Q$5&lt;AC$5)*R211+(W$5&lt;AC$5)*X211+(AI$5&lt;AC$5)*AJ211+(AO$5&lt;AC$5)*AP211+(AU$5&lt;AC$5)*AV211)))</f>
        <v/>
      </c>
      <c r="AF211">
        <f>IF(AD211-AE211&lt;0.005,0,AD211-AE211)</f>
        <v/>
      </c>
      <c r="AG211">
        <f>AL210</f>
        <v/>
      </c>
      <c r="AH211">
        <f>AG211*Plan!D11/100/12</f>
        <v/>
      </c>
      <c r="AI211">
        <f>MIN(Plan!E11,AG211+AH211)</f>
        <v/>
      </c>
      <c r="AJ211">
        <f>AG211+AH211-AI211</f>
        <v/>
      </c>
      <c r="AK211">
        <f>MIN(AJ211,MAX(0,$B211-((E$5&lt;AI$5)*F211+(K$5&lt;AI$5)*L211+(Q$5&lt;AI$5)*R211+(W$5&lt;AI$5)*X211+(AC$5&lt;AI$5)*AD211+(AO$5&lt;AI$5)*AP211+(AU$5&lt;AI$5)*AV211)))</f>
        <v/>
      </c>
      <c r="AL211">
        <f>IF(AJ211-AK211&lt;0.005,0,AJ211-AK211)</f>
        <v/>
      </c>
      <c r="AM211">
        <f>AR210</f>
        <v/>
      </c>
      <c r="AN211">
        <f>AM211*Plan!D12/100/12</f>
        <v/>
      </c>
      <c r="AO211">
        <f>MIN(Plan!E12,AM211+AN211)</f>
        <v/>
      </c>
      <c r="AP211">
        <f>AM211+AN211-AO211</f>
        <v/>
      </c>
      <c r="AQ211">
        <f>MIN(AP211,MAX(0,$B211-((E$5&lt;AO$5)*F211+(K$5&lt;AO$5)*L211+(Q$5&lt;AO$5)*R211+(W$5&lt;AO$5)*X211+(AC$5&lt;AO$5)*AD211+(AI$5&lt;AO$5)*AJ211+(AU$5&lt;AO$5)*AV211)))</f>
        <v/>
      </c>
      <c r="AR211">
        <f>IF(AP211-AQ211&lt;0.005,0,AP211-AQ211)</f>
        <v/>
      </c>
      <c r="AS211">
        <f>AX210</f>
        <v/>
      </c>
      <c r="AT211">
        <f>AS211*Plan!D13/100/12</f>
        <v/>
      </c>
      <c r="AU211">
        <f>MIN(Plan!E13,AS211+AT211)</f>
        <v/>
      </c>
      <c r="AV211">
        <f>AS211+AT211-AU211</f>
        <v/>
      </c>
      <c r="AW211">
        <f>MIN(AV211,MAX(0,$B211-((E$5&lt;AU$5)*F211+(K$5&lt;AU$5)*L211+(Q$5&lt;AU$5)*R211+(W$5&lt;AU$5)*X211+(AC$5&lt;AU$5)*AD211+(AI$5&lt;AU$5)*AJ211+(AO$5&lt;AU$5)*AP211)))</f>
        <v/>
      </c>
      <c r="AX211">
        <f>IF(AV211-AW211&lt;0.005,0,AV211-AW211)</f>
        <v/>
      </c>
      <c r="BC211">
        <f>H211+N211+T211+Z211+AF211+AL211+AR211+AX211</f>
        <v/>
      </c>
    </row>
    <row r="212">
      <c r="A212" t="n">
        <v>206</v>
      </c>
      <c r="B212" s="19">
        <f>MAX(0,$B$3-(E212+K212+Q212+W212+AC212+AI212+AO212+AU212))</f>
        <v/>
      </c>
      <c r="C212">
        <f>H211</f>
        <v/>
      </c>
      <c r="D212">
        <f>C212*Plan!D6/100/12</f>
        <v/>
      </c>
      <c r="E212">
        <f>MIN(Plan!E6,C212+D212)</f>
        <v/>
      </c>
      <c r="F212">
        <f>C212+D212-E212</f>
        <v/>
      </c>
      <c r="G212">
        <f>MIN(F212,MAX(0,$B212-((K$5&lt;E$5)*L212+(Q$5&lt;E$5)*R212+(W$5&lt;E$5)*X212+(AC$5&lt;E$5)*AD212+(AI$5&lt;E$5)*AJ212+(AO$5&lt;E$5)*AP212+(AU$5&lt;E$5)*AV212)))</f>
        <v/>
      </c>
      <c r="H212">
        <f>IF(F212-G212&lt;0.005,0,F212-G212)</f>
        <v/>
      </c>
      <c r="I212">
        <f>N211</f>
        <v/>
      </c>
      <c r="J212">
        <f>I212*Plan!D7/100/12</f>
        <v/>
      </c>
      <c r="K212">
        <f>MIN(Plan!E7,I212+J212)</f>
        <v/>
      </c>
      <c r="L212">
        <f>I212+J212-K212</f>
        <v/>
      </c>
      <c r="M212">
        <f>MIN(L212,MAX(0,$B212-((E$5&lt;K$5)*F212+(Q$5&lt;K$5)*R212+(W$5&lt;K$5)*X212+(AC$5&lt;K$5)*AD212+(AI$5&lt;K$5)*AJ212+(AO$5&lt;K$5)*AP212+(AU$5&lt;K$5)*AV212)))</f>
        <v/>
      </c>
      <c r="N212">
        <f>IF(L212-M212&lt;0.005,0,L212-M212)</f>
        <v/>
      </c>
      <c r="O212">
        <f>T211</f>
        <v/>
      </c>
      <c r="P212">
        <f>O212*Plan!D8/100/12</f>
        <v/>
      </c>
      <c r="Q212">
        <f>MIN(Plan!E8,O212+P212)</f>
        <v/>
      </c>
      <c r="R212">
        <f>O212+P212-Q212</f>
        <v/>
      </c>
      <c r="S212">
        <f>MIN(R212,MAX(0,$B212-((E$5&lt;Q$5)*F212+(K$5&lt;Q$5)*L212+(W$5&lt;Q$5)*X212+(AC$5&lt;Q$5)*AD212+(AI$5&lt;Q$5)*AJ212+(AO$5&lt;Q$5)*AP212+(AU$5&lt;Q$5)*AV212)))</f>
        <v/>
      </c>
      <c r="T212">
        <f>IF(R212-S212&lt;0.005,0,R212-S212)</f>
        <v/>
      </c>
      <c r="U212">
        <f>Z211</f>
        <v/>
      </c>
      <c r="V212">
        <f>U212*Plan!D9/100/12</f>
        <v/>
      </c>
      <c r="W212">
        <f>MIN(Plan!E9,U212+V212)</f>
        <v/>
      </c>
      <c r="X212">
        <f>U212+V212-W212</f>
        <v/>
      </c>
      <c r="Y212">
        <f>MIN(X212,MAX(0,$B212-((E$5&lt;W$5)*F212+(K$5&lt;W$5)*L212+(Q$5&lt;W$5)*R212+(AC$5&lt;W$5)*AD212+(AI$5&lt;W$5)*AJ212+(AO$5&lt;W$5)*AP212+(AU$5&lt;W$5)*AV212)))</f>
        <v/>
      </c>
      <c r="Z212">
        <f>IF(X212-Y212&lt;0.005,0,X212-Y212)</f>
        <v/>
      </c>
      <c r="AA212">
        <f>AF211</f>
        <v/>
      </c>
      <c r="AB212">
        <f>AA212*Plan!D10/100/12</f>
        <v/>
      </c>
      <c r="AC212">
        <f>MIN(Plan!E10,AA212+AB212)</f>
        <v/>
      </c>
      <c r="AD212">
        <f>AA212+AB212-AC212</f>
        <v/>
      </c>
      <c r="AE212">
        <f>MIN(AD212,MAX(0,$B212-((E$5&lt;AC$5)*F212+(K$5&lt;AC$5)*L212+(Q$5&lt;AC$5)*R212+(W$5&lt;AC$5)*X212+(AI$5&lt;AC$5)*AJ212+(AO$5&lt;AC$5)*AP212+(AU$5&lt;AC$5)*AV212)))</f>
        <v/>
      </c>
      <c r="AF212">
        <f>IF(AD212-AE212&lt;0.005,0,AD212-AE212)</f>
        <v/>
      </c>
      <c r="AG212">
        <f>AL211</f>
        <v/>
      </c>
      <c r="AH212">
        <f>AG212*Plan!D11/100/12</f>
        <v/>
      </c>
      <c r="AI212">
        <f>MIN(Plan!E11,AG212+AH212)</f>
        <v/>
      </c>
      <c r="AJ212">
        <f>AG212+AH212-AI212</f>
        <v/>
      </c>
      <c r="AK212">
        <f>MIN(AJ212,MAX(0,$B212-((E$5&lt;AI$5)*F212+(K$5&lt;AI$5)*L212+(Q$5&lt;AI$5)*R212+(W$5&lt;AI$5)*X212+(AC$5&lt;AI$5)*AD212+(AO$5&lt;AI$5)*AP212+(AU$5&lt;AI$5)*AV212)))</f>
        <v/>
      </c>
      <c r="AL212">
        <f>IF(AJ212-AK212&lt;0.005,0,AJ212-AK212)</f>
        <v/>
      </c>
      <c r="AM212">
        <f>AR211</f>
        <v/>
      </c>
      <c r="AN212">
        <f>AM212*Plan!D12/100/12</f>
        <v/>
      </c>
      <c r="AO212">
        <f>MIN(Plan!E12,AM212+AN212)</f>
        <v/>
      </c>
      <c r="AP212">
        <f>AM212+AN212-AO212</f>
        <v/>
      </c>
      <c r="AQ212">
        <f>MIN(AP212,MAX(0,$B212-((E$5&lt;AO$5)*F212+(K$5&lt;AO$5)*L212+(Q$5&lt;AO$5)*R212+(W$5&lt;AO$5)*X212+(AC$5&lt;AO$5)*AD212+(AI$5&lt;AO$5)*AJ212+(AU$5&lt;AO$5)*AV212)))</f>
        <v/>
      </c>
      <c r="AR212">
        <f>IF(AP212-AQ212&lt;0.005,0,AP212-AQ212)</f>
        <v/>
      </c>
      <c r="AS212">
        <f>AX211</f>
        <v/>
      </c>
      <c r="AT212">
        <f>AS212*Plan!D13/100/12</f>
        <v/>
      </c>
      <c r="AU212">
        <f>MIN(Plan!E13,AS212+AT212)</f>
        <v/>
      </c>
      <c r="AV212">
        <f>AS212+AT212-AU212</f>
        <v/>
      </c>
      <c r="AW212">
        <f>MIN(AV212,MAX(0,$B212-((E$5&lt;AU$5)*F212+(K$5&lt;AU$5)*L212+(Q$5&lt;AU$5)*R212+(W$5&lt;AU$5)*X212+(AC$5&lt;AU$5)*AD212+(AI$5&lt;AU$5)*AJ212+(AO$5&lt;AU$5)*AP212)))</f>
        <v/>
      </c>
      <c r="AX212">
        <f>IF(AV212-AW212&lt;0.005,0,AV212-AW212)</f>
        <v/>
      </c>
      <c r="BC212">
        <f>H212+N212+T212+Z212+AF212+AL212+AR212+AX212</f>
        <v/>
      </c>
    </row>
    <row r="213">
      <c r="A213" t="n">
        <v>207</v>
      </c>
      <c r="B213" s="19">
        <f>MAX(0,$B$3-(E213+K213+Q213+W213+AC213+AI213+AO213+AU213))</f>
        <v/>
      </c>
      <c r="C213">
        <f>H212</f>
        <v/>
      </c>
      <c r="D213">
        <f>C213*Plan!D6/100/12</f>
        <v/>
      </c>
      <c r="E213">
        <f>MIN(Plan!E6,C213+D213)</f>
        <v/>
      </c>
      <c r="F213">
        <f>C213+D213-E213</f>
        <v/>
      </c>
      <c r="G213">
        <f>MIN(F213,MAX(0,$B213-((K$5&lt;E$5)*L213+(Q$5&lt;E$5)*R213+(W$5&lt;E$5)*X213+(AC$5&lt;E$5)*AD213+(AI$5&lt;E$5)*AJ213+(AO$5&lt;E$5)*AP213+(AU$5&lt;E$5)*AV213)))</f>
        <v/>
      </c>
      <c r="H213">
        <f>IF(F213-G213&lt;0.005,0,F213-G213)</f>
        <v/>
      </c>
      <c r="I213">
        <f>N212</f>
        <v/>
      </c>
      <c r="J213">
        <f>I213*Plan!D7/100/12</f>
        <v/>
      </c>
      <c r="K213">
        <f>MIN(Plan!E7,I213+J213)</f>
        <v/>
      </c>
      <c r="L213">
        <f>I213+J213-K213</f>
        <v/>
      </c>
      <c r="M213">
        <f>MIN(L213,MAX(0,$B213-((E$5&lt;K$5)*F213+(Q$5&lt;K$5)*R213+(W$5&lt;K$5)*X213+(AC$5&lt;K$5)*AD213+(AI$5&lt;K$5)*AJ213+(AO$5&lt;K$5)*AP213+(AU$5&lt;K$5)*AV213)))</f>
        <v/>
      </c>
      <c r="N213">
        <f>IF(L213-M213&lt;0.005,0,L213-M213)</f>
        <v/>
      </c>
      <c r="O213">
        <f>T212</f>
        <v/>
      </c>
      <c r="P213">
        <f>O213*Plan!D8/100/12</f>
        <v/>
      </c>
      <c r="Q213">
        <f>MIN(Plan!E8,O213+P213)</f>
        <v/>
      </c>
      <c r="R213">
        <f>O213+P213-Q213</f>
        <v/>
      </c>
      <c r="S213">
        <f>MIN(R213,MAX(0,$B213-((E$5&lt;Q$5)*F213+(K$5&lt;Q$5)*L213+(W$5&lt;Q$5)*X213+(AC$5&lt;Q$5)*AD213+(AI$5&lt;Q$5)*AJ213+(AO$5&lt;Q$5)*AP213+(AU$5&lt;Q$5)*AV213)))</f>
        <v/>
      </c>
      <c r="T213">
        <f>IF(R213-S213&lt;0.005,0,R213-S213)</f>
        <v/>
      </c>
      <c r="U213">
        <f>Z212</f>
        <v/>
      </c>
      <c r="V213">
        <f>U213*Plan!D9/100/12</f>
        <v/>
      </c>
      <c r="W213">
        <f>MIN(Plan!E9,U213+V213)</f>
        <v/>
      </c>
      <c r="X213">
        <f>U213+V213-W213</f>
        <v/>
      </c>
      <c r="Y213">
        <f>MIN(X213,MAX(0,$B213-((E$5&lt;W$5)*F213+(K$5&lt;W$5)*L213+(Q$5&lt;W$5)*R213+(AC$5&lt;W$5)*AD213+(AI$5&lt;W$5)*AJ213+(AO$5&lt;W$5)*AP213+(AU$5&lt;W$5)*AV213)))</f>
        <v/>
      </c>
      <c r="Z213">
        <f>IF(X213-Y213&lt;0.005,0,X213-Y213)</f>
        <v/>
      </c>
      <c r="AA213">
        <f>AF212</f>
        <v/>
      </c>
      <c r="AB213">
        <f>AA213*Plan!D10/100/12</f>
        <v/>
      </c>
      <c r="AC213">
        <f>MIN(Plan!E10,AA213+AB213)</f>
        <v/>
      </c>
      <c r="AD213">
        <f>AA213+AB213-AC213</f>
        <v/>
      </c>
      <c r="AE213">
        <f>MIN(AD213,MAX(0,$B213-((E$5&lt;AC$5)*F213+(K$5&lt;AC$5)*L213+(Q$5&lt;AC$5)*R213+(W$5&lt;AC$5)*X213+(AI$5&lt;AC$5)*AJ213+(AO$5&lt;AC$5)*AP213+(AU$5&lt;AC$5)*AV213)))</f>
        <v/>
      </c>
      <c r="AF213">
        <f>IF(AD213-AE213&lt;0.005,0,AD213-AE213)</f>
        <v/>
      </c>
      <c r="AG213">
        <f>AL212</f>
        <v/>
      </c>
      <c r="AH213">
        <f>AG213*Plan!D11/100/12</f>
        <v/>
      </c>
      <c r="AI213">
        <f>MIN(Plan!E11,AG213+AH213)</f>
        <v/>
      </c>
      <c r="AJ213">
        <f>AG213+AH213-AI213</f>
        <v/>
      </c>
      <c r="AK213">
        <f>MIN(AJ213,MAX(0,$B213-((E$5&lt;AI$5)*F213+(K$5&lt;AI$5)*L213+(Q$5&lt;AI$5)*R213+(W$5&lt;AI$5)*X213+(AC$5&lt;AI$5)*AD213+(AO$5&lt;AI$5)*AP213+(AU$5&lt;AI$5)*AV213)))</f>
        <v/>
      </c>
      <c r="AL213">
        <f>IF(AJ213-AK213&lt;0.005,0,AJ213-AK213)</f>
        <v/>
      </c>
      <c r="AM213">
        <f>AR212</f>
        <v/>
      </c>
      <c r="AN213">
        <f>AM213*Plan!D12/100/12</f>
        <v/>
      </c>
      <c r="AO213">
        <f>MIN(Plan!E12,AM213+AN213)</f>
        <v/>
      </c>
      <c r="AP213">
        <f>AM213+AN213-AO213</f>
        <v/>
      </c>
      <c r="AQ213">
        <f>MIN(AP213,MAX(0,$B213-((E$5&lt;AO$5)*F213+(K$5&lt;AO$5)*L213+(Q$5&lt;AO$5)*R213+(W$5&lt;AO$5)*X213+(AC$5&lt;AO$5)*AD213+(AI$5&lt;AO$5)*AJ213+(AU$5&lt;AO$5)*AV213)))</f>
        <v/>
      </c>
      <c r="AR213">
        <f>IF(AP213-AQ213&lt;0.005,0,AP213-AQ213)</f>
        <v/>
      </c>
      <c r="AS213">
        <f>AX212</f>
        <v/>
      </c>
      <c r="AT213">
        <f>AS213*Plan!D13/100/12</f>
        <v/>
      </c>
      <c r="AU213">
        <f>MIN(Plan!E13,AS213+AT213)</f>
        <v/>
      </c>
      <c r="AV213">
        <f>AS213+AT213-AU213</f>
        <v/>
      </c>
      <c r="AW213">
        <f>MIN(AV213,MAX(0,$B213-((E$5&lt;AU$5)*F213+(K$5&lt;AU$5)*L213+(Q$5&lt;AU$5)*R213+(W$5&lt;AU$5)*X213+(AC$5&lt;AU$5)*AD213+(AI$5&lt;AU$5)*AJ213+(AO$5&lt;AU$5)*AP213)))</f>
        <v/>
      </c>
      <c r="AX213">
        <f>IF(AV213-AW213&lt;0.005,0,AV213-AW213)</f>
        <v/>
      </c>
      <c r="BC213">
        <f>H213+N213+T213+Z213+AF213+AL213+AR213+AX213</f>
        <v/>
      </c>
    </row>
    <row r="214">
      <c r="A214" t="n">
        <v>208</v>
      </c>
      <c r="B214" s="19">
        <f>MAX(0,$B$3-(E214+K214+Q214+W214+AC214+AI214+AO214+AU214))</f>
        <v/>
      </c>
      <c r="C214">
        <f>H213</f>
        <v/>
      </c>
      <c r="D214">
        <f>C214*Plan!D6/100/12</f>
        <v/>
      </c>
      <c r="E214">
        <f>MIN(Plan!E6,C214+D214)</f>
        <v/>
      </c>
      <c r="F214">
        <f>C214+D214-E214</f>
        <v/>
      </c>
      <c r="G214">
        <f>MIN(F214,MAX(0,$B214-((K$5&lt;E$5)*L214+(Q$5&lt;E$5)*R214+(W$5&lt;E$5)*X214+(AC$5&lt;E$5)*AD214+(AI$5&lt;E$5)*AJ214+(AO$5&lt;E$5)*AP214+(AU$5&lt;E$5)*AV214)))</f>
        <v/>
      </c>
      <c r="H214">
        <f>IF(F214-G214&lt;0.005,0,F214-G214)</f>
        <v/>
      </c>
      <c r="I214">
        <f>N213</f>
        <v/>
      </c>
      <c r="J214">
        <f>I214*Plan!D7/100/12</f>
        <v/>
      </c>
      <c r="K214">
        <f>MIN(Plan!E7,I214+J214)</f>
        <v/>
      </c>
      <c r="L214">
        <f>I214+J214-K214</f>
        <v/>
      </c>
      <c r="M214">
        <f>MIN(L214,MAX(0,$B214-((E$5&lt;K$5)*F214+(Q$5&lt;K$5)*R214+(W$5&lt;K$5)*X214+(AC$5&lt;K$5)*AD214+(AI$5&lt;K$5)*AJ214+(AO$5&lt;K$5)*AP214+(AU$5&lt;K$5)*AV214)))</f>
        <v/>
      </c>
      <c r="N214">
        <f>IF(L214-M214&lt;0.005,0,L214-M214)</f>
        <v/>
      </c>
      <c r="O214">
        <f>T213</f>
        <v/>
      </c>
      <c r="P214">
        <f>O214*Plan!D8/100/12</f>
        <v/>
      </c>
      <c r="Q214">
        <f>MIN(Plan!E8,O214+P214)</f>
        <v/>
      </c>
      <c r="R214">
        <f>O214+P214-Q214</f>
        <v/>
      </c>
      <c r="S214">
        <f>MIN(R214,MAX(0,$B214-((E$5&lt;Q$5)*F214+(K$5&lt;Q$5)*L214+(W$5&lt;Q$5)*X214+(AC$5&lt;Q$5)*AD214+(AI$5&lt;Q$5)*AJ214+(AO$5&lt;Q$5)*AP214+(AU$5&lt;Q$5)*AV214)))</f>
        <v/>
      </c>
      <c r="T214">
        <f>IF(R214-S214&lt;0.005,0,R214-S214)</f>
        <v/>
      </c>
      <c r="U214">
        <f>Z213</f>
        <v/>
      </c>
      <c r="V214">
        <f>U214*Plan!D9/100/12</f>
        <v/>
      </c>
      <c r="W214">
        <f>MIN(Plan!E9,U214+V214)</f>
        <v/>
      </c>
      <c r="X214">
        <f>U214+V214-W214</f>
        <v/>
      </c>
      <c r="Y214">
        <f>MIN(X214,MAX(0,$B214-((E$5&lt;W$5)*F214+(K$5&lt;W$5)*L214+(Q$5&lt;W$5)*R214+(AC$5&lt;W$5)*AD214+(AI$5&lt;W$5)*AJ214+(AO$5&lt;W$5)*AP214+(AU$5&lt;W$5)*AV214)))</f>
        <v/>
      </c>
      <c r="Z214">
        <f>IF(X214-Y214&lt;0.005,0,X214-Y214)</f>
        <v/>
      </c>
      <c r="AA214">
        <f>AF213</f>
        <v/>
      </c>
      <c r="AB214">
        <f>AA214*Plan!D10/100/12</f>
        <v/>
      </c>
      <c r="AC214">
        <f>MIN(Plan!E10,AA214+AB214)</f>
        <v/>
      </c>
      <c r="AD214">
        <f>AA214+AB214-AC214</f>
        <v/>
      </c>
      <c r="AE214">
        <f>MIN(AD214,MAX(0,$B214-((E$5&lt;AC$5)*F214+(K$5&lt;AC$5)*L214+(Q$5&lt;AC$5)*R214+(W$5&lt;AC$5)*X214+(AI$5&lt;AC$5)*AJ214+(AO$5&lt;AC$5)*AP214+(AU$5&lt;AC$5)*AV214)))</f>
        <v/>
      </c>
      <c r="AF214">
        <f>IF(AD214-AE214&lt;0.005,0,AD214-AE214)</f>
        <v/>
      </c>
      <c r="AG214">
        <f>AL213</f>
        <v/>
      </c>
      <c r="AH214">
        <f>AG214*Plan!D11/100/12</f>
        <v/>
      </c>
      <c r="AI214">
        <f>MIN(Plan!E11,AG214+AH214)</f>
        <v/>
      </c>
      <c r="AJ214">
        <f>AG214+AH214-AI214</f>
        <v/>
      </c>
      <c r="AK214">
        <f>MIN(AJ214,MAX(0,$B214-((E$5&lt;AI$5)*F214+(K$5&lt;AI$5)*L214+(Q$5&lt;AI$5)*R214+(W$5&lt;AI$5)*X214+(AC$5&lt;AI$5)*AD214+(AO$5&lt;AI$5)*AP214+(AU$5&lt;AI$5)*AV214)))</f>
        <v/>
      </c>
      <c r="AL214">
        <f>IF(AJ214-AK214&lt;0.005,0,AJ214-AK214)</f>
        <v/>
      </c>
      <c r="AM214">
        <f>AR213</f>
        <v/>
      </c>
      <c r="AN214">
        <f>AM214*Plan!D12/100/12</f>
        <v/>
      </c>
      <c r="AO214">
        <f>MIN(Plan!E12,AM214+AN214)</f>
        <v/>
      </c>
      <c r="AP214">
        <f>AM214+AN214-AO214</f>
        <v/>
      </c>
      <c r="AQ214">
        <f>MIN(AP214,MAX(0,$B214-((E$5&lt;AO$5)*F214+(K$5&lt;AO$5)*L214+(Q$5&lt;AO$5)*R214+(W$5&lt;AO$5)*X214+(AC$5&lt;AO$5)*AD214+(AI$5&lt;AO$5)*AJ214+(AU$5&lt;AO$5)*AV214)))</f>
        <v/>
      </c>
      <c r="AR214">
        <f>IF(AP214-AQ214&lt;0.005,0,AP214-AQ214)</f>
        <v/>
      </c>
      <c r="AS214">
        <f>AX213</f>
        <v/>
      </c>
      <c r="AT214">
        <f>AS214*Plan!D13/100/12</f>
        <v/>
      </c>
      <c r="AU214">
        <f>MIN(Plan!E13,AS214+AT214)</f>
        <v/>
      </c>
      <c r="AV214">
        <f>AS214+AT214-AU214</f>
        <v/>
      </c>
      <c r="AW214">
        <f>MIN(AV214,MAX(0,$B214-((E$5&lt;AU$5)*F214+(K$5&lt;AU$5)*L214+(Q$5&lt;AU$5)*R214+(W$5&lt;AU$5)*X214+(AC$5&lt;AU$5)*AD214+(AI$5&lt;AU$5)*AJ214+(AO$5&lt;AU$5)*AP214)))</f>
        <v/>
      </c>
      <c r="AX214">
        <f>IF(AV214-AW214&lt;0.005,0,AV214-AW214)</f>
        <v/>
      </c>
      <c r="BC214">
        <f>H214+N214+T214+Z214+AF214+AL214+AR214+AX214</f>
        <v/>
      </c>
    </row>
    <row r="215">
      <c r="A215" t="n">
        <v>209</v>
      </c>
      <c r="B215" s="19">
        <f>MAX(0,$B$3-(E215+K215+Q215+W215+AC215+AI215+AO215+AU215))</f>
        <v/>
      </c>
      <c r="C215">
        <f>H214</f>
        <v/>
      </c>
      <c r="D215">
        <f>C215*Plan!D6/100/12</f>
        <v/>
      </c>
      <c r="E215">
        <f>MIN(Plan!E6,C215+D215)</f>
        <v/>
      </c>
      <c r="F215">
        <f>C215+D215-E215</f>
        <v/>
      </c>
      <c r="G215">
        <f>MIN(F215,MAX(0,$B215-((K$5&lt;E$5)*L215+(Q$5&lt;E$5)*R215+(W$5&lt;E$5)*X215+(AC$5&lt;E$5)*AD215+(AI$5&lt;E$5)*AJ215+(AO$5&lt;E$5)*AP215+(AU$5&lt;E$5)*AV215)))</f>
        <v/>
      </c>
      <c r="H215">
        <f>IF(F215-G215&lt;0.005,0,F215-G215)</f>
        <v/>
      </c>
      <c r="I215">
        <f>N214</f>
        <v/>
      </c>
      <c r="J215">
        <f>I215*Plan!D7/100/12</f>
        <v/>
      </c>
      <c r="K215">
        <f>MIN(Plan!E7,I215+J215)</f>
        <v/>
      </c>
      <c r="L215">
        <f>I215+J215-K215</f>
        <v/>
      </c>
      <c r="M215">
        <f>MIN(L215,MAX(0,$B215-((E$5&lt;K$5)*F215+(Q$5&lt;K$5)*R215+(W$5&lt;K$5)*X215+(AC$5&lt;K$5)*AD215+(AI$5&lt;K$5)*AJ215+(AO$5&lt;K$5)*AP215+(AU$5&lt;K$5)*AV215)))</f>
        <v/>
      </c>
      <c r="N215">
        <f>IF(L215-M215&lt;0.005,0,L215-M215)</f>
        <v/>
      </c>
      <c r="O215">
        <f>T214</f>
        <v/>
      </c>
      <c r="P215">
        <f>O215*Plan!D8/100/12</f>
        <v/>
      </c>
      <c r="Q215">
        <f>MIN(Plan!E8,O215+P215)</f>
        <v/>
      </c>
      <c r="R215">
        <f>O215+P215-Q215</f>
        <v/>
      </c>
      <c r="S215">
        <f>MIN(R215,MAX(0,$B215-((E$5&lt;Q$5)*F215+(K$5&lt;Q$5)*L215+(W$5&lt;Q$5)*X215+(AC$5&lt;Q$5)*AD215+(AI$5&lt;Q$5)*AJ215+(AO$5&lt;Q$5)*AP215+(AU$5&lt;Q$5)*AV215)))</f>
        <v/>
      </c>
      <c r="T215">
        <f>IF(R215-S215&lt;0.005,0,R215-S215)</f>
        <v/>
      </c>
      <c r="U215">
        <f>Z214</f>
        <v/>
      </c>
      <c r="V215">
        <f>U215*Plan!D9/100/12</f>
        <v/>
      </c>
      <c r="W215">
        <f>MIN(Plan!E9,U215+V215)</f>
        <v/>
      </c>
      <c r="X215">
        <f>U215+V215-W215</f>
        <v/>
      </c>
      <c r="Y215">
        <f>MIN(X215,MAX(0,$B215-((E$5&lt;W$5)*F215+(K$5&lt;W$5)*L215+(Q$5&lt;W$5)*R215+(AC$5&lt;W$5)*AD215+(AI$5&lt;W$5)*AJ215+(AO$5&lt;W$5)*AP215+(AU$5&lt;W$5)*AV215)))</f>
        <v/>
      </c>
      <c r="Z215">
        <f>IF(X215-Y215&lt;0.005,0,X215-Y215)</f>
        <v/>
      </c>
      <c r="AA215">
        <f>AF214</f>
        <v/>
      </c>
      <c r="AB215">
        <f>AA215*Plan!D10/100/12</f>
        <v/>
      </c>
      <c r="AC215">
        <f>MIN(Plan!E10,AA215+AB215)</f>
        <v/>
      </c>
      <c r="AD215">
        <f>AA215+AB215-AC215</f>
        <v/>
      </c>
      <c r="AE215">
        <f>MIN(AD215,MAX(0,$B215-((E$5&lt;AC$5)*F215+(K$5&lt;AC$5)*L215+(Q$5&lt;AC$5)*R215+(W$5&lt;AC$5)*X215+(AI$5&lt;AC$5)*AJ215+(AO$5&lt;AC$5)*AP215+(AU$5&lt;AC$5)*AV215)))</f>
        <v/>
      </c>
      <c r="AF215">
        <f>IF(AD215-AE215&lt;0.005,0,AD215-AE215)</f>
        <v/>
      </c>
      <c r="AG215">
        <f>AL214</f>
        <v/>
      </c>
      <c r="AH215">
        <f>AG215*Plan!D11/100/12</f>
        <v/>
      </c>
      <c r="AI215">
        <f>MIN(Plan!E11,AG215+AH215)</f>
        <v/>
      </c>
      <c r="AJ215">
        <f>AG215+AH215-AI215</f>
        <v/>
      </c>
      <c r="AK215">
        <f>MIN(AJ215,MAX(0,$B215-((E$5&lt;AI$5)*F215+(K$5&lt;AI$5)*L215+(Q$5&lt;AI$5)*R215+(W$5&lt;AI$5)*X215+(AC$5&lt;AI$5)*AD215+(AO$5&lt;AI$5)*AP215+(AU$5&lt;AI$5)*AV215)))</f>
        <v/>
      </c>
      <c r="AL215">
        <f>IF(AJ215-AK215&lt;0.005,0,AJ215-AK215)</f>
        <v/>
      </c>
      <c r="AM215">
        <f>AR214</f>
        <v/>
      </c>
      <c r="AN215">
        <f>AM215*Plan!D12/100/12</f>
        <v/>
      </c>
      <c r="AO215">
        <f>MIN(Plan!E12,AM215+AN215)</f>
        <v/>
      </c>
      <c r="AP215">
        <f>AM215+AN215-AO215</f>
        <v/>
      </c>
      <c r="AQ215">
        <f>MIN(AP215,MAX(0,$B215-((E$5&lt;AO$5)*F215+(K$5&lt;AO$5)*L215+(Q$5&lt;AO$5)*R215+(W$5&lt;AO$5)*X215+(AC$5&lt;AO$5)*AD215+(AI$5&lt;AO$5)*AJ215+(AU$5&lt;AO$5)*AV215)))</f>
        <v/>
      </c>
      <c r="AR215">
        <f>IF(AP215-AQ215&lt;0.005,0,AP215-AQ215)</f>
        <v/>
      </c>
      <c r="AS215">
        <f>AX214</f>
        <v/>
      </c>
      <c r="AT215">
        <f>AS215*Plan!D13/100/12</f>
        <v/>
      </c>
      <c r="AU215">
        <f>MIN(Plan!E13,AS215+AT215)</f>
        <v/>
      </c>
      <c r="AV215">
        <f>AS215+AT215-AU215</f>
        <v/>
      </c>
      <c r="AW215">
        <f>MIN(AV215,MAX(0,$B215-((E$5&lt;AU$5)*F215+(K$5&lt;AU$5)*L215+(Q$5&lt;AU$5)*R215+(W$5&lt;AU$5)*X215+(AC$5&lt;AU$5)*AD215+(AI$5&lt;AU$5)*AJ215+(AO$5&lt;AU$5)*AP215)))</f>
        <v/>
      </c>
      <c r="AX215">
        <f>IF(AV215-AW215&lt;0.005,0,AV215-AW215)</f>
        <v/>
      </c>
      <c r="BC215">
        <f>H215+N215+T215+Z215+AF215+AL215+AR215+AX215</f>
        <v/>
      </c>
    </row>
    <row r="216">
      <c r="A216" t="n">
        <v>210</v>
      </c>
      <c r="B216" s="19">
        <f>MAX(0,$B$3-(E216+K216+Q216+W216+AC216+AI216+AO216+AU216))</f>
        <v/>
      </c>
      <c r="C216">
        <f>H215</f>
        <v/>
      </c>
      <c r="D216">
        <f>C216*Plan!D6/100/12</f>
        <v/>
      </c>
      <c r="E216">
        <f>MIN(Plan!E6,C216+D216)</f>
        <v/>
      </c>
      <c r="F216">
        <f>C216+D216-E216</f>
        <v/>
      </c>
      <c r="G216">
        <f>MIN(F216,MAX(0,$B216-((K$5&lt;E$5)*L216+(Q$5&lt;E$5)*R216+(W$5&lt;E$5)*X216+(AC$5&lt;E$5)*AD216+(AI$5&lt;E$5)*AJ216+(AO$5&lt;E$5)*AP216+(AU$5&lt;E$5)*AV216)))</f>
        <v/>
      </c>
      <c r="H216">
        <f>IF(F216-G216&lt;0.005,0,F216-G216)</f>
        <v/>
      </c>
      <c r="I216">
        <f>N215</f>
        <v/>
      </c>
      <c r="J216">
        <f>I216*Plan!D7/100/12</f>
        <v/>
      </c>
      <c r="K216">
        <f>MIN(Plan!E7,I216+J216)</f>
        <v/>
      </c>
      <c r="L216">
        <f>I216+J216-K216</f>
        <v/>
      </c>
      <c r="M216">
        <f>MIN(L216,MAX(0,$B216-((E$5&lt;K$5)*F216+(Q$5&lt;K$5)*R216+(W$5&lt;K$5)*X216+(AC$5&lt;K$5)*AD216+(AI$5&lt;K$5)*AJ216+(AO$5&lt;K$5)*AP216+(AU$5&lt;K$5)*AV216)))</f>
        <v/>
      </c>
      <c r="N216">
        <f>IF(L216-M216&lt;0.005,0,L216-M216)</f>
        <v/>
      </c>
      <c r="O216">
        <f>T215</f>
        <v/>
      </c>
      <c r="P216">
        <f>O216*Plan!D8/100/12</f>
        <v/>
      </c>
      <c r="Q216">
        <f>MIN(Plan!E8,O216+P216)</f>
        <v/>
      </c>
      <c r="R216">
        <f>O216+P216-Q216</f>
        <v/>
      </c>
      <c r="S216">
        <f>MIN(R216,MAX(0,$B216-((E$5&lt;Q$5)*F216+(K$5&lt;Q$5)*L216+(W$5&lt;Q$5)*X216+(AC$5&lt;Q$5)*AD216+(AI$5&lt;Q$5)*AJ216+(AO$5&lt;Q$5)*AP216+(AU$5&lt;Q$5)*AV216)))</f>
        <v/>
      </c>
      <c r="T216">
        <f>IF(R216-S216&lt;0.005,0,R216-S216)</f>
        <v/>
      </c>
      <c r="U216">
        <f>Z215</f>
        <v/>
      </c>
      <c r="V216">
        <f>U216*Plan!D9/100/12</f>
        <v/>
      </c>
      <c r="W216">
        <f>MIN(Plan!E9,U216+V216)</f>
        <v/>
      </c>
      <c r="X216">
        <f>U216+V216-W216</f>
        <v/>
      </c>
      <c r="Y216">
        <f>MIN(X216,MAX(0,$B216-((E$5&lt;W$5)*F216+(K$5&lt;W$5)*L216+(Q$5&lt;W$5)*R216+(AC$5&lt;W$5)*AD216+(AI$5&lt;W$5)*AJ216+(AO$5&lt;W$5)*AP216+(AU$5&lt;W$5)*AV216)))</f>
        <v/>
      </c>
      <c r="Z216">
        <f>IF(X216-Y216&lt;0.005,0,X216-Y216)</f>
        <v/>
      </c>
      <c r="AA216">
        <f>AF215</f>
        <v/>
      </c>
      <c r="AB216">
        <f>AA216*Plan!D10/100/12</f>
        <v/>
      </c>
      <c r="AC216">
        <f>MIN(Plan!E10,AA216+AB216)</f>
        <v/>
      </c>
      <c r="AD216">
        <f>AA216+AB216-AC216</f>
        <v/>
      </c>
      <c r="AE216">
        <f>MIN(AD216,MAX(0,$B216-((E$5&lt;AC$5)*F216+(K$5&lt;AC$5)*L216+(Q$5&lt;AC$5)*R216+(W$5&lt;AC$5)*X216+(AI$5&lt;AC$5)*AJ216+(AO$5&lt;AC$5)*AP216+(AU$5&lt;AC$5)*AV216)))</f>
        <v/>
      </c>
      <c r="AF216">
        <f>IF(AD216-AE216&lt;0.005,0,AD216-AE216)</f>
        <v/>
      </c>
      <c r="AG216">
        <f>AL215</f>
        <v/>
      </c>
      <c r="AH216">
        <f>AG216*Plan!D11/100/12</f>
        <v/>
      </c>
      <c r="AI216">
        <f>MIN(Plan!E11,AG216+AH216)</f>
        <v/>
      </c>
      <c r="AJ216">
        <f>AG216+AH216-AI216</f>
        <v/>
      </c>
      <c r="AK216">
        <f>MIN(AJ216,MAX(0,$B216-((E$5&lt;AI$5)*F216+(K$5&lt;AI$5)*L216+(Q$5&lt;AI$5)*R216+(W$5&lt;AI$5)*X216+(AC$5&lt;AI$5)*AD216+(AO$5&lt;AI$5)*AP216+(AU$5&lt;AI$5)*AV216)))</f>
        <v/>
      </c>
      <c r="AL216">
        <f>IF(AJ216-AK216&lt;0.005,0,AJ216-AK216)</f>
        <v/>
      </c>
      <c r="AM216">
        <f>AR215</f>
        <v/>
      </c>
      <c r="AN216">
        <f>AM216*Plan!D12/100/12</f>
        <v/>
      </c>
      <c r="AO216">
        <f>MIN(Plan!E12,AM216+AN216)</f>
        <v/>
      </c>
      <c r="AP216">
        <f>AM216+AN216-AO216</f>
        <v/>
      </c>
      <c r="AQ216">
        <f>MIN(AP216,MAX(0,$B216-((E$5&lt;AO$5)*F216+(K$5&lt;AO$5)*L216+(Q$5&lt;AO$5)*R216+(W$5&lt;AO$5)*X216+(AC$5&lt;AO$5)*AD216+(AI$5&lt;AO$5)*AJ216+(AU$5&lt;AO$5)*AV216)))</f>
        <v/>
      </c>
      <c r="AR216">
        <f>IF(AP216-AQ216&lt;0.005,0,AP216-AQ216)</f>
        <v/>
      </c>
      <c r="AS216">
        <f>AX215</f>
        <v/>
      </c>
      <c r="AT216">
        <f>AS216*Plan!D13/100/12</f>
        <v/>
      </c>
      <c r="AU216">
        <f>MIN(Plan!E13,AS216+AT216)</f>
        <v/>
      </c>
      <c r="AV216">
        <f>AS216+AT216-AU216</f>
        <v/>
      </c>
      <c r="AW216">
        <f>MIN(AV216,MAX(0,$B216-((E$5&lt;AU$5)*F216+(K$5&lt;AU$5)*L216+(Q$5&lt;AU$5)*R216+(W$5&lt;AU$5)*X216+(AC$5&lt;AU$5)*AD216+(AI$5&lt;AU$5)*AJ216+(AO$5&lt;AU$5)*AP216)))</f>
        <v/>
      </c>
      <c r="AX216">
        <f>IF(AV216-AW216&lt;0.005,0,AV216-AW216)</f>
        <v/>
      </c>
      <c r="BC216">
        <f>H216+N216+T216+Z216+AF216+AL216+AR216+AX216</f>
        <v/>
      </c>
    </row>
    <row r="217">
      <c r="A217" t="n">
        <v>211</v>
      </c>
      <c r="B217" s="19">
        <f>MAX(0,$B$3-(E217+K217+Q217+W217+AC217+AI217+AO217+AU217))</f>
        <v/>
      </c>
      <c r="C217">
        <f>H216</f>
        <v/>
      </c>
      <c r="D217">
        <f>C217*Plan!D6/100/12</f>
        <v/>
      </c>
      <c r="E217">
        <f>MIN(Plan!E6,C217+D217)</f>
        <v/>
      </c>
      <c r="F217">
        <f>C217+D217-E217</f>
        <v/>
      </c>
      <c r="G217">
        <f>MIN(F217,MAX(0,$B217-((K$5&lt;E$5)*L217+(Q$5&lt;E$5)*R217+(W$5&lt;E$5)*X217+(AC$5&lt;E$5)*AD217+(AI$5&lt;E$5)*AJ217+(AO$5&lt;E$5)*AP217+(AU$5&lt;E$5)*AV217)))</f>
        <v/>
      </c>
      <c r="H217">
        <f>IF(F217-G217&lt;0.005,0,F217-G217)</f>
        <v/>
      </c>
      <c r="I217">
        <f>N216</f>
        <v/>
      </c>
      <c r="J217">
        <f>I217*Plan!D7/100/12</f>
        <v/>
      </c>
      <c r="K217">
        <f>MIN(Plan!E7,I217+J217)</f>
        <v/>
      </c>
      <c r="L217">
        <f>I217+J217-K217</f>
        <v/>
      </c>
      <c r="M217">
        <f>MIN(L217,MAX(0,$B217-((E$5&lt;K$5)*F217+(Q$5&lt;K$5)*R217+(W$5&lt;K$5)*X217+(AC$5&lt;K$5)*AD217+(AI$5&lt;K$5)*AJ217+(AO$5&lt;K$5)*AP217+(AU$5&lt;K$5)*AV217)))</f>
        <v/>
      </c>
      <c r="N217">
        <f>IF(L217-M217&lt;0.005,0,L217-M217)</f>
        <v/>
      </c>
      <c r="O217">
        <f>T216</f>
        <v/>
      </c>
      <c r="P217">
        <f>O217*Plan!D8/100/12</f>
        <v/>
      </c>
      <c r="Q217">
        <f>MIN(Plan!E8,O217+P217)</f>
        <v/>
      </c>
      <c r="R217">
        <f>O217+P217-Q217</f>
        <v/>
      </c>
      <c r="S217">
        <f>MIN(R217,MAX(0,$B217-((E$5&lt;Q$5)*F217+(K$5&lt;Q$5)*L217+(W$5&lt;Q$5)*X217+(AC$5&lt;Q$5)*AD217+(AI$5&lt;Q$5)*AJ217+(AO$5&lt;Q$5)*AP217+(AU$5&lt;Q$5)*AV217)))</f>
        <v/>
      </c>
      <c r="T217">
        <f>IF(R217-S217&lt;0.005,0,R217-S217)</f>
        <v/>
      </c>
      <c r="U217">
        <f>Z216</f>
        <v/>
      </c>
      <c r="V217">
        <f>U217*Plan!D9/100/12</f>
        <v/>
      </c>
      <c r="W217">
        <f>MIN(Plan!E9,U217+V217)</f>
        <v/>
      </c>
      <c r="X217">
        <f>U217+V217-W217</f>
        <v/>
      </c>
      <c r="Y217">
        <f>MIN(X217,MAX(0,$B217-((E$5&lt;W$5)*F217+(K$5&lt;W$5)*L217+(Q$5&lt;W$5)*R217+(AC$5&lt;W$5)*AD217+(AI$5&lt;W$5)*AJ217+(AO$5&lt;W$5)*AP217+(AU$5&lt;W$5)*AV217)))</f>
        <v/>
      </c>
      <c r="Z217">
        <f>IF(X217-Y217&lt;0.005,0,X217-Y217)</f>
        <v/>
      </c>
      <c r="AA217">
        <f>AF216</f>
        <v/>
      </c>
      <c r="AB217">
        <f>AA217*Plan!D10/100/12</f>
        <v/>
      </c>
      <c r="AC217">
        <f>MIN(Plan!E10,AA217+AB217)</f>
        <v/>
      </c>
      <c r="AD217">
        <f>AA217+AB217-AC217</f>
        <v/>
      </c>
      <c r="AE217">
        <f>MIN(AD217,MAX(0,$B217-((E$5&lt;AC$5)*F217+(K$5&lt;AC$5)*L217+(Q$5&lt;AC$5)*R217+(W$5&lt;AC$5)*X217+(AI$5&lt;AC$5)*AJ217+(AO$5&lt;AC$5)*AP217+(AU$5&lt;AC$5)*AV217)))</f>
        <v/>
      </c>
      <c r="AF217">
        <f>IF(AD217-AE217&lt;0.005,0,AD217-AE217)</f>
        <v/>
      </c>
      <c r="AG217">
        <f>AL216</f>
        <v/>
      </c>
      <c r="AH217">
        <f>AG217*Plan!D11/100/12</f>
        <v/>
      </c>
      <c r="AI217">
        <f>MIN(Plan!E11,AG217+AH217)</f>
        <v/>
      </c>
      <c r="AJ217">
        <f>AG217+AH217-AI217</f>
        <v/>
      </c>
      <c r="AK217">
        <f>MIN(AJ217,MAX(0,$B217-((E$5&lt;AI$5)*F217+(K$5&lt;AI$5)*L217+(Q$5&lt;AI$5)*R217+(W$5&lt;AI$5)*X217+(AC$5&lt;AI$5)*AD217+(AO$5&lt;AI$5)*AP217+(AU$5&lt;AI$5)*AV217)))</f>
        <v/>
      </c>
      <c r="AL217">
        <f>IF(AJ217-AK217&lt;0.005,0,AJ217-AK217)</f>
        <v/>
      </c>
      <c r="AM217">
        <f>AR216</f>
        <v/>
      </c>
      <c r="AN217">
        <f>AM217*Plan!D12/100/12</f>
        <v/>
      </c>
      <c r="AO217">
        <f>MIN(Plan!E12,AM217+AN217)</f>
        <v/>
      </c>
      <c r="AP217">
        <f>AM217+AN217-AO217</f>
        <v/>
      </c>
      <c r="AQ217">
        <f>MIN(AP217,MAX(0,$B217-((E$5&lt;AO$5)*F217+(K$5&lt;AO$5)*L217+(Q$5&lt;AO$5)*R217+(W$5&lt;AO$5)*X217+(AC$5&lt;AO$5)*AD217+(AI$5&lt;AO$5)*AJ217+(AU$5&lt;AO$5)*AV217)))</f>
        <v/>
      </c>
      <c r="AR217">
        <f>IF(AP217-AQ217&lt;0.005,0,AP217-AQ217)</f>
        <v/>
      </c>
      <c r="AS217">
        <f>AX216</f>
        <v/>
      </c>
      <c r="AT217">
        <f>AS217*Plan!D13/100/12</f>
        <v/>
      </c>
      <c r="AU217">
        <f>MIN(Plan!E13,AS217+AT217)</f>
        <v/>
      </c>
      <c r="AV217">
        <f>AS217+AT217-AU217</f>
        <v/>
      </c>
      <c r="AW217">
        <f>MIN(AV217,MAX(0,$B217-((E$5&lt;AU$5)*F217+(K$5&lt;AU$5)*L217+(Q$5&lt;AU$5)*R217+(W$5&lt;AU$5)*X217+(AC$5&lt;AU$5)*AD217+(AI$5&lt;AU$5)*AJ217+(AO$5&lt;AU$5)*AP217)))</f>
        <v/>
      </c>
      <c r="AX217">
        <f>IF(AV217-AW217&lt;0.005,0,AV217-AW217)</f>
        <v/>
      </c>
      <c r="BC217">
        <f>H217+N217+T217+Z217+AF217+AL217+AR217+AX217</f>
        <v/>
      </c>
    </row>
    <row r="218">
      <c r="A218" t="n">
        <v>212</v>
      </c>
      <c r="B218" s="19">
        <f>MAX(0,$B$3-(E218+K218+Q218+W218+AC218+AI218+AO218+AU218))</f>
        <v/>
      </c>
      <c r="C218">
        <f>H217</f>
        <v/>
      </c>
      <c r="D218">
        <f>C218*Plan!D6/100/12</f>
        <v/>
      </c>
      <c r="E218">
        <f>MIN(Plan!E6,C218+D218)</f>
        <v/>
      </c>
      <c r="F218">
        <f>C218+D218-E218</f>
        <v/>
      </c>
      <c r="G218">
        <f>MIN(F218,MAX(0,$B218-((K$5&lt;E$5)*L218+(Q$5&lt;E$5)*R218+(W$5&lt;E$5)*X218+(AC$5&lt;E$5)*AD218+(AI$5&lt;E$5)*AJ218+(AO$5&lt;E$5)*AP218+(AU$5&lt;E$5)*AV218)))</f>
        <v/>
      </c>
      <c r="H218">
        <f>IF(F218-G218&lt;0.005,0,F218-G218)</f>
        <v/>
      </c>
      <c r="I218">
        <f>N217</f>
        <v/>
      </c>
      <c r="J218">
        <f>I218*Plan!D7/100/12</f>
        <v/>
      </c>
      <c r="K218">
        <f>MIN(Plan!E7,I218+J218)</f>
        <v/>
      </c>
      <c r="L218">
        <f>I218+J218-K218</f>
        <v/>
      </c>
      <c r="M218">
        <f>MIN(L218,MAX(0,$B218-((E$5&lt;K$5)*F218+(Q$5&lt;K$5)*R218+(W$5&lt;K$5)*X218+(AC$5&lt;K$5)*AD218+(AI$5&lt;K$5)*AJ218+(AO$5&lt;K$5)*AP218+(AU$5&lt;K$5)*AV218)))</f>
        <v/>
      </c>
      <c r="N218">
        <f>IF(L218-M218&lt;0.005,0,L218-M218)</f>
        <v/>
      </c>
      <c r="O218">
        <f>T217</f>
        <v/>
      </c>
      <c r="P218">
        <f>O218*Plan!D8/100/12</f>
        <v/>
      </c>
      <c r="Q218">
        <f>MIN(Plan!E8,O218+P218)</f>
        <v/>
      </c>
      <c r="R218">
        <f>O218+P218-Q218</f>
        <v/>
      </c>
      <c r="S218">
        <f>MIN(R218,MAX(0,$B218-((E$5&lt;Q$5)*F218+(K$5&lt;Q$5)*L218+(W$5&lt;Q$5)*X218+(AC$5&lt;Q$5)*AD218+(AI$5&lt;Q$5)*AJ218+(AO$5&lt;Q$5)*AP218+(AU$5&lt;Q$5)*AV218)))</f>
        <v/>
      </c>
      <c r="T218">
        <f>IF(R218-S218&lt;0.005,0,R218-S218)</f>
        <v/>
      </c>
      <c r="U218">
        <f>Z217</f>
        <v/>
      </c>
      <c r="V218">
        <f>U218*Plan!D9/100/12</f>
        <v/>
      </c>
      <c r="W218">
        <f>MIN(Plan!E9,U218+V218)</f>
        <v/>
      </c>
      <c r="X218">
        <f>U218+V218-W218</f>
        <v/>
      </c>
      <c r="Y218">
        <f>MIN(X218,MAX(0,$B218-((E$5&lt;W$5)*F218+(K$5&lt;W$5)*L218+(Q$5&lt;W$5)*R218+(AC$5&lt;W$5)*AD218+(AI$5&lt;W$5)*AJ218+(AO$5&lt;W$5)*AP218+(AU$5&lt;W$5)*AV218)))</f>
        <v/>
      </c>
      <c r="Z218">
        <f>IF(X218-Y218&lt;0.005,0,X218-Y218)</f>
        <v/>
      </c>
      <c r="AA218">
        <f>AF217</f>
        <v/>
      </c>
      <c r="AB218">
        <f>AA218*Plan!D10/100/12</f>
        <v/>
      </c>
      <c r="AC218">
        <f>MIN(Plan!E10,AA218+AB218)</f>
        <v/>
      </c>
      <c r="AD218">
        <f>AA218+AB218-AC218</f>
        <v/>
      </c>
      <c r="AE218">
        <f>MIN(AD218,MAX(0,$B218-((E$5&lt;AC$5)*F218+(K$5&lt;AC$5)*L218+(Q$5&lt;AC$5)*R218+(W$5&lt;AC$5)*X218+(AI$5&lt;AC$5)*AJ218+(AO$5&lt;AC$5)*AP218+(AU$5&lt;AC$5)*AV218)))</f>
        <v/>
      </c>
      <c r="AF218">
        <f>IF(AD218-AE218&lt;0.005,0,AD218-AE218)</f>
        <v/>
      </c>
      <c r="AG218">
        <f>AL217</f>
        <v/>
      </c>
      <c r="AH218">
        <f>AG218*Plan!D11/100/12</f>
        <v/>
      </c>
      <c r="AI218">
        <f>MIN(Plan!E11,AG218+AH218)</f>
        <v/>
      </c>
      <c r="AJ218">
        <f>AG218+AH218-AI218</f>
        <v/>
      </c>
      <c r="AK218">
        <f>MIN(AJ218,MAX(0,$B218-((E$5&lt;AI$5)*F218+(K$5&lt;AI$5)*L218+(Q$5&lt;AI$5)*R218+(W$5&lt;AI$5)*X218+(AC$5&lt;AI$5)*AD218+(AO$5&lt;AI$5)*AP218+(AU$5&lt;AI$5)*AV218)))</f>
        <v/>
      </c>
      <c r="AL218">
        <f>IF(AJ218-AK218&lt;0.005,0,AJ218-AK218)</f>
        <v/>
      </c>
      <c r="AM218">
        <f>AR217</f>
        <v/>
      </c>
      <c r="AN218">
        <f>AM218*Plan!D12/100/12</f>
        <v/>
      </c>
      <c r="AO218">
        <f>MIN(Plan!E12,AM218+AN218)</f>
        <v/>
      </c>
      <c r="AP218">
        <f>AM218+AN218-AO218</f>
        <v/>
      </c>
      <c r="AQ218">
        <f>MIN(AP218,MAX(0,$B218-((E$5&lt;AO$5)*F218+(K$5&lt;AO$5)*L218+(Q$5&lt;AO$5)*R218+(W$5&lt;AO$5)*X218+(AC$5&lt;AO$5)*AD218+(AI$5&lt;AO$5)*AJ218+(AU$5&lt;AO$5)*AV218)))</f>
        <v/>
      </c>
      <c r="AR218">
        <f>IF(AP218-AQ218&lt;0.005,0,AP218-AQ218)</f>
        <v/>
      </c>
      <c r="AS218">
        <f>AX217</f>
        <v/>
      </c>
      <c r="AT218">
        <f>AS218*Plan!D13/100/12</f>
        <v/>
      </c>
      <c r="AU218">
        <f>MIN(Plan!E13,AS218+AT218)</f>
        <v/>
      </c>
      <c r="AV218">
        <f>AS218+AT218-AU218</f>
        <v/>
      </c>
      <c r="AW218">
        <f>MIN(AV218,MAX(0,$B218-((E$5&lt;AU$5)*F218+(K$5&lt;AU$5)*L218+(Q$5&lt;AU$5)*R218+(W$5&lt;AU$5)*X218+(AC$5&lt;AU$5)*AD218+(AI$5&lt;AU$5)*AJ218+(AO$5&lt;AU$5)*AP218)))</f>
        <v/>
      </c>
      <c r="AX218">
        <f>IF(AV218-AW218&lt;0.005,0,AV218-AW218)</f>
        <v/>
      </c>
      <c r="BC218">
        <f>H218+N218+T218+Z218+AF218+AL218+AR218+AX218</f>
        <v/>
      </c>
    </row>
    <row r="219">
      <c r="A219" t="n">
        <v>213</v>
      </c>
      <c r="B219" s="19">
        <f>MAX(0,$B$3-(E219+K219+Q219+W219+AC219+AI219+AO219+AU219))</f>
        <v/>
      </c>
      <c r="C219">
        <f>H218</f>
        <v/>
      </c>
      <c r="D219">
        <f>C219*Plan!D6/100/12</f>
        <v/>
      </c>
      <c r="E219">
        <f>MIN(Plan!E6,C219+D219)</f>
        <v/>
      </c>
      <c r="F219">
        <f>C219+D219-E219</f>
        <v/>
      </c>
      <c r="G219">
        <f>MIN(F219,MAX(0,$B219-((K$5&lt;E$5)*L219+(Q$5&lt;E$5)*R219+(W$5&lt;E$5)*X219+(AC$5&lt;E$5)*AD219+(AI$5&lt;E$5)*AJ219+(AO$5&lt;E$5)*AP219+(AU$5&lt;E$5)*AV219)))</f>
        <v/>
      </c>
      <c r="H219">
        <f>IF(F219-G219&lt;0.005,0,F219-G219)</f>
        <v/>
      </c>
      <c r="I219">
        <f>N218</f>
        <v/>
      </c>
      <c r="J219">
        <f>I219*Plan!D7/100/12</f>
        <v/>
      </c>
      <c r="K219">
        <f>MIN(Plan!E7,I219+J219)</f>
        <v/>
      </c>
      <c r="L219">
        <f>I219+J219-K219</f>
        <v/>
      </c>
      <c r="M219">
        <f>MIN(L219,MAX(0,$B219-((E$5&lt;K$5)*F219+(Q$5&lt;K$5)*R219+(W$5&lt;K$5)*X219+(AC$5&lt;K$5)*AD219+(AI$5&lt;K$5)*AJ219+(AO$5&lt;K$5)*AP219+(AU$5&lt;K$5)*AV219)))</f>
        <v/>
      </c>
      <c r="N219">
        <f>IF(L219-M219&lt;0.005,0,L219-M219)</f>
        <v/>
      </c>
      <c r="O219">
        <f>T218</f>
        <v/>
      </c>
      <c r="P219">
        <f>O219*Plan!D8/100/12</f>
        <v/>
      </c>
      <c r="Q219">
        <f>MIN(Plan!E8,O219+P219)</f>
        <v/>
      </c>
      <c r="R219">
        <f>O219+P219-Q219</f>
        <v/>
      </c>
      <c r="S219">
        <f>MIN(R219,MAX(0,$B219-((E$5&lt;Q$5)*F219+(K$5&lt;Q$5)*L219+(W$5&lt;Q$5)*X219+(AC$5&lt;Q$5)*AD219+(AI$5&lt;Q$5)*AJ219+(AO$5&lt;Q$5)*AP219+(AU$5&lt;Q$5)*AV219)))</f>
        <v/>
      </c>
      <c r="T219">
        <f>IF(R219-S219&lt;0.005,0,R219-S219)</f>
        <v/>
      </c>
      <c r="U219">
        <f>Z218</f>
        <v/>
      </c>
      <c r="V219">
        <f>U219*Plan!D9/100/12</f>
        <v/>
      </c>
      <c r="W219">
        <f>MIN(Plan!E9,U219+V219)</f>
        <v/>
      </c>
      <c r="X219">
        <f>U219+V219-W219</f>
        <v/>
      </c>
      <c r="Y219">
        <f>MIN(X219,MAX(0,$B219-((E$5&lt;W$5)*F219+(K$5&lt;W$5)*L219+(Q$5&lt;W$5)*R219+(AC$5&lt;W$5)*AD219+(AI$5&lt;W$5)*AJ219+(AO$5&lt;W$5)*AP219+(AU$5&lt;W$5)*AV219)))</f>
        <v/>
      </c>
      <c r="Z219">
        <f>IF(X219-Y219&lt;0.005,0,X219-Y219)</f>
        <v/>
      </c>
      <c r="AA219">
        <f>AF218</f>
        <v/>
      </c>
      <c r="AB219">
        <f>AA219*Plan!D10/100/12</f>
        <v/>
      </c>
      <c r="AC219">
        <f>MIN(Plan!E10,AA219+AB219)</f>
        <v/>
      </c>
      <c r="AD219">
        <f>AA219+AB219-AC219</f>
        <v/>
      </c>
      <c r="AE219">
        <f>MIN(AD219,MAX(0,$B219-((E$5&lt;AC$5)*F219+(K$5&lt;AC$5)*L219+(Q$5&lt;AC$5)*R219+(W$5&lt;AC$5)*X219+(AI$5&lt;AC$5)*AJ219+(AO$5&lt;AC$5)*AP219+(AU$5&lt;AC$5)*AV219)))</f>
        <v/>
      </c>
      <c r="AF219">
        <f>IF(AD219-AE219&lt;0.005,0,AD219-AE219)</f>
        <v/>
      </c>
      <c r="AG219">
        <f>AL218</f>
        <v/>
      </c>
      <c r="AH219">
        <f>AG219*Plan!D11/100/12</f>
        <v/>
      </c>
      <c r="AI219">
        <f>MIN(Plan!E11,AG219+AH219)</f>
        <v/>
      </c>
      <c r="AJ219">
        <f>AG219+AH219-AI219</f>
        <v/>
      </c>
      <c r="AK219">
        <f>MIN(AJ219,MAX(0,$B219-((E$5&lt;AI$5)*F219+(K$5&lt;AI$5)*L219+(Q$5&lt;AI$5)*R219+(W$5&lt;AI$5)*X219+(AC$5&lt;AI$5)*AD219+(AO$5&lt;AI$5)*AP219+(AU$5&lt;AI$5)*AV219)))</f>
        <v/>
      </c>
      <c r="AL219">
        <f>IF(AJ219-AK219&lt;0.005,0,AJ219-AK219)</f>
        <v/>
      </c>
      <c r="AM219">
        <f>AR218</f>
        <v/>
      </c>
      <c r="AN219">
        <f>AM219*Plan!D12/100/12</f>
        <v/>
      </c>
      <c r="AO219">
        <f>MIN(Plan!E12,AM219+AN219)</f>
        <v/>
      </c>
      <c r="AP219">
        <f>AM219+AN219-AO219</f>
        <v/>
      </c>
      <c r="AQ219">
        <f>MIN(AP219,MAX(0,$B219-((E$5&lt;AO$5)*F219+(K$5&lt;AO$5)*L219+(Q$5&lt;AO$5)*R219+(W$5&lt;AO$5)*X219+(AC$5&lt;AO$5)*AD219+(AI$5&lt;AO$5)*AJ219+(AU$5&lt;AO$5)*AV219)))</f>
        <v/>
      </c>
      <c r="AR219">
        <f>IF(AP219-AQ219&lt;0.005,0,AP219-AQ219)</f>
        <v/>
      </c>
      <c r="AS219">
        <f>AX218</f>
        <v/>
      </c>
      <c r="AT219">
        <f>AS219*Plan!D13/100/12</f>
        <v/>
      </c>
      <c r="AU219">
        <f>MIN(Plan!E13,AS219+AT219)</f>
        <v/>
      </c>
      <c r="AV219">
        <f>AS219+AT219-AU219</f>
        <v/>
      </c>
      <c r="AW219">
        <f>MIN(AV219,MAX(0,$B219-((E$5&lt;AU$5)*F219+(K$5&lt;AU$5)*L219+(Q$5&lt;AU$5)*R219+(W$5&lt;AU$5)*X219+(AC$5&lt;AU$5)*AD219+(AI$5&lt;AU$5)*AJ219+(AO$5&lt;AU$5)*AP219)))</f>
        <v/>
      </c>
      <c r="AX219">
        <f>IF(AV219-AW219&lt;0.005,0,AV219-AW219)</f>
        <v/>
      </c>
      <c r="BC219">
        <f>H219+N219+T219+Z219+AF219+AL219+AR219+AX219</f>
        <v/>
      </c>
    </row>
    <row r="220">
      <c r="A220" t="n">
        <v>214</v>
      </c>
      <c r="B220" s="19">
        <f>MAX(0,$B$3-(E220+K220+Q220+W220+AC220+AI220+AO220+AU220))</f>
        <v/>
      </c>
      <c r="C220">
        <f>H219</f>
        <v/>
      </c>
      <c r="D220">
        <f>C220*Plan!D6/100/12</f>
        <v/>
      </c>
      <c r="E220">
        <f>MIN(Plan!E6,C220+D220)</f>
        <v/>
      </c>
      <c r="F220">
        <f>C220+D220-E220</f>
        <v/>
      </c>
      <c r="G220">
        <f>MIN(F220,MAX(0,$B220-((K$5&lt;E$5)*L220+(Q$5&lt;E$5)*R220+(W$5&lt;E$5)*X220+(AC$5&lt;E$5)*AD220+(AI$5&lt;E$5)*AJ220+(AO$5&lt;E$5)*AP220+(AU$5&lt;E$5)*AV220)))</f>
        <v/>
      </c>
      <c r="H220">
        <f>IF(F220-G220&lt;0.005,0,F220-G220)</f>
        <v/>
      </c>
      <c r="I220">
        <f>N219</f>
        <v/>
      </c>
      <c r="J220">
        <f>I220*Plan!D7/100/12</f>
        <v/>
      </c>
      <c r="K220">
        <f>MIN(Plan!E7,I220+J220)</f>
        <v/>
      </c>
      <c r="L220">
        <f>I220+J220-K220</f>
        <v/>
      </c>
      <c r="M220">
        <f>MIN(L220,MAX(0,$B220-((E$5&lt;K$5)*F220+(Q$5&lt;K$5)*R220+(W$5&lt;K$5)*X220+(AC$5&lt;K$5)*AD220+(AI$5&lt;K$5)*AJ220+(AO$5&lt;K$5)*AP220+(AU$5&lt;K$5)*AV220)))</f>
        <v/>
      </c>
      <c r="N220">
        <f>IF(L220-M220&lt;0.005,0,L220-M220)</f>
        <v/>
      </c>
      <c r="O220">
        <f>T219</f>
        <v/>
      </c>
      <c r="P220">
        <f>O220*Plan!D8/100/12</f>
        <v/>
      </c>
      <c r="Q220">
        <f>MIN(Plan!E8,O220+P220)</f>
        <v/>
      </c>
      <c r="R220">
        <f>O220+P220-Q220</f>
        <v/>
      </c>
      <c r="S220">
        <f>MIN(R220,MAX(0,$B220-((E$5&lt;Q$5)*F220+(K$5&lt;Q$5)*L220+(W$5&lt;Q$5)*X220+(AC$5&lt;Q$5)*AD220+(AI$5&lt;Q$5)*AJ220+(AO$5&lt;Q$5)*AP220+(AU$5&lt;Q$5)*AV220)))</f>
        <v/>
      </c>
      <c r="T220">
        <f>IF(R220-S220&lt;0.005,0,R220-S220)</f>
        <v/>
      </c>
      <c r="U220">
        <f>Z219</f>
        <v/>
      </c>
      <c r="V220">
        <f>U220*Plan!D9/100/12</f>
        <v/>
      </c>
      <c r="W220">
        <f>MIN(Plan!E9,U220+V220)</f>
        <v/>
      </c>
      <c r="X220">
        <f>U220+V220-W220</f>
        <v/>
      </c>
      <c r="Y220">
        <f>MIN(X220,MAX(0,$B220-((E$5&lt;W$5)*F220+(K$5&lt;W$5)*L220+(Q$5&lt;W$5)*R220+(AC$5&lt;W$5)*AD220+(AI$5&lt;W$5)*AJ220+(AO$5&lt;W$5)*AP220+(AU$5&lt;W$5)*AV220)))</f>
        <v/>
      </c>
      <c r="Z220">
        <f>IF(X220-Y220&lt;0.005,0,X220-Y220)</f>
        <v/>
      </c>
      <c r="AA220">
        <f>AF219</f>
        <v/>
      </c>
      <c r="AB220">
        <f>AA220*Plan!D10/100/12</f>
        <v/>
      </c>
      <c r="AC220">
        <f>MIN(Plan!E10,AA220+AB220)</f>
        <v/>
      </c>
      <c r="AD220">
        <f>AA220+AB220-AC220</f>
        <v/>
      </c>
      <c r="AE220">
        <f>MIN(AD220,MAX(0,$B220-((E$5&lt;AC$5)*F220+(K$5&lt;AC$5)*L220+(Q$5&lt;AC$5)*R220+(W$5&lt;AC$5)*X220+(AI$5&lt;AC$5)*AJ220+(AO$5&lt;AC$5)*AP220+(AU$5&lt;AC$5)*AV220)))</f>
        <v/>
      </c>
      <c r="AF220">
        <f>IF(AD220-AE220&lt;0.005,0,AD220-AE220)</f>
        <v/>
      </c>
      <c r="AG220">
        <f>AL219</f>
        <v/>
      </c>
      <c r="AH220">
        <f>AG220*Plan!D11/100/12</f>
        <v/>
      </c>
      <c r="AI220">
        <f>MIN(Plan!E11,AG220+AH220)</f>
        <v/>
      </c>
      <c r="AJ220">
        <f>AG220+AH220-AI220</f>
        <v/>
      </c>
      <c r="AK220">
        <f>MIN(AJ220,MAX(0,$B220-((E$5&lt;AI$5)*F220+(K$5&lt;AI$5)*L220+(Q$5&lt;AI$5)*R220+(W$5&lt;AI$5)*X220+(AC$5&lt;AI$5)*AD220+(AO$5&lt;AI$5)*AP220+(AU$5&lt;AI$5)*AV220)))</f>
        <v/>
      </c>
      <c r="AL220">
        <f>IF(AJ220-AK220&lt;0.005,0,AJ220-AK220)</f>
        <v/>
      </c>
      <c r="AM220">
        <f>AR219</f>
        <v/>
      </c>
      <c r="AN220">
        <f>AM220*Plan!D12/100/12</f>
        <v/>
      </c>
      <c r="AO220">
        <f>MIN(Plan!E12,AM220+AN220)</f>
        <v/>
      </c>
      <c r="AP220">
        <f>AM220+AN220-AO220</f>
        <v/>
      </c>
      <c r="AQ220">
        <f>MIN(AP220,MAX(0,$B220-((E$5&lt;AO$5)*F220+(K$5&lt;AO$5)*L220+(Q$5&lt;AO$5)*R220+(W$5&lt;AO$5)*X220+(AC$5&lt;AO$5)*AD220+(AI$5&lt;AO$5)*AJ220+(AU$5&lt;AO$5)*AV220)))</f>
        <v/>
      </c>
      <c r="AR220">
        <f>IF(AP220-AQ220&lt;0.005,0,AP220-AQ220)</f>
        <v/>
      </c>
      <c r="AS220">
        <f>AX219</f>
        <v/>
      </c>
      <c r="AT220">
        <f>AS220*Plan!D13/100/12</f>
        <v/>
      </c>
      <c r="AU220">
        <f>MIN(Plan!E13,AS220+AT220)</f>
        <v/>
      </c>
      <c r="AV220">
        <f>AS220+AT220-AU220</f>
        <v/>
      </c>
      <c r="AW220">
        <f>MIN(AV220,MAX(0,$B220-((E$5&lt;AU$5)*F220+(K$5&lt;AU$5)*L220+(Q$5&lt;AU$5)*R220+(W$5&lt;AU$5)*X220+(AC$5&lt;AU$5)*AD220+(AI$5&lt;AU$5)*AJ220+(AO$5&lt;AU$5)*AP220)))</f>
        <v/>
      </c>
      <c r="AX220">
        <f>IF(AV220-AW220&lt;0.005,0,AV220-AW220)</f>
        <v/>
      </c>
      <c r="BC220">
        <f>H220+N220+T220+Z220+AF220+AL220+AR220+AX220</f>
        <v/>
      </c>
    </row>
    <row r="221">
      <c r="A221" t="n">
        <v>215</v>
      </c>
      <c r="B221" s="19">
        <f>MAX(0,$B$3-(E221+K221+Q221+W221+AC221+AI221+AO221+AU221))</f>
        <v/>
      </c>
      <c r="C221">
        <f>H220</f>
        <v/>
      </c>
      <c r="D221">
        <f>C221*Plan!D6/100/12</f>
        <v/>
      </c>
      <c r="E221">
        <f>MIN(Plan!E6,C221+D221)</f>
        <v/>
      </c>
      <c r="F221">
        <f>C221+D221-E221</f>
        <v/>
      </c>
      <c r="G221">
        <f>MIN(F221,MAX(0,$B221-((K$5&lt;E$5)*L221+(Q$5&lt;E$5)*R221+(W$5&lt;E$5)*X221+(AC$5&lt;E$5)*AD221+(AI$5&lt;E$5)*AJ221+(AO$5&lt;E$5)*AP221+(AU$5&lt;E$5)*AV221)))</f>
        <v/>
      </c>
      <c r="H221">
        <f>IF(F221-G221&lt;0.005,0,F221-G221)</f>
        <v/>
      </c>
      <c r="I221">
        <f>N220</f>
        <v/>
      </c>
      <c r="J221">
        <f>I221*Plan!D7/100/12</f>
        <v/>
      </c>
      <c r="K221">
        <f>MIN(Plan!E7,I221+J221)</f>
        <v/>
      </c>
      <c r="L221">
        <f>I221+J221-K221</f>
        <v/>
      </c>
      <c r="M221">
        <f>MIN(L221,MAX(0,$B221-((E$5&lt;K$5)*F221+(Q$5&lt;K$5)*R221+(W$5&lt;K$5)*X221+(AC$5&lt;K$5)*AD221+(AI$5&lt;K$5)*AJ221+(AO$5&lt;K$5)*AP221+(AU$5&lt;K$5)*AV221)))</f>
        <v/>
      </c>
      <c r="N221">
        <f>IF(L221-M221&lt;0.005,0,L221-M221)</f>
        <v/>
      </c>
      <c r="O221">
        <f>T220</f>
        <v/>
      </c>
      <c r="P221">
        <f>O221*Plan!D8/100/12</f>
        <v/>
      </c>
      <c r="Q221">
        <f>MIN(Plan!E8,O221+P221)</f>
        <v/>
      </c>
      <c r="R221">
        <f>O221+P221-Q221</f>
        <v/>
      </c>
      <c r="S221">
        <f>MIN(R221,MAX(0,$B221-((E$5&lt;Q$5)*F221+(K$5&lt;Q$5)*L221+(W$5&lt;Q$5)*X221+(AC$5&lt;Q$5)*AD221+(AI$5&lt;Q$5)*AJ221+(AO$5&lt;Q$5)*AP221+(AU$5&lt;Q$5)*AV221)))</f>
        <v/>
      </c>
      <c r="T221">
        <f>IF(R221-S221&lt;0.005,0,R221-S221)</f>
        <v/>
      </c>
      <c r="U221">
        <f>Z220</f>
        <v/>
      </c>
      <c r="V221">
        <f>U221*Plan!D9/100/12</f>
        <v/>
      </c>
      <c r="W221">
        <f>MIN(Plan!E9,U221+V221)</f>
        <v/>
      </c>
      <c r="X221">
        <f>U221+V221-W221</f>
        <v/>
      </c>
      <c r="Y221">
        <f>MIN(X221,MAX(0,$B221-((E$5&lt;W$5)*F221+(K$5&lt;W$5)*L221+(Q$5&lt;W$5)*R221+(AC$5&lt;W$5)*AD221+(AI$5&lt;W$5)*AJ221+(AO$5&lt;W$5)*AP221+(AU$5&lt;W$5)*AV221)))</f>
        <v/>
      </c>
      <c r="Z221">
        <f>IF(X221-Y221&lt;0.005,0,X221-Y221)</f>
        <v/>
      </c>
      <c r="AA221">
        <f>AF220</f>
        <v/>
      </c>
      <c r="AB221">
        <f>AA221*Plan!D10/100/12</f>
        <v/>
      </c>
      <c r="AC221">
        <f>MIN(Plan!E10,AA221+AB221)</f>
        <v/>
      </c>
      <c r="AD221">
        <f>AA221+AB221-AC221</f>
        <v/>
      </c>
      <c r="AE221">
        <f>MIN(AD221,MAX(0,$B221-((E$5&lt;AC$5)*F221+(K$5&lt;AC$5)*L221+(Q$5&lt;AC$5)*R221+(W$5&lt;AC$5)*X221+(AI$5&lt;AC$5)*AJ221+(AO$5&lt;AC$5)*AP221+(AU$5&lt;AC$5)*AV221)))</f>
        <v/>
      </c>
      <c r="AF221">
        <f>IF(AD221-AE221&lt;0.005,0,AD221-AE221)</f>
        <v/>
      </c>
      <c r="AG221">
        <f>AL220</f>
        <v/>
      </c>
      <c r="AH221">
        <f>AG221*Plan!D11/100/12</f>
        <v/>
      </c>
      <c r="AI221">
        <f>MIN(Plan!E11,AG221+AH221)</f>
        <v/>
      </c>
      <c r="AJ221">
        <f>AG221+AH221-AI221</f>
        <v/>
      </c>
      <c r="AK221">
        <f>MIN(AJ221,MAX(0,$B221-((E$5&lt;AI$5)*F221+(K$5&lt;AI$5)*L221+(Q$5&lt;AI$5)*R221+(W$5&lt;AI$5)*X221+(AC$5&lt;AI$5)*AD221+(AO$5&lt;AI$5)*AP221+(AU$5&lt;AI$5)*AV221)))</f>
        <v/>
      </c>
      <c r="AL221">
        <f>IF(AJ221-AK221&lt;0.005,0,AJ221-AK221)</f>
        <v/>
      </c>
      <c r="AM221">
        <f>AR220</f>
        <v/>
      </c>
      <c r="AN221">
        <f>AM221*Plan!D12/100/12</f>
        <v/>
      </c>
      <c r="AO221">
        <f>MIN(Plan!E12,AM221+AN221)</f>
        <v/>
      </c>
      <c r="AP221">
        <f>AM221+AN221-AO221</f>
        <v/>
      </c>
      <c r="AQ221">
        <f>MIN(AP221,MAX(0,$B221-((E$5&lt;AO$5)*F221+(K$5&lt;AO$5)*L221+(Q$5&lt;AO$5)*R221+(W$5&lt;AO$5)*X221+(AC$5&lt;AO$5)*AD221+(AI$5&lt;AO$5)*AJ221+(AU$5&lt;AO$5)*AV221)))</f>
        <v/>
      </c>
      <c r="AR221">
        <f>IF(AP221-AQ221&lt;0.005,0,AP221-AQ221)</f>
        <v/>
      </c>
      <c r="AS221">
        <f>AX220</f>
        <v/>
      </c>
      <c r="AT221">
        <f>AS221*Plan!D13/100/12</f>
        <v/>
      </c>
      <c r="AU221">
        <f>MIN(Plan!E13,AS221+AT221)</f>
        <v/>
      </c>
      <c r="AV221">
        <f>AS221+AT221-AU221</f>
        <v/>
      </c>
      <c r="AW221">
        <f>MIN(AV221,MAX(0,$B221-((E$5&lt;AU$5)*F221+(K$5&lt;AU$5)*L221+(Q$5&lt;AU$5)*R221+(W$5&lt;AU$5)*X221+(AC$5&lt;AU$5)*AD221+(AI$5&lt;AU$5)*AJ221+(AO$5&lt;AU$5)*AP221)))</f>
        <v/>
      </c>
      <c r="AX221">
        <f>IF(AV221-AW221&lt;0.005,0,AV221-AW221)</f>
        <v/>
      </c>
      <c r="BC221">
        <f>H221+N221+T221+Z221+AF221+AL221+AR221+AX221</f>
        <v/>
      </c>
    </row>
    <row r="222">
      <c r="A222" t="n">
        <v>216</v>
      </c>
      <c r="B222" s="19">
        <f>MAX(0,$B$3-(E222+K222+Q222+W222+AC222+AI222+AO222+AU222))</f>
        <v/>
      </c>
      <c r="C222">
        <f>H221</f>
        <v/>
      </c>
      <c r="D222">
        <f>C222*Plan!D6/100/12</f>
        <v/>
      </c>
      <c r="E222">
        <f>MIN(Plan!E6,C222+D222)</f>
        <v/>
      </c>
      <c r="F222">
        <f>C222+D222-E222</f>
        <v/>
      </c>
      <c r="G222">
        <f>MIN(F222,MAX(0,$B222-((K$5&lt;E$5)*L222+(Q$5&lt;E$5)*R222+(W$5&lt;E$5)*X222+(AC$5&lt;E$5)*AD222+(AI$5&lt;E$5)*AJ222+(AO$5&lt;E$5)*AP222+(AU$5&lt;E$5)*AV222)))</f>
        <v/>
      </c>
      <c r="H222">
        <f>IF(F222-G222&lt;0.005,0,F222-G222)</f>
        <v/>
      </c>
      <c r="I222">
        <f>N221</f>
        <v/>
      </c>
      <c r="J222">
        <f>I222*Plan!D7/100/12</f>
        <v/>
      </c>
      <c r="K222">
        <f>MIN(Plan!E7,I222+J222)</f>
        <v/>
      </c>
      <c r="L222">
        <f>I222+J222-K222</f>
        <v/>
      </c>
      <c r="M222">
        <f>MIN(L222,MAX(0,$B222-((E$5&lt;K$5)*F222+(Q$5&lt;K$5)*R222+(W$5&lt;K$5)*X222+(AC$5&lt;K$5)*AD222+(AI$5&lt;K$5)*AJ222+(AO$5&lt;K$5)*AP222+(AU$5&lt;K$5)*AV222)))</f>
        <v/>
      </c>
      <c r="N222">
        <f>IF(L222-M222&lt;0.005,0,L222-M222)</f>
        <v/>
      </c>
      <c r="O222">
        <f>T221</f>
        <v/>
      </c>
      <c r="P222">
        <f>O222*Plan!D8/100/12</f>
        <v/>
      </c>
      <c r="Q222">
        <f>MIN(Plan!E8,O222+P222)</f>
        <v/>
      </c>
      <c r="R222">
        <f>O222+P222-Q222</f>
        <v/>
      </c>
      <c r="S222">
        <f>MIN(R222,MAX(0,$B222-((E$5&lt;Q$5)*F222+(K$5&lt;Q$5)*L222+(W$5&lt;Q$5)*X222+(AC$5&lt;Q$5)*AD222+(AI$5&lt;Q$5)*AJ222+(AO$5&lt;Q$5)*AP222+(AU$5&lt;Q$5)*AV222)))</f>
        <v/>
      </c>
      <c r="T222">
        <f>IF(R222-S222&lt;0.005,0,R222-S222)</f>
        <v/>
      </c>
      <c r="U222">
        <f>Z221</f>
        <v/>
      </c>
      <c r="V222">
        <f>U222*Plan!D9/100/12</f>
        <v/>
      </c>
      <c r="W222">
        <f>MIN(Plan!E9,U222+V222)</f>
        <v/>
      </c>
      <c r="X222">
        <f>U222+V222-W222</f>
        <v/>
      </c>
      <c r="Y222">
        <f>MIN(X222,MAX(0,$B222-((E$5&lt;W$5)*F222+(K$5&lt;W$5)*L222+(Q$5&lt;W$5)*R222+(AC$5&lt;W$5)*AD222+(AI$5&lt;W$5)*AJ222+(AO$5&lt;W$5)*AP222+(AU$5&lt;W$5)*AV222)))</f>
        <v/>
      </c>
      <c r="Z222">
        <f>IF(X222-Y222&lt;0.005,0,X222-Y222)</f>
        <v/>
      </c>
      <c r="AA222">
        <f>AF221</f>
        <v/>
      </c>
      <c r="AB222">
        <f>AA222*Plan!D10/100/12</f>
        <v/>
      </c>
      <c r="AC222">
        <f>MIN(Plan!E10,AA222+AB222)</f>
        <v/>
      </c>
      <c r="AD222">
        <f>AA222+AB222-AC222</f>
        <v/>
      </c>
      <c r="AE222">
        <f>MIN(AD222,MAX(0,$B222-((E$5&lt;AC$5)*F222+(K$5&lt;AC$5)*L222+(Q$5&lt;AC$5)*R222+(W$5&lt;AC$5)*X222+(AI$5&lt;AC$5)*AJ222+(AO$5&lt;AC$5)*AP222+(AU$5&lt;AC$5)*AV222)))</f>
        <v/>
      </c>
      <c r="AF222">
        <f>IF(AD222-AE222&lt;0.005,0,AD222-AE222)</f>
        <v/>
      </c>
      <c r="AG222">
        <f>AL221</f>
        <v/>
      </c>
      <c r="AH222">
        <f>AG222*Plan!D11/100/12</f>
        <v/>
      </c>
      <c r="AI222">
        <f>MIN(Plan!E11,AG222+AH222)</f>
        <v/>
      </c>
      <c r="AJ222">
        <f>AG222+AH222-AI222</f>
        <v/>
      </c>
      <c r="AK222">
        <f>MIN(AJ222,MAX(0,$B222-((E$5&lt;AI$5)*F222+(K$5&lt;AI$5)*L222+(Q$5&lt;AI$5)*R222+(W$5&lt;AI$5)*X222+(AC$5&lt;AI$5)*AD222+(AO$5&lt;AI$5)*AP222+(AU$5&lt;AI$5)*AV222)))</f>
        <v/>
      </c>
      <c r="AL222">
        <f>IF(AJ222-AK222&lt;0.005,0,AJ222-AK222)</f>
        <v/>
      </c>
      <c r="AM222">
        <f>AR221</f>
        <v/>
      </c>
      <c r="AN222">
        <f>AM222*Plan!D12/100/12</f>
        <v/>
      </c>
      <c r="AO222">
        <f>MIN(Plan!E12,AM222+AN222)</f>
        <v/>
      </c>
      <c r="AP222">
        <f>AM222+AN222-AO222</f>
        <v/>
      </c>
      <c r="AQ222">
        <f>MIN(AP222,MAX(0,$B222-((E$5&lt;AO$5)*F222+(K$5&lt;AO$5)*L222+(Q$5&lt;AO$5)*R222+(W$5&lt;AO$5)*X222+(AC$5&lt;AO$5)*AD222+(AI$5&lt;AO$5)*AJ222+(AU$5&lt;AO$5)*AV222)))</f>
        <v/>
      </c>
      <c r="AR222">
        <f>IF(AP222-AQ222&lt;0.005,0,AP222-AQ222)</f>
        <v/>
      </c>
      <c r="AS222">
        <f>AX221</f>
        <v/>
      </c>
      <c r="AT222">
        <f>AS222*Plan!D13/100/12</f>
        <v/>
      </c>
      <c r="AU222">
        <f>MIN(Plan!E13,AS222+AT222)</f>
        <v/>
      </c>
      <c r="AV222">
        <f>AS222+AT222-AU222</f>
        <v/>
      </c>
      <c r="AW222">
        <f>MIN(AV222,MAX(0,$B222-((E$5&lt;AU$5)*F222+(K$5&lt;AU$5)*L222+(Q$5&lt;AU$5)*R222+(W$5&lt;AU$5)*X222+(AC$5&lt;AU$5)*AD222+(AI$5&lt;AU$5)*AJ222+(AO$5&lt;AU$5)*AP222)))</f>
        <v/>
      </c>
      <c r="AX222">
        <f>IF(AV222-AW222&lt;0.005,0,AV222-AW222)</f>
        <v/>
      </c>
      <c r="BC222">
        <f>H222+N222+T222+Z222+AF222+AL222+AR222+AX222</f>
        <v/>
      </c>
    </row>
    <row r="223">
      <c r="A223" t="n">
        <v>217</v>
      </c>
      <c r="B223" s="19">
        <f>MAX(0,$B$3-(E223+K223+Q223+W223+AC223+AI223+AO223+AU223))</f>
        <v/>
      </c>
      <c r="C223">
        <f>H222</f>
        <v/>
      </c>
      <c r="D223">
        <f>C223*Plan!D6/100/12</f>
        <v/>
      </c>
      <c r="E223">
        <f>MIN(Plan!E6,C223+D223)</f>
        <v/>
      </c>
      <c r="F223">
        <f>C223+D223-E223</f>
        <v/>
      </c>
      <c r="G223">
        <f>MIN(F223,MAX(0,$B223-((K$5&lt;E$5)*L223+(Q$5&lt;E$5)*R223+(W$5&lt;E$5)*X223+(AC$5&lt;E$5)*AD223+(AI$5&lt;E$5)*AJ223+(AO$5&lt;E$5)*AP223+(AU$5&lt;E$5)*AV223)))</f>
        <v/>
      </c>
      <c r="H223">
        <f>IF(F223-G223&lt;0.005,0,F223-G223)</f>
        <v/>
      </c>
      <c r="I223">
        <f>N222</f>
        <v/>
      </c>
      <c r="J223">
        <f>I223*Plan!D7/100/12</f>
        <v/>
      </c>
      <c r="K223">
        <f>MIN(Plan!E7,I223+J223)</f>
        <v/>
      </c>
      <c r="L223">
        <f>I223+J223-K223</f>
        <v/>
      </c>
      <c r="M223">
        <f>MIN(L223,MAX(0,$B223-((E$5&lt;K$5)*F223+(Q$5&lt;K$5)*R223+(W$5&lt;K$5)*X223+(AC$5&lt;K$5)*AD223+(AI$5&lt;K$5)*AJ223+(AO$5&lt;K$5)*AP223+(AU$5&lt;K$5)*AV223)))</f>
        <v/>
      </c>
      <c r="N223">
        <f>IF(L223-M223&lt;0.005,0,L223-M223)</f>
        <v/>
      </c>
      <c r="O223">
        <f>T222</f>
        <v/>
      </c>
      <c r="P223">
        <f>O223*Plan!D8/100/12</f>
        <v/>
      </c>
      <c r="Q223">
        <f>MIN(Plan!E8,O223+P223)</f>
        <v/>
      </c>
      <c r="R223">
        <f>O223+P223-Q223</f>
        <v/>
      </c>
      <c r="S223">
        <f>MIN(R223,MAX(0,$B223-((E$5&lt;Q$5)*F223+(K$5&lt;Q$5)*L223+(W$5&lt;Q$5)*X223+(AC$5&lt;Q$5)*AD223+(AI$5&lt;Q$5)*AJ223+(AO$5&lt;Q$5)*AP223+(AU$5&lt;Q$5)*AV223)))</f>
        <v/>
      </c>
      <c r="T223">
        <f>IF(R223-S223&lt;0.005,0,R223-S223)</f>
        <v/>
      </c>
      <c r="U223">
        <f>Z222</f>
        <v/>
      </c>
      <c r="V223">
        <f>U223*Plan!D9/100/12</f>
        <v/>
      </c>
      <c r="W223">
        <f>MIN(Plan!E9,U223+V223)</f>
        <v/>
      </c>
      <c r="X223">
        <f>U223+V223-W223</f>
        <v/>
      </c>
      <c r="Y223">
        <f>MIN(X223,MAX(0,$B223-((E$5&lt;W$5)*F223+(K$5&lt;W$5)*L223+(Q$5&lt;W$5)*R223+(AC$5&lt;W$5)*AD223+(AI$5&lt;W$5)*AJ223+(AO$5&lt;W$5)*AP223+(AU$5&lt;W$5)*AV223)))</f>
        <v/>
      </c>
      <c r="Z223">
        <f>IF(X223-Y223&lt;0.005,0,X223-Y223)</f>
        <v/>
      </c>
      <c r="AA223">
        <f>AF222</f>
        <v/>
      </c>
      <c r="AB223">
        <f>AA223*Plan!D10/100/12</f>
        <v/>
      </c>
      <c r="AC223">
        <f>MIN(Plan!E10,AA223+AB223)</f>
        <v/>
      </c>
      <c r="AD223">
        <f>AA223+AB223-AC223</f>
        <v/>
      </c>
      <c r="AE223">
        <f>MIN(AD223,MAX(0,$B223-((E$5&lt;AC$5)*F223+(K$5&lt;AC$5)*L223+(Q$5&lt;AC$5)*R223+(W$5&lt;AC$5)*X223+(AI$5&lt;AC$5)*AJ223+(AO$5&lt;AC$5)*AP223+(AU$5&lt;AC$5)*AV223)))</f>
        <v/>
      </c>
      <c r="AF223">
        <f>IF(AD223-AE223&lt;0.005,0,AD223-AE223)</f>
        <v/>
      </c>
      <c r="AG223">
        <f>AL222</f>
        <v/>
      </c>
      <c r="AH223">
        <f>AG223*Plan!D11/100/12</f>
        <v/>
      </c>
      <c r="AI223">
        <f>MIN(Plan!E11,AG223+AH223)</f>
        <v/>
      </c>
      <c r="AJ223">
        <f>AG223+AH223-AI223</f>
        <v/>
      </c>
      <c r="AK223">
        <f>MIN(AJ223,MAX(0,$B223-((E$5&lt;AI$5)*F223+(K$5&lt;AI$5)*L223+(Q$5&lt;AI$5)*R223+(W$5&lt;AI$5)*X223+(AC$5&lt;AI$5)*AD223+(AO$5&lt;AI$5)*AP223+(AU$5&lt;AI$5)*AV223)))</f>
        <v/>
      </c>
      <c r="AL223">
        <f>IF(AJ223-AK223&lt;0.005,0,AJ223-AK223)</f>
        <v/>
      </c>
      <c r="AM223">
        <f>AR222</f>
        <v/>
      </c>
      <c r="AN223">
        <f>AM223*Plan!D12/100/12</f>
        <v/>
      </c>
      <c r="AO223">
        <f>MIN(Plan!E12,AM223+AN223)</f>
        <v/>
      </c>
      <c r="AP223">
        <f>AM223+AN223-AO223</f>
        <v/>
      </c>
      <c r="AQ223">
        <f>MIN(AP223,MAX(0,$B223-((E$5&lt;AO$5)*F223+(K$5&lt;AO$5)*L223+(Q$5&lt;AO$5)*R223+(W$5&lt;AO$5)*X223+(AC$5&lt;AO$5)*AD223+(AI$5&lt;AO$5)*AJ223+(AU$5&lt;AO$5)*AV223)))</f>
        <v/>
      </c>
      <c r="AR223">
        <f>IF(AP223-AQ223&lt;0.005,0,AP223-AQ223)</f>
        <v/>
      </c>
      <c r="AS223">
        <f>AX222</f>
        <v/>
      </c>
      <c r="AT223">
        <f>AS223*Plan!D13/100/12</f>
        <v/>
      </c>
      <c r="AU223">
        <f>MIN(Plan!E13,AS223+AT223)</f>
        <v/>
      </c>
      <c r="AV223">
        <f>AS223+AT223-AU223</f>
        <v/>
      </c>
      <c r="AW223">
        <f>MIN(AV223,MAX(0,$B223-((E$5&lt;AU$5)*F223+(K$5&lt;AU$5)*L223+(Q$5&lt;AU$5)*R223+(W$5&lt;AU$5)*X223+(AC$5&lt;AU$5)*AD223+(AI$5&lt;AU$5)*AJ223+(AO$5&lt;AU$5)*AP223)))</f>
        <v/>
      </c>
      <c r="AX223">
        <f>IF(AV223-AW223&lt;0.005,0,AV223-AW223)</f>
        <v/>
      </c>
      <c r="BC223">
        <f>H223+N223+T223+Z223+AF223+AL223+AR223+AX223</f>
        <v/>
      </c>
    </row>
    <row r="224">
      <c r="A224" t="n">
        <v>218</v>
      </c>
      <c r="B224" s="19">
        <f>MAX(0,$B$3-(E224+K224+Q224+W224+AC224+AI224+AO224+AU224))</f>
        <v/>
      </c>
      <c r="C224">
        <f>H223</f>
        <v/>
      </c>
      <c r="D224">
        <f>C224*Plan!D6/100/12</f>
        <v/>
      </c>
      <c r="E224">
        <f>MIN(Plan!E6,C224+D224)</f>
        <v/>
      </c>
      <c r="F224">
        <f>C224+D224-E224</f>
        <v/>
      </c>
      <c r="G224">
        <f>MIN(F224,MAX(0,$B224-((K$5&lt;E$5)*L224+(Q$5&lt;E$5)*R224+(W$5&lt;E$5)*X224+(AC$5&lt;E$5)*AD224+(AI$5&lt;E$5)*AJ224+(AO$5&lt;E$5)*AP224+(AU$5&lt;E$5)*AV224)))</f>
        <v/>
      </c>
      <c r="H224">
        <f>IF(F224-G224&lt;0.005,0,F224-G224)</f>
        <v/>
      </c>
      <c r="I224">
        <f>N223</f>
        <v/>
      </c>
      <c r="J224">
        <f>I224*Plan!D7/100/12</f>
        <v/>
      </c>
      <c r="K224">
        <f>MIN(Plan!E7,I224+J224)</f>
        <v/>
      </c>
      <c r="L224">
        <f>I224+J224-K224</f>
        <v/>
      </c>
      <c r="M224">
        <f>MIN(L224,MAX(0,$B224-((E$5&lt;K$5)*F224+(Q$5&lt;K$5)*R224+(W$5&lt;K$5)*X224+(AC$5&lt;K$5)*AD224+(AI$5&lt;K$5)*AJ224+(AO$5&lt;K$5)*AP224+(AU$5&lt;K$5)*AV224)))</f>
        <v/>
      </c>
      <c r="N224">
        <f>IF(L224-M224&lt;0.005,0,L224-M224)</f>
        <v/>
      </c>
      <c r="O224">
        <f>T223</f>
        <v/>
      </c>
      <c r="P224">
        <f>O224*Plan!D8/100/12</f>
        <v/>
      </c>
      <c r="Q224">
        <f>MIN(Plan!E8,O224+P224)</f>
        <v/>
      </c>
      <c r="R224">
        <f>O224+P224-Q224</f>
        <v/>
      </c>
      <c r="S224">
        <f>MIN(R224,MAX(0,$B224-((E$5&lt;Q$5)*F224+(K$5&lt;Q$5)*L224+(W$5&lt;Q$5)*X224+(AC$5&lt;Q$5)*AD224+(AI$5&lt;Q$5)*AJ224+(AO$5&lt;Q$5)*AP224+(AU$5&lt;Q$5)*AV224)))</f>
        <v/>
      </c>
      <c r="T224">
        <f>IF(R224-S224&lt;0.005,0,R224-S224)</f>
        <v/>
      </c>
      <c r="U224">
        <f>Z223</f>
        <v/>
      </c>
      <c r="V224">
        <f>U224*Plan!D9/100/12</f>
        <v/>
      </c>
      <c r="W224">
        <f>MIN(Plan!E9,U224+V224)</f>
        <v/>
      </c>
      <c r="X224">
        <f>U224+V224-W224</f>
        <v/>
      </c>
      <c r="Y224">
        <f>MIN(X224,MAX(0,$B224-((E$5&lt;W$5)*F224+(K$5&lt;W$5)*L224+(Q$5&lt;W$5)*R224+(AC$5&lt;W$5)*AD224+(AI$5&lt;W$5)*AJ224+(AO$5&lt;W$5)*AP224+(AU$5&lt;W$5)*AV224)))</f>
        <v/>
      </c>
      <c r="Z224">
        <f>IF(X224-Y224&lt;0.005,0,X224-Y224)</f>
        <v/>
      </c>
      <c r="AA224">
        <f>AF223</f>
        <v/>
      </c>
      <c r="AB224">
        <f>AA224*Plan!D10/100/12</f>
        <v/>
      </c>
      <c r="AC224">
        <f>MIN(Plan!E10,AA224+AB224)</f>
        <v/>
      </c>
      <c r="AD224">
        <f>AA224+AB224-AC224</f>
        <v/>
      </c>
      <c r="AE224">
        <f>MIN(AD224,MAX(0,$B224-((E$5&lt;AC$5)*F224+(K$5&lt;AC$5)*L224+(Q$5&lt;AC$5)*R224+(W$5&lt;AC$5)*X224+(AI$5&lt;AC$5)*AJ224+(AO$5&lt;AC$5)*AP224+(AU$5&lt;AC$5)*AV224)))</f>
        <v/>
      </c>
      <c r="AF224">
        <f>IF(AD224-AE224&lt;0.005,0,AD224-AE224)</f>
        <v/>
      </c>
      <c r="AG224">
        <f>AL223</f>
        <v/>
      </c>
      <c r="AH224">
        <f>AG224*Plan!D11/100/12</f>
        <v/>
      </c>
      <c r="AI224">
        <f>MIN(Plan!E11,AG224+AH224)</f>
        <v/>
      </c>
      <c r="AJ224">
        <f>AG224+AH224-AI224</f>
        <v/>
      </c>
      <c r="AK224">
        <f>MIN(AJ224,MAX(0,$B224-((E$5&lt;AI$5)*F224+(K$5&lt;AI$5)*L224+(Q$5&lt;AI$5)*R224+(W$5&lt;AI$5)*X224+(AC$5&lt;AI$5)*AD224+(AO$5&lt;AI$5)*AP224+(AU$5&lt;AI$5)*AV224)))</f>
        <v/>
      </c>
      <c r="AL224">
        <f>IF(AJ224-AK224&lt;0.005,0,AJ224-AK224)</f>
        <v/>
      </c>
      <c r="AM224">
        <f>AR223</f>
        <v/>
      </c>
      <c r="AN224">
        <f>AM224*Plan!D12/100/12</f>
        <v/>
      </c>
      <c r="AO224">
        <f>MIN(Plan!E12,AM224+AN224)</f>
        <v/>
      </c>
      <c r="AP224">
        <f>AM224+AN224-AO224</f>
        <v/>
      </c>
      <c r="AQ224">
        <f>MIN(AP224,MAX(0,$B224-((E$5&lt;AO$5)*F224+(K$5&lt;AO$5)*L224+(Q$5&lt;AO$5)*R224+(W$5&lt;AO$5)*X224+(AC$5&lt;AO$5)*AD224+(AI$5&lt;AO$5)*AJ224+(AU$5&lt;AO$5)*AV224)))</f>
        <v/>
      </c>
      <c r="AR224">
        <f>IF(AP224-AQ224&lt;0.005,0,AP224-AQ224)</f>
        <v/>
      </c>
      <c r="AS224">
        <f>AX223</f>
        <v/>
      </c>
      <c r="AT224">
        <f>AS224*Plan!D13/100/12</f>
        <v/>
      </c>
      <c r="AU224">
        <f>MIN(Plan!E13,AS224+AT224)</f>
        <v/>
      </c>
      <c r="AV224">
        <f>AS224+AT224-AU224</f>
        <v/>
      </c>
      <c r="AW224">
        <f>MIN(AV224,MAX(0,$B224-((E$5&lt;AU$5)*F224+(K$5&lt;AU$5)*L224+(Q$5&lt;AU$5)*R224+(W$5&lt;AU$5)*X224+(AC$5&lt;AU$5)*AD224+(AI$5&lt;AU$5)*AJ224+(AO$5&lt;AU$5)*AP224)))</f>
        <v/>
      </c>
      <c r="AX224">
        <f>IF(AV224-AW224&lt;0.005,0,AV224-AW224)</f>
        <v/>
      </c>
      <c r="BC224">
        <f>H224+N224+T224+Z224+AF224+AL224+AR224+AX224</f>
        <v/>
      </c>
    </row>
    <row r="225">
      <c r="A225" t="n">
        <v>219</v>
      </c>
      <c r="B225" s="19">
        <f>MAX(0,$B$3-(E225+K225+Q225+W225+AC225+AI225+AO225+AU225))</f>
        <v/>
      </c>
      <c r="C225">
        <f>H224</f>
        <v/>
      </c>
      <c r="D225">
        <f>C225*Plan!D6/100/12</f>
        <v/>
      </c>
      <c r="E225">
        <f>MIN(Plan!E6,C225+D225)</f>
        <v/>
      </c>
      <c r="F225">
        <f>C225+D225-E225</f>
        <v/>
      </c>
      <c r="G225">
        <f>MIN(F225,MAX(0,$B225-((K$5&lt;E$5)*L225+(Q$5&lt;E$5)*R225+(W$5&lt;E$5)*X225+(AC$5&lt;E$5)*AD225+(AI$5&lt;E$5)*AJ225+(AO$5&lt;E$5)*AP225+(AU$5&lt;E$5)*AV225)))</f>
        <v/>
      </c>
      <c r="H225">
        <f>IF(F225-G225&lt;0.005,0,F225-G225)</f>
        <v/>
      </c>
      <c r="I225">
        <f>N224</f>
        <v/>
      </c>
      <c r="J225">
        <f>I225*Plan!D7/100/12</f>
        <v/>
      </c>
      <c r="K225">
        <f>MIN(Plan!E7,I225+J225)</f>
        <v/>
      </c>
      <c r="L225">
        <f>I225+J225-K225</f>
        <v/>
      </c>
      <c r="M225">
        <f>MIN(L225,MAX(0,$B225-((E$5&lt;K$5)*F225+(Q$5&lt;K$5)*R225+(W$5&lt;K$5)*X225+(AC$5&lt;K$5)*AD225+(AI$5&lt;K$5)*AJ225+(AO$5&lt;K$5)*AP225+(AU$5&lt;K$5)*AV225)))</f>
        <v/>
      </c>
      <c r="N225">
        <f>IF(L225-M225&lt;0.005,0,L225-M225)</f>
        <v/>
      </c>
      <c r="O225">
        <f>T224</f>
        <v/>
      </c>
      <c r="P225">
        <f>O225*Plan!D8/100/12</f>
        <v/>
      </c>
      <c r="Q225">
        <f>MIN(Plan!E8,O225+P225)</f>
        <v/>
      </c>
      <c r="R225">
        <f>O225+P225-Q225</f>
        <v/>
      </c>
      <c r="S225">
        <f>MIN(R225,MAX(0,$B225-((E$5&lt;Q$5)*F225+(K$5&lt;Q$5)*L225+(W$5&lt;Q$5)*X225+(AC$5&lt;Q$5)*AD225+(AI$5&lt;Q$5)*AJ225+(AO$5&lt;Q$5)*AP225+(AU$5&lt;Q$5)*AV225)))</f>
        <v/>
      </c>
      <c r="T225">
        <f>IF(R225-S225&lt;0.005,0,R225-S225)</f>
        <v/>
      </c>
      <c r="U225">
        <f>Z224</f>
        <v/>
      </c>
      <c r="V225">
        <f>U225*Plan!D9/100/12</f>
        <v/>
      </c>
      <c r="W225">
        <f>MIN(Plan!E9,U225+V225)</f>
        <v/>
      </c>
      <c r="X225">
        <f>U225+V225-W225</f>
        <v/>
      </c>
      <c r="Y225">
        <f>MIN(X225,MAX(0,$B225-((E$5&lt;W$5)*F225+(K$5&lt;W$5)*L225+(Q$5&lt;W$5)*R225+(AC$5&lt;W$5)*AD225+(AI$5&lt;W$5)*AJ225+(AO$5&lt;W$5)*AP225+(AU$5&lt;W$5)*AV225)))</f>
        <v/>
      </c>
      <c r="Z225">
        <f>IF(X225-Y225&lt;0.005,0,X225-Y225)</f>
        <v/>
      </c>
      <c r="AA225">
        <f>AF224</f>
        <v/>
      </c>
      <c r="AB225">
        <f>AA225*Plan!D10/100/12</f>
        <v/>
      </c>
      <c r="AC225">
        <f>MIN(Plan!E10,AA225+AB225)</f>
        <v/>
      </c>
      <c r="AD225">
        <f>AA225+AB225-AC225</f>
        <v/>
      </c>
      <c r="AE225">
        <f>MIN(AD225,MAX(0,$B225-((E$5&lt;AC$5)*F225+(K$5&lt;AC$5)*L225+(Q$5&lt;AC$5)*R225+(W$5&lt;AC$5)*X225+(AI$5&lt;AC$5)*AJ225+(AO$5&lt;AC$5)*AP225+(AU$5&lt;AC$5)*AV225)))</f>
        <v/>
      </c>
      <c r="AF225">
        <f>IF(AD225-AE225&lt;0.005,0,AD225-AE225)</f>
        <v/>
      </c>
      <c r="AG225">
        <f>AL224</f>
        <v/>
      </c>
      <c r="AH225">
        <f>AG225*Plan!D11/100/12</f>
        <v/>
      </c>
      <c r="AI225">
        <f>MIN(Plan!E11,AG225+AH225)</f>
        <v/>
      </c>
      <c r="AJ225">
        <f>AG225+AH225-AI225</f>
        <v/>
      </c>
      <c r="AK225">
        <f>MIN(AJ225,MAX(0,$B225-((E$5&lt;AI$5)*F225+(K$5&lt;AI$5)*L225+(Q$5&lt;AI$5)*R225+(W$5&lt;AI$5)*X225+(AC$5&lt;AI$5)*AD225+(AO$5&lt;AI$5)*AP225+(AU$5&lt;AI$5)*AV225)))</f>
        <v/>
      </c>
      <c r="AL225">
        <f>IF(AJ225-AK225&lt;0.005,0,AJ225-AK225)</f>
        <v/>
      </c>
      <c r="AM225">
        <f>AR224</f>
        <v/>
      </c>
      <c r="AN225">
        <f>AM225*Plan!D12/100/12</f>
        <v/>
      </c>
      <c r="AO225">
        <f>MIN(Plan!E12,AM225+AN225)</f>
        <v/>
      </c>
      <c r="AP225">
        <f>AM225+AN225-AO225</f>
        <v/>
      </c>
      <c r="AQ225">
        <f>MIN(AP225,MAX(0,$B225-((E$5&lt;AO$5)*F225+(K$5&lt;AO$5)*L225+(Q$5&lt;AO$5)*R225+(W$5&lt;AO$5)*X225+(AC$5&lt;AO$5)*AD225+(AI$5&lt;AO$5)*AJ225+(AU$5&lt;AO$5)*AV225)))</f>
        <v/>
      </c>
      <c r="AR225">
        <f>IF(AP225-AQ225&lt;0.005,0,AP225-AQ225)</f>
        <v/>
      </c>
      <c r="AS225">
        <f>AX224</f>
        <v/>
      </c>
      <c r="AT225">
        <f>AS225*Plan!D13/100/12</f>
        <v/>
      </c>
      <c r="AU225">
        <f>MIN(Plan!E13,AS225+AT225)</f>
        <v/>
      </c>
      <c r="AV225">
        <f>AS225+AT225-AU225</f>
        <v/>
      </c>
      <c r="AW225">
        <f>MIN(AV225,MAX(0,$B225-((E$5&lt;AU$5)*F225+(K$5&lt;AU$5)*L225+(Q$5&lt;AU$5)*R225+(W$5&lt;AU$5)*X225+(AC$5&lt;AU$5)*AD225+(AI$5&lt;AU$5)*AJ225+(AO$5&lt;AU$5)*AP225)))</f>
        <v/>
      </c>
      <c r="AX225">
        <f>IF(AV225-AW225&lt;0.005,0,AV225-AW225)</f>
        <v/>
      </c>
      <c r="BC225">
        <f>H225+N225+T225+Z225+AF225+AL225+AR225+AX225</f>
        <v/>
      </c>
    </row>
    <row r="226">
      <c r="A226" t="n">
        <v>220</v>
      </c>
      <c r="B226" s="19">
        <f>MAX(0,$B$3-(E226+K226+Q226+W226+AC226+AI226+AO226+AU226))</f>
        <v/>
      </c>
      <c r="C226">
        <f>H225</f>
        <v/>
      </c>
      <c r="D226">
        <f>C226*Plan!D6/100/12</f>
        <v/>
      </c>
      <c r="E226">
        <f>MIN(Plan!E6,C226+D226)</f>
        <v/>
      </c>
      <c r="F226">
        <f>C226+D226-E226</f>
        <v/>
      </c>
      <c r="G226">
        <f>MIN(F226,MAX(0,$B226-((K$5&lt;E$5)*L226+(Q$5&lt;E$5)*R226+(W$5&lt;E$5)*X226+(AC$5&lt;E$5)*AD226+(AI$5&lt;E$5)*AJ226+(AO$5&lt;E$5)*AP226+(AU$5&lt;E$5)*AV226)))</f>
        <v/>
      </c>
      <c r="H226">
        <f>IF(F226-G226&lt;0.005,0,F226-G226)</f>
        <v/>
      </c>
      <c r="I226">
        <f>N225</f>
        <v/>
      </c>
      <c r="J226">
        <f>I226*Plan!D7/100/12</f>
        <v/>
      </c>
      <c r="K226">
        <f>MIN(Plan!E7,I226+J226)</f>
        <v/>
      </c>
      <c r="L226">
        <f>I226+J226-K226</f>
        <v/>
      </c>
      <c r="M226">
        <f>MIN(L226,MAX(0,$B226-((E$5&lt;K$5)*F226+(Q$5&lt;K$5)*R226+(W$5&lt;K$5)*X226+(AC$5&lt;K$5)*AD226+(AI$5&lt;K$5)*AJ226+(AO$5&lt;K$5)*AP226+(AU$5&lt;K$5)*AV226)))</f>
        <v/>
      </c>
      <c r="N226">
        <f>IF(L226-M226&lt;0.005,0,L226-M226)</f>
        <v/>
      </c>
      <c r="O226">
        <f>T225</f>
        <v/>
      </c>
      <c r="P226">
        <f>O226*Plan!D8/100/12</f>
        <v/>
      </c>
      <c r="Q226">
        <f>MIN(Plan!E8,O226+P226)</f>
        <v/>
      </c>
      <c r="R226">
        <f>O226+P226-Q226</f>
        <v/>
      </c>
      <c r="S226">
        <f>MIN(R226,MAX(0,$B226-((E$5&lt;Q$5)*F226+(K$5&lt;Q$5)*L226+(W$5&lt;Q$5)*X226+(AC$5&lt;Q$5)*AD226+(AI$5&lt;Q$5)*AJ226+(AO$5&lt;Q$5)*AP226+(AU$5&lt;Q$5)*AV226)))</f>
        <v/>
      </c>
      <c r="T226">
        <f>IF(R226-S226&lt;0.005,0,R226-S226)</f>
        <v/>
      </c>
      <c r="U226">
        <f>Z225</f>
        <v/>
      </c>
      <c r="V226">
        <f>U226*Plan!D9/100/12</f>
        <v/>
      </c>
      <c r="W226">
        <f>MIN(Plan!E9,U226+V226)</f>
        <v/>
      </c>
      <c r="X226">
        <f>U226+V226-W226</f>
        <v/>
      </c>
      <c r="Y226">
        <f>MIN(X226,MAX(0,$B226-((E$5&lt;W$5)*F226+(K$5&lt;W$5)*L226+(Q$5&lt;W$5)*R226+(AC$5&lt;W$5)*AD226+(AI$5&lt;W$5)*AJ226+(AO$5&lt;W$5)*AP226+(AU$5&lt;W$5)*AV226)))</f>
        <v/>
      </c>
      <c r="Z226">
        <f>IF(X226-Y226&lt;0.005,0,X226-Y226)</f>
        <v/>
      </c>
      <c r="AA226">
        <f>AF225</f>
        <v/>
      </c>
      <c r="AB226">
        <f>AA226*Plan!D10/100/12</f>
        <v/>
      </c>
      <c r="AC226">
        <f>MIN(Plan!E10,AA226+AB226)</f>
        <v/>
      </c>
      <c r="AD226">
        <f>AA226+AB226-AC226</f>
        <v/>
      </c>
      <c r="AE226">
        <f>MIN(AD226,MAX(0,$B226-((E$5&lt;AC$5)*F226+(K$5&lt;AC$5)*L226+(Q$5&lt;AC$5)*R226+(W$5&lt;AC$5)*X226+(AI$5&lt;AC$5)*AJ226+(AO$5&lt;AC$5)*AP226+(AU$5&lt;AC$5)*AV226)))</f>
        <v/>
      </c>
      <c r="AF226">
        <f>IF(AD226-AE226&lt;0.005,0,AD226-AE226)</f>
        <v/>
      </c>
      <c r="AG226">
        <f>AL225</f>
        <v/>
      </c>
      <c r="AH226">
        <f>AG226*Plan!D11/100/12</f>
        <v/>
      </c>
      <c r="AI226">
        <f>MIN(Plan!E11,AG226+AH226)</f>
        <v/>
      </c>
      <c r="AJ226">
        <f>AG226+AH226-AI226</f>
        <v/>
      </c>
      <c r="AK226">
        <f>MIN(AJ226,MAX(0,$B226-((E$5&lt;AI$5)*F226+(K$5&lt;AI$5)*L226+(Q$5&lt;AI$5)*R226+(W$5&lt;AI$5)*X226+(AC$5&lt;AI$5)*AD226+(AO$5&lt;AI$5)*AP226+(AU$5&lt;AI$5)*AV226)))</f>
        <v/>
      </c>
      <c r="AL226">
        <f>IF(AJ226-AK226&lt;0.005,0,AJ226-AK226)</f>
        <v/>
      </c>
      <c r="AM226">
        <f>AR225</f>
        <v/>
      </c>
      <c r="AN226">
        <f>AM226*Plan!D12/100/12</f>
        <v/>
      </c>
      <c r="AO226">
        <f>MIN(Plan!E12,AM226+AN226)</f>
        <v/>
      </c>
      <c r="AP226">
        <f>AM226+AN226-AO226</f>
        <v/>
      </c>
      <c r="AQ226">
        <f>MIN(AP226,MAX(0,$B226-((E$5&lt;AO$5)*F226+(K$5&lt;AO$5)*L226+(Q$5&lt;AO$5)*R226+(W$5&lt;AO$5)*X226+(AC$5&lt;AO$5)*AD226+(AI$5&lt;AO$5)*AJ226+(AU$5&lt;AO$5)*AV226)))</f>
        <v/>
      </c>
      <c r="AR226">
        <f>IF(AP226-AQ226&lt;0.005,0,AP226-AQ226)</f>
        <v/>
      </c>
      <c r="AS226">
        <f>AX225</f>
        <v/>
      </c>
      <c r="AT226">
        <f>AS226*Plan!D13/100/12</f>
        <v/>
      </c>
      <c r="AU226">
        <f>MIN(Plan!E13,AS226+AT226)</f>
        <v/>
      </c>
      <c r="AV226">
        <f>AS226+AT226-AU226</f>
        <v/>
      </c>
      <c r="AW226">
        <f>MIN(AV226,MAX(0,$B226-((E$5&lt;AU$5)*F226+(K$5&lt;AU$5)*L226+(Q$5&lt;AU$5)*R226+(W$5&lt;AU$5)*X226+(AC$5&lt;AU$5)*AD226+(AI$5&lt;AU$5)*AJ226+(AO$5&lt;AU$5)*AP226)))</f>
        <v/>
      </c>
      <c r="AX226">
        <f>IF(AV226-AW226&lt;0.005,0,AV226-AW226)</f>
        <v/>
      </c>
      <c r="BC226">
        <f>H226+N226+T226+Z226+AF226+AL226+AR226+AX226</f>
        <v/>
      </c>
    </row>
    <row r="227">
      <c r="A227" t="n">
        <v>221</v>
      </c>
      <c r="B227" s="19">
        <f>MAX(0,$B$3-(E227+K227+Q227+W227+AC227+AI227+AO227+AU227))</f>
        <v/>
      </c>
      <c r="C227">
        <f>H226</f>
        <v/>
      </c>
      <c r="D227">
        <f>C227*Plan!D6/100/12</f>
        <v/>
      </c>
      <c r="E227">
        <f>MIN(Plan!E6,C227+D227)</f>
        <v/>
      </c>
      <c r="F227">
        <f>C227+D227-E227</f>
        <v/>
      </c>
      <c r="G227">
        <f>MIN(F227,MAX(0,$B227-((K$5&lt;E$5)*L227+(Q$5&lt;E$5)*R227+(W$5&lt;E$5)*X227+(AC$5&lt;E$5)*AD227+(AI$5&lt;E$5)*AJ227+(AO$5&lt;E$5)*AP227+(AU$5&lt;E$5)*AV227)))</f>
        <v/>
      </c>
      <c r="H227">
        <f>IF(F227-G227&lt;0.005,0,F227-G227)</f>
        <v/>
      </c>
      <c r="I227">
        <f>N226</f>
        <v/>
      </c>
      <c r="J227">
        <f>I227*Plan!D7/100/12</f>
        <v/>
      </c>
      <c r="K227">
        <f>MIN(Plan!E7,I227+J227)</f>
        <v/>
      </c>
      <c r="L227">
        <f>I227+J227-K227</f>
        <v/>
      </c>
      <c r="M227">
        <f>MIN(L227,MAX(0,$B227-((E$5&lt;K$5)*F227+(Q$5&lt;K$5)*R227+(W$5&lt;K$5)*X227+(AC$5&lt;K$5)*AD227+(AI$5&lt;K$5)*AJ227+(AO$5&lt;K$5)*AP227+(AU$5&lt;K$5)*AV227)))</f>
        <v/>
      </c>
      <c r="N227">
        <f>IF(L227-M227&lt;0.005,0,L227-M227)</f>
        <v/>
      </c>
      <c r="O227">
        <f>T226</f>
        <v/>
      </c>
      <c r="P227">
        <f>O227*Plan!D8/100/12</f>
        <v/>
      </c>
      <c r="Q227">
        <f>MIN(Plan!E8,O227+P227)</f>
        <v/>
      </c>
      <c r="R227">
        <f>O227+P227-Q227</f>
        <v/>
      </c>
      <c r="S227">
        <f>MIN(R227,MAX(0,$B227-((E$5&lt;Q$5)*F227+(K$5&lt;Q$5)*L227+(W$5&lt;Q$5)*X227+(AC$5&lt;Q$5)*AD227+(AI$5&lt;Q$5)*AJ227+(AO$5&lt;Q$5)*AP227+(AU$5&lt;Q$5)*AV227)))</f>
        <v/>
      </c>
      <c r="T227">
        <f>IF(R227-S227&lt;0.005,0,R227-S227)</f>
        <v/>
      </c>
      <c r="U227">
        <f>Z226</f>
        <v/>
      </c>
      <c r="V227">
        <f>U227*Plan!D9/100/12</f>
        <v/>
      </c>
      <c r="W227">
        <f>MIN(Plan!E9,U227+V227)</f>
        <v/>
      </c>
      <c r="X227">
        <f>U227+V227-W227</f>
        <v/>
      </c>
      <c r="Y227">
        <f>MIN(X227,MAX(0,$B227-((E$5&lt;W$5)*F227+(K$5&lt;W$5)*L227+(Q$5&lt;W$5)*R227+(AC$5&lt;W$5)*AD227+(AI$5&lt;W$5)*AJ227+(AO$5&lt;W$5)*AP227+(AU$5&lt;W$5)*AV227)))</f>
        <v/>
      </c>
      <c r="Z227">
        <f>IF(X227-Y227&lt;0.005,0,X227-Y227)</f>
        <v/>
      </c>
      <c r="AA227">
        <f>AF226</f>
        <v/>
      </c>
      <c r="AB227">
        <f>AA227*Plan!D10/100/12</f>
        <v/>
      </c>
      <c r="AC227">
        <f>MIN(Plan!E10,AA227+AB227)</f>
        <v/>
      </c>
      <c r="AD227">
        <f>AA227+AB227-AC227</f>
        <v/>
      </c>
      <c r="AE227">
        <f>MIN(AD227,MAX(0,$B227-((E$5&lt;AC$5)*F227+(K$5&lt;AC$5)*L227+(Q$5&lt;AC$5)*R227+(W$5&lt;AC$5)*X227+(AI$5&lt;AC$5)*AJ227+(AO$5&lt;AC$5)*AP227+(AU$5&lt;AC$5)*AV227)))</f>
        <v/>
      </c>
      <c r="AF227">
        <f>IF(AD227-AE227&lt;0.005,0,AD227-AE227)</f>
        <v/>
      </c>
      <c r="AG227">
        <f>AL226</f>
        <v/>
      </c>
      <c r="AH227">
        <f>AG227*Plan!D11/100/12</f>
        <v/>
      </c>
      <c r="AI227">
        <f>MIN(Plan!E11,AG227+AH227)</f>
        <v/>
      </c>
      <c r="AJ227">
        <f>AG227+AH227-AI227</f>
        <v/>
      </c>
      <c r="AK227">
        <f>MIN(AJ227,MAX(0,$B227-((E$5&lt;AI$5)*F227+(K$5&lt;AI$5)*L227+(Q$5&lt;AI$5)*R227+(W$5&lt;AI$5)*X227+(AC$5&lt;AI$5)*AD227+(AO$5&lt;AI$5)*AP227+(AU$5&lt;AI$5)*AV227)))</f>
        <v/>
      </c>
      <c r="AL227">
        <f>IF(AJ227-AK227&lt;0.005,0,AJ227-AK227)</f>
        <v/>
      </c>
      <c r="AM227">
        <f>AR226</f>
        <v/>
      </c>
      <c r="AN227">
        <f>AM227*Plan!D12/100/12</f>
        <v/>
      </c>
      <c r="AO227">
        <f>MIN(Plan!E12,AM227+AN227)</f>
        <v/>
      </c>
      <c r="AP227">
        <f>AM227+AN227-AO227</f>
        <v/>
      </c>
      <c r="AQ227">
        <f>MIN(AP227,MAX(0,$B227-((E$5&lt;AO$5)*F227+(K$5&lt;AO$5)*L227+(Q$5&lt;AO$5)*R227+(W$5&lt;AO$5)*X227+(AC$5&lt;AO$5)*AD227+(AI$5&lt;AO$5)*AJ227+(AU$5&lt;AO$5)*AV227)))</f>
        <v/>
      </c>
      <c r="AR227">
        <f>IF(AP227-AQ227&lt;0.005,0,AP227-AQ227)</f>
        <v/>
      </c>
      <c r="AS227">
        <f>AX226</f>
        <v/>
      </c>
      <c r="AT227">
        <f>AS227*Plan!D13/100/12</f>
        <v/>
      </c>
      <c r="AU227">
        <f>MIN(Plan!E13,AS227+AT227)</f>
        <v/>
      </c>
      <c r="AV227">
        <f>AS227+AT227-AU227</f>
        <v/>
      </c>
      <c r="AW227">
        <f>MIN(AV227,MAX(0,$B227-((E$5&lt;AU$5)*F227+(K$5&lt;AU$5)*L227+(Q$5&lt;AU$5)*R227+(W$5&lt;AU$5)*X227+(AC$5&lt;AU$5)*AD227+(AI$5&lt;AU$5)*AJ227+(AO$5&lt;AU$5)*AP227)))</f>
        <v/>
      </c>
      <c r="AX227">
        <f>IF(AV227-AW227&lt;0.005,0,AV227-AW227)</f>
        <v/>
      </c>
      <c r="BC227">
        <f>H227+N227+T227+Z227+AF227+AL227+AR227+AX227</f>
        <v/>
      </c>
    </row>
    <row r="228">
      <c r="A228" t="n">
        <v>222</v>
      </c>
      <c r="B228" s="19">
        <f>MAX(0,$B$3-(E228+K228+Q228+W228+AC228+AI228+AO228+AU228))</f>
        <v/>
      </c>
      <c r="C228">
        <f>H227</f>
        <v/>
      </c>
      <c r="D228">
        <f>C228*Plan!D6/100/12</f>
        <v/>
      </c>
      <c r="E228">
        <f>MIN(Plan!E6,C228+D228)</f>
        <v/>
      </c>
      <c r="F228">
        <f>C228+D228-E228</f>
        <v/>
      </c>
      <c r="G228">
        <f>MIN(F228,MAX(0,$B228-((K$5&lt;E$5)*L228+(Q$5&lt;E$5)*R228+(W$5&lt;E$5)*X228+(AC$5&lt;E$5)*AD228+(AI$5&lt;E$5)*AJ228+(AO$5&lt;E$5)*AP228+(AU$5&lt;E$5)*AV228)))</f>
        <v/>
      </c>
      <c r="H228">
        <f>IF(F228-G228&lt;0.005,0,F228-G228)</f>
        <v/>
      </c>
      <c r="I228">
        <f>N227</f>
        <v/>
      </c>
      <c r="J228">
        <f>I228*Plan!D7/100/12</f>
        <v/>
      </c>
      <c r="K228">
        <f>MIN(Plan!E7,I228+J228)</f>
        <v/>
      </c>
      <c r="L228">
        <f>I228+J228-K228</f>
        <v/>
      </c>
      <c r="M228">
        <f>MIN(L228,MAX(0,$B228-((E$5&lt;K$5)*F228+(Q$5&lt;K$5)*R228+(W$5&lt;K$5)*X228+(AC$5&lt;K$5)*AD228+(AI$5&lt;K$5)*AJ228+(AO$5&lt;K$5)*AP228+(AU$5&lt;K$5)*AV228)))</f>
        <v/>
      </c>
      <c r="N228">
        <f>IF(L228-M228&lt;0.005,0,L228-M228)</f>
        <v/>
      </c>
      <c r="O228">
        <f>T227</f>
        <v/>
      </c>
      <c r="P228">
        <f>O228*Plan!D8/100/12</f>
        <v/>
      </c>
      <c r="Q228">
        <f>MIN(Plan!E8,O228+P228)</f>
        <v/>
      </c>
      <c r="R228">
        <f>O228+P228-Q228</f>
        <v/>
      </c>
      <c r="S228">
        <f>MIN(R228,MAX(0,$B228-((E$5&lt;Q$5)*F228+(K$5&lt;Q$5)*L228+(W$5&lt;Q$5)*X228+(AC$5&lt;Q$5)*AD228+(AI$5&lt;Q$5)*AJ228+(AO$5&lt;Q$5)*AP228+(AU$5&lt;Q$5)*AV228)))</f>
        <v/>
      </c>
      <c r="T228">
        <f>IF(R228-S228&lt;0.005,0,R228-S228)</f>
        <v/>
      </c>
      <c r="U228">
        <f>Z227</f>
        <v/>
      </c>
      <c r="V228">
        <f>U228*Plan!D9/100/12</f>
        <v/>
      </c>
      <c r="W228">
        <f>MIN(Plan!E9,U228+V228)</f>
        <v/>
      </c>
      <c r="X228">
        <f>U228+V228-W228</f>
        <v/>
      </c>
      <c r="Y228">
        <f>MIN(X228,MAX(0,$B228-((E$5&lt;W$5)*F228+(K$5&lt;W$5)*L228+(Q$5&lt;W$5)*R228+(AC$5&lt;W$5)*AD228+(AI$5&lt;W$5)*AJ228+(AO$5&lt;W$5)*AP228+(AU$5&lt;W$5)*AV228)))</f>
        <v/>
      </c>
      <c r="Z228">
        <f>IF(X228-Y228&lt;0.005,0,X228-Y228)</f>
        <v/>
      </c>
      <c r="AA228">
        <f>AF227</f>
        <v/>
      </c>
      <c r="AB228">
        <f>AA228*Plan!D10/100/12</f>
        <v/>
      </c>
      <c r="AC228">
        <f>MIN(Plan!E10,AA228+AB228)</f>
        <v/>
      </c>
      <c r="AD228">
        <f>AA228+AB228-AC228</f>
        <v/>
      </c>
      <c r="AE228">
        <f>MIN(AD228,MAX(0,$B228-((E$5&lt;AC$5)*F228+(K$5&lt;AC$5)*L228+(Q$5&lt;AC$5)*R228+(W$5&lt;AC$5)*X228+(AI$5&lt;AC$5)*AJ228+(AO$5&lt;AC$5)*AP228+(AU$5&lt;AC$5)*AV228)))</f>
        <v/>
      </c>
      <c r="AF228">
        <f>IF(AD228-AE228&lt;0.005,0,AD228-AE228)</f>
        <v/>
      </c>
      <c r="AG228">
        <f>AL227</f>
        <v/>
      </c>
      <c r="AH228">
        <f>AG228*Plan!D11/100/12</f>
        <v/>
      </c>
      <c r="AI228">
        <f>MIN(Plan!E11,AG228+AH228)</f>
        <v/>
      </c>
      <c r="AJ228">
        <f>AG228+AH228-AI228</f>
        <v/>
      </c>
      <c r="AK228">
        <f>MIN(AJ228,MAX(0,$B228-((E$5&lt;AI$5)*F228+(K$5&lt;AI$5)*L228+(Q$5&lt;AI$5)*R228+(W$5&lt;AI$5)*X228+(AC$5&lt;AI$5)*AD228+(AO$5&lt;AI$5)*AP228+(AU$5&lt;AI$5)*AV228)))</f>
        <v/>
      </c>
      <c r="AL228">
        <f>IF(AJ228-AK228&lt;0.005,0,AJ228-AK228)</f>
        <v/>
      </c>
      <c r="AM228">
        <f>AR227</f>
        <v/>
      </c>
      <c r="AN228">
        <f>AM228*Plan!D12/100/12</f>
        <v/>
      </c>
      <c r="AO228">
        <f>MIN(Plan!E12,AM228+AN228)</f>
        <v/>
      </c>
      <c r="AP228">
        <f>AM228+AN228-AO228</f>
        <v/>
      </c>
      <c r="AQ228">
        <f>MIN(AP228,MAX(0,$B228-((E$5&lt;AO$5)*F228+(K$5&lt;AO$5)*L228+(Q$5&lt;AO$5)*R228+(W$5&lt;AO$5)*X228+(AC$5&lt;AO$5)*AD228+(AI$5&lt;AO$5)*AJ228+(AU$5&lt;AO$5)*AV228)))</f>
        <v/>
      </c>
      <c r="AR228">
        <f>IF(AP228-AQ228&lt;0.005,0,AP228-AQ228)</f>
        <v/>
      </c>
      <c r="AS228">
        <f>AX227</f>
        <v/>
      </c>
      <c r="AT228">
        <f>AS228*Plan!D13/100/12</f>
        <v/>
      </c>
      <c r="AU228">
        <f>MIN(Plan!E13,AS228+AT228)</f>
        <v/>
      </c>
      <c r="AV228">
        <f>AS228+AT228-AU228</f>
        <v/>
      </c>
      <c r="AW228">
        <f>MIN(AV228,MAX(0,$B228-((E$5&lt;AU$5)*F228+(K$5&lt;AU$5)*L228+(Q$5&lt;AU$5)*R228+(W$5&lt;AU$5)*X228+(AC$5&lt;AU$5)*AD228+(AI$5&lt;AU$5)*AJ228+(AO$5&lt;AU$5)*AP228)))</f>
        <v/>
      </c>
      <c r="AX228">
        <f>IF(AV228-AW228&lt;0.005,0,AV228-AW228)</f>
        <v/>
      </c>
      <c r="BC228">
        <f>H228+N228+T228+Z228+AF228+AL228+AR228+AX228</f>
        <v/>
      </c>
    </row>
    <row r="229">
      <c r="A229" t="n">
        <v>223</v>
      </c>
      <c r="B229" s="19">
        <f>MAX(0,$B$3-(E229+K229+Q229+W229+AC229+AI229+AO229+AU229))</f>
        <v/>
      </c>
      <c r="C229">
        <f>H228</f>
        <v/>
      </c>
      <c r="D229">
        <f>C229*Plan!D6/100/12</f>
        <v/>
      </c>
      <c r="E229">
        <f>MIN(Plan!E6,C229+D229)</f>
        <v/>
      </c>
      <c r="F229">
        <f>C229+D229-E229</f>
        <v/>
      </c>
      <c r="G229">
        <f>MIN(F229,MAX(0,$B229-((K$5&lt;E$5)*L229+(Q$5&lt;E$5)*R229+(W$5&lt;E$5)*X229+(AC$5&lt;E$5)*AD229+(AI$5&lt;E$5)*AJ229+(AO$5&lt;E$5)*AP229+(AU$5&lt;E$5)*AV229)))</f>
        <v/>
      </c>
      <c r="H229">
        <f>IF(F229-G229&lt;0.005,0,F229-G229)</f>
        <v/>
      </c>
      <c r="I229">
        <f>N228</f>
        <v/>
      </c>
      <c r="J229">
        <f>I229*Plan!D7/100/12</f>
        <v/>
      </c>
      <c r="K229">
        <f>MIN(Plan!E7,I229+J229)</f>
        <v/>
      </c>
      <c r="L229">
        <f>I229+J229-K229</f>
        <v/>
      </c>
      <c r="M229">
        <f>MIN(L229,MAX(0,$B229-((E$5&lt;K$5)*F229+(Q$5&lt;K$5)*R229+(W$5&lt;K$5)*X229+(AC$5&lt;K$5)*AD229+(AI$5&lt;K$5)*AJ229+(AO$5&lt;K$5)*AP229+(AU$5&lt;K$5)*AV229)))</f>
        <v/>
      </c>
      <c r="N229">
        <f>IF(L229-M229&lt;0.005,0,L229-M229)</f>
        <v/>
      </c>
      <c r="O229">
        <f>T228</f>
        <v/>
      </c>
      <c r="P229">
        <f>O229*Plan!D8/100/12</f>
        <v/>
      </c>
      <c r="Q229">
        <f>MIN(Plan!E8,O229+P229)</f>
        <v/>
      </c>
      <c r="R229">
        <f>O229+P229-Q229</f>
        <v/>
      </c>
      <c r="S229">
        <f>MIN(R229,MAX(0,$B229-((E$5&lt;Q$5)*F229+(K$5&lt;Q$5)*L229+(W$5&lt;Q$5)*X229+(AC$5&lt;Q$5)*AD229+(AI$5&lt;Q$5)*AJ229+(AO$5&lt;Q$5)*AP229+(AU$5&lt;Q$5)*AV229)))</f>
        <v/>
      </c>
      <c r="T229">
        <f>IF(R229-S229&lt;0.005,0,R229-S229)</f>
        <v/>
      </c>
      <c r="U229">
        <f>Z228</f>
        <v/>
      </c>
      <c r="V229">
        <f>U229*Plan!D9/100/12</f>
        <v/>
      </c>
      <c r="W229">
        <f>MIN(Plan!E9,U229+V229)</f>
        <v/>
      </c>
      <c r="X229">
        <f>U229+V229-W229</f>
        <v/>
      </c>
      <c r="Y229">
        <f>MIN(X229,MAX(0,$B229-((E$5&lt;W$5)*F229+(K$5&lt;W$5)*L229+(Q$5&lt;W$5)*R229+(AC$5&lt;W$5)*AD229+(AI$5&lt;W$5)*AJ229+(AO$5&lt;W$5)*AP229+(AU$5&lt;W$5)*AV229)))</f>
        <v/>
      </c>
      <c r="Z229">
        <f>IF(X229-Y229&lt;0.005,0,X229-Y229)</f>
        <v/>
      </c>
      <c r="AA229">
        <f>AF228</f>
        <v/>
      </c>
      <c r="AB229">
        <f>AA229*Plan!D10/100/12</f>
        <v/>
      </c>
      <c r="AC229">
        <f>MIN(Plan!E10,AA229+AB229)</f>
        <v/>
      </c>
      <c r="AD229">
        <f>AA229+AB229-AC229</f>
        <v/>
      </c>
      <c r="AE229">
        <f>MIN(AD229,MAX(0,$B229-((E$5&lt;AC$5)*F229+(K$5&lt;AC$5)*L229+(Q$5&lt;AC$5)*R229+(W$5&lt;AC$5)*X229+(AI$5&lt;AC$5)*AJ229+(AO$5&lt;AC$5)*AP229+(AU$5&lt;AC$5)*AV229)))</f>
        <v/>
      </c>
      <c r="AF229">
        <f>IF(AD229-AE229&lt;0.005,0,AD229-AE229)</f>
        <v/>
      </c>
      <c r="AG229">
        <f>AL228</f>
        <v/>
      </c>
      <c r="AH229">
        <f>AG229*Plan!D11/100/12</f>
        <v/>
      </c>
      <c r="AI229">
        <f>MIN(Plan!E11,AG229+AH229)</f>
        <v/>
      </c>
      <c r="AJ229">
        <f>AG229+AH229-AI229</f>
        <v/>
      </c>
      <c r="AK229">
        <f>MIN(AJ229,MAX(0,$B229-((E$5&lt;AI$5)*F229+(K$5&lt;AI$5)*L229+(Q$5&lt;AI$5)*R229+(W$5&lt;AI$5)*X229+(AC$5&lt;AI$5)*AD229+(AO$5&lt;AI$5)*AP229+(AU$5&lt;AI$5)*AV229)))</f>
        <v/>
      </c>
      <c r="AL229">
        <f>IF(AJ229-AK229&lt;0.005,0,AJ229-AK229)</f>
        <v/>
      </c>
      <c r="AM229">
        <f>AR228</f>
        <v/>
      </c>
      <c r="AN229">
        <f>AM229*Plan!D12/100/12</f>
        <v/>
      </c>
      <c r="AO229">
        <f>MIN(Plan!E12,AM229+AN229)</f>
        <v/>
      </c>
      <c r="AP229">
        <f>AM229+AN229-AO229</f>
        <v/>
      </c>
      <c r="AQ229">
        <f>MIN(AP229,MAX(0,$B229-((E$5&lt;AO$5)*F229+(K$5&lt;AO$5)*L229+(Q$5&lt;AO$5)*R229+(W$5&lt;AO$5)*X229+(AC$5&lt;AO$5)*AD229+(AI$5&lt;AO$5)*AJ229+(AU$5&lt;AO$5)*AV229)))</f>
        <v/>
      </c>
      <c r="AR229">
        <f>IF(AP229-AQ229&lt;0.005,0,AP229-AQ229)</f>
        <v/>
      </c>
      <c r="AS229">
        <f>AX228</f>
        <v/>
      </c>
      <c r="AT229">
        <f>AS229*Plan!D13/100/12</f>
        <v/>
      </c>
      <c r="AU229">
        <f>MIN(Plan!E13,AS229+AT229)</f>
        <v/>
      </c>
      <c r="AV229">
        <f>AS229+AT229-AU229</f>
        <v/>
      </c>
      <c r="AW229">
        <f>MIN(AV229,MAX(0,$B229-((E$5&lt;AU$5)*F229+(K$5&lt;AU$5)*L229+(Q$5&lt;AU$5)*R229+(W$5&lt;AU$5)*X229+(AC$5&lt;AU$5)*AD229+(AI$5&lt;AU$5)*AJ229+(AO$5&lt;AU$5)*AP229)))</f>
        <v/>
      </c>
      <c r="AX229">
        <f>IF(AV229-AW229&lt;0.005,0,AV229-AW229)</f>
        <v/>
      </c>
      <c r="BC229">
        <f>H229+N229+T229+Z229+AF229+AL229+AR229+AX229</f>
        <v/>
      </c>
    </row>
    <row r="230">
      <c r="A230" t="n">
        <v>224</v>
      </c>
      <c r="B230" s="19">
        <f>MAX(0,$B$3-(E230+K230+Q230+W230+AC230+AI230+AO230+AU230))</f>
        <v/>
      </c>
      <c r="C230">
        <f>H229</f>
        <v/>
      </c>
      <c r="D230">
        <f>C230*Plan!D6/100/12</f>
        <v/>
      </c>
      <c r="E230">
        <f>MIN(Plan!E6,C230+D230)</f>
        <v/>
      </c>
      <c r="F230">
        <f>C230+D230-E230</f>
        <v/>
      </c>
      <c r="G230">
        <f>MIN(F230,MAX(0,$B230-((K$5&lt;E$5)*L230+(Q$5&lt;E$5)*R230+(W$5&lt;E$5)*X230+(AC$5&lt;E$5)*AD230+(AI$5&lt;E$5)*AJ230+(AO$5&lt;E$5)*AP230+(AU$5&lt;E$5)*AV230)))</f>
        <v/>
      </c>
      <c r="H230">
        <f>IF(F230-G230&lt;0.005,0,F230-G230)</f>
        <v/>
      </c>
      <c r="I230">
        <f>N229</f>
        <v/>
      </c>
      <c r="J230">
        <f>I230*Plan!D7/100/12</f>
        <v/>
      </c>
      <c r="K230">
        <f>MIN(Plan!E7,I230+J230)</f>
        <v/>
      </c>
      <c r="L230">
        <f>I230+J230-K230</f>
        <v/>
      </c>
      <c r="M230">
        <f>MIN(L230,MAX(0,$B230-((E$5&lt;K$5)*F230+(Q$5&lt;K$5)*R230+(W$5&lt;K$5)*X230+(AC$5&lt;K$5)*AD230+(AI$5&lt;K$5)*AJ230+(AO$5&lt;K$5)*AP230+(AU$5&lt;K$5)*AV230)))</f>
        <v/>
      </c>
      <c r="N230">
        <f>IF(L230-M230&lt;0.005,0,L230-M230)</f>
        <v/>
      </c>
      <c r="O230">
        <f>T229</f>
        <v/>
      </c>
      <c r="P230">
        <f>O230*Plan!D8/100/12</f>
        <v/>
      </c>
      <c r="Q230">
        <f>MIN(Plan!E8,O230+P230)</f>
        <v/>
      </c>
      <c r="R230">
        <f>O230+P230-Q230</f>
        <v/>
      </c>
      <c r="S230">
        <f>MIN(R230,MAX(0,$B230-((E$5&lt;Q$5)*F230+(K$5&lt;Q$5)*L230+(W$5&lt;Q$5)*X230+(AC$5&lt;Q$5)*AD230+(AI$5&lt;Q$5)*AJ230+(AO$5&lt;Q$5)*AP230+(AU$5&lt;Q$5)*AV230)))</f>
        <v/>
      </c>
      <c r="T230">
        <f>IF(R230-S230&lt;0.005,0,R230-S230)</f>
        <v/>
      </c>
      <c r="U230">
        <f>Z229</f>
        <v/>
      </c>
      <c r="V230">
        <f>U230*Plan!D9/100/12</f>
        <v/>
      </c>
      <c r="W230">
        <f>MIN(Plan!E9,U230+V230)</f>
        <v/>
      </c>
      <c r="X230">
        <f>U230+V230-W230</f>
        <v/>
      </c>
      <c r="Y230">
        <f>MIN(X230,MAX(0,$B230-((E$5&lt;W$5)*F230+(K$5&lt;W$5)*L230+(Q$5&lt;W$5)*R230+(AC$5&lt;W$5)*AD230+(AI$5&lt;W$5)*AJ230+(AO$5&lt;W$5)*AP230+(AU$5&lt;W$5)*AV230)))</f>
        <v/>
      </c>
      <c r="Z230">
        <f>IF(X230-Y230&lt;0.005,0,X230-Y230)</f>
        <v/>
      </c>
      <c r="AA230">
        <f>AF229</f>
        <v/>
      </c>
      <c r="AB230">
        <f>AA230*Plan!D10/100/12</f>
        <v/>
      </c>
      <c r="AC230">
        <f>MIN(Plan!E10,AA230+AB230)</f>
        <v/>
      </c>
      <c r="AD230">
        <f>AA230+AB230-AC230</f>
        <v/>
      </c>
      <c r="AE230">
        <f>MIN(AD230,MAX(0,$B230-((E$5&lt;AC$5)*F230+(K$5&lt;AC$5)*L230+(Q$5&lt;AC$5)*R230+(W$5&lt;AC$5)*X230+(AI$5&lt;AC$5)*AJ230+(AO$5&lt;AC$5)*AP230+(AU$5&lt;AC$5)*AV230)))</f>
        <v/>
      </c>
      <c r="AF230">
        <f>IF(AD230-AE230&lt;0.005,0,AD230-AE230)</f>
        <v/>
      </c>
      <c r="AG230">
        <f>AL229</f>
        <v/>
      </c>
      <c r="AH230">
        <f>AG230*Plan!D11/100/12</f>
        <v/>
      </c>
      <c r="AI230">
        <f>MIN(Plan!E11,AG230+AH230)</f>
        <v/>
      </c>
      <c r="AJ230">
        <f>AG230+AH230-AI230</f>
        <v/>
      </c>
      <c r="AK230">
        <f>MIN(AJ230,MAX(0,$B230-((E$5&lt;AI$5)*F230+(K$5&lt;AI$5)*L230+(Q$5&lt;AI$5)*R230+(W$5&lt;AI$5)*X230+(AC$5&lt;AI$5)*AD230+(AO$5&lt;AI$5)*AP230+(AU$5&lt;AI$5)*AV230)))</f>
        <v/>
      </c>
      <c r="AL230">
        <f>IF(AJ230-AK230&lt;0.005,0,AJ230-AK230)</f>
        <v/>
      </c>
      <c r="AM230">
        <f>AR229</f>
        <v/>
      </c>
      <c r="AN230">
        <f>AM230*Plan!D12/100/12</f>
        <v/>
      </c>
      <c r="AO230">
        <f>MIN(Plan!E12,AM230+AN230)</f>
        <v/>
      </c>
      <c r="AP230">
        <f>AM230+AN230-AO230</f>
        <v/>
      </c>
      <c r="AQ230">
        <f>MIN(AP230,MAX(0,$B230-((E$5&lt;AO$5)*F230+(K$5&lt;AO$5)*L230+(Q$5&lt;AO$5)*R230+(W$5&lt;AO$5)*X230+(AC$5&lt;AO$5)*AD230+(AI$5&lt;AO$5)*AJ230+(AU$5&lt;AO$5)*AV230)))</f>
        <v/>
      </c>
      <c r="AR230">
        <f>IF(AP230-AQ230&lt;0.005,0,AP230-AQ230)</f>
        <v/>
      </c>
      <c r="AS230">
        <f>AX229</f>
        <v/>
      </c>
      <c r="AT230">
        <f>AS230*Plan!D13/100/12</f>
        <v/>
      </c>
      <c r="AU230">
        <f>MIN(Plan!E13,AS230+AT230)</f>
        <v/>
      </c>
      <c r="AV230">
        <f>AS230+AT230-AU230</f>
        <v/>
      </c>
      <c r="AW230">
        <f>MIN(AV230,MAX(0,$B230-((E$5&lt;AU$5)*F230+(K$5&lt;AU$5)*L230+(Q$5&lt;AU$5)*R230+(W$5&lt;AU$5)*X230+(AC$5&lt;AU$5)*AD230+(AI$5&lt;AU$5)*AJ230+(AO$5&lt;AU$5)*AP230)))</f>
        <v/>
      </c>
      <c r="AX230">
        <f>IF(AV230-AW230&lt;0.005,0,AV230-AW230)</f>
        <v/>
      </c>
      <c r="BC230">
        <f>H230+N230+T230+Z230+AF230+AL230+AR230+AX230</f>
        <v/>
      </c>
    </row>
    <row r="231">
      <c r="A231" t="n">
        <v>225</v>
      </c>
      <c r="B231" s="19">
        <f>MAX(0,$B$3-(E231+K231+Q231+W231+AC231+AI231+AO231+AU231))</f>
        <v/>
      </c>
      <c r="C231">
        <f>H230</f>
        <v/>
      </c>
      <c r="D231">
        <f>C231*Plan!D6/100/12</f>
        <v/>
      </c>
      <c r="E231">
        <f>MIN(Plan!E6,C231+D231)</f>
        <v/>
      </c>
      <c r="F231">
        <f>C231+D231-E231</f>
        <v/>
      </c>
      <c r="G231">
        <f>MIN(F231,MAX(0,$B231-((K$5&lt;E$5)*L231+(Q$5&lt;E$5)*R231+(W$5&lt;E$5)*X231+(AC$5&lt;E$5)*AD231+(AI$5&lt;E$5)*AJ231+(AO$5&lt;E$5)*AP231+(AU$5&lt;E$5)*AV231)))</f>
        <v/>
      </c>
      <c r="H231">
        <f>IF(F231-G231&lt;0.005,0,F231-G231)</f>
        <v/>
      </c>
      <c r="I231">
        <f>N230</f>
        <v/>
      </c>
      <c r="J231">
        <f>I231*Plan!D7/100/12</f>
        <v/>
      </c>
      <c r="K231">
        <f>MIN(Plan!E7,I231+J231)</f>
        <v/>
      </c>
      <c r="L231">
        <f>I231+J231-K231</f>
        <v/>
      </c>
      <c r="M231">
        <f>MIN(L231,MAX(0,$B231-((E$5&lt;K$5)*F231+(Q$5&lt;K$5)*R231+(W$5&lt;K$5)*X231+(AC$5&lt;K$5)*AD231+(AI$5&lt;K$5)*AJ231+(AO$5&lt;K$5)*AP231+(AU$5&lt;K$5)*AV231)))</f>
        <v/>
      </c>
      <c r="N231">
        <f>IF(L231-M231&lt;0.005,0,L231-M231)</f>
        <v/>
      </c>
      <c r="O231">
        <f>T230</f>
        <v/>
      </c>
      <c r="P231">
        <f>O231*Plan!D8/100/12</f>
        <v/>
      </c>
      <c r="Q231">
        <f>MIN(Plan!E8,O231+P231)</f>
        <v/>
      </c>
      <c r="R231">
        <f>O231+P231-Q231</f>
        <v/>
      </c>
      <c r="S231">
        <f>MIN(R231,MAX(0,$B231-((E$5&lt;Q$5)*F231+(K$5&lt;Q$5)*L231+(W$5&lt;Q$5)*X231+(AC$5&lt;Q$5)*AD231+(AI$5&lt;Q$5)*AJ231+(AO$5&lt;Q$5)*AP231+(AU$5&lt;Q$5)*AV231)))</f>
        <v/>
      </c>
      <c r="T231">
        <f>IF(R231-S231&lt;0.005,0,R231-S231)</f>
        <v/>
      </c>
      <c r="U231">
        <f>Z230</f>
        <v/>
      </c>
      <c r="V231">
        <f>U231*Plan!D9/100/12</f>
        <v/>
      </c>
      <c r="W231">
        <f>MIN(Plan!E9,U231+V231)</f>
        <v/>
      </c>
      <c r="X231">
        <f>U231+V231-W231</f>
        <v/>
      </c>
      <c r="Y231">
        <f>MIN(X231,MAX(0,$B231-((E$5&lt;W$5)*F231+(K$5&lt;W$5)*L231+(Q$5&lt;W$5)*R231+(AC$5&lt;W$5)*AD231+(AI$5&lt;W$5)*AJ231+(AO$5&lt;W$5)*AP231+(AU$5&lt;W$5)*AV231)))</f>
        <v/>
      </c>
      <c r="Z231">
        <f>IF(X231-Y231&lt;0.005,0,X231-Y231)</f>
        <v/>
      </c>
      <c r="AA231">
        <f>AF230</f>
        <v/>
      </c>
      <c r="AB231">
        <f>AA231*Plan!D10/100/12</f>
        <v/>
      </c>
      <c r="AC231">
        <f>MIN(Plan!E10,AA231+AB231)</f>
        <v/>
      </c>
      <c r="AD231">
        <f>AA231+AB231-AC231</f>
        <v/>
      </c>
      <c r="AE231">
        <f>MIN(AD231,MAX(0,$B231-((E$5&lt;AC$5)*F231+(K$5&lt;AC$5)*L231+(Q$5&lt;AC$5)*R231+(W$5&lt;AC$5)*X231+(AI$5&lt;AC$5)*AJ231+(AO$5&lt;AC$5)*AP231+(AU$5&lt;AC$5)*AV231)))</f>
        <v/>
      </c>
      <c r="AF231">
        <f>IF(AD231-AE231&lt;0.005,0,AD231-AE231)</f>
        <v/>
      </c>
      <c r="AG231">
        <f>AL230</f>
        <v/>
      </c>
      <c r="AH231">
        <f>AG231*Plan!D11/100/12</f>
        <v/>
      </c>
      <c r="AI231">
        <f>MIN(Plan!E11,AG231+AH231)</f>
        <v/>
      </c>
      <c r="AJ231">
        <f>AG231+AH231-AI231</f>
        <v/>
      </c>
      <c r="AK231">
        <f>MIN(AJ231,MAX(0,$B231-((E$5&lt;AI$5)*F231+(K$5&lt;AI$5)*L231+(Q$5&lt;AI$5)*R231+(W$5&lt;AI$5)*X231+(AC$5&lt;AI$5)*AD231+(AO$5&lt;AI$5)*AP231+(AU$5&lt;AI$5)*AV231)))</f>
        <v/>
      </c>
      <c r="AL231">
        <f>IF(AJ231-AK231&lt;0.005,0,AJ231-AK231)</f>
        <v/>
      </c>
      <c r="AM231">
        <f>AR230</f>
        <v/>
      </c>
      <c r="AN231">
        <f>AM231*Plan!D12/100/12</f>
        <v/>
      </c>
      <c r="AO231">
        <f>MIN(Plan!E12,AM231+AN231)</f>
        <v/>
      </c>
      <c r="AP231">
        <f>AM231+AN231-AO231</f>
        <v/>
      </c>
      <c r="AQ231">
        <f>MIN(AP231,MAX(0,$B231-((E$5&lt;AO$5)*F231+(K$5&lt;AO$5)*L231+(Q$5&lt;AO$5)*R231+(W$5&lt;AO$5)*X231+(AC$5&lt;AO$5)*AD231+(AI$5&lt;AO$5)*AJ231+(AU$5&lt;AO$5)*AV231)))</f>
        <v/>
      </c>
      <c r="AR231">
        <f>IF(AP231-AQ231&lt;0.005,0,AP231-AQ231)</f>
        <v/>
      </c>
      <c r="AS231">
        <f>AX230</f>
        <v/>
      </c>
      <c r="AT231">
        <f>AS231*Plan!D13/100/12</f>
        <v/>
      </c>
      <c r="AU231">
        <f>MIN(Plan!E13,AS231+AT231)</f>
        <v/>
      </c>
      <c r="AV231">
        <f>AS231+AT231-AU231</f>
        <v/>
      </c>
      <c r="AW231">
        <f>MIN(AV231,MAX(0,$B231-((E$5&lt;AU$5)*F231+(K$5&lt;AU$5)*L231+(Q$5&lt;AU$5)*R231+(W$5&lt;AU$5)*X231+(AC$5&lt;AU$5)*AD231+(AI$5&lt;AU$5)*AJ231+(AO$5&lt;AU$5)*AP231)))</f>
        <v/>
      </c>
      <c r="AX231">
        <f>IF(AV231-AW231&lt;0.005,0,AV231-AW231)</f>
        <v/>
      </c>
      <c r="BC231">
        <f>H231+N231+T231+Z231+AF231+AL231+AR231+AX231</f>
        <v/>
      </c>
    </row>
    <row r="232">
      <c r="A232" t="n">
        <v>226</v>
      </c>
      <c r="B232" s="19">
        <f>MAX(0,$B$3-(E232+K232+Q232+W232+AC232+AI232+AO232+AU232))</f>
        <v/>
      </c>
      <c r="C232">
        <f>H231</f>
        <v/>
      </c>
      <c r="D232">
        <f>C232*Plan!D6/100/12</f>
        <v/>
      </c>
      <c r="E232">
        <f>MIN(Plan!E6,C232+D232)</f>
        <v/>
      </c>
      <c r="F232">
        <f>C232+D232-E232</f>
        <v/>
      </c>
      <c r="G232">
        <f>MIN(F232,MAX(0,$B232-((K$5&lt;E$5)*L232+(Q$5&lt;E$5)*R232+(W$5&lt;E$5)*X232+(AC$5&lt;E$5)*AD232+(AI$5&lt;E$5)*AJ232+(AO$5&lt;E$5)*AP232+(AU$5&lt;E$5)*AV232)))</f>
        <v/>
      </c>
      <c r="H232">
        <f>IF(F232-G232&lt;0.005,0,F232-G232)</f>
        <v/>
      </c>
      <c r="I232">
        <f>N231</f>
        <v/>
      </c>
      <c r="J232">
        <f>I232*Plan!D7/100/12</f>
        <v/>
      </c>
      <c r="K232">
        <f>MIN(Plan!E7,I232+J232)</f>
        <v/>
      </c>
      <c r="L232">
        <f>I232+J232-K232</f>
        <v/>
      </c>
      <c r="M232">
        <f>MIN(L232,MAX(0,$B232-((E$5&lt;K$5)*F232+(Q$5&lt;K$5)*R232+(W$5&lt;K$5)*X232+(AC$5&lt;K$5)*AD232+(AI$5&lt;K$5)*AJ232+(AO$5&lt;K$5)*AP232+(AU$5&lt;K$5)*AV232)))</f>
        <v/>
      </c>
      <c r="N232">
        <f>IF(L232-M232&lt;0.005,0,L232-M232)</f>
        <v/>
      </c>
      <c r="O232">
        <f>T231</f>
        <v/>
      </c>
      <c r="P232">
        <f>O232*Plan!D8/100/12</f>
        <v/>
      </c>
      <c r="Q232">
        <f>MIN(Plan!E8,O232+P232)</f>
        <v/>
      </c>
      <c r="R232">
        <f>O232+P232-Q232</f>
        <v/>
      </c>
      <c r="S232">
        <f>MIN(R232,MAX(0,$B232-((E$5&lt;Q$5)*F232+(K$5&lt;Q$5)*L232+(W$5&lt;Q$5)*X232+(AC$5&lt;Q$5)*AD232+(AI$5&lt;Q$5)*AJ232+(AO$5&lt;Q$5)*AP232+(AU$5&lt;Q$5)*AV232)))</f>
        <v/>
      </c>
      <c r="T232">
        <f>IF(R232-S232&lt;0.005,0,R232-S232)</f>
        <v/>
      </c>
      <c r="U232">
        <f>Z231</f>
        <v/>
      </c>
      <c r="V232">
        <f>U232*Plan!D9/100/12</f>
        <v/>
      </c>
      <c r="W232">
        <f>MIN(Plan!E9,U232+V232)</f>
        <v/>
      </c>
      <c r="X232">
        <f>U232+V232-W232</f>
        <v/>
      </c>
      <c r="Y232">
        <f>MIN(X232,MAX(0,$B232-((E$5&lt;W$5)*F232+(K$5&lt;W$5)*L232+(Q$5&lt;W$5)*R232+(AC$5&lt;W$5)*AD232+(AI$5&lt;W$5)*AJ232+(AO$5&lt;W$5)*AP232+(AU$5&lt;W$5)*AV232)))</f>
        <v/>
      </c>
      <c r="Z232">
        <f>IF(X232-Y232&lt;0.005,0,X232-Y232)</f>
        <v/>
      </c>
      <c r="AA232">
        <f>AF231</f>
        <v/>
      </c>
      <c r="AB232">
        <f>AA232*Plan!D10/100/12</f>
        <v/>
      </c>
      <c r="AC232">
        <f>MIN(Plan!E10,AA232+AB232)</f>
        <v/>
      </c>
      <c r="AD232">
        <f>AA232+AB232-AC232</f>
        <v/>
      </c>
      <c r="AE232">
        <f>MIN(AD232,MAX(0,$B232-((E$5&lt;AC$5)*F232+(K$5&lt;AC$5)*L232+(Q$5&lt;AC$5)*R232+(W$5&lt;AC$5)*X232+(AI$5&lt;AC$5)*AJ232+(AO$5&lt;AC$5)*AP232+(AU$5&lt;AC$5)*AV232)))</f>
        <v/>
      </c>
      <c r="AF232">
        <f>IF(AD232-AE232&lt;0.005,0,AD232-AE232)</f>
        <v/>
      </c>
      <c r="AG232">
        <f>AL231</f>
        <v/>
      </c>
      <c r="AH232">
        <f>AG232*Plan!D11/100/12</f>
        <v/>
      </c>
      <c r="AI232">
        <f>MIN(Plan!E11,AG232+AH232)</f>
        <v/>
      </c>
      <c r="AJ232">
        <f>AG232+AH232-AI232</f>
        <v/>
      </c>
      <c r="AK232">
        <f>MIN(AJ232,MAX(0,$B232-((E$5&lt;AI$5)*F232+(K$5&lt;AI$5)*L232+(Q$5&lt;AI$5)*R232+(W$5&lt;AI$5)*X232+(AC$5&lt;AI$5)*AD232+(AO$5&lt;AI$5)*AP232+(AU$5&lt;AI$5)*AV232)))</f>
        <v/>
      </c>
      <c r="AL232">
        <f>IF(AJ232-AK232&lt;0.005,0,AJ232-AK232)</f>
        <v/>
      </c>
      <c r="AM232">
        <f>AR231</f>
        <v/>
      </c>
      <c r="AN232">
        <f>AM232*Plan!D12/100/12</f>
        <v/>
      </c>
      <c r="AO232">
        <f>MIN(Plan!E12,AM232+AN232)</f>
        <v/>
      </c>
      <c r="AP232">
        <f>AM232+AN232-AO232</f>
        <v/>
      </c>
      <c r="AQ232">
        <f>MIN(AP232,MAX(0,$B232-((E$5&lt;AO$5)*F232+(K$5&lt;AO$5)*L232+(Q$5&lt;AO$5)*R232+(W$5&lt;AO$5)*X232+(AC$5&lt;AO$5)*AD232+(AI$5&lt;AO$5)*AJ232+(AU$5&lt;AO$5)*AV232)))</f>
        <v/>
      </c>
      <c r="AR232">
        <f>IF(AP232-AQ232&lt;0.005,0,AP232-AQ232)</f>
        <v/>
      </c>
      <c r="AS232">
        <f>AX231</f>
        <v/>
      </c>
      <c r="AT232">
        <f>AS232*Plan!D13/100/12</f>
        <v/>
      </c>
      <c r="AU232">
        <f>MIN(Plan!E13,AS232+AT232)</f>
        <v/>
      </c>
      <c r="AV232">
        <f>AS232+AT232-AU232</f>
        <v/>
      </c>
      <c r="AW232">
        <f>MIN(AV232,MAX(0,$B232-((E$5&lt;AU$5)*F232+(K$5&lt;AU$5)*L232+(Q$5&lt;AU$5)*R232+(W$5&lt;AU$5)*X232+(AC$5&lt;AU$5)*AD232+(AI$5&lt;AU$5)*AJ232+(AO$5&lt;AU$5)*AP232)))</f>
        <v/>
      </c>
      <c r="AX232">
        <f>IF(AV232-AW232&lt;0.005,0,AV232-AW232)</f>
        <v/>
      </c>
      <c r="BC232">
        <f>H232+N232+T232+Z232+AF232+AL232+AR232+AX232</f>
        <v/>
      </c>
    </row>
    <row r="233">
      <c r="A233" t="n">
        <v>227</v>
      </c>
      <c r="B233" s="19">
        <f>MAX(0,$B$3-(E233+K233+Q233+W233+AC233+AI233+AO233+AU233))</f>
        <v/>
      </c>
      <c r="C233">
        <f>H232</f>
        <v/>
      </c>
      <c r="D233">
        <f>C233*Plan!D6/100/12</f>
        <v/>
      </c>
      <c r="E233">
        <f>MIN(Plan!E6,C233+D233)</f>
        <v/>
      </c>
      <c r="F233">
        <f>C233+D233-E233</f>
        <v/>
      </c>
      <c r="G233">
        <f>MIN(F233,MAX(0,$B233-((K$5&lt;E$5)*L233+(Q$5&lt;E$5)*R233+(W$5&lt;E$5)*X233+(AC$5&lt;E$5)*AD233+(AI$5&lt;E$5)*AJ233+(AO$5&lt;E$5)*AP233+(AU$5&lt;E$5)*AV233)))</f>
        <v/>
      </c>
      <c r="H233">
        <f>IF(F233-G233&lt;0.005,0,F233-G233)</f>
        <v/>
      </c>
      <c r="I233">
        <f>N232</f>
        <v/>
      </c>
      <c r="J233">
        <f>I233*Plan!D7/100/12</f>
        <v/>
      </c>
      <c r="K233">
        <f>MIN(Plan!E7,I233+J233)</f>
        <v/>
      </c>
      <c r="L233">
        <f>I233+J233-K233</f>
        <v/>
      </c>
      <c r="M233">
        <f>MIN(L233,MAX(0,$B233-((E$5&lt;K$5)*F233+(Q$5&lt;K$5)*R233+(W$5&lt;K$5)*X233+(AC$5&lt;K$5)*AD233+(AI$5&lt;K$5)*AJ233+(AO$5&lt;K$5)*AP233+(AU$5&lt;K$5)*AV233)))</f>
        <v/>
      </c>
      <c r="N233">
        <f>IF(L233-M233&lt;0.005,0,L233-M233)</f>
        <v/>
      </c>
      <c r="O233">
        <f>T232</f>
        <v/>
      </c>
      <c r="P233">
        <f>O233*Plan!D8/100/12</f>
        <v/>
      </c>
      <c r="Q233">
        <f>MIN(Plan!E8,O233+P233)</f>
        <v/>
      </c>
      <c r="R233">
        <f>O233+P233-Q233</f>
        <v/>
      </c>
      <c r="S233">
        <f>MIN(R233,MAX(0,$B233-((E$5&lt;Q$5)*F233+(K$5&lt;Q$5)*L233+(W$5&lt;Q$5)*X233+(AC$5&lt;Q$5)*AD233+(AI$5&lt;Q$5)*AJ233+(AO$5&lt;Q$5)*AP233+(AU$5&lt;Q$5)*AV233)))</f>
        <v/>
      </c>
      <c r="T233">
        <f>IF(R233-S233&lt;0.005,0,R233-S233)</f>
        <v/>
      </c>
      <c r="U233">
        <f>Z232</f>
        <v/>
      </c>
      <c r="V233">
        <f>U233*Plan!D9/100/12</f>
        <v/>
      </c>
      <c r="W233">
        <f>MIN(Plan!E9,U233+V233)</f>
        <v/>
      </c>
      <c r="X233">
        <f>U233+V233-W233</f>
        <v/>
      </c>
      <c r="Y233">
        <f>MIN(X233,MAX(0,$B233-((E$5&lt;W$5)*F233+(K$5&lt;W$5)*L233+(Q$5&lt;W$5)*R233+(AC$5&lt;W$5)*AD233+(AI$5&lt;W$5)*AJ233+(AO$5&lt;W$5)*AP233+(AU$5&lt;W$5)*AV233)))</f>
        <v/>
      </c>
      <c r="Z233">
        <f>IF(X233-Y233&lt;0.005,0,X233-Y233)</f>
        <v/>
      </c>
      <c r="AA233">
        <f>AF232</f>
        <v/>
      </c>
      <c r="AB233">
        <f>AA233*Plan!D10/100/12</f>
        <v/>
      </c>
      <c r="AC233">
        <f>MIN(Plan!E10,AA233+AB233)</f>
        <v/>
      </c>
      <c r="AD233">
        <f>AA233+AB233-AC233</f>
        <v/>
      </c>
      <c r="AE233">
        <f>MIN(AD233,MAX(0,$B233-((E$5&lt;AC$5)*F233+(K$5&lt;AC$5)*L233+(Q$5&lt;AC$5)*R233+(W$5&lt;AC$5)*X233+(AI$5&lt;AC$5)*AJ233+(AO$5&lt;AC$5)*AP233+(AU$5&lt;AC$5)*AV233)))</f>
        <v/>
      </c>
      <c r="AF233">
        <f>IF(AD233-AE233&lt;0.005,0,AD233-AE233)</f>
        <v/>
      </c>
      <c r="AG233">
        <f>AL232</f>
        <v/>
      </c>
      <c r="AH233">
        <f>AG233*Plan!D11/100/12</f>
        <v/>
      </c>
      <c r="AI233">
        <f>MIN(Plan!E11,AG233+AH233)</f>
        <v/>
      </c>
      <c r="AJ233">
        <f>AG233+AH233-AI233</f>
        <v/>
      </c>
      <c r="AK233">
        <f>MIN(AJ233,MAX(0,$B233-((E$5&lt;AI$5)*F233+(K$5&lt;AI$5)*L233+(Q$5&lt;AI$5)*R233+(W$5&lt;AI$5)*X233+(AC$5&lt;AI$5)*AD233+(AO$5&lt;AI$5)*AP233+(AU$5&lt;AI$5)*AV233)))</f>
        <v/>
      </c>
      <c r="AL233">
        <f>IF(AJ233-AK233&lt;0.005,0,AJ233-AK233)</f>
        <v/>
      </c>
      <c r="AM233">
        <f>AR232</f>
        <v/>
      </c>
      <c r="AN233">
        <f>AM233*Plan!D12/100/12</f>
        <v/>
      </c>
      <c r="AO233">
        <f>MIN(Plan!E12,AM233+AN233)</f>
        <v/>
      </c>
      <c r="AP233">
        <f>AM233+AN233-AO233</f>
        <v/>
      </c>
      <c r="AQ233">
        <f>MIN(AP233,MAX(0,$B233-((E$5&lt;AO$5)*F233+(K$5&lt;AO$5)*L233+(Q$5&lt;AO$5)*R233+(W$5&lt;AO$5)*X233+(AC$5&lt;AO$5)*AD233+(AI$5&lt;AO$5)*AJ233+(AU$5&lt;AO$5)*AV233)))</f>
        <v/>
      </c>
      <c r="AR233">
        <f>IF(AP233-AQ233&lt;0.005,0,AP233-AQ233)</f>
        <v/>
      </c>
      <c r="AS233">
        <f>AX232</f>
        <v/>
      </c>
      <c r="AT233">
        <f>AS233*Plan!D13/100/12</f>
        <v/>
      </c>
      <c r="AU233">
        <f>MIN(Plan!E13,AS233+AT233)</f>
        <v/>
      </c>
      <c r="AV233">
        <f>AS233+AT233-AU233</f>
        <v/>
      </c>
      <c r="AW233">
        <f>MIN(AV233,MAX(0,$B233-((E$5&lt;AU$5)*F233+(K$5&lt;AU$5)*L233+(Q$5&lt;AU$5)*R233+(W$5&lt;AU$5)*X233+(AC$5&lt;AU$5)*AD233+(AI$5&lt;AU$5)*AJ233+(AO$5&lt;AU$5)*AP233)))</f>
        <v/>
      </c>
      <c r="AX233">
        <f>IF(AV233-AW233&lt;0.005,0,AV233-AW233)</f>
        <v/>
      </c>
      <c r="BC233">
        <f>H233+N233+T233+Z233+AF233+AL233+AR233+AX233</f>
        <v/>
      </c>
    </row>
    <row r="234">
      <c r="A234" t="n">
        <v>228</v>
      </c>
      <c r="B234" s="19">
        <f>MAX(0,$B$3-(E234+K234+Q234+W234+AC234+AI234+AO234+AU234))</f>
        <v/>
      </c>
      <c r="C234">
        <f>H233</f>
        <v/>
      </c>
      <c r="D234">
        <f>C234*Plan!D6/100/12</f>
        <v/>
      </c>
      <c r="E234">
        <f>MIN(Plan!E6,C234+D234)</f>
        <v/>
      </c>
      <c r="F234">
        <f>C234+D234-E234</f>
        <v/>
      </c>
      <c r="G234">
        <f>MIN(F234,MAX(0,$B234-((K$5&lt;E$5)*L234+(Q$5&lt;E$5)*R234+(W$5&lt;E$5)*X234+(AC$5&lt;E$5)*AD234+(AI$5&lt;E$5)*AJ234+(AO$5&lt;E$5)*AP234+(AU$5&lt;E$5)*AV234)))</f>
        <v/>
      </c>
      <c r="H234">
        <f>IF(F234-G234&lt;0.005,0,F234-G234)</f>
        <v/>
      </c>
      <c r="I234">
        <f>N233</f>
        <v/>
      </c>
      <c r="J234">
        <f>I234*Plan!D7/100/12</f>
        <v/>
      </c>
      <c r="K234">
        <f>MIN(Plan!E7,I234+J234)</f>
        <v/>
      </c>
      <c r="L234">
        <f>I234+J234-K234</f>
        <v/>
      </c>
      <c r="M234">
        <f>MIN(L234,MAX(0,$B234-((E$5&lt;K$5)*F234+(Q$5&lt;K$5)*R234+(W$5&lt;K$5)*X234+(AC$5&lt;K$5)*AD234+(AI$5&lt;K$5)*AJ234+(AO$5&lt;K$5)*AP234+(AU$5&lt;K$5)*AV234)))</f>
        <v/>
      </c>
      <c r="N234">
        <f>IF(L234-M234&lt;0.005,0,L234-M234)</f>
        <v/>
      </c>
      <c r="O234">
        <f>T233</f>
        <v/>
      </c>
      <c r="P234">
        <f>O234*Plan!D8/100/12</f>
        <v/>
      </c>
      <c r="Q234">
        <f>MIN(Plan!E8,O234+P234)</f>
        <v/>
      </c>
      <c r="R234">
        <f>O234+P234-Q234</f>
        <v/>
      </c>
      <c r="S234">
        <f>MIN(R234,MAX(0,$B234-((E$5&lt;Q$5)*F234+(K$5&lt;Q$5)*L234+(W$5&lt;Q$5)*X234+(AC$5&lt;Q$5)*AD234+(AI$5&lt;Q$5)*AJ234+(AO$5&lt;Q$5)*AP234+(AU$5&lt;Q$5)*AV234)))</f>
        <v/>
      </c>
      <c r="T234">
        <f>IF(R234-S234&lt;0.005,0,R234-S234)</f>
        <v/>
      </c>
      <c r="U234">
        <f>Z233</f>
        <v/>
      </c>
      <c r="V234">
        <f>U234*Plan!D9/100/12</f>
        <v/>
      </c>
      <c r="W234">
        <f>MIN(Plan!E9,U234+V234)</f>
        <v/>
      </c>
      <c r="X234">
        <f>U234+V234-W234</f>
        <v/>
      </c>
      <c r="Y234">
        <f>MIN(X234,MAX(0,$B234-((E$5&lt;W$5)*F234+(K$5&lt;W$5)*L234+(Q$5&lt;W$5)*R234+(AC$5&lt;W$5)*AD234+(AI$5&lt;W$5)*AJ234+(AO$5&lt;W$5)*AP234+(AU$5&lt;W$5)*AV234)))</f>
        <v/>
      </c>
      <c r="Z234">
        <f>IF(X234-Y234&lt;0.005,0,X234-Y234)</f>
        <v/>
      </c>
      <c r="AA234">
        <f>AF233</f>
        <v/>
      </c>
      <c r="AB234">
        <f>AA234*Plan!D10/100/12</f>
        <v/>
      </c>
      <c r="AC234">
        <f>MIN(Plan!E10,AA234+AB234)</f>
        <v/>
      </c>
      <c r="AD234">
        <f>AA234+AB234-AC234</f>
        <v/>
      </c>
      <c r="AE234">
        <f>MIN(AD234,MAX(0,$B234-((E$5&lt;AC$5)*F234+(K$5&lt;AC$5)*L234+(Q$5&lt;AC$5)*R234+(W$5&lt;AC$5)*X234+(AI$5&lt;AC$5)*AJ234+(AO$5&lt;AC$5)*AP234+(AU$5&lt;AC$5)*AV234)))</f>
        <v/>
      </c>
      <c r="AF234">
        <f>IF(AD234-AE234&lt;0.005,0,AD234-AE234)</f>
        <v/>
      </c>
      <c r="AG234">
        <f>AL233</f>
        <v/>
      </c>
      <c r="AH234">
        <f>AG234*Plan!D11/100/12</f>
        <v/>
      </c>
      <c r="AI234">
        <f>MIN(Plan!E11,AG234+AH234)</f>
        <v/>
      </c>
      <c r="AJ234">
        <f>AG234+AH234-AI234</f>
        <v/>
      </c>
      <c r="AK234">
        <f>MIN(AJ234,MAX(0,$B234-((E$5&lt;AI$5)*F234+(K$5&lt;AI$5)*L234+(Q$5&lt;AI$5)*R234+(W$5&lt;AI$5)*X234+(AC$5&lt;AI$5)*AD234+(AO$5&lt;AI$5)*AP234+(AU$5&lt;AI$5)*AV234)))</f>
        <v/>
      </c>
      <c r="AL234">
        <f>IF(AJ234-AK234&lt;0.005,0,AJ234-AK234)</f>
        <v/>
      </c>
      <c r="AM234">
        <f>AR233</f>
        <v/>
      </c>
      <c r="AN234">
        <f>AM234*Plan!D12/100/12</f>
        <v/>
      </c>
      <c r="AO234">
        <f>MIN(Plan!E12,AM234+AN234)</f>
        <v/>
      </c>
      <c r="AP234">
        <f>AM234+AN234-AO234</f>
        <v/>
      </c>
      <c r="AQ234">
        <f>MIN(AP234,MAX(0,$B234-((E$5&lt;AO$5)*F234+(K$5&lt;AO$5)*L234+(Q$5&lt;AO$5)*R234+(W$5&lt;AO$5)*X234+(AC$5&lt;AO$5)*AD234+(AI$5&lt;AO$5)*AJ234+(AU$5&lt;AO$5)*AV234)))</f>
        <v/>
      </c>
      <c r="AR234">
        <f>IF(AP234-AQ234&lt;0.005,0,AP234-AQ234)</f>
        <v/>
      </c>
      <c r="AS234">
        <f>AX233</f>
        <v/>
      </c>
      <c r="AT234">
        <f>AS234*Plan!D13/100/12</f>
        <v/>
      </c>
      <c r="AU234">
        <f>MIN(Plan!E13,AS234+AT234)</f>
        <v/>
      </c>
      <c r="AV234">
        <f>AS234+AT234-AU234</f>
        <v/>
      </c>
      <c r="AW234">
        <f>MIN(AV234,MAX(0,$B234-((E$5&lt;AU$5)*F234+(K$5&lt;AU$5)*L234+(Q$5&lt;AU$5)*R234+(W$5&lt;AU$5)*X234+(AC$5&lt;AU$5)*AD234+(AI$5&lt;AU$5)*AJ234+(AO$5&lt;AU$5)*AP234)))</f>
        <v/>
      </c>
      <c r="AX234">
        <f>IF(AV234-AW234&lt;0.005,0,AV234-AW234)</f>
        <v/>
      </c>
      <c r="BC234">
        <f>H234+N234+T234+Z234+AF234+AL234+AR234+AX234</f>
        <v/>
      </c>
    </row>
    <row r="235">
      <c r="A235" t="n">
        <v>229</v>
      </c>
      <c r="B235" s="19">
        <f>MAX(0,$B$3-(E235+K235+Q235+W235+AC235+AI235+AO235+AU235))</f>
        <v/>
      </c>
      <c r="C235">
        <f>H234</f>
        <v/>
      </c>
      <c r="D235">
        <f>C235*Plan!D6/100/12</f>
        <v/>
      </c>
      <c r="E235">
        <f>MIN(Plan!E6,C235+D235)</f>
        <v/>
      </c>
      <c r="F235">
        <f>C235+D235-E235</f>
        <v/>
      </c>
      <c r="G235">
        <f>MIN(F235,MAX(0,$B235-((K$5&lt;E$5)*L235+(Q$5&lt;E$5)*R235+(W$5&lt;E$5)*X235+(AC$5&lt;E$5)*AD235+(AI$5&lt;E$5)*AJ235+(AO$5&lt;E$5)*AP235+(AU$5&lt;E$5)*AV235)))</f>
        <v/>
      </c>
      <c r="H235">
        <f>IF(F235-G235&lt;0.005,0,F235-G235)</f>
        <v/>
      </c>
      <c r="I235">
        <f>N234</f>
        <v/>
      </c>
      <c r="J235">
        <f>I235*Plan!D7/100/12</f>
        <v/>
      </c>
      <c r="K235">
        <f>MIN(Plan!E7,I235+J235)</f>
        <v/>
      </c>
      <c r="L235">
        <f>I235+J235-K235</f>
        <v/>
      </c>
      <c r="M235">
        <f>MIN(L235,MAX(0,$B235-((E$5&lt;K$5)*F235+(Q$5&lt;K$5)*R235+(W$5&lt;K$5)*X235+(AC$5&lt;K$5)*AD235+(AI$5&lt;K$5)*AJ235+(AO$5&lt;K$5)*AP235+(AU$5&lt;K$5)*AV235)))</f>
        <v/>
      </c>
      <c r="N235">
        <f>IF(L235-M235&lt;0.005,0,L235-M235)</f>
        <v/>
      </c>
      <c r="O235">
        <f>T234</f>
        <v/>
      </c>
      <c r="P235">
        <f>O235*Plan!D8/100/12</f>
        <v/>
      </c>
      <c r="Q235">
        <f>MIN(Plan!E8,O235+P235)</f>
        <v/>
      </c>
      <c r="R235">
        <f>O235+P235-Q235</f>
        <v/>
      </c>
      <c r="S235">
        <f>MIN(R235,MAX(0,$B235-((E$5&lt;Q$5)*F235+(K$5&lt;Q$5)*L235+(W$5&lt;Q$5)*X235+(AC$5&lt;Q$5)*AD235+(AI$5&lt;Q$5)*AJ235+(AO$5&lt;Q$5)*AP235+(AU$5&lt;Q$5)*AV235)))</f>
        <v/>
      </c>
      <c r="T235">
        <f>IF(R235-S235&lt;0.005,0,R235-S235)</f>
        <v/>
      </c>
      <c r="U235">
        <f>Z234</f>
        <v/>
      </c>
      <c r="V235">
        <f>U235*Plan!D9/100/12</f>
        <v/>
      </c>
      <c r="W235">
        <f>MIN(Plan!E9,U235+V235)</f>
        <v/>
      </c>
      <c r="X235">
        <f>U235+V235-W235</f>
        <v/>
      </c>
      <c r="Y235">
        <f>MIN(X235,MAX(0,$B235-((E$5&lt;W$5)*F235+(K$5&lt;W$5)*L235+(Q$5&lt;W$5)*R235+(AC$5&lt;W$5)*AD235+(AI$5&lt;W$5)*AJ235+(AO$5&lt;W$5)*AP235+(AU$5&lt;W$5)*AV235)))</f>
        <v/>
      </c>
      <c r="Z235">
        <f>IF(X235-Y235&lt;0.005,0,X235-Y235)</f>
        <v/>
      </c>
      <c r="AA235">
        <f>AF234</f>
        <v/>
      </c>
      <c r="AB235">
        <f>AA235*Plan!D10/100/12</f>
        <v/>
      </c>
      <c r="AC235">
        <f>MIN(Plan!E10,AA235+AB235)</f>
        <v/>
      </c>
      <c r="AD235">
        <f>AA235+AB235-AC235</f>
        <v/>
      </c>
      <c r="AE235">
        <f>MIN(AD235,MAX(0,$B235-((E$5&lt;AC$5)*F235+(K$5&lt;AC$5)*L235+(Q$5&lt;AC$5)*R235+(W$5&lt;AC$5)*X235+(AI$5&lt;AC$5)*AJ235+(AO$5&lt;AC$5)*AP235+(AU$5&lt;AC$5)*AV235)))</f>
        <v/>
      </c>
      <c r="AF235">
        <f>IF(AD235-AE235&lt;0.005,0,AD235-AE235)</f>
        <v/>
      </c>
      <c r="AG235">
        <f>AL234</f>
        <v/>
      </c>
      <c r="AH235">
        <f>AG235*Plan!D11/100/12</f>
        <v/>
      </c>
      <c r="AI235">
        <f>MIN(Plan!E11,AG235+AH235)</f>
        <v/>
      </c>
      <c r="AJ235">
        <f>AG235+AH235-AI235</f>
        <v/>
      </c>
      <c r="AK235">
        <f>MIN(AJ235,MAX(0,$B235-((E$5&lt;AI$5)*F235+(K$5&lt;AI$5)*L235+(Q$5&lt;AI$5)*R235+(W$5&lt;AI$5)*X235+(AC$5&lt;AI$5)*AD235+(AO$5&lt;AI$5)*AP235+(AU$5&lt;AI$5)*AV235)))</f>
        <v/>
      </c>
      <c r="AL235">
        <f>IF(AJ235-AK235&lt;0.005,0,AJ235-AK235)</f>
        <v/>
      </c>
      <c r="AM235">
        <f>AR234</f>
        <v/>
      </c>
      <c r="AN235">
        <f>AM235*Plan!D12/100/12</f>
        <v/>
      </c>
      <c r="AO235">
        <f>MIN(Plan!E12,AM235+AN235)</f>
        <v/>
      </c>
      <c r="AP235">
        <f>AM235+AN235-AO235</f>
        <v/>
      </c>
      <c r="AQ235">
        <f>MIN(AP235,MAX(0,$B235-((E$5&lt;AO$5)*F235+(K$5&lt;AO$5)*L235+(Q$5&lt;AO$5)*R235+(W$5&lt;AO$5)*X235+(AC$5&lt;AO$5)*AD235+(AI$5&lt;AO$5)*AJ235+(AU$5&lt;AO$5)*AV235)))</f>
        <v/>
      </c>
      <c r="AR235">
        <f>IF(AP235-AQ235&lt;0.005,0,AP235-AQ235)</f>
        <v/>
      </c>
      <c r="AS235">
        <f>AX234</f>
        <v/>
      </c>
      <c r="AT235">
        <f>AS235*Plan!D13/100/12</f>
        <v/>
      </c>
      <c r="AU235">
        <f>MIN(Plan!E13,AS235+AT235)</f>
        <v/>
      </c>
      <c r="AV235">
        <f>AS235+AT235-AU235</f>
        <v/>
      </c>
      <c r="AW235">
        <f>MIN(AV235,MAX(0,$B235-((E$5&lt;AU$5)*F235+(K$5&lt;AU$5)*L235+(Q$5&lt;AU$5)*R235+(W$5&lt;AU$5)*X235+(AC$5&lt;AU$5)*AD235+(AI$5&lt;AU$5)*AJ235+(AO$5&lt;AU$5)*AP235)))</f>
        <v/>
      </c>
      <c r="AX235">
        <f>IF(AV235-AW235&lt;0.005,0,AV235-AW235)</f>
        <v/>
      </c>
      <c r="BC235">
        <f>H235+N235+T235+Z235+AF235+AL235+AR235+AX235</f>
        <v/>
      </c>
    </row>
    <row r="236">
      <c r="A236" t="n">
        <v>230</v>
      </c>
      <c r="B236" s="19">
        <f>MAX(0,$B$3-(E236+K236+Q236+W236+AC236+AI236+AO236+AU236))</f>
        <v/>
      </c>
      <c r="C236">
        <f>H235</f>
        <v/>
      </c>
      <c r="D236">
        <f>C236*Plan!D6/100/12</f>
        <v/>
      </c>
      <c r="E236">
        <f>MIN(Plan!E6,C236+D236)</f>
        <v/>
      </c>
      <c r="F236">
        <f>C236+D236-E236</f>
        <v/>
      </c>
      <c r="G236">
        <f>MIN(F236,MAX(0,$B236-((K$5&lt;E$5)*L236+(Q$5&lt;E$5)*R236+(W$5&lt;E$5)*X236+(AC$5&lt;E$5)*AD236+(AI$5&lt;E$5)*AJ236+(AO$5&lt;E$5)*AP236+(AU$5&lt;E$5)*AV236)))</f>
        <v/>
      </c>
      <c r="H236">
        <f>IF(F236-G236&lt;0.005,0,F236-G236)</f>
        <v/>
      </c>
      <c r="I236">
        <f>N235</f>
        <v/>
      </c>
      <c r="J236">
        <f>I236*Plan!D7/100/12</f>
        <v/>
      </c>
      <c r="K236">
        <f>MIN(Plan!E7,I236+J236)</f>
        <v/>
      </c>
      <c r="L236">
        <f>I236+J236-K236</f>
        <v/>
      </c>
      <c r="M236">
        <f>MIN(L236,MAX(0,$B236-((E$5&lt;K$5)*F236+(Q$5&lt;K$5)*R236+(W$5&lt;K$5)*X236+(AC$5&lt;K$5)*AD236+(AI$5&lt;K$5)*AJ236+(AO$5&lt;K$5)*AP236+(AU$5&lt;K$5)*AV236)))</f>
        <v/>
      </c>
      <c r="N236">
        <f>IF(L236-M236&lt;0.005,0,L236-M236)</f>
        <v/>
      </c>
      <c r="O236">
        <f>T235</f>
        <v/>
      </c>
      <c r="P236">
        <f>O236*Plan!D8/100/12</f>
        <v/>
      </c>
      <c r="Q236">
        <f>MIN(Plan!E8,O236+P236)</f>
        <v/>
      </c>
      <c r="R236">
        <f>O236+P236-Q236</f>
        <v/>
      </c>
      <c r="S236">
        <f>MIN(R236,MAX(0,$B236-((E$5&lt;Q$5)*F236+(K$5&lt;Q$5)*L236+(W$5&lt;Q$5)*X236+(AC$5&lt;Q$5)*AD236+(AI$5&lt;Q$5)*AJ236+(AO$5&lt;Q$5)*AP236+(AU$5&lt;Q$5)*AV236)))</f>
        <v/>
      </c>
      <c r="T236">
        <f>IF(R236-S236&lt;0.005,0,R236-S236)</f>
        <v/>
      </c>
      <c r="U236">
        <f>Z235</f>
        <v/>
      </c>
      <c r="V236">
        <f>U236*Plan!D9/100/12</f>
        <v/>
      </c>
      <c r="W236">
        <f>MIN(Plan!E9,U236+V236)</f>
        <v/>
      </c>
      <c r="X236">
        <f>U236+V236-W236</f>
        <v/>
      </c>
      <c r="Y236">
        <f>MIN(X236,MAX(0,$B236-((E$5&lt;W$5)*F236+(K$5&lt;W$5)*L236+(Q$5&lt;W$5)*R236+(AC$5&lt;W$5)*AD236+(AI$5&lt;W$5)*AJ236+(AO$5&lt;W$5)*AP236+(AU$5&lt;W$5)*AV236)))</f>
        <v/>
      </c>
      <c r="Z236">
        <f>IF(X236-Y236&lt;0.005,0,X236-Y236)</f>
        <v/>
      </c>
      <c r="AA236">
        <f>AF235</f>
        <v/>
      </c>
      <c r="AB236">
        <f>AA236*Plan!D10/100/12</f>
        <v/>
      </c>
      <c r="AC236">
        <f>MIN(Plan!E10,AA236+AB236)</f>
        <v/>
      </c>
      <c r="AD236">
        <f>AA236+AB236-AC236</f>
        <v/>
      </c>
      <c r="AE236">
        <f>MIN(AD236,MAX(0,$B236-((E$5&lt;AC$5)*F236+(K$5&lt;AC$5)*L236+(Q$5&lt;AC$5)*R236+(W$5&lt;AC$5)*X236+(AI$5&lt;AC$5)*AJ236+(AO$5&lt;AC$5)*AP236+(AU$5&lt;AC$5)*AV236)))</f>
        <v/>
      </c>
      <c r="AF236">
        <f>IF(AD236-AE236&lt;0.005,0,AD236-AE236)</f>
        <v/>
      </c>
      <c r="AG236">
        <f>AL235</f>
        <v/>
      </c>
      <c r="AH236">
        <f>AG236*Plan!D11/100/12</f>
        <v/>
      </c>
      <c r="AI236">
        <f>MIN(Plan!E11,AG236+AH236)</f>
        <v/>
      </c>
      <c r="AJ236">
        <f>AG236+AH236-AI236</f>
        <v/>
      </c>
      <c r="AK236">
        <f>MIN(AJ236,MAX(0,$B236-((E$5&lt;AI$5)*F236+(K$5&lt;AI$5)*L236+(Q$5&lt;AI$5)*R236+(W$5&lt;AI$5)*X236+(AC$5&lt;AI$5)*AD236+(AO$5&lt;AI$5)*AP236+(AU$5&lt;AI$5)*AV236)))</f>
        <v/>
      </c>
      <c r="AL236">
        <f>IF(AJ236-AK236&lt;0.005,0,AJ236-AK236)</f>
        <v/>
      </c>
      <c r="AM236">
        <f>AR235</f>
        <v/>
      </c>
      <c r="AN236">
        <f>AM236*Plan!D12/100/12</f>
        <v/>
      </c>
      <c r="AO236">
        <f>MIN(Plan!E12,AM236+AN236)</f>
        <v/>
      </c>
      <c r="AP236">
        <f>AM236+AN236-AO236</f>
        <v/>
      </c>
      <c r="AQ236">
        <f>MIN(AP236,MAX(0,$B236-((E$5&lt;AO$5)*F236+(K$5&lt;AO$5)*L236+(Q$5&lt;AO$5)*R236+(W$5&lt;AO$5)*X236+(AC$5&lt;AO$5)*AD236+(AI$5&lt;AO$5)*AJ236+(AU$5&lt;AO$5)*AV236)))</f>
        <v/>
      </c>
      <c r="AR236">
        <f>IF(AP236-AQ236&lt;0.005,0,AP236-AQ236)</f>
        <v/>
      </c>
      <c r="AS236">
        <f>AX235</f>
        <v/>
      </c>
      <c r="AT236">
        <f>AS236*Plan!D13/100/12</f>
        <v/>
      </c>
      <c r="AU236">
        <f>MIN(Plan!E13,AS236+AT236)</f>
        <v/>
      </c>
      <c r="AV236">
        <f>AS236+AT236-AU236</f>
        <v/>
      </c>
      <c r="AW236">
        <f>MIN(AV236,MAX(0,$B236-((E$5&lt;AU$5)*F236+(K$5&lt;AU$5)*L236+(Q$5&lt;AU$5)*R236+(W$5&lt;AU$5)*X236+(AC$5&lt;AU$5)*AD236+(AI$5&lt;AU$5)*AJ236+(AO$5&lt;AU$5)*AP236)))</f>
        <v/>
      </c>
      <c r="AX236">
        <f>IF(AV236-AW236&lt;0.005,0,AV236-AW236)</f>
        <v/>
      </c>
      <c r="BC236">
        <f>H236+N236+T236+Z236+AF236+AL236+AR236+AX236</f>
        <v/>
      </c>
    </row>
    <row r="237">
      <c r="A237" t="n">
        <v>231</v>
      </c>
      <c r="B237" s="19">
        <f>MAX(0,$B$3-(E237+K237+Q237+W237+AC237+AI237+AO237+AU237))</f>
        <v/>
      </c>
      <c r="C237">
        <f>H236</f>
        <v/>
      </c>
      <c r="D237">
        <f>C237*Plan!D6/100/12</f>
        <v/>
      </c>
      <c r="E237">
        <f>MIN(Plan!E6,C237+D237)</f>
        <v/>
      </c>
      <c r="F237">
        <f>C237+D237-E237</f>
        <v/>
      </c>
      <c r="G237">
        <f>MIN(F237,MAX(0,$B237-((K$5&lt;E$5)*L237+(Q$5&lt;E$5)*R237+(W$5&lt;E$5)*X237+(AC$5&lt;E$5)*AD237+(AI$5&lt;E$5)*AJ237+(AO$5&lt;E$5)*AP237+(AU$5&lt;E$5)*AV237)))</f>
        <v/>
      </c>
      <c r="H237">
        <f>IF(F237-G237&lt;0.005,0,F237-G237)</f>
        <v/>
      </c>
      <c r="I237">
        <f>N236</f>
        <v/>
      </c>
      <c r="J237">
        <f>I237*Plan!D7/100/12</f>
        <v/>
      </c>
      <c r="K237">
        <f>MIN(Plan!E7,I237+J237)</f>
        <v/>
      </c>
      <c r="L237">
        <f>I237+J237-K237</f>
        <v/>
      </c>
      <c r="M237">
        <f>MIN(L237,MAX(0,$B237-((E$5&lt;K$5)*F237+(Q$5&lt;K$5)*R237+(W$5&lt;K$5)*X237+(AC$5&lt;K$5)*AD237+(AI$5&lt;K$5)*AJ237+(AO$5&lt;K$5)*AP237+(AU$5&lt;K$5)*AV237)))</f>
        <v/>
      </c>
      <c r="N237">
        <f>IF(L237-M237&lt;0.005,0,L237-M237)</f>
        <v/>
      </c>
      <c r="O237">
        <f>T236</f>
        <v/>
      </c>
      <c r="P237">
        <f>O237*Plan!D8/100/12</f>
        <v/>
      </c>
      <c r="Q237">
        <f>MIN(Plan!E8,O237+P237)</f>
        <v/>
      </c>
      <c r="R237">
        <f>O237+P237-Q237</f>
        <v/>
      </c>
      <c r="S237">
        <f>MIN(R237,MAX(0,$B237-((E$5&lt;Q$5)*F237+(K$5&lt;Q$5)*L237+(W$5&lt;Q$5)*X237+(AC$5&lt;Q$5)*AD237+(AI$5&lt;Q$5)*AJ237+(AO$5&lt;Q$5)*AP237+(AU$5&lt;Q$5)*AV237)))</f>
        <v/>
      </c>
      <c r="T237">
        <f>IF(R237-S237&lt;0.005,0,R237-S237)</f>
        <v/>
      </c>
      <c r="U237">
        <f>Z236</f>
        <v/>
      </c>
      <c r="V237">
        <f>U237*Plan!D9/100/12</f>
        <v/>
      </c>
      <c r="W237">
        <f>MIN(Plan!E9,U237+V237)</f>
        <v/>
      </c>
      <c r="X237">
        <f>U237+V237-W237</f>
        <v/>
      </c>
      <c r="Y237">
        <f>MIN(X237,MAX(0,$B237-((E$5&lt;W$5)*F237+(K$5&lt;W$5)*L237+(Q$5&lt;W$5)*R237+(AC$5&lt;W$5)*AD237+(AI$5&lt;W$5)*AJ237+(AO$5&lt;W$5)*AP237+(AU$5&lt;W$5)*AV237)))</f>
        <v/>
      </c>
      <c r="Z237">
        <f>IF(X237-Y237&lt;0.005,0,X237-Y237)</f>
        <v/>
      </c>
      <c r="AA237">
        <f>AF236</f>
        <v/>
      </c>
      <c r="AB237">
        <f>AA237*Plan!D10/100/12</f>
        <v/>
      </c>
      <c r="AC237">
        <f>MIN(Plan!E10,AA237+AB237)</f>
        <v/>
      </c>
      <c r="AD237">
        <f>AA237+AB237-AC237</f>
        <v/>
      </c>
      <c r="AE237">
        <f>MIN(AD237,MAX(0,$B237-((E$5&lt;AC$5)*F237+(K$5&lt;AC$5)*L237+(Q$5&lt;AC$5)*R237+(W$5&lt;AC$5)*X237+(AI$5&lt;AC$5)*AJ237+(AO$5&lt;AC$5)*AP237+(AU$5&lt;AC$5)*AV237)))</f>
        <v/>
      </c>
      <c r="AF237">
        <f>IF(AD237-AE237&lt;0.005,0,AD237-AE237)</f>
        <v/>
      </c>
      <c r="AG237">
        <f>AL236</f>
        <v/>
      </c>
      <c r="AH237">
        <f>AG237*Plan!D11/100/12</f>
        <v/>
      </c>
      <c r="AI237">
        <f>MIN(Plan!E11,AG237+AH237)</f>
        <v/>
      </c>
      <c r="AJ237">
        <f>AG237+AH237-AI237</f>
        <v/>
      </c>
      <c r="AK237">
        <f>MIN(AJ237,MAX(0,$B237-((E$5&lt;AI$5)*F237+(K$5&lt;AI$5)*L237+(Q$5&lt;AI$5)*R237+(W$5&lt;AI$5)*X237+(AC$5&lt;AI$5)*AD237+(AO$5&lt;AI$5)*AP237+(AU$5&lt;AI$5)*AV237)))</f>
        <v/>
      </c>
      <c r="AL237">
        <f>IF(AJ237-AK237&lt;0.005,0,AJ237-AK237)</f>
        <v/>
      </c>
      <c r="AM237">
        <f>AR236</f>
        <v/>
      </c>
      <c r="AN237">
        <f>AM237*Plan!D12/100/12</f>
        <v/>
      </c>
      <c r="AO237">
        <f>MIN(Plan!E12,AM237+AN237)</f>
        <v/>
      </c>
      <c r="AP237">
        <f>AM237+AN237-AO237</f>
        <v/>
      </c>
      <c r="AQ237">
        <f>MIN(AP237,MAX(0,$B237-((E$5&lt;AO$5)*F237+(K$5&lt;AO$5)*L237+(Q$5&lt;AO$5)*R237+(W$5&lt;AO$5)*X237+(AC$5&lt;AO$5)*AD237+(AI$5&lt;AO$5)*AJ237+(AU$5&lt;AO$5)*AV237)))</f>
        <v/>
      </c>
      <c r="AR237">
        <f>IF(AP237-AQ237&lt;0.005,0,AP237-AQ237)</f>
        <v/>
      </c>
      <c r="AS237">
        <f>AX236</f>
        <v/>
      </c>
      <c r="AT237">
        <f>AS237*Plan!D13/100/12</f>
        <v/>
      </c>
      <c r="AU237">
        <f>MIN(Plan!E13,AS237+AT237)</f>
        <v/>
      </c>
      <c r="AV237">
        <f>AS237+AT237-AU237</f>
        <v/>
      </c>
      <c r="AW237">
        <f>MIN(AV237,MAX(0,$B237-((E$5&lt;AU$5)*F237+(K$5&lt;AU$5)*L237+(Q$5&lt;AU$5)*R237+(W$5&lt;AU$5)*X237+(AC$5&lt;AU$5)*AD237+(AI$5&lt;AU$5)*AJ237+(AO$5&lt;AU$5)*AP237)))</f>
        <v/>
      </c>
      <c r="AX237">
        <f>IF(AV237-AW237&lt;0.005,0,AV237-AW237)</f>
        <v/>
      </c>
      <c r="BC237">
        <f>H237+N237+T237+Z237+AF237+AL237+AR237+AX237</f>
        <v/>
      </c>
    </row>
    <row r="238">
      <c r="A238" t="n">
        <v>232</v>
      </c>
      <c r="B238" s="19">
        <f>MAX(0,$B$3-(E238+K238+Q238+W238+AC238+AI238+AO238+AU238))</f>
        <v/>
      </c>
      <c r="C238">
        <f>H237</f>
        <v/>
      </c>
      <c r="D238">
        <f>C238*Plan!D6/100/12</f>
        <v/>
      </c>
      <c r="E238">
        <f>MIN(Plan!E6,C238+D238)</f>
        <v/>
      </c>
      <c r="F238">
        <f>C238+D238-E238</f>
        <v/>
      </c>
      <c r="G238">
        <f>MIN(F238,MAX(0,$B238-((K$5&lt;E$5)*L238+(Q$5&lt;E$5)*R238+(W$5&lt;E$5)*X238+(AC$5&lt;E$5)*AD238+(AI$5&lt;E$5)*AJ238+(AO$5&lt;E$5)*AP238+(AU$5&lt;E$5)*AV238)))</f>
        <v/>
      </c>
      <c r="H238">
        <f>IF(F238-G238&lt;0.005,0,F238-G238)</f>
        <v/>
      </c>
      <c r="I238">
        <f>N237</f>
        <v/>
      </c>
      <c r="J238">
        <f>I238*Plan!D7/100/12</f>
        <v/>
      </c>
      <c r="K238">
        <f>MIN(Plan!E7,I238+J238)</f>
        <v/>
      </c>
      <c r="L238">
        <f>I238+J238-K238</f>
        <v/>
      </c>
      <c r="M238">
        <f>MIN(L238,MAX(0,$B238-((E$5&lt;K$5)*F238+(Q$5&lt;K$5)*R238+(W$5&lt;K$5)*X238+(AC$5&lt;K$5)*AD238+(AI$5&lt;K$5)*AJ238+(AO$5&lt;K$5)*AP238+(AU$5&lt;K$5)*AV238)))</f>
        <v/>
      </c>
      <c r="N238">
        <f>IF(L238-M238&lt;0.005,0,L238-M238)</f>
        <v/>
      </c>
      <c r="O238">
        <f>T237</f>
        <v/>
      </c>
      <c r="P238">
        <f>O238*Plan!D8/100/12</f>
        <v/>
      </c>
      <c r="Q238">
        <f>MIN(Plan!E8,O238+P238)</f>
        <v/>
      </c>
      <c r="R238">
        <f>O238+P238-Q238</f>
        <v/>
      </c>
      <c r="S238">
        <f>MIN(R238,MAX(0,$B238-((E$5&lt;Q$5)*F238+(K$5&lt;Q$5)*L238+(W$5&lt;Q$5)*X238+(AC$5&lt;Q$5)*AD238+(AI$5&lt;Q$5)*AJ238+(AO$5&lt;Q$5)*AP238+(AU$5&lt;Q$5)*AV238)))</f>
        <v/>
      </c>
      <c r="T238">
        <f>IF(R238-S238&lt;0.005,0,R238-S238)</f>
        <v/>
      </c>
      <c r="U238">
        <f>Z237</f>
        <v/>
      </c>
      <c r="V238">
        <f>U238*Plan!D9/100/12</f>
        <v/>
      </c>
      <c r="W238">
        <f>MIN(Plan!E9,U238+V238)</f>
        <v/>
      </c>
      <c r="X238">
        <f>U238+V238-W238</f>
        <v/>
      </c>
      <c r="Y238">
        <f>MIN(X238,MAX(0,$B238-((E$5&lt;W$5)*F238+(K$5&lt;W$5)*L238+(Q$5&lt;W$5)*R238+(AC$5&lt;W$5)*AD238+(AI$5&lt;W$5)*AJ238+(AO$5&lt;W$5)*AP238+(AU$5&lt;W$5)*AV238)))</f>
        <v/>
      </c>
      <c r="Z238">
        <f>IF(X238-Y238&lt;0.005,0,X238-Y238)</f>
        <v/>
      </c>
      <c r="AA238">
        <f>AF237</f>
        <v/>
      </c>
      <c r="AB238">
        <f>AA238*Plan!D10/100/12</f>
        <v/>
      </c>
      <c r="AC238">
        <f>MIN(Plan!E10,AA238+AB238)</f>
        <v/>
      </c>
      <c r="AD238">
        <f>AA238+AB238-AC238</f>
        <v/>
      </c>
      <c r="AE238">
        <f>MIN(AD238,MAX(0,$B238-((E$5&lt;AC$5)*F238+(K$5&lt;AC$5)*L238+(Q$5&lt;AC$5)*R238+(W$5&lt;AC$5)*X238+(AI$5&lt;AC$5)*AJ238+(AO$5&lt;AC$5)*AP238+(AU$5&lt;AC$5)*AV238)))</f>
        <v/>
      </c>
      <c r="AF238">
        <f>IF(AD238-AE238&lt;0.005,0,AD238-AE238)</f>
        <v/>
      </c>
      <c r="AG238">
        <f>AL237</f>
        <v/>
      </c>
      <c r="AH238">
        <f>AG238*Plan!D11/100/12</f>
        <v/>
      </c>
      <c r="AI238">
        <f>MIN(Plan!E11,AG238+AH238)</f>
        <v/>
      </c>
      <c r="AJ238">
        <f>AG238+AH238-AI238</f>
        <v/>
      </c>
      <c r="AK238">
        <f>MIN(AJ238,MAX(0,$B238-((E$5&lt;AI$5)*F238+(K$5&lt;AI$5)*L238+(Q$5&lt;AI$5)*R238+(W$5&lt;AI$5)*X238+(AC$5&lt;AI$5)*AD238+(AO$5&lt;AI$5)*AP238+(AU$5&lt;AI$5)*AV238)))</f>
        <v/>
      </c>
      <c r="AL238">
        <f>IF(AJ238-AK238&lt;0.005,0,AJ238-AK238)</f>
        <v/>
      </c>
      <c r="AM238">
        <f>AR237</f>
        <v/>
      </c>
      <c r="AN238">
        <f>AM238*Plan!D12/100/12</f>
        <v/>
      </c>
      <c r="AO238">
        <f>MIN(Plan!E12,AM238+AN238)</f>
        <v/>
      </c>
      <c r="AP238">
        <f>AM238+AN238-AO238</f>
        <v/>
      </c>
      <c r="AQ238">
        <f>MIN(AP238,MAX(0,$B238-((E$5&lt;AO$5)*F238+(K$5&lt;AO$5)*L238+(Q$5&lt;AO$5)*R238+(W$5&lt;AO$5)*X238+(AC$5&lt;AO$5)*AD238+(AI$5&lt;AO$5)*AJ238+(AU$5&lt;AO$5)*AV238)))</f>
        <v/>
      </c>
      <c r="AR238">
        <f>IF(AP238-AQ238&lt;0.005,0,AP238-AQ238)</f>
        <v/>
      </c>
      <c r="AS238">
        <f>AX237</f>
        <v/>
      </c>
      <c r="AT238">
        <f>AS238*Plan!D13/100/12</f>
        <v/>
      </c>
      <c r="AU238">
        <f>MIN(Plan!E13,AS238+AT238)</f>
        <v/>
      </c>
      <c r="AV238">
        <f>AS238+AT238-AU238</f>
        <v/>
      </c>
      <c r="AW238">
        <f>MIN(AV238,MAX(0,$B238-((E$5&lt;AU$5)*F238+(K$5&lt;AU$5)*L238+(Q$5&lt;AU$5)*R238+(W$5&lt;AU$5)*X238+(AC$5&lt;AU$5)*AD238+(AI$5&lt;AU$5)*AJ238+(AO$5&lt;AU$5)*AP238)))</f>
        <v/>
      </c>
      <c r="AX238">
        <f>IF(AV238-AW238&lt;0.005,0,AV238-AW238)</f>
        <v/>
      </c>
      <c r="BC238">
        <f>H238+N238+T238+Z238+AF238+AL238+AR238+AX238</f>
        <v/>
      </c>
    </row>
    <row r="239">
      <c r="A239" t="n">
        <v>233</v>
      </c>
      <c r="B239" s="19">
        <f>MAX(0,$B$3-(E239+K239+Q239+W239+AC239+AI239+AO239+AU239))</f>
        <v/>
      </c>
      <c r="C239">
        <f>H238</f>
        <v/>
      </c>
      <c r="D239">
        <f>C239*Plan!D6/100/12</f>
        <v/>
      </c>
      <c r="E239">
        <f>MIN(Plan!E6,C239+D239)</f>
        <v/>
      </c>
      <c r="F239">
        <f>C239+D239-E239</f>
        <v/>
      </c>
      <c r="G239">
        <f>MIN(F239,MAX(0,$B239-((K$5&lt;E$5)*L239+(Q$5&lt;E$5)*R239+(W$5&lt;E$5)*X239+(AC$5&lt;E$5)*AD239+(AI$5&lt;E$5)*AJ239+(AO$5&lt;E$5)*AP239+(AU$5&lt;E$5)*AV239)))</f>
        <v/>
      </c>
      <c r="H239">
        <f>IF(F239-G239&lt;0.005,0,F239-G239)</f>
        <v/>
      </c>
      <c r="I239">
        <f>N238</f>
        <v/>
      </c>
      <c r="J239">
        <f>I239*Plan!D7/100/12</f>
        <v/>
      </c>
      <c r="K239">
        <f>MIN(Plan!E7,I239+J239)</f>
        <v/>
      </c>
      <c r="L239">
        <f>I239+J239-K239</f>
        <v/>
      </c>
      <c r="M239">
        <f>MIN(L239,MAX(0,$B239-((E$5&lt;K$5)*F239+(Q$5&lt;K$5)*R239+(W$5&lt;K$5)*X239+(AC$5&lt;K$5)*AD239+(AI$5&lt;K$5)*AJ239+(AO$5&lt;K$5)*AP239+(AU$5&lt;K$5)*AV239)))</f>
        <v/>
      </c>
      <c r="N239">
        <f>IF(L239-M239&lt;0.005,0,L239-M239)</f>
        <v/>
      </c>
      <c r="O239">
        <f>T238</f>
        <v/>
      </c>
      <c r="P239">
        <f>O239*Plan!D8/100/12</f>
        <v/>
      </c>
      <c r="Q239">
        <f>MIN(Plan!E8,O239+P239)</f>
        <v/>
      </c>
      <c r="R239">
        <f>O239+P239-Q239</f>
        <v/>
      </c>
      <c r="S239">
        <f>MIN(R239,MAX(0,$B239-((E$5&lt;Q$5)*F239+(K$5&lt;Q$5)*L239+(W$5&lt;Q$5)*X239+(AC$5&lt;Q$5)*AD239+(AI$5&lt;Q$5)*AJ239+(AO$5&lt;Q$5)*AP239+(AU$5&lt;Q$5)*AV239)))</f>
        <v/>
      </c>
      <c r="T239">
        <f>IF(R239-S239&lt;0.005,0,R239-S239)</f>
        <v/>
      </c>
      <c r="U239">
        <f>Z238</f>
        <v/>
      </c>
      <c r="V239">
        <f>U239*Plan!D9/100/12</f>
        <v/>
      </c>
      <c r="W239">
        <f>MIN(Plan!E9,U239+V239)</f>
        <v/>
      </c>
      <c r="X239">
        <f>U239+V239-W239</f>
        <v/>
      </c>
      <c r="Y239">
        <f>MIN(X239,MAX(0,$B239-((E$5&lt;W$5)*F239+(K$5&lt;W$5)*L239+(Q$5&lt;W$5)*R239+(AC$5&lt;W$5)*AD239+(AI$5&lt;W$5)*AJ239+(AO$5&lt;W$5)*AP239+(AU$5&lt;W$5)*AV239)))</f>
        <v/>
      </c>
      <c r="Z239">
        <f>IF(X239-Y239&lt;0.005,0,X239-Y239)</f>
        <v/>
      </c>
      <c r="AA239">
        <f>AF238</f>
        <v/>
      </c>
      <c r="AB239">
        <f>AA239*Plan!D10/100/12</f>
        <v/>
      </c>
      <c r="AC239">
        <f>MIN(Plan!E10,AA239+AB239)</f>
        <v/>
      </c>
      <c r="AD239">
        <f>AA239+AB239-AC239</f>
        <v/>
      </c>
      <c r="AE239">
        <f>MIN(AD239,MAX(0,$B239-((E$5&lt;AC$5)*F239+(K$5&lt;AC$5)*L239+(Q$5&lt;AC$5)*R239+(W$5&lt;AC$5)*X239+(AI$5&lt;AC$5)*AJ239+(AO$5&lt;AC$5)*AP239+(AU$5&lt;AC$5)*AV239)))</f>
        <v/>
      </c>
      <c r="AF239">
        <f>IF(AD239-AE239&lt;0.005,0,AD239-AE239)</f>
        <v/>
      </c>
      <c r="AG239">
        <f>AL238</f>
        <v/>
      </c>
      <c r="AH239">
        <f>AG239*Plan!D11/100/12</f>
        <v/>
      </c>
      <c r="AI239">
        <f>MIN(Plan!E11,AG239+AH239)</f>
        <v/>
      </c>
      <c r="AJ239">
        <f>AG239+AH239-AI239</f>
        <v/>
      </c>
      <c r="AK239">
        <f>MIN(AJ239,MAX(0,$B239-((E$5&lt;AI$5)*F239+(K$5&lt;AI$5)*L239+(Q$5&lt;AI$5)*R239+(W$5&lt;AI$5)*X239+(AC$5&lt;AI$5)*AD239+(AO$5&lt;AI$5)*AP239+(AU$5&lt;AI$5)*AV239)))</f>
        <v/>
      </c>
      <c r="AL239">
        <f>IF(AJ239-AK239&lt;0.005,0,AJ239-AK239)</f>
        <v/>
      </c>
      <c r="AM239">
        <f>AR238</f>
        <v/>
      </c>
      <c r="AN239">
        <f>AM239*Plan!D12/100/12</f>
        <v/>
      </c>
      <c r="AO239">
        <f>MIN(Plan!E12,AM239+AN239)</f>
        <v/>
      </c>
      <c r="AP239">
        <f>AM239+AN239-AO239</f>
        <v/>
      </c>
      <c r="AQ239">
        <f>MIN(AP239,MAX(0,$B239-((E$5&lt;AO$5)*F239+(K$5&lt;AO$5)*L239+(Q$5&lt;AO$5)*R239+(W$5&lt;AO$5)*X239+(AC$5&lt;AO$5)*AD239+(AI$5&lt;AO$5)*AJ239+(AU$5&lt;AO$5)*AV239)))</f>
        <v/>
      </c>
      <c r="AR239">
        <f>IF(AP239-AQ239&lt;0.005,0,AP239-AQ239)</f>
        <v/>
      </c>
      <c r="AS239">
        <f>AX238</f>
        <v/>
      </c>
      <c r="AT239">
        <f>AS239*Plan!D13/100/12</f>
        <v/>
      </c>
      <c r="AU239">
        <f>MIN(Plan!E13,AS239+AT239)</f>
        <v/>
      </c>
      <c r="AV239">
        <f>AS239+AT239-AU239</f>
        <v/>
      </c>
      <c r="AW239">
        <f>MIN(AV239,MAX(0,$B239-((E$5&lt;AU$5)*F239+(K$5&lt;AU$5)*L239+(Q$5&lt;AU$5)*R239+(W$5&lt;AU$5)*X239+(AC$5&lt;AU$5)*AD239+(AI$5&lt;AU$5)*AJ239+(AO$5&lt;AU$5)*AP239)))</f>
        <v/>
      </c>
      <c r="AX239">
        <f>IF(AV239-AW239&lt;0.005,0,AV239-AW239)</f>
        <v/>
      </c>
      <c r="BC239">
        <f>H239+N239+T239+Z239+AF239+AL239+AR239+AX239</f>
        <v/>
      </c>
    </row>
    <row r="240">
      <c r="A240" t="n">
        <v>234</v>
      </c>
      <c r="B240" s="19">
        <f>MAX(0,$B$3-(E240+K240+Q240+W240+AC240+AI240+AO240+AU240))</f>
        <v/>
      </c>
      <c r="C240">
        <f>H239</f>
        <v/>
      </c>
      <c r="D240">
        <f>C240*Plan!D6/100/12</f>
        <v/>
      </c>
      <c r="E240">
        <f>MIN(Plan!E6,C240+D240)</f>
        <v/>
      </c>
      <c r="F240">
        <f>C240+D240-E240</f>
        <v/>
      </c>
      <c r="G240">
        <f>MIN(F240,MAX(0,$B240-((K$5&lt;E$5)*L240+(Q$5&lt;E$5)*R240+(W$5&lt;E$5)*X240+(AC$5&lt;E$5)*AD240+(AI$5&lt;E$5)*AJ240+(AO$5&lt;E$5)*AP240+(AU$5&lt;E$5)*AV240)))</f>
        <v/>
      </c>
      <c r="H240">
        <f>IF(F240-G240&lt;0.005,0,F240-G240)</f>
        <v/>
      </c>
      <c r="I240">
        <f>N239</f>
        <v/>
      </c>
      <c r="J240">
        <f>I240*Plan!D7/100/12</f>
        <v/>
      </c>
      <c r="K240">
        <f>MIN(Plan!E7,I240+J240)</f>
        <v/>
      </c>
      <c r="L240">
        <f>I240+J240-K240</f>
        <v/>
      </c>
      <c r="M240">
        <f>MIN(L240,MAX(0,$B240-((E$5&lt;K$5)*F240+(Q$5&lt;K$5)*R240+(W$5&lt;K$5)*X240+(AC$5&lt;K$5)*AD240+(AI$5&lt;K$5)*AJ240+(AO$5&lt;K$5)*AP240+(AU$5&lt;K$5)*AV240)))</f>
        <v/>
      </c>
      <c r="N240">
        <f>IF(L240-M240&lt;0.005,0,L240-M240)</f>
        <v/>
      </c>
      <c r="O240">
        <f>T239</f>
        <v/>
      </c>
      <c r="P240">
        <f>O240*Plan!D8/100/12</f>
        <v/>
      </c>
      <c r="Q240">
        <f>MIN(Plan!E8,O240+P240)</f>
        <v/>
      </c>
      <c r="R240">
        <f>O240+P240-Q240</f>
        <v/>
      </c>
      <c r="S240">
        <f>MIN(R240,MAX(0,$B240-((E$5&lt;Q$5)*F240+(K$5&lt;Q$5)*L240+(W$5&lt;Q$5)*X240+(AC$5&lt;Q$5)*AD240+(AI$5&lt;Q$5)*AJ240+(AO$5&lt;Q$5)*AP240+(AU$5&lt;Q$5)*AV240)))</f>
        <v/>
      </c>
      <c r="T240">
        <f>IF(R240-S240&lt;0.005,0,R240-S240)</f>
        <v/>
      </c>
      <c r="U240">
        <f>Z239</f>
        <v/>
      </c>
      <c r="V240">
        <f>U240*Plan!D9/100/12</f>
        <v/>
      </c>
      <c r="W240">
        <f>MIN(Plan!E9,U240+V240)</f>
        <v/>
      </c>
      <c r="X240">
        <f>U240+V240-W240</f>
        <v/>
      </c>
      <c r="Y240">
        <f>MIN(X240,MAX(0,$B240-((E$5&lt;W$5)*F240+(K$5&lt;W$5)*L240+(Q$5&lt;W$5)*R240+(AC$5&lt;W$5)*AD240+(AI$5&lt;W$5)*AJ240+(AO$5&lt;W$5)*AP240+(AU$5&lt;W$5)*AV240)))</f>
        <v/>
      </c>
      <c r="Z240">
        <f>IF(X240-Y240&lt;0.005,0,X240-Y240)</f>
        <v/>
      </c>
      <c r="AA240">
        <f>AF239</f>
        <v/>
      </c>
      <c r="AB240">
        <f>AA240*Plan!D10/100/12</f>
        <v/>
      </c>
      <c r="AC240">
        <f>MIN(Plan!E10,AA240+AB240)</f>
        <v/>
      </c>
      <c r="AD240">
        <f>AA240+AB240-AC240</f>
        <v/>
      </c>
      <c r="AE240">
        <f>MIN(AD240,MAX(0,$B240-((E$5&lt;AC$5)*F240+(K$5&lt;AC$5)*L240+(Q$5&lt;AC$5)*R240+(W$5&lt;AC$5)*X240+(AI$5&lt;AC$5)*AJ240+(AO$5&lt;AC$5)*AP240+(AU$5&lt;AC$5)*AV240)))</f>
        <v/>
      </c>
      <c r="AF240">
        <f>IF(AD240-AE240&lt;0.005,0,AD240-AE240)</f>
        <v/>
      </c>
      <c r="AG240">
        <f>AL239</f>
        <v/>
      </c>
      <c r="AH240">
        <f>AG240*Plan!D11/100/12</f>
        <v/>
      </c>
      <c r="AI240">
        <f>MIN(Plan!E11,AG240+AH240)</f>
        <v/>
      </c>
      <c r="AJ240">
        <f>AG240+AH240-AI240</f>
        <v/>
      </c>
      <c r="AK240">
        <f>MIN(AJ240,MAX(0,$B240-((E$5&lt;AI$5)*F240+(K$5&lt;AI$5)*L240+(Q$5&lt;AI$5)*R240+(W$5&lt;AI$5)*X240+(AC$5&lt;AI$5)*AD240+(AO$5&lt;AI$5)*AP240+(AU$5&lt;AI$5)*AV240)))</f>
        <v/>
      </c>
      <c r="AL240">
        <f>IF(AJ240-AK240&lt;0.005,0,AJ240-AK240)</f>
        <v/>
      </c>
      <c r="AM240">
        <f>AR239</f>
        <v/>
      </c>
      <c r="AN240">
        <f>AM240*Plan!D12/100/12</f>
        <v/>
      </c>
      <c r="AO240">
        <f>MIN(Plan!E12,AM240+AN240)</f>
        <v/>
      </c>
      <c r="AP240">
        <f>AM240+AN240-AO240</f>
        <v/>
      </c>
      <c r="AQ240">
        <f>MIN(AP240,MAX(0,$B240-((E$5&lt;AO$5)*F240+(K$5&lt;AO$5)*L240+(Q$5&lt;AO$5)*R240+(W$5&lt;AO$5)*X240+(AC$5&lt;AO$5)*AD240+(AI$5&lt;AO$5)*AJ240+(AU$5&lt;AO$5)*AV240)))</f>
        <v/>
      </c>
      <c r="AR240">
        <f>IF(AP240-AQ240&lt;0.005,0,AP240-AQ240)</f>
        <v/>
      </c>
      <c r="AS240">
        <f>AX239</f>
        <v/>
      </c>
      <c r="AT240">
        <f>AS240*Plan!D13/100/12</f>
        <v/>
      </c>
      <c r="AU240">
        <f>MIN(Plan!E13,AS240+AT240)</f>
        <v/>
      </c>
      <c r="AV240">
        <f>AS240+AT240-AU240</f>
        <v/>
      </c>
      <c r="AW240">
        <f>MIN(AV240,MAX(0,$B240-((E$5&lt;AU$5)*F240+(K$5&lt;AU$5)*L240+(Q$5&lt;AU$5)*R240+(W$5&lt;AU$5)*X240+(AC$5&lt;AU$5)*AD240+(AI$5&lt;AU$5)*AJ240+(AO$5&lt;AU$5)*AP240)))</f>
        <v/>
      </c>
      <c r="AX240">
        <f>IF(AV240-AW240&lt;0.005,0,AV240-AW240)</f>
        <v/>
      </c>
      <c r="BC240">
        <f>H240+N240+T240+Z240+AF240+AL240+AR240+AX240</f>
        <v/>
      </c>
    </row>
    <row r="241">
      <c r="A241" t="n">
        <v>235</v>
      </c>
      <c r="B241" s="19">
        <f>MAX(0,$B$3-(E241+K241+Q241+W241+AC241+AI241+AO241+AU241))</f>
        <v/>
      </c>
      <c r="C241">
        <f>H240</f>
        <v/>
      </c>
      <c r="D241">
        <f>C241*Plan!D6/100/12</f>
        <v/>
      </c>
      <c r="E241">
        <f>MIN(Plan!E6,C241+D241)</f>
        <v/>
      </c>
      <c r="F241">
        <f>C241+D241-E241</f>
        <v/>
      </c>
      <c r="G241">
        <f>MIN(F241,MAX(0,$B241-((K$5&lt;E$5)*L241+(Q$5&lt;E$5)*R241+(W$5&lt;E$5)*X241+(AC$5&lt;E$5)*AD241+(AI$5&lt;E$5)*AJ241+(AO$5&lt;E$5)*AP241+(AU$5&lt;E$5)*AV241)))</f>
        <v/>
      </c>
      <c r="H241">
        <f>IF(F241-G241&lt;0.005,0,F241-G241)</f>
        <v/>
      </c>
      <c r="I241">
        <f>N240</f>
        <v/>
      </c>
      <c r="J241">
        <f>I241*Plan!D7/100/12</f>
        <v/>
      </c>
      <c r="K241">
        <f>MIN(Plan!E7,I241+J241)</f>
        <v/>
      </c>
      <c r="L241">
        <f>I241+J241-K241</f>
        <v/>
      </c>
      <c r="M241">
        <f>MIN(L241,MAX(0,$B241-((E$5&lt;K$5)*F241+(Q$5&lt;K$5)*R241+(W$5&lt;K$5)*X241+(AC$5&lt;K$5)*AD241+(AI$5&lt;K$5)*AJ241+(AO$5&lt;K$5)*AP241+(AU$5&lt;K$5)*AV241)))</f>
        <v/>
      </c>
      <c r="N241">
        <f>IF(L241-M241&lt;0.005,0,L241-M241)</f>
        <v/>
      </c>
      <c r="O241">
        <f>T240</f>
        <v/>
      </c>
      <c r="P241">
        <f>O241*Plan!D8/100/12</f>
        <v/>
      </c>
      <c r="Q241">
        <f>MIN(Plan!E8,O241+P241)</f>
        <v/>
      </c>
      <c r="R241">
        <f>O241+P241-Q241</f>
        <v/>
      </c>
      <c r="S241">
        <f>MIN(R241,MAX(0,$B241-((E$5&lt;Q$5)*F241+(K$5&lt;Q$5)*L241+(W$5&lt;Q$5)*X241+(AC$5&lt;Q$5)*AD241+(AI$5&lt;Q$5)*AJ241+(AO$5&lt;Q$5)*AP241+(AU$5&lt;Q$5)*AV241)))</f>
        <v/>
      </c>
      <c r="T241">
        <f>IF(R241-S241&lt;0.005,0,R241-S241)</f>
        <v/>
      </c>
      <c r="U241">
        <f>Z240</f>
        <v/>
      </c>
      <c r="V241">
        <f>U241*Plan!D9/100/12</f>
        <v/>
      </c>
      <c r="W241">
        <f>MIN(Plan!E9,U241+V241)</f>
        <v/>
      </c>
      <c r="X241">
        <f>U241+V241-W241</f>
        <v/>
      </c>
      <c r="Y241">
        <f>MIN(X241,MAX(0,$B241-((E$5&lt;W$5)*F241+(K$5&lt;W$5)*L241+(Q$5&lt;W$5)*R241+(AC$5&lt;W$5)*AD241+(AI$5&lt;W$5)*AJ241+(AO$5&lt;W$5)*AP241+(AU$5&lt;W$5)*AV241)))</f>
        <v/>
      </c>
      <c r="Z241">
        <f>IF(X241-Y241&lt;0.005,0,X241-Y241)</f>
        <v/>
      </c>
      <c r="AA241">
        <f>AF240</f>
        <v/>
      </c>
      <c r="AB241">
        <f>AA241*Plan!D10/100/12</f>
        <v/>
      </c>
      <c r="AC241">
        <f>MIN(Plan!E10,AA241+AB241)</f>
        <v/>
      </c>
      <c r="AD241">
        <f>AA241+AB241-AC241</f>
        <v/>
      </c>
      <c r="AE241">
        <f>MIN(AD241,MAX(0,$B241-((E$5&lt;AC$5)*F241+(K$5&lt;AC$5)*L241+(Q$5&lt;AC$5)*R241+(W$5&lt;AC$5)*X241+(AI$5&lt;AC$5)*AJ241+(AO$5&lt;AC$5)*AP241+(AU$5&lt;AC$5)*AV241)))</f>
        <v/>
      </c>
      <c r="AF241">
        <f>IF(AD241-AE241&lt;0.005,0,AD241-AE241)</f>
        <v/>
      </c>
      <c r="AG241">
        <f>AL240</f>
        <v/>
      </c>
      <c r="AH241">
        <f>AG241*Plan!D11/100/12</f>
        <v/>
      </c>
      <c r="AI241">
        <f>MIN(Plan!E11,AG241+AH241)</f>
        <v/>
      </c>
      <c r="AJ241">
        <f>AG241+AH241-AI241</f>
        <v/>
      </c>
      <c r="AK241">
        <f>MIN(AJ241,MAX(0,$B241-((E$5&lt;AI$5)*F241+(K$5&lt;AI$5)*L241+(Q$5&lt;AI$5)*R241+(W$5&lt;AI$5)*X241+(AC$5&lt;AI$5)*AD241+(AO$5&lt;AI$5)*AP241+(AU$5&lt;AI$5)*AV241)))</f>
        <v/>
      </c>
      <c r="AL241">
        <f>IF(AJ241-AK241&lt;0.005,0,AJ241-AK241)</f>
        <v/>
      </c>
      <c r="AM241">
        <f>AR240</f>
        <v/>
      </c>
      <c r="AN241">
        <f>AM241*Plan!D12/100/12</f>
        <v/>
      </c>
      <c r="AO241">
        <f>MIN(Plan!E12,AM241+AN241)</f>
        <v/>
      </c>
      <c r="AP241">
        <f>AM241+AN241-AO241</f>
        <v/>
      </c>
      <c r="AQ241">
        <f>MIN(AP241,MAX(0,$B241-((E$5&lt;AO$5)*F241+(K$5&lt;AO$5)*L241+(Q$5&lt;AO$5)*R241+(W$5&lt;AO$5)*X241+(AC$5&lt;AO$5)*AD241+(AI$5&lt;AO$5)*AJ241+(AU$5&lt;AO$5)*AV241)))</f>
        <v/>
      </c>
      <c r="AR241">
        <f>IF(AP241-AQ241&lt;0.005,0,AP241-AQ241)</f>
        <v/>
      </c>
      <c r="AS241">
        <f>AX240</f>
        <v/>
      </c>
      <c r="AT241">
        <f>AS241*Plan!D13/100/12</f>
        <v/>
      </c>
      <c r="AU241">
        <f>MIN(Plan!E13,AS241+AT241)</f>
        <v/>
      </c>
      <c r="AV241">
        <f>AS241+AT241-AU241</f>
        <v/>
      </c>
      <c r="AW241">
        <f>MIN(AV241,MAX(0,$B241-((E$5&lt;AU$5)*F241+(K$5&lt;AU$5)*L241+(Q$5&lt;AU$5)*R241+(W$5&lt;AU$5)*X241+(AC$5&lt;AU$5)*AD241+(AI$5&lt;AU$5)*AJ241+(AO$5&lt;AU$5)*AP241)))</f>
        <v/>
      </c>
      <c r="AX241">
        <f>IF(AV241-AW241&lt;0.005,0,AV241-AW241)</f>
        <v/>
      </c>
      <c r="BC241">
        <f>H241+N241+T241+Z241+AF241+AL241+AR241+AX241</f>
        <v/>
      </c>
    </row>
    <row r="242">
      <c r="A242" t="n">
        <v>236</v>
      </c>
      <c r="B242" s="19">
        <f>MAX(0,$B$3-(E242+K242+Q242+W242+AC242+AI242+AO242+AU242))</f>
        <v/>
      </c>
      <c r="C242">
        <f>H241</f>
        <v/>
      </c>
      <c r="D242">
        <f>C242*Plan!D6/100/12</f>
        <v/>
      </c>
      <c r="E242">
        <f>MIN(Plan!E6,C242+D242)</f>
        <v/>
      </c>
      <c r="F242">
        <f>C242+D242-E242</f>
        <v/>
      </c>
      <c r="G242">
        <f>MIN(F242,MAX(0,$B242-((K$5&lt;E$5)*L242+(Q$5&lt;E$5)*R242+(W$5&lt;E$5)*X242+(AC$5&lt;E$5)*AD242+(AI$5&lt;E$5)*AJ242+(AO$5&lt;E$5)*AP242+(AU$5&lt;E$5)*AV242)))</f>
        <v/>
      </c>
      <c r="H242">
        <f>IF(F242-G242&lt;0.005,0,F242-G242)</f>
        <v/>
      </c>
      <c r="I242">
        <f>N241</f>
        <v/>
      </c>
      <c r="J242">
        <f>I242*Plan!D7/100/12</f>
        <v/>
      </c>
      <c r="K242">
        <f>MIN(Plan!E7,I242+J242)</f>
        <v/>
      </c>
      <c r="L242">
        <f>I242+J242-K242</f>
        <v/>
      </c>
      <c r="M242">
        <f>MIN(L242,MAX(0,$B242-((E$5&lt;K$5)*F242+(Q$5&lt;K$5)*R242+(W$5&lt;K$5)*X242+(AC$5&lt;K$5)*AD242+(AI$5&lt;K$5)*AJ242+(AO$5&lt;K$5)*AP242+(AU$5&lt;K$5)*AV242)))</f>
        <v/>
      </c>
      <c r="N242">
        <f>IF(L242-M242&lt;0.005,0,L242-M242)</f>
        <v/>
      </c>
      <c r="O242">
        <f>T241</f>
        <v/>
      </c>
      <c r="P242">
        <f>O242*Plan!D8/100/12</f>
        <v/>
      </c>
      <c r="Q242">
        <f>MIN(Plan!E8,O242+P242)</f>
        <v/>
      </c>
      <c r="R242">
        <f>O242+P242-Q242</f>
        <v/>
      </c>
      <c r="S242">
        <f>MIN(R242,MAX(0,$B242-((E$5&lt;Q$5)*F242+(K$5&lt;Q$5)*L242+(W$5&lt;Q$5)*X242+(AC$5&lt;Q$5)*AD242+(AI$5&lt;Q$5)*AJ242+(AO$5&lt;Q$5)*AP242+(AU$5&lt;Q$5)*AV242)))</f>
        <v/>
      </c>
      <c r="T242">
        <f>IF(R242-S242&lt;0.005,0,R242-S242)</f>
        <v/>
      </c>
      <c r="U242">
        <f>Z241</f>
        <v/>
      </c>
      <c r="V242">
        <f>U242*Plan!D9/100/12</f>
        <v/>
      </c>
      <c r="W242">
        <f>MIN(Plan!E9,U242+V242)</f>
        <v/>
      </c>
      <c r="X242">
        <f>U242+V242-W242</f>
        <v/>
      </c>
      <c r="Y242">
        <f>MIN(X242,MAX(0,$B242-((E$5&lt;W$5)*F242+(K$5&lt;W$5)*L242+(Q$5&lt;W$5)*R242+(AC$5&lt;W$5)*AD242+(AI$5&lt;W$5)*AJ242+(AO$5&lt;W$5)*AP242+(AU$5&lt;W$5)*AV242)))</f>
        <v/>
      </c>
      <c r="Z242">
        <f>IF(X242-Y242&lt;0.005,0,X242-Y242)</f>
        <v/>
      </c>
      <c r="AA242">
        <f>AF241</f>
        <v/>
      </c>
      <c r="AB242">
        <f>AA242*Plan!D10/100/12</f>
        <v/>
      </c>
      <c r="AC242">
        <f>MIN(Plan!E10,AA242+AB242)</f>
        <v/>
      </c>
      <c r="AD242">
        <f>AA242+AB242-AC242</f>
        <v/>
      </c>
      <c r="AE242">
        <f>MIN(AD242,MAX(0,$B242-((E$5&lt;AC$5)*F242+(K$5&lt;AC$5)*L242+(Q$5&lt;AC$5)*R242+(W$5&lt;AC$5)*X242+(AI$5&lt;AC$5)*AJ242+(AO$5&lt;AC$5)*AP242+(AU$5&lt;AC$5)*AV242)))</f>
        <v/>
      </c>
      <c r="AF242">
        <f>IF(AD242-AE242&lt;0.005,0,AD242-AE242)</f>
        <v/>
      </c>
      <c r="AG242">
        <f>AL241</f>
        <v/>
      </c>
      <c r="AH242">
        <f>AG242*Plan!D11/100/12</f>
        <v/>
      </c>
      <c r="AI242">
        <f>MIN(Plan!E11,AG242+AH242)</f>
        <v/>
      </c>
      <c r="AJ242">
        <f>AG242+AH242-AI242</f>
        <v/>
      </c>
      <c r="AK242">
        <f>MIN(AJ242,MAX(0,$B242-((E$5&lt;AI$5)*F242+(K$5&lt;AI$5)*L242+(Q$5&lt;AI$5)*R242+(W$5&lt;AI$5)*X242+(AC$5&lt;AI$5)*AD242+(AO$5&lt;AI$5)*AP242+(AU$5&lt;AI$5)*AV242)))</f>
        <v/>
      </c>
      <c r="AL242">
        <f>IF(AJ242-AK242&lt;0.005,0,AJ242-AK242)</f>
        <v/>
      </c>
      <c r="AM242">
        <f>AR241</f>
        <v/>
      </c>
      <c r="AN242">
        <f>AM242*Plan!D12/100/12</f>
        <v/>
      </c>
      <c r="AO242">
        <f>MIN(Plan!E12,AM242+AN242)</f>
        <v/>
      </c>
      <c r="AP242">
        <f>AM242+AN242-AO242</f>
        <v/>
      </c>
      <c r="AQ242">
        <f>MIN(AP242,MAX(0,$B242-((E$5&lt;AO$5)*F242+(K$5&lt;AO$5)*L242+(Q$5&lt;AO$5)*R242+(W$5&lt;AO$5)*X242+(AC$5&lt;AO$5)*AD242+(AI$5&lt;AO$5)*AJ242+(AU$5&lt;AO$5)*AV242)))</f>
        <v/>
      </c>
      <c r="AR242">
        <f>IF(AP242-AQ242&lt;0.005,0,AP242-AQ242)</f>
        <v/>
      </c>
      <c r="AS242">
        <f>AX241</f>
        <v/>
      </c>
      <c r="AT242">
        <f>AS242*Plan!D13/100/12</f>
        <v/>
      </c>
      <c r="AU242">
        <f>MIN(Plan!E13,AS242+AT242)</f>
        <v/>
      </c>
      <c r="AV242">
        <f>AS242+AT242-AU242</f>
        <v/>
      </c>
      <c r="AW242">
        <f>MIN(AV242,MAX(0,$B242-((E$5&lt;AU$5)*F242+(K$5&lt;AU$5)*L242+(Q$5&lt;AU$5)*R242+(W$5&lt;AU$5)*X242+(AC$5&lt;AU$5)*AD242+(AI$5&lt;AU$5)*AJ242+(AO$5&lt;AU$5)*AP242)))</f>
        <v/>
      </c>
      <c r="AX242">
        <f>IF(AV242-AW242&lt;0.005,0,AV242-AW242)</f>
        <v/>
      </c>
      <c r="BC242">
        <f>H242+N242+T242+Z242+AF242+AL242+AR242+AX242</f>
        <v/>
      </c>
    </row>
    <row r="243">
      <c r="A243" t="n">
        <v>237</v>
      </c>
      <c r="B243" s="19">
        <f>MAX(0,$B$3-(E243+K243+Q243+W243+AC243+AI243+AO243+AU243))</f>
        <v/>
      </c>
      <c r="C243">
        <f>H242</f>
        <v/>
      </c>
      <c r="D243">
        <f>C243*Plan!D6/100/12</f>
        <v/>
      </c>
      <c r="E243">
        <f>MIN(Plan!E6,C243+D243)</f>
        <v/>
      </c>
      <c r="F243">
        <f>C243+D243-E243</f>
        <v/>
      </c>
      <c r="G243">
        <f>MIN(F243,MAX(0,$B243-((K$5&lt;E$5)*L243+(Q$5&lt;E$5)*R243+(W$5&lt;E$5)*X243+(AC$5&lt;E$5)*AD243+(AI$5&lt;E$5)*AJ243+(AO$5&lt;E$5)*AP243+(AU$5&lt;E$5)*AV243)))</f>
        <v/>
      </c>
      <c r="H243">
        <f>IF(F243-G243&lt;0.005,0,F243-G243)</f>
        <v/>
      </c>
      <c r="I243">
        <f>N242</f>
        <v/>
      </c>
      <c r="J243">
        <f>I243*Plan!D7/100/12</f>
        <v/>
      </c>
      <c r="K243">
        <f>MIN(Plan!E7,I243+J243)</f>
        <v/>
      </c>
      <c r="L243">
        <f>I243+J243-K243</f>
        <v/>
      </c>
      <c r="M243">
        <f>MIN(L243,MAX(0,$B243-((E$5&lt;K$5)*F243+(Q$5&lt;K$5)*R243+(W$5&lt;K$5)*X243+(AC$5&lt;K$5)*AD243+(AI$5&lt;K$5)*AJ243+(AO$5&lt;K$5)*AP243+(AU$5&lt;K$5)*AV243)))</f>
        <v/>
      </c>
      <c r="N243">
        <f>IF(L243-M243&lt;0.005,0,L243-M243)</f>
        <v/>
      </c>
      <c r="O243">
        <f>T242</f>
        <v/>
      </c>
      <c r="P243">
        <f>O243*Plan!D8/100/12</f>
        <v/>
      </c>
      <c r="Q243">
        <f>MIN(Plan!E8,O243+P243)</f>
        <v/>
      </c>
      <c r="R243">
        <f>O243+P243-Q243</f>
        <v/>
      </c>
      <c r="S243">
        <f>MIN(R243,MAX(0,$B243-((E$5&lt;Q$5)*F243+(K$5&lt;Q$5)*L243+(W$5&lt;Q$5)*X243+(AC$5&lt;Q$5)*AD243+(AI$5&lt;Q$5)*AJ243+(AO$5&lt;Q$5)*AP243+(AU$5&lt;Q$5)*AV243)))</f>
        <v/>
      </c>
      <c r="T243">
        <f>IF(R243-S243&lt;0.005,0,R243-S243)</f>
        <v/>
      </c>
      <c r="U243">
        <f>Z242</f>
        <v/>
      </c>
      <c r="V243">
        <f>U243*Plan!D9/100/12</f>
        <v/>
      </c>
      <c r="W243">
        <f>MIN(Plan!E9,U243+V243)</f>
        <v/>
      </c>
      <c r="X243">
        <f>U243+V243-W243</f>
        <v/>
      </c>
      <c r="Y243">
        <f>MIN(X243,MAX(0,$B243-((E$5&lt;W$5)*F243+(K$5&lt;W$5)*L243+(Q$5&lt;W$5)*R243+(AC$5&lt;W$5)*AD243+(AI$5&lt;W$5)*AJ243+(AO$5&lt;W$5)*AP243+(AU$5&lt;W$5)*AV243)))</f>
        <v/>
      </c>
      <c r="Z243">
        <f>IF(X243-Y243&lt;0.005,0,X243-Y243)</f>
        <v/>
      </c>
      <c r="AA243">
        <f>AF242</f>
        <v/>
      </c>
      <c r="AB243">
        <f>AA243*Plan!D10/100/12</f>
        <v/>
      </c>
      <c r="AC243">
        <f>MIN(Plan!E10,AA243+AB243)</f>
        <v/>
      </c>
      <c r="AD243">
        <f>AA243+AB243-AC243</f>
        <v/>
      </c>
      <c r="AE243">
        <f>MIN(AD243,MAX(0,$B243-((E$5&lt;AC$5)*F243+(K$5&lt;AC$5)*L243+(Q$5&lt;AC$5)*R243+(W$5&lt;AC$5)*X243+(AI$5&lt;AC$5)*AJ243+(AO$5&lt;AC$5)*AP243+(AU$5&lt;AC$5)*AV243)))</f>
        <v/>
      </c>
      <c r="AF243">
        <f>IF(AD243-AE243&lt;0.005,0,AD243-AE243)</f>
        <v/>
      </c>
      <c r="AG243">
        <f>AL242</f>
        <v/>
      </c>
      <c r="AH243">
        <f>AG243*Plan!D11/100/12</f>
        <v/>
      </c>
      <c r="AI243">
        <f>MIN(Plan!E11,AG243+AH243)</f>
        <v/>
      </c>
      <c r="AJ243">
        <f>AG243+AH243-AI243</f>
        <v/>
      </c>
      <c r="AK243">
        <f>MIN(AJ243,MAX(0,$B243-((E$5&lt;AI$5)*F243+(K$5&lt;AI$5)*L243+(Q$5&lt;AI$5)*R243+(W$5&lt;AI$5)*X243+(AC$5&lt;AI$5)*AD243+(AO$5&lt;AI$5)*AP243+(AU$5&lt;AI$5)*AV243)))</f>
        <v/>
      </c>
      <c r="AL243">
        <f>IF(AJ243-AK243&lt;0.005,0,AJ243-AK243)</f>
        <v/>
      </c>
      <c r="AM243">
        <f>AR242</f>
        <v/>
      </c>
      <c r="AN243">
        <f>AM243*Plan!D12/100/12</f>
        <v/>
      </c>
      <c r="AO243">
        <f>MIN(Plan!E12,AM243+AN243)</f>
        <v/>
      </c>
      <c r="AP243">
        <f>AM243+AN243-AO243</f>
        <v/>
      </c>
      <c r="AQ243">
        <f>MIN(AP243,MAX(0,$B243-((E$5&lt;AO$5)*F243+(K$5&lt;AO$5)*L243+(Q$5&lt;AO$5)*R243+(W$5&lt;AO$5)*X243+(AC$5&lt;AO$5)*AD243+(AI$5&lt;AO$5)*AJ243+(AU$5&lt;AO$5)*AV243)))</f>
        <v/>
      </c>
      <c r="AR243">
        <f>IF(AP243-AQ243&lt;0.005,0,AP243-AQ243)</f>
        <v/>
      </c>
      <c r="AS243">
        <f>AX242</f>
        <v/>
      </c>
      <c r="AT243">
        <f>AS243*Plan!D13/100/12</f>
        <v/>
      </c>
      <c r="AU243">
        <f>MIN(Plan!E13,AS243+AT243)</f>
        <v/>
      </c>
      <c r="AV243">
        <f>AS243+AT243-AU243</f>
        <v/>
      </c>
      <c r="AW243">
        <f>MIN(AV243,MAX(0,$B243-((E$5&lt;AU$5)*F243+(K$5&lt;AU$5)*L243+(Q$5&lt;AU$5)*R243+(W$5&lt;AU$5)*X243+(AC$5&lt;AU$5)*AD243+(AI$5&lt;AU$5)*AJ243+(AO$5&lt;AU$5)*AP243)))</f>
        <v/>
      </c>
      <c r="AX243">
        <f>IF(AV243-AW243&lt;0.005,0,AV243-AW243)</f>
        <v/>
      </c>
      <c r="BC243">
        <f>H243+N243+T243+Z243+AF243+AL243+AR243+AX243</f>
        <v/>
      </c>
    </row>
    <row r="244">
      <c r="A244" t="n">
        <v>238</v>
      </c>
      <c r="B244" s="19">
        <f>MAX(0,$B$3-(E244+K244+Q244+W244+AC244+AI244+AO244+AU244))</f>
        <v/>
      </c>
      <c r="C244">
        <f>H243</f>
        <v/>
      </c>
      <c r="D244">
        <f>C244*Plan!D6/100/12</f>
        <v/>
      </c>
      <c r="E244">
        <f>MIN(Plan!E6,C244+D244)</f>
        <v/>
      </c>
      <c r="F244">
        <f>C244+D244-E244</f>
        <v/>
      </c>
      <c r="G244">
        <f>MIN(F244,MAX(0,$B244-((K$5&lt;E$5)*L244+(Q$5&lt;E$5)*R244+(W$5&lt;E$5)*X244+(AC$5&lt;E$5)*AD244+(AI$5&lt;E$5)*AJ244+(AO$5&lt;E$5)*AP244+(AU$5&lt;E$5)*AV244)))</f>
        <v/>
      </c>
      <c r="H244">
        <f>IF(F244-G244&lt;0.005,0,F244-G244)</f>
        <v/>
      </c>
      <c r="I244">
        <f>N243</f>
        <v/>
      </c>
      <c r="J244">
        <f>I244*Plan!D7/100/12</f>
        <v/>
      </c>
      <c r="K244">
        <f>MIN(Plan!E7,I244+J244)</f>
        <v/>
      </c>
      <c r="L244">
        <f>I244+J244-K244</f>
        <v/>
      </c>
      <c r="M244">
        <f>MIN(L244,MAX(0,$B244-((E$5&lt;K$5)*F244+(Q$5&lt;K$5)*R244+(W$5&lt;K$5)*X244+(AC$5&lt;K$5)*AD244+(AI$5&lt;K$5)*AJ244+(AO$5&lt;K$5)*AP244+(AU$5&lt;K$5)*AV244)))</f>
        <v/>
      </c>
      <c r="N244">
        <f>IF(L244-M244&lt;0.005,0,L244-M244)</f>
        <v/>
      </c>
      <c r="O244">
        <f>T243</f>
        <v/>
      </c>
      <c r="P244">
        <f>O244*Plan!D8/100/12</f>
        <v/>
      </c>
      <c r="Q244">
        <f>MIN(Plan!E8,O244+P244)</f>
        <v/>
      </c>
      <c r="R244">
        <f>O244+P244-Q244</f>
        <v/>
      </c>
      <c r="S244">
        <f>MIN(R244,MAX(0,$B244-((E$5&lt;Q$5)*F244+(K$5&lt;Q$5)*L244+(W$5&lt;Q$5)*X244+(AC$5&lt;Q$5)*AD244+(AI$5&lt;Q$5)*AJ244+(AO$5&lt;Q$5)*AP244+(AU$5&lt;Q$5)*AV244)))</f>
        <v/>
      </c>
      <c r="T244">
        <f>IF(R244-S244&lt;0.005,0,R244-S244)</f>
        <v/>
      </c>
      <c r="U244">
        <f>Z243</f>
        <v/>
      </c>
      <c r="V244">
        <f>U244*Plan!D9/100/12</f>
        <v/>
      </c>
      <c r="W244">
        <f>MIN(Plan!E9,U244+V244)</f>
        <v/>
      </c>
      <c r="X244">
        <f>U244+V244-W244</f>
        <v/>
      </c>
      <c r="Y244">
        <f>MIN(X244,MAX(0,$B244-((E$5&lt;W$5)*F244+(K$5&lt;W$5)*L244+(Q$5&lt;W$5)*R244+(AC$5&lt;W$5)*AD244+(AI$5&lt;W$5)*AJ244+(AO$5&lt;W$5)*AP244+(AU$5&lt;W$5)*AV244)))</f>
        <v/>
      </c>
      <c r="Z244">
        <f>IF(X244-Y244&lt;0.005,0,X244-Y244)</f>
        <v/>
      </c>
      <c r="AA244">
        <f>AF243</f>
        <v/>
      </c>
      <c r="AB244">
        <f>AA244*Plan!D10/100/12</f>
        <v/>
      </c>
      <c r="AC244">
        <f>MIN(Plan!E10,AA244+AB244)</f>
        <v/>
      </c>
      <c r="AD244">
        <f>AA244+AB244-AC244</f>
        <v/>
      </c>
      <c r="AE244">
        <f>MIN(AD244,MAX(0,$B244-((E$5&lt;AC$5)*F244+(K$5&lt;AC$5)*L244+(Q$5&lt;AC$5)*R244+(W$5&lt;AC$5)*X244+(AI$5&lt;AC$5)*AJ244+(AO$5&lt;AC$5)*AP244+(AU$5&lt;AC$5)*AV244)))</f>
        <v/>
      </c>
      <c r="AF244">
        <f>IF(AD244-AE244&lt;0.005,0,AD244-AE244)</f>
        <v/>
      </c>
      <c r="AG244">
        <f>AL243</f>
        <v/>
      </c>
      <c r="AH244">
        <f>AG244*Plan!D11/100/12</f>
        <v/>
      </c>
      <c r="AI244">
        <f>MIN(Plan!E11,AG244+AH244)</f>
        <v/>
      </c>
      <c r="AJ244">
        <f>AG244+AH244-AI244</f>
        <v/>
      </c>
      <c r="AK244">
        <f>MIN(AJ244,MAX(0,$B244-((E$5&lt;AI$5)*F244+(K$5&lt;AI$5)*L244+(Q$5&lt;AI$5)*R244+(W$5&lt;AI$5)*X244+(AC$5&lt;AI$5)*AD244+(AO$5&lt;AI$5)*AP244+(AU$5&lt;AI$5)*AV244)))</f>
        <v/>
      </c>
      <c r="AL244">
        <f>IF(AJ244-AK244&lt;0.005,0,AJ244-AK244)</f>
        <v/>
      </c>
      <c r="AM244">
        <f>AR243</f>
        <v/>
      </c>
      <c r="AN244">
        <f>AM244*Plan!D12/100/12</f>
        <v/>
      </c>
      <c r="AO244">
        <f>MIN(Plan!E12,AM244+AN244)</f>
        <v/>
      </c>
      <c r="AP244">
        <f>AM244+AN244-AO244</f>
        <v/>
      </c>
      <c r="AQ244">
        <f>MIN(AP244,MAX(0,$B244-((E$5&lt;AO$5)*F244+(K$5&lt;AO$5)*L244+(Q$5&lt;AO$5)*R244+(W$5&lt;AO$5)*X244+(AC$5&lt;AO$5)*AD244+(AI$5&lt;AO$5)*AJ244+(AU$5&lt;AO$5)*AV244)))</f>
        <v/>
      </c>
      <c r="AR244">
        <f>IF(AP244-AQ244&lt;0.005,0,AP244-AQ244)</f>
        <v/>
      </c>
      <c r="AS244">
        <f>AX243</f>
        <v/>
      </c>
      <c r="AT244">
        <f>AS244*Plan!D13/100/12</f>
        <v/>
      </c>
      <c r="AU244">
        <f>MIN(Plan!E13,AS244+AT244)</f>
        <v/>
      </c>
      <c r="AV244">
        <f>AS244+AT244-AU244</f>
        <v/>
      </c>
      <c r="AW244">
        <f>MIN(AV244,MAX(0,$B244-((E$5&lt;AU$5)*F244+(K$5&lt;AU$5)*L244+(Q$5&lt;AU$5)*R244+(W$5&lt;AU$5)*X244+(AC$5&lt;AU$5)*AD244+(AI$5&lt;AU$5)*AJ244+(AO$5&lt;AU$5)*AP244)))</f>
        <v/>
      </c>
      <c r="AX244">
        <f>IF(AV244-AW244&lt;0.005,0,AV244-AW244)</f>
        <v/>
      </c>
      <c r="BC244">
        <f>H244+N244+T244+Z244+AF244+AL244+AR244+AX244</f>
        <v/>
      </c>
    </row>
    <row r="245">
      <c r="A245" t="n">
        <v>239</v>
      </c>
      <c r="B245" s="19">
        <f>MAX(0,$B$3-(E245+K245+Q245+W245+AC245+AI245+AO245+AU245))</f>
        <v/>
      </c>
      <c r="C245">
        <f>H244</f>
        <v/>
      </c>
      <c r="D245">
        <f>C245*Plan!D6/100/12</f>
        <v/>
      </c>
      <c r="E245">
        <f>MIN(Plan!E6,C245+D245)</f>
        <v/>
      </c>
      <c r="F245">
        <f>C245+D245-E245</f>
        <v/>
      </c>
      <c r="G245">
        <f>MIN(F245,MAX(0,$B245-((K$5&lt;E$5)*L245+(Q$5&lt;E$5)*R245+(W$5&lt;E$5)*X245+(AC$5&lt;E$5)*AD245+(AI$5&lt;E$5)*AJ245+(AO$5&lt;E$5)*AP245+(AU$5&lt;E$5)*AV245)))</f>
        <v/>
      </c>
      <c r="H245">
        <f>IF(F245-G245&lt;0.005,0,F245-G245)</f>
        <v/>
      </c>
      <c r="I245">
        <f>N244</f>
        <v/>
      </c>
      <c r="J245">
        <f>I245*Plan!D7/100/12</f>
        <v/>
      </c>
      <c r="K245">
        <f>MIN(Plan!E7,I245+J245)</f>
        <v/>
      </c>
      <c r="L245">
        <f>I245+J245-K245</f>
        <v/>
      </c>
      <c r="M245">
        <f>MIN(L245,MAX(0,$B245-((E$5&lt;K$5)*F245+(Q$5&lt;K$5)*R245+(W$5&lt;K$5)*X245+(AC$5&lt;K$5)*AD245+(AI$5&lt;K$5)*AJ245+(AO$5&lt;K$5)*AP245+(AU$5&lt;K$5)*AV245)))</f>
        <v/>
      </c>
      <c r="N245">
        <f>IF(L245-M245&lt;0.005,0,L245-M245)</f>
        <v/>
      </c>
      <c r="O245">
        <f>T244</f>
        <v/>
      </c>
      <c r="P245">
        <f>O245*Plan!D8/100/12</f>
        <v/>
      </c>
      <c r="Q245">
        <f>MIN(Plan!E8,O245+P245)</f>
        <v/>
      </c>
      <c r="R245">
        <f>O245+P245-Q245</f>
        <v/>
      </c>
      <c r="S245">
        <f>MIN(R245,MAX(0,$B245-((E$5&lt;Q$5)*F245+(K$5&lt;Q$5)*L245+(W$5&lt;Q$5)*X245+(AC$5&lt;Q$5)*AD245+(AI$5&lt;Q$5)*AJ245+(AO$5&lt;Q$5)*AP245+(AU$5&lt;Q$5)*AV245)))</f>
        <v/>
      </c>
      <c r="T245">
        <f>IF(R245-S245&lt;0.005,0,R245-S245)</f>
        <v/>
      </c>
      <c r="U245">
        <f>Z244</f>
        <v/>
      </c>
      <c r="V245">
        <f>U245*Plan!D9/100/12</f>
        <v/>
      </c>
      <c r="W245">
        <f>MIN(Plan!E9,U245+V245)</f>
        <v/>
      </c>
      <c r="X245">
        <f>U245+V245-W245</f>
        <v/>
      </c>
      <c r="Y245">
        <f>MIN(X245,MAX(0,$B245-((E$5&lt;W$5)*F245+(K$5&lt;W$5)*L245+(Q$5&lt;W$5)*R245+(AC$5&lt;W$5)*AD245+(AI$5&lt;W$5)*AJ245+(AO$5&lt;W$5)*AP245+(AU$5&lt;W$5)*AV245)))</f>
        <v/>
      </c>
      <c r="Z245">
        <f>IF(X245-Y245&lt;0.005,0,X245-Y245)</f>
        <v/>
      </c>
      <c r="AA245">
        <f>AF244</f>
        <v/>
      </c>
      <c r="AB245">
        <f>AA245*Plan!D10/100/12</f>
        <v/>
      </c>
      <c r="AC245">
        <f>MIN(Plan!E10,AA245+AB245)</f>
        <v/>
      </c>
      <c r="AD245">
        <f>AA245+AB245-AC245</f>
        <v/>
      </c>
      <c r="AE245">
        <f>MIN(AD245,MAX(0,$B245-((E$5&lt;AC$5)*F245+(K$5&lt;AC$5)*L245+(Q$5&lt;AC$5)*R245+(W$5&lt;AC$5)*X245+(AI$5&lt;AC$5)*AJ245+(AO$5&lt;AC$5)*AP245+(AU$5&lt;AC$5)*AV245)))</f>
        <v/>
      </c>
      <c r="AF245">
        <f>IF(AD245-AE245&lt;0.005,0,AD245-AE245)</f>
        <v/>
      </c>
      <c r="AG245">
        <f>AL244</f>
        <v/>
      </c>
      <c r="AH245">
        <f>AG245*Plan!D11/100/12</f>
        <v/>
      </c>
      <c r="AI245">
        <f>MIN(Plan!E11,AG245+AH245)</f>
        <v/>
      </c>
      <c r="AJ245">
        <f>AG245+AH245-AI245</f>
        <v/>
      </c>
      <c r="AK245">
        <f>MIN(AJ245,MAX(0,$B245-((E$5&lt;AI$5)*F245+(K$5&lt;AI$5)*L245+(Q$5&lt;AI$5)*R245+(W$5&lt;AI$5)*X245+(AC$5&lt;AI$5)*AD245+(AO$5&lt;AI$5)*AP245+(AU$5&lt;AI$5)*AV245)))</f>
        <v/>
      </c>
      <c r="AL245">
        <f>IF(AJ245-AK245&lt;0.005,0,AJ245-AK245)</f>
        <v/>
      </c>
      <c r="AM245">
        <f>AR244</f>
        <v/>
      </c>
      <c r="AN245">
        <f>AM245*Plan!D12/100/12</f>
        <v/>
      </c>
      <c r="AO245">
        <f>MIN(Plan!E12,AM245+AN245)</f>
        <v/>
      </c>
      <c r="AP245">
        <f>AM245+AN245-AO245</f>
        <v/>
      </c>
      <c r="AQ245">
        <f>MIN(AP245,MAX(0,$B245-((E$5&lt;AO$5)*F245+(K$5&lt;AO$5)*L245+(Q$5&lt;AO$5)*R245+(W$5&lt;AO$5)*X245+(AC$5&lt;AO$5)*AD245+(AI$5&lt;AO$5)*AJ245+(AU$5&lt;AO$5)*AV245)))</f>
        <v/>
      </c>
      <c r="AR245">
        <f>IF(AP245-AQ245&lt;0.005,0,AP245-AQ245)</f>
        <v/>
      </c>
      <c r="AS245">
        <f>AX244</f>
        <v/>
      </c>
      <c r="AT245">
        <f>AS245*Plan!D13/100/12</f>
        <v/>
      </c>
      <c r="AU245">
        <f>MIN(Plan!E13,AS245+AT245)</f>
        <v/>
      </c>
      <c r="AV245">
        <f>AS245+AT245-AU245</f>
        <v/>
      </c>
      <c r="AW245">
        <f>MIN(AV245,MAX(0,$B245-((E$5&lt;AU$5)*F245+(K$5&lt;AU$5)*L245+(Q$5&lt;AU$5)*R245+(W$5&lt;AU$5)*X245+(AC$5&lt;AU$5)*AD245+(AI$5&lt;AU$5)*AJ245+(AO$5&lt;AU$5)*AP245)))</f>
        <v/>
      </c>
      <c r="AX245">
        <f>IF(AV245-AW245&lt;0.005,0,AV245-AW245)</f>
        <v/>
      </c>
      <c r="BC245">
        <f>H245+N245+T245+Z245+AF245+AL245+AR245+AX245</f>
        <v/>
      </c>
    </row>
    <row r="246">
      <c r="A246" t="n">
        <v>240</v>
      </c>
      <c r="B246" s="19">
        <f>MAX(0,$B$3-(E246+K246+Q246+W246+AC246+AI246+AO246+AU246))</f>
        <v/>
      </c>
      <c r="C246">
        <f>H245</f>
        <v/>
      </c>
      <c r="D246">
        <f>C246*Plan!D6/100/12</f>
        <v/>
      </c>
      <c r="E246">
        <f>MIN(Plan!E6,C246+D246)</f>
        <v/>
      </c>
      <c r="F246">
        <f>C246+D246-E246</f>
        <v/>
      </c>
      <c r="G246">
        <f>MIN(F246,MAX(0,$B246-((K$5&lt;E$5)*L246+(Q$5&lt;E$5)*R246+(W$5&lt;E$5)*X246+(AC$5&lt;E$5)*AD246+(AI$5&lt;E$5)*AJ246+(AO$5&lt;E$5)*AP246+(AU$5&lt;E$5)*AV246)))</f>
        <v/>
      </c>
      <c r="H246">
        <f>IF(F246-G246&lt;0.005,0,F246-G246)</f>
        <v/>
      </c>
      <c r="I246">
        <f>N245</f>
        <v/>
      </c>
      <c r="J246">
        <f>I246*Plan!D7/100/12</f>
        <v/>
      </c>
      <c r="K246">
        <f>MIN(Plan!E7,I246+J246)</f>
        <v/>
      </c>
      <c r="L246">
        <f>I246+J246-K246</f>
        <v/>
      </c>
      <c r="M246">
        <f>MIN(L246,MAX(0,$B246-((E$5&lt;K$5)*F246+(Q$5&lt;K$5)*R246+(W$5&lt;K$5)*X246+(AC$5&lt;K$5)*AD246+(AI$5&lt;K$5)*AJ246+(AO$5&lt;K$5)*AP246+(AU$5&lt;K$5)*AV246)))</f>
        <v/>
      </c>
      <c r="N246">
        <f>IF(L246-M246&lt;0.005,0,L246-M246)</f>
        <v/>
      </c>
      <c r="O246">
        <f>T245</f>
        <v/>
      </c>
      <c r="P246">
        <f>O246*Plan!D8/100/12</f>
        <v/>
      </c>
      <c r="Q246">
        <f>MIN(Plan!E8,O246+P246)</f>
        <v/>
      </c>
      <c r="R246">
        <f>O246+P246-Q246</f>
        <v/>
      </c>
      <c r="S246">
        <f>MIN(R246,MAX(0,$B246-((E$5&lt;Q$5)*F246+(K$5&lt;Q$5)*L246+(W$5&lt;Q$5)*X246+(AC$5&lt;Q$5)*AD246+(AI$5&lt;Q$5)*AJ246+(AO$5&lt;Q$5)*AP246+(AU$5&lt;Q$5)*AV246)))</f>
        <v/>
      </c>
      <c r="T246">
        <f>IF(R246-S246&lt;0.005,0,R246-S246)</f>
        <v/>
      </c>
      <c r="U246">
        <f>Z245</f>
        <v/>
      </c>
      <c r="V246">
        <f>U246*Plan!D9/100/12</f>
        <v/>
      </c>
      <c r="W246">
        <f>MIN(Plan!E9,U246+V246)</f>
        <v/>
      </c>
      <c r="X246">
        <f>U246+V246-W246</f>
        <v/>
      </c>
      <c r="Y246">
        <f>MIN(X246,MAX(0,$B246-((E$5&lt;W$5)*F246+(K$5&lt;W$5)*L246+(Q$5&lt;W$5)*R246+(AC$5&lt;W$5)*AD246+(AI$5&lt;W$5)*AJ246+(AO$5&lt;W$5)*AP246+(AU$5&lt;W$5)*AV246)))</f>
        <v/>
      </c>
      <c r="Z246">
        <f>IF(X246-Y246&lt;0.005,0,X246-Y246)</f>
        <v/>
      </c>
      <c r="AA246">
        <f>AF245</f>
        <v/>
      </c>
      <c r="AB246">
        <f>AA246*Plan!D10/100/12</f>
        <v/>
      </c>
      <c r="AC246">
        <f>MIN(Plan!E10,AA246+AB246)</f>
        <v/>
      </c>
      <c r="AD246">
        <f>AA246+AB246-AC246</f>
        <v/>
      </c>
      <c r="AE246">
        <f>MIN(AD246,MAX(0,$B246-((E$5&lt;AC$5)*F246+(K$5&lt;AC$5)*L246+(Q$5&lt;AC$5)*R246+(W$5&lt;AC$5)*X246+(AI$5&lt;AC$5)*AJ246+(AO$5&lt;AC$5)*AP246+(AU$5&lt;AC$5)*AV246)))</f>
        <v/>
      </c>
      <c r="AF246">
        <f>IF(AD246-AE246&lt;0.005,0,AD246-AE246)</f>
        <v/>
      </c>
      <c r="AG246">
        <f>AL245</f>
        <v/>
      </c>
      <c r="AH246">
        <f>AG246*Plan!D11/100/12</f>
        <v/>
      </c>
      <c r="AI246">
        <f>MIN(Plan!E11,AG246+AH246)</f>
        <v/>
      </c>
      <c r="AJ246">
        <f>AG246+AH246-AI246</f>
        <v/>
      </c>
      <c r="AK246">
        <f>MIN(AJ246,MAX(0,$B246-((E$5&lt;AI$5)*F246+(K$5&lt;AI$5)*L246+(Q$5&lt;AI$5)*R246+(W$5&lt;AI$5)*X246+(AC$5&lt;AI$5)*AD246+(AO$5&lt;AI$5)*AP246+(AU$5&lt;AI$5)*AV246)))</f>
        <v/>
      </c>
      <c r="AL246">
        <f>IF(AJ246-AK246&lt;0.005,0,AJ246-AK246)</f>
        <v/>
      </c>
      <c r="AM246">
        <f>AR245</f>
        <v/>
      </c>
      <c r="AN246">
        <f>AM246*Plan!D12/100/12</f>
        <v/>
      </c>
      <c r="AO246">
        <f>MIN(Plan!E12,AM246+AN246)</f>
        <v/>
      </c>
      <c r="AP246">
        <f>AM246+AN246-AO246</f>
        <v/>
      </c>
      <c r="AQ246">
        <f>MIN(AP246,MAX(0,$B246-((E$5&lt;AO$5)*F246+(K$5&lt;AO$5)*L246+(Q$5&lt;AO$5)*R246+(W$5&lt;AO$5)*X246+(AC$5&lt;AO$5)*AD246+(AI$5&lt;AO$5)*AJ246+(AU$5&lt;AO$5)*AV246)))</f>
        <v/>
      </c>
      <c r="AR246">
        <f>IF(AP246-AQ246&lt;0.005,0,AP246-AQ246)</f>
        <v/>
      </c>
      <c r="AS246">
        <f>AX245</f>
        <v/>
      </c>
      <c r="AT246">
        <f>AS246*Plan!D13/100/12</f>
        <v/>
      </c>
      <c r="AU246">
        <f>MIN(Plan!E13,AS246+AT246)</f>
        <v/>
      </c>
      <c r="AV246">
        <f>AS246+AT246-AU246</f>
        <v/>
      </c>
      <c r="AW246">
        <f>MIN(AV246,MAX(0,$B246-((E$5&lt;AU$5)*F246+(K$5&lt;AU$5)*L246+(Q$5&lt;AU$5)*R246+(W$5&lt;AU$5)*X246+(AC$5&lt;AU$5)*AD246+(AI$5&lt;AU$5)*AJ246+(AO$5&lt;AU$5)*AP246)))</f>
        <v/>
      </c>
      <c r="AX246">
        <f>IF(AV246-AW246&lt;0.005,0,AV246-AW246)</f>
        <v/>
      </c>
      <c r="BC246">
        <f>H246+N246+T246+Z246+AF246+AL246+AR246+AX246</f>
        <v/>
      </c>
    </row>
    <row r="247">
      <c r="A247" t="n">
        <v>241</v>
      </c>
      <c r="B247" s="19">
        <f>MAX(0,$B$3-(E247+K247+Q247+W247+AC247+AI247+AO247+AU247))</f>
        <v/>
      </c>
      <c r="C247">
        <f>H246</f>
        <v/>
      </c>
      <c r="D247">
        <f>C247*Plan!D6/100/12</f>
        <v/>
      </c>
      <c r="E247">
        <f>MIN(Plan!E6,C247+D247)</f>
        <v/>
      </c>
      <c r="F247">
        <f>C247+D247-E247</f>
        <v/>
      </c>
      <c r="G247">
        <f>MIN(F247,MAX(0,$B247-((K$5&lt;E$5)*L247+(Q$5&lt;E$5)*R247+(W$5&lt;E$5)*X247+(AC$5&lt;E$5)*AD247+(AI$5&lt;E$5)*AJ247+(AO$5&lt;E$5)*AP247+(AU$5&lt;E$5)*AV247)))</f>
        <v/>
      </c>
      <c r="H247">
        <f>IF(F247-G247&lt;0.005,0,F247-G247)</f>
        <v/>
      </c>
      <c r="I247">
        <f>N246</f>
        <v/>
      </c>
      <c r="J247">
        <f>I247*Plan!D7/100/12</f>
        <v/>
      </c>
      <c r="K247">
        <f>MIN(Plan!E7,I247+J247)</f>
        <v/>
      </c>
      <c r="L247">
        <f>I247+J247-K247</f>
        <v/>
      </c>
      <c r="M247">
        <f>MIN(L247,MAX(0,$B247-((E$5&lt;K$5)*F247+(Q$5&lt;K$5)*R247+(W$5&lt;K$5)*X247+(AC$5&lt;K$5)*AD247+(AI$5&lt;K$5)*AJ247+(AO$5&lt;K$5)*AP247+(AU$5&lt;K$5)*AV247)))</f>
        <v/>
      </c>
      <c r="N247">
        <f>IF(L247-M247&lt;0.005,0,L247-M247)</f>
        <v/>
      </c>
      <c r="O247">
        <f>T246</f>
        <v/>
      </c>
      <c r="P247">
        <f>O247*Plan!D8/100/12</f>
        <v/>
      </c>
      <c r="Q247">
        <f>MIN(Plan!E8,O247+P247)</f>
        <v/>
      </c>
      <c r="R247">
        <f>O247+P247-Q247</f>
        <v/>
      </c>
      <c r="S247">
        <f>MIN(R247,MAX(0,$B247-((E$5&lt;Q$5)*F247+(K$5&lt;Q$5)*L247+(W$5&lt;Q$5)*X247+(AC$5&lt;Q$5)*AD247+(AI$5&lt;Q$5)*AJ247+(AO$5&lt;Q$5)*AP247+(AU$5&lt;Q$5)*AV247)))</f>
        <v/>
      </c>
      <c r="T247">
        <f>IF(R247-S247&lt;0.005,0,R247-S247)</f>
        <v/>
      </c>
      <c r="U247">
        <f>Z246</f>
        <v/>
      </c>
      <c r="V247">
        <f>U247*Plan!D9/100/12</f>
        <v/>
      </c>
      <c r="W247">
        <f>MIN(Plan!E9,U247+V247)</f>
        <v/>
      </c>
      <c r="X247">
        <f>U247+V247-W247</f>
        <v/>
      </c>
      <c r="Y247">
        <f>MIN(X247,MAX(0,$B247-((E$5&lt;W$5)*F247+(K$5&lt;W$5)*L247+(Q$5&lt;W$5)*R247+(AC$5&lt;W$5)*AD247+(AI$5&lt;W$5)*AJ247+(AO$5&lt;W$5)*AP247+(AU$5&lt;W$5)*AV247)))</f>
        <v/>
      </c>
      <c r="Z247">
        <f>IF(X247-Y247&lt;0.005,0,X247-Y247)</f>
        <v/>
      </c>
      <c r="AA247">
        <f>AF246</f>
        <v/>
      </c>
      <c r="AB247">
        <f>AA247*Plan!D10/100/12</f>
        <v/>
      </c>
      <c r="AC247">
        <f>MIN(Plan!E10,AA247+AB247)</f>
        <v/>
      </c>
      <c r="AD247">
        <f>AA247+AB247-AC247</f>
        <v/>
      </c>
      <c r="AE247">
        <f>MIN(AD247,MAX(0,$B247-((E$5&lt;AC$5)*F247+(K$5&lt;AC$5)*L247+(Q$5&lt;AC$5)*R247+(W$5&lt;AC$5)*X247+(AI$5&lt;AC$5)*AJ247+(AO$5&lt;AC$5)*AP247+(AU$5&lt;AC$5)*AV247)))</f>
        <v/>
      </c>
      <c r="AF247">
        <f>IF(AD247-AE247&lt;0.005,0,AD247-AE247)</f>
        <v/>
      </c>
      <c r="AG247">
        <f>AL246</f>
        <v/>
      </c>
      <c r="AH247">
        <f>AG247*Plan!D11/100/12</f>
        <v/>
      </c>
      <c r="AI247">
        <f>MIN(Plan!E11,AG247+AH247)</f>
        <v/>
      </c>
      <c r="AJ247">
        <f>AG247+AH247-AI247</f>
        <v/>
      </c>
      <c r="AK247">
        <f>MIN(AJ247,MAX(0,$B247-((E$5&lt;AI$5)*F247+(K$5&lt;AI$5)*L247+(Q$5&lt;AI$5)*R247+(W$5&lt;AI$5)*X247+(AC$5&lt;AI$5)*AD247+(AO$5&lt;AI$5)*AP247+(AU$5&lt;AI$5)*AV247)))</f>
        <v/>
      </c>
      <c r="AL247">
        <f>IF(AJ247-AK247&lt;0.005,0,AJ247-AK247)</f>
        <v/>
      </c>
      <c r="AM247">
        <f>AR246</f>
        <v/>
      </c>
      <c r="AN247">
        <f>AM247*Plan!D12/100/12</f>
        <v/>
      </c>
      <c r="AO247">
        <f>MIN(Plan!E12,AM247+AN247)</f>
        <v/>
      </c>
      <c r="AP247">
        <f>AM247+AN247-AO247</f>
        <v/>
      </c>
      <c r="AQ247">
        <f>MIN(AP247,MAX(0,$B247-((E$5&lt;AO$5)*F247+(K$5&lt;AO$5)*L247+(Q$5&lt;AO$5)*R247+(W$5&lt;AO$5)*X247+(AC$5&lt;AO$5)*AD247+(AI$5&lt;AO$5)*AJ247+(AU$5&lt;AO$5)*AV247)))</f>
        <v/>
      </c>
      <c r="AR247">
        <f>IF(AP247-AQ247&lt;0.005,0,AP247-AQ247)</f>
        <v/>
      </c>
      <c r="AS247">
        <f>AX246</f>
        <v/>
      </c>
      <c r="AT247">
        <f>AS247*Plan!D13/100/12</f>
        <v/>
      </c>
      <c r="AU247">
        <f>MIN(Plan!E13,AS247+AT247)</f>
        <v/>
      </c>
      <c r="AV247">
        <f>AS247+AT247-AU247</f>
        <v/>
      </c>
      <c r="AW247">
        <f>MIN(AV247,MAX(0,$B247-((E$5&lt;AU$5)*F247+(K$5&lt;AU$5)*L247+(Q$5&lt;AU$5)*R247+(W$5&lt;AU$5)*X247+(AC$5&lt;AU$5)*AD247+(AI$5&lt;AU$5)*AJ247+(AO$5&lt;AU$5)*AP247)))</f>
        <v/>
      </c>
      <c r="AX247">
        <f>IF(AV247-AW247&lt;0.005,0,AV247-AW247)</f>
        <v/>
      </c>
      <c r="BC247">
        <f>H247+N247+T247+Z247+AF247+AL247+AR247+AX247</f>
        <v/>
      </c>
    </row>
    <row r="248">
      <c r="A248" t="n">
        <v>242</v>
      </c>
      <c r="B248" s="19">
        <f>MAX(0,$B$3-(E248+K248+Q248+W248+AC248+AI248+AO248+AU248))</f>
        <v/>
      </c>
      <c r="C248">
        <f>H247</f>
        <v/>
      </c>
      <c r="D248">
        <f>C248*Plan!D6/100/12</f>
        <v/>
      </c>
      <c r="E248">
        <f>MIN(Plan!E6,C248+D248)</f>
        <v/>
      </c>
      <c r="F248">
        <f>C248+D248-E248</f>
        <v/>
      </c>
      <c r="G248">
        <f>MIN(F248,MAX(0,$B248-((K$5&lt;E$5)*L248+(Q$5&lt;E$5)*R248+(W$5&lt;E$5)*X248+(AC$5&lt;E$5)*AD248+(AI$5&lt;E$5)*AJ248+(AO$5&lt;E$5)*AP248+(AU$5&lt;E$5)*AV248)))</f>
        <v/>
      </c>
      <c r="H248">
        <f>IF(F248-G248&lt;0.005,0,F248-G248)</f>
        <v/>
      </c>
      <c r="I248">
        <f>N247</f>
        <v/>
      </c>
      <c r="J248">
        <f>I248*Plan!D7/100/12</f>
        <v/>
      </c>
      <c r="K248">
        <f>MIN(Plan!E7,I248+J248)</f>
        <v/>
      </c>
      <c r="L248">
        <f>I248+J248-K248</f>
        <v/>
      </c>
      <c r="M248">
        <f>MIN(L248,MAX(0,$B248-((E$5&lt;K$5)*F248+(Q$5&lt;K$5)*R248+(W$5&lt;K$5)*X248+(AC$5&lt;K$5)*AD248+(AI$5&lt;K$5)*AJ248+(AO$5&lt;K$5)*AP248+(AU$5&lt;K$5)*AV248)))</f>
        <v/>
      </c>
      <c r="N248">
        <f>IF(L248-M248&lt;0.005,0,L248-M248)</f>
        <v/>
      </c>
      <c r="O248">
        <f>T247</f>
        <v/>
      </c>
      <c r="P248">
        <f>O248*Plan!D8/100/12</f>
        <v/>
      </c>
      <c r="Q248">
        <f>MIN(Plan!E8,O248+P248)</f>
        <v/>
      </c>
      <c r="R248">
        <f>O248+P248-Q248</f>
        <v/>
      </c>
      <c r="S248">
        <f>MIN(R248,MAX(0,$B248-((E$5&lt;Q$5)*F248+(K$5&lt;Q$5)*L248+(W$5&lt;Q$5)*X248+(AC$5&lt;Q$5)*AD248+(AI$5&lt;Q$5)*AJ248+(AO$5&lt;Q$5)*AP248+(AU$5&lt;Q$5)*AV248)))</f>
        <v/>
      </c>
      <c r="T248">
        <f>IF(R248-S248&lt;0.005,0,R248-S248)</f>
        <v/>
      </c>
      <c r="U248">
        <f>Z247</f>
        <v/>
      </c>
      <c r="V248">
        <f>U248*Plan!D9/100/12</f>
        <v/>
      </c>
      <c r="W248">
        <f>MIN(Plan!E9,U248+V248)</f>
        <v/>
      </c>
      <c r="X248">
        <f>U248+V248-W248</f>
        <v/>
      </c>
      <c r="Y248">
        <f>MIN(X248,MAX(0,$B248-((E$5&lt;W$5)*F248+(K$5&lt;W$5)*L248+(Q$5&lt;W$5)*R248+(AC$5&lt;W$5)*AD248+(AI$5&lt;W$5)*AJ248+(AO$5&lt;W$5)*AP248+(AU$5&lt;W$5)*AV248)))</f>
        <v/>
      </c>
      <c r="Z248">
        <f>IF(X248-Y248&lt;0.005,0,X248-Y248)</f>
        <v/>
      </c>
      <c r="AA248">
        <f>AF247</f>
        <v/>
      </c>
      <c r="AB248">
        <f>AA248*Plan!D10/100/12</f>
        <v/>
      </c>
      <c r="AC248">
        <f>MIN(Plan!E10,AA248+AB248)</f>
        <v/>
      </c>
      <c r="AD248">
        <f>AA248+AB248-AC248</f>
        <v/>
      </c>
      <c r="AE248">
        <f>MIN(AD248,MAX(0,$B248-((E$5&lt;AC$5)*F248+(K$5&lt;AC$5)*L248+(Q$5&lt;AC$5)*R248+(W$5&lt;AC$5)*X248+(AI$5&lt;AC$5)*AJ248+(AO$5&lt;AC$5)*AP248+(AU$5&lt;AC$5)*AV248)))</f>
        <v/>
      </c>
      <c r="AF248">
        <f>IF(AD248-AE248&lt;0.005,0,AD248-AE248)</f>
        <v/>
      </c>
      <c r="AG248">
        <f>AL247</f>
        <v/>
      </c>
      <c r="AH248">
        <f>AG248*Plan!D11/100/12</f>
        <v/>
      </c>
      <c r="AI248">
        <f>MIN(Plan!E11,AG248+AH248)</f>
        <v/>
      </c>
      <c r="AJ248">
        <f>AG248+AH248-AI248</f>
        <v/>
      </c>
      <c r="AK248">
        <f>MIN(AJ248,MAX(0,$B248-((E$5&lt;AI$5)*F248+(K$5&lt;AI$5)*L248+(Q$5&lt;AI$5)*R248+(W$5&lt;AI$5)*X248+(AC$5&lt;AI$5)*AD248+(AO$5&lt;AI$5)*AP248+(AU$5&lt;AI$5)*AV248)))</f>
        <v/>
      </c>
      <c r="AL248">
        <f>IF(AJ248-AK248&lt;0.005,0,AJ248-AK248)</f>
        <v/>
      </c>
      <c r="AM248">
        <f>AR247</f>
        <v/>
      </c>
      <c r="AN248">
        <f>AM248*Plan!D12/100/12</f>
        <v/>
      </c>
      <c r="AO248">
        <f>MIN(Plan!E12,AM248+AN248)</f>
        <v/>
      </c>
      <c r="AP248">
        <f>AM248+AN248-AO248</f>
        <v/>
      </c>
      <c r="AQ248">
        <f>MIN(AP248,MAX(0,$B248-((E$5&lt;AO$5)*F248+(K$5&lt;AO$5)*L248+(Q$5&lt;AO$5)*R248+(W$5&lt;AO$5)*X248+(AC$5&lt;AO$5)*AD248+(AI$5&lt;AO$5)*AJ248+(AU$5&lt;AO$5)*AV248)))</f>
        <v/>
      </c>
      <c r="AR248">
        <f>IF(AP248-AQ248&lt;0.005,0,AP248-AQ248)</f>
        <v/>
      </c>
      <c r="AS248">
        <f>AX247</f>
        <v/>
      </c>
      <c r="AT248">
        <f>AS248*Plan!D13/100/12</f>
        <v/>
      </c>
      <c r="AU248">
        <f>MIN(Plan!E13,AS248+AT248)</f>
        <v/>
      </c>
      <c r="AV248">
        <f>AS248+AT248-AU248</f>
        <v/>
      </c>
      <c r="AW248">
        <f>MIN(AV248,MAX(0,$B248-((E$5&lt;AU$5)*F248+(K$5&lt;AU$5)*L248+(Q$5&lt;AU$5)*R248+(W$5&lt;AU$5)*X248+(AC$5&lt;AU$5)*AD248+(AI$5&lt;AU$5)*AJ248+(AO$5&lt;AU$5)*AP248)))</f>
        <v/>
      </c>
      <c r="AX248">
        <f>IF(AV248-AW248&lt;0.005,0,AV248-AW248)</f>
        <v/>
      </c>
      <c r="BC248">
        <f>H248+N248+T248+Z248+AF248+AL248+AR248+AX248</f>
        <v/>
      </c>
    </row>
    <row r="249">
      <c r="A249" t="n">
        <v>243</v>
      </c>
      <c r="B249" s="19">
        <f>MAX(0,$B$3-(E249+K249+Q249+W249+AC249+AI249+AO249+AU249))</f>
        <v/>
      </c>
      <c r="C249">
        <f>H248</f>
        <v/>
      </c>
      <c r="D249">
        <f>C249*Plan!D6/100/12</f>
        <v/>
      </c>
      <c r="E249">
        <f>MIN(Plan!E6,C249+D249)</f>
        <v/>
      </c>
      <c r="F249">
        <f>C249+D249-E249</f>
        <v/>
      </c>
      <c r="G249">
        <f>MIN(F249,MAX(0,$B249-((K$5&lt;E$5)*L249+(Q$5&lt;E$5)*R249+(W$5&lt;E$5)*X249+(AC$5&lt;E$5)*AD249+(AI$5&lt;E$5)*AJ249+(AO$5&lt;E$5)*AP249+(AU$5&lt;E$5)*AV249)))</f>
        <v/>
      </c>
      <c r="H249">
        <f>IF(F249-G249&lt;0.005,0,F249-G249)</f>
        <v/>
      </c>
      <c r="I249">
        <f>N248</f>
        <v/>
      </c>
      <c r="J249">
        <f>I249*Plan!D7/100/12</f>
        <v/>
      </c>
      <c r="K249">
        <f>MIN(Plan!E7,I249+J249)</f>
        <v/>
      </c>
      <c r="L249">
        <f>I249+J249-K249</f>
        <v/>
      </c>
      <c r="M249">
        <f>MIN(L249,MAX(0,$B249-((E$5&lt;K$5)*F249+(Q$5&lt;K$5)*R249+(W$5&lt;K$5)*X249+(AC$5&lt;K$5)*AD249+(AI$5&lt;K$5)*AJ249+(AO$5&lt;K$5)*AP249+(AU$5&lt;K$5)*AV249)))</f>
        <v/>
      </c>
      <c r="N249">
        <f>IF(L249-M249&lt;0.005,0,L249-M249)</f>
        <v/>
      </c>
      <c r="O249">
        <f>T248</f>
        <v/>
      </c>
      <c r="P249">
        <f>O249*Plan!D8/100/12</f>
        <v/>
      </c>
      <c r="Q249">
        <f>MIN(Plan!E8,O249+P249)</f>
        <v/>
      </c>
      <c r="R249">
        <f>O249+P249-Q249</f>
        <v/>
      </c>
      <c r="S249">
        <f>MIN(R249,MAX(0,$B249-((E$5&lt;Q$5)*F249+(K$5&lt;Q$5)*L249+(W$5&lt;Q$5)*X249+(AC$5&lt;Q$5)*AD249+(AI$5&lt;Q$5)*AJ249+(AO$5&lt;Q$5)*AP249+(AU$5&lt;Q$5)*AV249)))</f>
        <v/>
      </c>
      <c r="T249">
        <f>IF(R249-S249&lt;0.005,0,R249-S249)</f>
        <v/>
      </c>
      <c r="U249">
        <f>Z248</f>
        <v/>
      </c>
      <c r="V249">
        <f>U249*Plan!D9/100/12</f>
        <v/>
      </c>
      <c r="W249">
        <f>MIN(Plan!E9,U249+V249)</f>
        <v/>
      </c>
      <c r="X249">
        <f>U249+V249-W249</f>
        <v/>
      </c>
      <c r="Y249">
        <f>MIN(X249,MAX(0,$B249-((E$5&lt;W$5)*F249+(K$5&lt;W$5)*L249+(Q$5&lt;W$5)*R249+(AC$5&lt;W$5)*AD249+(AI$5&lt;W$5)*AJ249+(AO$5&lt;W$5)*AP249+(AU$5&lt;W$5)*AV249)))</f>
        <v/>
      </c>
      <c r="Z249">
        <f>IF(X249-Y249&lt;0.005,0,X249-Y249)</f>
        <v/>
      </c>
      <c r="AA249">
        <f>AF248</f>
        <v/>
      </c>
      <c r="AB249">
        <f>AA249*Plan!D10/100/12</f>
        <v/>
      </c>
      <c r="AC249">
        <f>MIN(Plan!E10,AA249+AB249)</f>
        <v/>
      </c>
      <c r="AD249">
        <f>AA249+AB249-AC249</f>
        <v/>
      </c>
      <c r="AE249">
        <f>MIN(AD249,MAX(0,$B249-((E$5&lt;AC$5)*F249+(K$5&lt;AC$5)*L249+(Q$5&lt;AC$5)*R249+(W$5&lt;AC$5)*X249+(AI$5&lt;AC$5)*AJ249+(AO$5&lt;AC$5)*AP249+(AU$5&lt;AC$5)*AV249)))</f>
        <v/>
      </c>
      <c r="AF249">
        <f>IF(AD249-AE249&lt;0.005,0,AD249-AE249)</f>
        <v/>
      </c>
      <c r="AG249">
        <f>AL248</f>
        <v/>
      </c>
      <c r="AH249">
        <f>AG249*Plan!D11/100/12</f>
        <v/>
      </c>
      <c r="AI249">
        <f>MIN(Plan!E11,AG249+AH249)</f>
        <v/>
      </c>
      <c r="AJ249">
        <f>AG249+AH249-AI249</f>
        <v/>
      </c>
      <c r="AK249">
        <f>MIN(AJ249,MAX(0,$B249-((E$5&lt;AI$5)*F249+(K$5&lt;AI$5)*L249+(Q$5&lt;AI$5)*R249+(W$5&lt;AI$5)*X249+(AC$5&lt;AI$5)*AD249+(AO$5&lt;AI$5)*AP249+(AU$5&lt;AI$5)*AV249)))</f>
        <v/>
      </c>
      <c r="AL249">
        <f>IF(AJ249-AK249&lt;0.005,0,AJ249-AK249)</f>
        <v/>
      </c>
      <c r="AM249">
        <f>AR248</f>
        <v/>
      </c>
      <c r="AN249">
        <f>AM249*Plan!D12/100/12</f>
        <v/>
      </c>
      <c r="AO249">
        <f>MIN(Plan!E12,AM249+AN249)</f>
        <v/>
      </c>
      <c r="AP249">
        <f>AM249+AN249-AO249</f>
        <v/>
      </c>
      <c r="AQ249">
        <f>MIN(AP249,MAX(0,$B249-((E$5&lt;AO$5)*F249+(K$5&lt;AO$5)*L249+(Q$5&lt;AO$5)*R249+(W$5&lt;AO$5)*X249+(AC$5&lt;AO$5)*AD249+(AI$5&lt;AO$5)*AJ249+(AU$5&lt;AO$5)*AV249)))</f>
        <v/>
      </c>
      <c r="AR249">
        <f>IF(AP249-AQ249&lt;0.005,0,AP249-AQ249)</f>
        <v/>
      </c>
      <c r="AS249">
        <f>AX248</f>
        <v/>
      </c>
      <c r="AT249">
        <f>AS249*Plan!D13/100/12</f>
        <v/>
      </c>
      <c r="AU249">
        <f>MIN(Plan!E13,AS249+AT249)</f>
        <v/>
      </c>
      <c r="AV249">
        <f>AS249+AT249-AU249</f>
        <v/>
      </c>
      <c r="AW249">
        <f>MIN(AV249,MAX(0,$B249-((E$5&lt;AU$5)*F249+(K$5&lt;AU$5)*L249+(Q$5&lt;AU$5)*R249+(W$5&lt;AU$5)*X249+(AC$5&lt;AU$5)*AD249+(AI$5&lt;AU$5)*AJ249+(AO$5&lt;AU$5)*AP249)))</f>
        <v/>
      </c>
      <c r="AX249">
        <f>IF(AV249-AW249&lt;0.005,0,AV249-AW249)</f>
        <v/>
      </c>
      <c r="BC249">
        <f>H249+N249+T249+Z249+AF249+AL249+AR249+AX249</f>
        <v/>
      </c>
    </row>
    <row r="250">
      <c r="A250" t="n">
        <v>244</v>
      </c>
      <c r="B250" s="19">
        <f>MAX(0,$B$3-(E250+K250+Q250+W250+AC250+AI250+AO250+AU250))</f>
        <v/>
      </c>
      <c r="C250">
        <f>H249</f>
        <v/>
      </c>
      <c r="D250">
        <f>C250*Plan!D6/100/12</f>
        <v/>
      </c>
      <c r="E250">
        <f>MIN(Plan!E6,C250+D250)</f>
        <v/>
      </c>
      <c r="F250">
        <f>C250+D250-E250</f>
        <v/>
      </c>
      <c r="G250">
        <f>MIN(F250,MAX(0,$B250-((K$5&lt;E$5)*L250+(Q$5&lt;E$5)*R250+(W$5&lt;E$5)*X250+(AC$5&lt;E$5)*AD250+(AI$5&lt;E$5)*AJ250+(AO$5&lt;E$5)*AP250+(AU$5&lt;E$5)*AV250)))</f>
        <v/>
      </c>
      <c r="H250">
        <f>IF(F250-G250&lt;0.005,0,F250-G250)</f>
        <v/>
      </c>
      <c r="I250">
        <f>N249</f>
        <v/>
      </c>
      <c r="J250">
        <f>I250*Plan!D7/100/12</f>
        <v/>
      </c>
      <c r="K250">
        <f>MIN(Plan!E7,I250+J250)</f>
        <v/>
      </c>
      <c r="L250">
        <f>I250+J250-K250</f>
        <v/>
      </c>
      <c r="M250">
        <f>MIN(L250,MAX(0,$B250-((E$5&lt;K$5)*F250+(Q$5&lt;K$5)*R250+(W$5&lt;K$5)*X250+(AC$5&lt;K$5)*AD250+(AI$5&lt;K$5)*AJ250+(AO$5&lt;K$5)*AP250+(AU$5&lt;K$5)*AV250)))</f>
        <v/>
      </c>
      <c r="N250">
        <f>IF(L250-M250&lt;0.005,0,L250-M250)</f>
        <v/>
      </c>
      <c r="O250">
        <f>T249</f>
        <v/>
      </c>
      <c r="P250">
        <f>O250*Plan!D8/100/12</f>
        <v/>
      </c>
      <c r="Q250">
        <f>MIN(Plan!E8,O250+P250)</f>
        <v/>
      </c>
      <c r="R250">
        <f>O250+P250-Q250</f>
        <v/>
      </c>
      <c r="S250">
        <f>MIN(R250,MAX(0,$B250-((E$5&lt;Q$5)*F250+(K$5&lt;Q$5)*L250+(W$5&lt;Q$5)*X250+(AC$5&lt;Q$5)*AD250+(AI$5&lt;Q$5)*AJ250+(AO$5&lt;Q$5)*AP250+(AU$5&lt;Q$5)*AV250)))</f>
        <v/>
      </c>
      <c r="T250">
        <f>IF(R250-S250&lt;0.005,0,R250-S250)</f>
        <v/>
      </c>
      <c r="U250">
        <f>Z249</f>
        <v/>
      </c>
      <c r="V250">
        <f>U250*Plan!D9/100/12</f>
        <v/>
      </c>
      <c r="W250">
        <f>MIN(Plan!E9,U250+V250)</f>
        <v/>
      </c>
      <c r="X250">
        <f>U250+V250-W250</f>
        <v/>
      </c>
      <c r="Y250">
        <f>MIN(X250,MAX(0,$B250-((E$5&lt;W$5)*F250+(K$5&lt;W$5)*L250+(Q$5&lt;W$5)*R250+(AC$5&lt;W$5)*AD250+(AI$5&lt;W$5)*AJ250+(AO$5&lt;W$5)*AP250+(AU$5&lt;W$5)*AV250)))</f>
        <v/>
      </c>
      <c r="Z250">
        <f>IF(X250-Y250&lt;0.005,0,X250-Y250)</f>
        <v/>
      </c>
      <c r="AA250">
        <f>AF249</f>
        <v/>
      </c>
      <c r="AB250">
        <f>AA250*Plan!D10/100/12</f>
        <v/>
      </c>
      <c r="AC250">
        <f>MIN(Plan!E10,AA250+AB250)</f>
        <v/>
      </c>
      <c r="AD250">
        <f>AA250+AB250-AC250</f>
        <v/>
      </c>
      <c r="AE250">
        <f>MIN(AD250,MAX(0,$B250-((E$5&lt;AC$5)*F250+(K$5&lt;AC$5)*L250+(Q$5&lt;AC$5)*R250+(W$5&lt;AC$5)*X250+(AI$5&lt;AC$5)*AJ250+(AO$5&lt;AC$5)*AP250+(AU$5&lt;AC$5)*AV250)))</f>
        <v/>
      </c>
      <c r="AF250">
        <f>IF(AD250-AE250&lt;0.005,0,AD250-AE250)</f>
        <v/>
      </c>
      <c r="AG250">
        <f>AL249</f>
        <v/>
      </c>
      <c r="AH250">
        <f>AG250*Plan!D11/100/12</f>
        <v/>
      </c>
      <c r="AI250">
        <f>MIN(Plan!E11,AG250+AH250)</f>
        <v/>
      </c>
      <c r="AJ250">
        <f>AG250+AH250-AI250</f>
        <v/>
      </c>
      <c r="AK250">
        <f>MIN(AJ250,MAX(0,$B250-((E$5&lt;AI$5)*F250+(K$5&lt;AI$5)*L250+(Q$5&lt;AI$5)*R250+(W$5&lt;AI$5)*X250+(AC$5&lt;AI$5)*AD250+(AO$5&lt;AI$5)*AP250+(AU$5&lt;AI$5)*AV250)))</f>
        <v/>
      </c>
      <c r="AL250">
        <f>IF(AJ250-AK250&lt;0.005,0,AJ250-AK250)</f>
        <v/>
      </c>
      <c r="AM250">
        <f>AR249</f>
        <v/>
      </c>
      <c r="AN250">
        <f>AM250*Plan!D12/100/12</f>
        <v/>
      </c>
      <c r="AO250">
        <f>MIN(Plan!E12,AM250+AN250)</f>
        <v/>
      </c>
      <c r="AP250">
        <f>AM250+AN250-AO250</f>
        <v/>
      </c>
      <c r="AQ250">
        <f>MIN(AP250,MAX(0,$B250-((E$5&lt;AO$5)*F250+(K$5&lt;AO$5)*L250+(Q$5&lt;AO$5)*R250+(W$5&lt;AO$5)*X250+(AC$5&lt;AO$5)*AD250+(AI$5&lt;AO$5)*AJ250+(AU$5&lt;AO$5)*AV250)))</f>
        <v/>
      </c>
      <c r="AR250">
        <f>IF(AP250-AQ250&lt;0.005,0,AP250-AQ250)</f>
        <v/>
      </c>
      <c r="AS250">
        <f>AX249</f>
        <v/>
      </c>
      <c r="AT250">
        <f>AS250*Plan!D13/100/12</f>
        <v/>
      </c>
      <c r="AU250">
        <f>MIN(Plan!E13,AS250+AT250)</f>
        <v/>
      </c>
      <c r="AV250">
        <f>AS250+AT250-AU250</f>
        <v/>
      </c>
      <c r="AW250">
        <f>MIN(AV250,MAX(0,$B250-((E$5&lt;AU$5)*F250+(K$5&lt;AU$5)*L250+(Q$5&lt;AU$5)*R250+(W$5&lt;AU$5)*X250+(AC$5&lt;AU$5)*AD250+(AI$5&lt;AU$5)*AJ250+(AO$5&lt;AU$5)*AP250)))</f>
        <v/>
      </c>
      <c r="AX250">
        <f>IF(AV250-AW250&lt;0.005,0,AV250-AW250)</f>
        <v/>
      </c>
      <c r="BC250">
        <f>H250+N250+T250+Z250+AF250+AL250+AR250+AX250</f>
        <v/>
      </c>
    </row>
    <row r="251">
      <c r="A251" t="n">
        <v>245</v>
      </c>
      <c r="B251" s="19">
        <f>MAX(0,$B$3-(E251+K251+Q251+W251+AC251+AI251+AO251+AU251))</f>
        <v/>
      </c>
      <c r="C251">
        <f>H250</f>
        <v/>
      </c>
      <c r="D251">
        <f>C251*Plan!D6/100/12</f>
        <v/>
      </c>
      <c r="E251">
        <f>MIN(Plan!E6,C251+D251)</f>
        <v/>
      </c>
      <c r="F251">
        <f>C251+D251-E251</f>
        <v/>
      </c>
      <c r="G251">
        <f>MIN(F251,MAX(0,$B251-((K$5&lt;E$5)*L251+(Q$5&lt;E$5)*R251+(W$5&lt;E$5)*X251+(AC$5&lt;E$5)*AD251+(AI$5&lt;E$5)*AJ251+(AO$5&lt;E$5)*AP251+(AU$5&lt;E$5)*AV251)))</f>
        <v/>
      </c>
      <c r="H251">
        <f>IF(F251-G251&lt;0.005,0,F251-G251)</f>
        <v/>
      </c>
      <c r="I251">
        <f>N250</f>
        <v/>
      </c>
      <c r="J251">
        <f>I251*Plan!D7/100/12</f>
        <v/>
      </c>
      <c r="K251">
        <f>MIN(Plan!E7,I251+J251)</f>
        <v/>
      </c>
      <c r="L251">
        <f>I251+J251-K251</f>
        <v/>
      </c>
      <c r="M251">
        <f>MIN(L251,MAX(0,$B251-((E$5&lt;K$5)*F251+(Q$5&lt;K$5)*R251+(W$5&lt;K$5)*X251+(AC$5&lt;K$5)*AD251+(AI$5&lt;K$5)*AJ251+(AO$5&lt;K$5)*AP251+(AU$5&lt;K$5)*AV251)))</f>
        <v/>
      </c>
      <c r="N251">
        <f>IF(L251-M251&lt;0.005,0,L251-M251)</f>
        <v/>
      </c>
      <c r="O251">
        <f>T250</f>
        <v/>
      </c>
      <c r="P251">
        <f>O251*Plan!D8/100/12</f>
        <v/>
      </c>
      <c r="Q251">
        <f>MIN(Plan!E8,O251+P251)</f>
        <v/>
      </c>
      <c r="R251">
        <f>O251+P251-Q251</f>
        <v/>
      </c>
      <c r="S251">
        <f>MIN(R251,MAX(0,$B251-((E$5&lt;Q$5)*F251+(K$5&lt;Q$5)*L251+(W$5&lt;Q$5)*X251+(AC$5&lt;Q$5)*AD251+(AI$5&lt;Q$5)*AJ251+(AO$5&lt;Q$5)*AP251+(AU$5&lt;Q$5)*AV251)))</f>
        <v/>
      </c>
      <c r="T251">
        <f>IF(R251-S251&lt;0.005,0,R251-S251)</f>
        <v/>
      </c>
      <c r="U251">
        <f>Z250</f>
        <v/>
      </c>
      <c r="V251">
        <f>U251*Plan!D9/100/12</f>
        <v/>
      </c>
      <c r="W251">
        <f>MIN(Plan!E9,U251+V251)</f>
        <v/>
      </c>
      <c r="X251">
        <f>U251+V251-W251</f>
        <v/>
      </c>
      <c r="Y251">
        <f>MIN(X251,MAX(0,$B251-((E$5&lt;W$5)*F251+(K$5&lt;W$5)*L251+(Q$5&lt;W$5)*R251+(AC$5&lt;W$5)*AD251+(AI$5&lt;W$5)*AJ251+(AO$5&lt;W$5)*AP251+(AU$5&lt;W$5)*AV251)))</f>
        <v/>
      </c>
      <c r="Z251">
        <f>IF(X251-Y251&lt;0.005,0,X251-Y251)</f>
        <v/>
      </c>
      <c r="AA251">
        <f>AF250</f>
        <v/>
      </c>
      <c r="AB251">
        <f>AA251*Plan!D10/100/12</f>
        <v/>
      </c>
      <c r="AC251">
        <f>MIN(Plan!E10,AA251+AB251)</f>
        <v/>
      </c>
      <c r="AD251">
        <f>AA251+AB251-AC251</f>
        <v/>
      </c>
      <c r="AE251">
        <f>MIN(AD251,MAX(0,$B251-((E$5&lt;AC$5)*F251+(K$5&lt;AC$5)*L251+(Q$5&lt;AC$5)*R251+(W$5&lt;AC$5)*X251+(AI$5&lt;AC$5)*AJ251+(AO$5&lt;AC$5)*AP251+(AU$5&lt;AC$5)*AV251)))</f>
        <v/>
      </c>
      <c r="AF251">
        <f>IF(AD251-AE251&lt;0.005,0,AD251-AE251)</f>
        <v/>
      </c>
      <c r="AG251">
        <f>AL250</f>
        <v/>
      </c>
      <c r="AH251">
        <f>AG251*Plan!D11/100/12</f>
        <v/>
      </c>
      <c r="AI251">
        <f>MIN(Plan!E11,AG251+AH251)</f>
        <v/>
      </c>
      <c r="AJ251">
        <f>AG251+AH251-AI251</f>
        <v/>
      </c>
      <c r="AK251">
        <f>MIN(AJ251,MAX(0,$B251-((E$5&lt;AI$5)*F251+(K$5&lt;AI$5)*L251+(Q$5&lt;AI$5)*R251+(W$5&lt;AI$5)*X251+(AC$5&lt;AI$5)*AD251+(AO$5&lt;AI$5)*AP251+(AU$5&lt;AI$5)*AV251)))</f>
        <v/>
      </c>
      <c r="AL251">
        <f>IF(AJ251-AK251&lt;0.005,0,AJ251-AK251)</f>
        <v/>
      </c>
      <c r="AM251">
        <f>AR250</f>
        <v/>
      </c>
      <c r="AN251">
        <f>AM251*Plan!D12/100/12</f>
        <v/>
      </c>
      <c r="AO251">
        <f>MIN(Plan!E12,AM251+AN251)</f>
        <v/>
      </c>
      <c r="AP251">
        <f>AM251+AN251-AO251</f>
        <v/>
      </c>
      <c r="AQ251">
        <f>MIN(AP251,MAX(0,$B251-((E$5&lt;AO$5)*F251+(K$5&lt;AO$5)*L251+(Q$5&lt;AO$5)*R251+(W$5&lt;AO$5)*X251+(AC$5&lt;AO$5)*AD251+(AI$5&lt;AO$5)*AJ251+(AU$5&lt;AO$5)*AV251)))</f>
        <v/>
      </c>
      <c r="AR251">
        <f>IF(AP251-AQ251&lt;0.005,0,AP251-AQ251)</f>
        <v/>
      </c>
      <c r="AS251">
        <f>AX250</f>
        <v/>
      </c>
      <c r="AT251">
        <f>AS251*Plan!D13/100/12</f>
        <v/>
      </c>
      <c r="AU251">
        <f>MIN(Plan!E13,AS251+AT251)</f>
        <v/>
      </c>
      <c r="AV251">
        <f>AS251+AT251-AU251</f>
        <v/>
      </c>
      <c r="AW251">
        <f>MIN(AV251,MAX(0,$B251-((E$5&lt;AU$5)*F251+(K$5&lt;AU$5)*L251+(Q$5&lt;AU$5)*R251+(W$5&lt;AU$5)*X251+(AC$5&lt;AU$5)*AD251+(AI$5&lt;AU$5)*AJ251+(AO$5&lt;AU$5)*AP251)))</f>
        <v/>
      </c>
      <c r="AX251">
        <f>IF(AV251-AW251&lt;0.005,0,AV251-AW251)</f>
        <v/>
      </c>
      <c r="BC251">
        <f>H251+N251+T251+Z251+AF251+AL251+AR251+AX251</f>
        <v/>
      </c>
    </row>
    <row r="252">
      <c r="A252" t="n">
        <v>246</v>
      </c>
      <c r="B252" s="19">
        <f>MAX(0,$B$3-(E252+K252+Q252+W252+AC252+AI252+AO252+AU252))</f>
        <v/>
      </c>
      <c r="C252">
        <f>H251</f>
        <v/>
      </c>
      <c r="D252">
        <f>C252*Plan!D6/100/12</f>
        <v/>
      </c>
      <c r="E252">
        <f>MIN(Plan!E6,C252+D252)</f>
        <v/>
      </c>
      <c r="F252">
        <f>C252+D252-E252</f>
        <v/>
      </c>
      <c r="G252">
        <f>MIN(F252,MAX(0,$B252-((K$5&lt;E$5)*L252+(Q$5&lt;E$5)*R252+(W$5&lt;E$5)*X252+(AC$5&lt;E$5)*AD252+(AI$5&lt;E$5)*AJ252+(AO$5&lt;E$5)*AP252+(AU$5&lt;E$5)*AV252)))</f>
        <v/>
      </c>
      <c r="H252">
        <f>IF(F252-G252&lt;0.005,0,F252-G252)</f>
        <v/>
      </c>
      <c r="I252">
        <f>N251</f>
        <v/>
      </c>
      <c r="J252">
        <f>I252*Plan!D7/100/12</f>
        <v/>
      </c>
      <c r="K252">
        <f>MIN(Plan!E7,I252+J252)</f>
        <v/>
      </c>
      <c r="L252">
        <f>I252+J252-K252</f>
        <v/>
      </c>
      <c r="M252">
        <f>MIN(L252,MAX(0,$B252-((E$5&lt;K$5)*F252+(Q$5&lt;K$5)*R252+(W$5&lt;K$5)*X252+(AC$5&lt;K$5)*AD252+(AI$5&lt;K$5)*AJ252+(AO$5&lt;K$5)*AP252+(AU$5&lt;K$5)*AV252)))</f>
        <v/>
      </c>
      <c r="N252">
        <f>IF(L252-M252&lt;0.005,0,L252-M252)</f>
        <v/>
      </c>
      <c r="O252">
        <f>T251</f>
        <v/>
      </c>
      <c r="P252">
        <f>O252*Plan!D8/100/12</f>
        <v/>
      </c>
      <c r="Q252">
        <f>MIN(Plan!E8,O252+P252)</f>
        <v/>
      </c>
      <c r="R252">
        <f>O252+P252-Q252</f>
        <v/>
      </c>
      <c r="S252">
        <f>MIN(R252,MAX(0,$B252-((E$5&lt;Q$5)*F252+(K$5&lt;Q$5)*L252+(W$5&lt;Q$5)*X252+(AC$5&lt;Q$5)*AD252+(AI$5&lt;Q$5)*AJ252+(AO$5&lt;Q$5)*AP252+(AU$5&lt;Q$5)*AV252)))</f>
        <v/>
      </c>
      <c r="T252">
        <f>IF(R252-S252&lt;0.005,0,R252-S252)</f>
        <v/>
      </c>
      <c r="U252">
        <f>Z251</f>
        <v/>
      </c>
      <c r="V252">
        <f>U252*Plan!D9/100/12</f>
        <v/>
      </c>
      <c r="W252">
        <f>MIN(Plan!E9,U252+V252)</f>
        <v/>
      </c>
      <c r="X252">
        <f>U252+V252-W252</f>
        <v/>
      </c>
      <c r="Y252">
        <f>MIN(X252,MAX(0,$B252-((E$5&lt;W$5)*F252+(K$5&lt;W$5)*L252+(Q$5&lt;W$5)*R252+(AC$5&lt;W$5)*AD252+(AI$5&lt;W$5)*AJ252+(AO$5&lt;W$5)*AP252+(AU$5&lt;W$5)*AV252)))</f>
        <v/>
      </c>
      <c r="Z252">
        <f>IF(X252-Y252&lt;0.005,0,X252-Y252)</f>
        <v/>
      </c>
      <c r="AA252">
        <f>AF251</f>
        <v/>
      </c>
      <c r="AB252">
        <f>AA252*Plan!D10/100/12</f>
        <v/>
      </c>
      <c r="AC252">
        <f>MIN(Plan!E10,AA252+AB252)</f>
        <v/>
      </c>
      <c r="AD252">
        <f>AA252+AB252-AC252</f>
        <v/>
      </c>
      <c r="AE252">
        <f>MIN(AD252,MAX(0,$B252-((E$5&lt;AC$5)*F252+(K$5&lt;AC$5)*L252+(Q$5&lt;AC$5)*R252+(W$5&lt;AC$5)*X252+(AI$5&lt;AC$5)*AJ252+(AO$5&lt;AC$5)*AP252+(AU$5&lt;AC$5)*AV252)))</f>
        <v/>
      </c>
      <c r="AF252">
        <f>IF(AD252-AE252&lt;0.005,0,AD252-AE252)</f>
        <v/>
      </c>
      <c r="AG252">
        <f>AL251</f>
        <v/>
      </c>
      <c r="AH252">
        <f>AG252*Plan!D11/100/12</f>
        <v/>
      </c>
      <c r="AI252">
        <f>MIN(Plan!E11,AG252+AH252)</f>
        <v/>
      </c>
      <c r="AJ252">
        <f>AG252+AH252-AI252</f>
        <v/>
      </c>
      <c r="AK252">
        <f>MIN(AJ252,MAX(0,$B252-((E$5&lt;AI$5)*F252+(K$5&lt;AI$5)*L252+(Q$5&lt;AI$5)*R252+(W$5&lt;AI$5)*X252+(AC$5&lt;AI$5)*AD252+(AO$5&lt;AI$5)*AP252+(AU$5&lt;AI$5)*AV252)))</f>
        <v/>
      </c>
      <c r="AL252">
        <f>IF(AJ252-AK252&lt;0.005,0,AJ252-AK252)</f>
        <v/>
      </c>
      <c r="AM252">
        <f>AR251</f>
        <v/>
      </c>
      <c r="AN252">
        <f>AM252*Plan!D12/100/12</f>
        <v/>
      </c>
      <c r="AO252">
        <f>MIN(Plan!E12,AM252+AN252)</f>
        <v/>
      </c>
      <c r="AP252">
        <f>AM252+AN252-AO252</f>
        <v/>
      </c>
      <c r="AQ252">
        <f>MIN(AP252,MAX(0,$B252-((E$5&lt;AO$5)*F252+(K$5&lt;AO$5)*L252+(Q$5&lt;AO$5)*R252+(W$5&lt;AO$5)*X252+(AC$5&lt;AO$5)*AD252+(AI$5&lt;AO$5)*AJ252+(AU$5&lt;AO$5)*AV252)))</f>
        <v/>
      </c>
      <c r="AR252">
        <f>IF(AP252-AQ252&lt;0.005,0,AP252-AQ252)</f>
        <v/>
      </c>
      <c r="AS252">
        <f>AX251</f>
        <v/>
      </c>
      <c r="AT252">
        <f>AS252*Plan!D13/100/12</f>
        <v/>
      </c>
      <c r="AU252">
        <f>MIN(Plan!E13,AS252+AT252)</f>
        <v/>
      </c>
      <c r="AV252">
        <f>AS252+AT252-AU252</f>
        <v/>
      </c>
      <c r="AW252">
        <f>MIN(AV252,MAX(0,$B252-((E$5&lt;AU$5)*F252+(K$5&lt;AU$5)*L252+(Q$5&lt;AU$5)*R252+(W$5&lt;AU$5)*X252+(AC$5&lt;AU$5)*AD252+(AI$5&lt;AU$5)*AJ252+(AO$5&lt;AU$5)*AP252)))</f>
        <v/>
      </c>
      <c r="AX252">
        <f>IF(AV252-AW252&lt;0.005,0,AV252-AW252)</f>
        <v/>
      </c>
      <c r="BC252">
        <f>H252+N252+T252+Z252+AF252+AL252+AR252+AX252</f>
        <v/>
      </c>
    </row>
    <row r="253">
      <c r="A253" t="n">
        <v>247</v>
      </c>
      <c r="B253" s="19">
        <f>MAX(0,$B$3-(E253+K253+Q253+W253+AC253+AI253+AO253+AU253))</f>
        <v/>
      </c>
      <c r="C253">
        <f>H252</f>
        <v/>
      </c>
      <c r="D253">
        <f>C253*Plan!D6/100/12</f>
        <v/>
      </c>
      <c r="E253">
        <f>MIN(Plan!E6,C253+D253)</f>
        <v/>
      </c>
      <c r="F253">
        <f>C253+D253-E253</f>
        <v/>
      </c>
      <c r="G253">
        <f>MIN(F253,MAX(0,$B253-((K$5&lt;E$5)*L253+(Q$5&lt;E$5)*R253+(W$5&lt;E$5)*X253+(AC$5&lt;E$5)*AD253+(AI$5&lt;E$5)*AJ253+(AO$5&lt;E$5)*AP253+(AU$5&lt;E$5)*AV253)))</f>
        <v/>
      </c>
      <c r="H253">
        <f>IF(F253-G253&lt;0.005,0,F253-G253)</f>
        <v/>
      </c>
      <c r="I253">
        <f>N252</f>
        <v/>
      </c>
      <c r="J253">
        <f>I253*Plan!D7/100/12</f>
        <v/>
      </c>
      <c r="K253">
        <f>MIN(Plan!E7,I253+J253)</f>
        <v/>
      </c>
      <c r="L253">
        <f>I253+J253-K253</f>
        <v/>
      </c>
      <c r="M253">
        <f>MIN(L253,MAX(0,$B253-((E$5&lt;K$5)*F253+(Q$5&lt;K$5)*R253+(W$5&lt;K$5)*X253+(AC$5&lt;K$5)*AD253+(AI$5&lt;K$5)*AJ253+(AO$5&lt;K$5)*AP253+(AU$5&lt;K$5)*AV253)))</f>
        <v/>
      </c>
      <c r="N253">
        <f>IF(L253-M253&lt;0.005,0,L253-M253)</f>
        <v/>
      </c>
      <c r="O253">
        <f>T252</f>
        <v/>
      </c>
      <c r="P253">
        <f>O253*Plan!D8/100/12</f>
        <v/>
      </c>
      <c r="Q253">
        <f>MIN(Plan!E8,O253+P253)</f>
        <v/>
      </c>
      <c r="R253">
        <f>O253+P253-Q253</f>
        <v/>
      </c>
      <c r="S253">
        <f>MIN(R253,MAX(0,$B253-((E$5&lt;Q$5)*F253+(K$5&lt;Q$5)*L253+(W$5&lt;Q$5)*X253+(AC$5&lt;Q$5)*AD253+(AI$5&lt;Q$5)*AJ253+(AO$5&lt;Q$5)*AP253+(AU$5&lt;Q$5)*AV253)))</f>
        <v/>
      </c>
      <c r="T253">
        <f>IF(R253-S253&lt;0.005,0,R253-S253)</f>
        <v/>
      </c>
      <c r="U253">
        <f>Z252</f>
        <v/>
      </c>
      <c r="V253">
        <f>U253*Plan!D9/100/12</f>
        <v/>
      </c>
      <c r="W253">
        <f>MIN(Plan!E9,U253+V253)</f>
        <v/>
      </c>
      <c r="X253">
        <f>U253+V253-W253</f>
        <v/>
      </c>
      <c r="Y253">
        <f>MIN(X253,MAX(0,$B253-((E$5&lt;W$5)*F253+(K$5&lt;W$5)*L253+(Q$5&lt;W$5)*R253+(AC$5&lt;W$5)*AD253+(AI$5&lt;W$5)*AJ253+(AO$5&lt;W$5)*AP253+(AU$5&lt;W$5)*AV253)))</f>
        <v/>
      </c>
      <c r="Z253">
        <f>IF(X253-Y253&lt;0.005,0,X253-Y253)</f>
        <v/>
      </c>
      <c r="AA253">
        <f>AF252</f>
        <v/>
      </c>
      <c r="AB253">
        <f>AA253*Plan!D10/100/12</f>
        <v/>
      </c>
      <c r="AC253">
        <f>MIN(Plan!E10,AA253+AB253)</f>
        <v/>
      </c>
      <c r="AD253">
        <f>AA253+AB253-AC253</f>
        <v/>
      </c>
      <c r="AE253">
        <f>MIN(AD253,MAX(0,$B253-((E$5&lt;AC$5)*F253+(K$5&lt;AC$5)*L253+(Q$5&lt;AC$5)*R253+(W$5&lt;AC$5)*X253+(AI$5&lt;AC$5)*AJ253+(AO$5&lt;AC$5)*AP253+(AU$5&lt;AC$5)*AV253)))</f>
        <v/>
      </c>
      <c r="AF253">
        <f>IF(AD253-AE253&lt;0.005,0,AD253-AE253)</f>
        <v/>
      </c>
      <c r="AG253">
        <f>AL252</f>
        <v/>
      </c>
      <c r="AH253">
        <f>AG253*Plan!D11/100/12</f>
        <v/>
      </c>
      <c r="AI253">
        <f>MIN(Plan!E11,AG253+AH253)</f>
        <v/>
      </c>
      <c r="AJ253">
        <f>AG253+AH253-AI253</f>
        <v/>
      </c>
      <c r="AK253">
        <f>MIN(AJ253,MAX(0,$B253-((E$5&lt;AI$5)*F253+(K$5&lt;AI$5)*L253+(Q$5&lt;AI$5)*R253+(W$5&lt;AI$5)*X253+(AC$5&lt;AI$5)*AD253+(AO$5&lt;AI$5)*AP253+(AU$5&lt;AI$5)*AV253)))</f>
        <v/>
      </c>
      <c r="AL253">
        <f>IF(AJ253-AK253&lt;0.005,0,AJ253-AK253)</f>
        <v/>
      </c>
      <c r="AM253">
        <f>AR252</f>
        <v/>
      </c>
      <c r="AN253">
        <f>AM253*Plan!D12/100/12</f>
        <v/>
      </c>
      <c r="AO253">
        <f>MIN(Plan!E12,AM253+AN253)</f>
        <v/>
      </c>
      <c r="AP253">
        <f>AM253+AN253-AO253</f>
        <v/>
      </c>
      <c r="AQ253">
        <f>MIN(AP253,MAX(0,$B253-((E$5&lt;AO$5)*F253+(K$5&lt;AO$5)*L253+(Q$5&lt;AO$5)*R253+(W$5&lt;AO$5)*X253+(AC$5&lt;AO$5)*AD253+(AI$5&lt;AO$5)*AJ253+(AU$5&lt;AO$5)*AV253)))</f>
        <v/>
      </c>
      <c r="AR253">
        <f>IF(AP253-AQ253&lt;0.005,0,AP253-AQ253)</f>
        <v/>
      </c>
      <c r="AS253">
        <f>AX252</f>
        <v/>
      </c>
      <c r="AT253">
        <f>AS253*Plan!D13/100/12</f>
        <v/>
      </c>
      <c r="AU253">
        <f>MIN(Plan!E13,AS253+AT253)</f>
        <v/>
      </c>
      <c r="AV253">
        <f>AS253+AT253-AU253</f>
        <v/>
      </c>
      <c r="AW253">
        <f>MIN(AV253,MAX(0,$B253-((E$5&lt;AU$5)*F253+(K$5&lt;AU$5)*L253+(Q$5&lt;AU$5)*R253+(W$5&lt;AU$5)*X253+(AC$5&lt;AU$5)*AD253+(AI$5&lt;AU$5)*AJ253+(AO$5&lt;AU$5)*AP253)))</f>
        <v/>
      </c>
      <c r="AX253">
        <f>IF(AV253-AW253&lt;0.005,0,AV253-AW253)</f>
        <v/>
      </c>
      <c r="BC253">
        <f>H253+N253+T253+Z253+AF253+AL253+AR253+AX253</f>
        <v/>
      </c>
    </row>
    <row r="254">
      <c r="A254" t="n">
        <v>248</v>
      </c>
      <c r="B254" s="19">
        <f>MAX(0,$B$3-(E254+K254+Q254+W254+AC254+AI254+AO254+AU254))</f>
        <v/>
      </c>
      <c r="C254">
        <f>H253</f>
        <v/>
      </c>
      <c r="D254">
        <f>C254*Plan!D6/100/12</f>
        <v/>
      </c>
      <c r="E254">
        <f>MIN(Plan!E6,C254+D254)</f>
        <v/>
      </c>
      <c r="F254">
        <f>C254+D254-E254</f>
        <v/>
      </c>
      <c r="G254">
        <f>MIN(F254,MAX(0,$B254-((K$5&lt;E$5)*L254+(Q$5&lt;E$5)*R254+(W$5&lt;E$5)*X254+(AC$5&lt;E$5)*AD254+(AI$5&lt;E$5)*AJ254+(AO$5&lt;E$5)*AP254+(AU$5&lt;E$5)*AV254)))</f>
        <v/>
      </c>
      <c r="H254">
        <f>IF(F254-G254&lt;0.005,0,F254-G254)</f>
        <v/>
      </c>
      <c r="I254">
        <f>N253</f>
        <v/>
      </c>
      <c r="J254">
        <f>I254*Plan!D7/100/12</f>
        <v/>
      </c>
      <c r="K254">
        <f>MIN(Plan!E7,I254+J254)</f>
        <v/>
      </c>
      <c r="L254">
        <f>I254+J254-K254</f>
        <v/>
      </c>
      <c r="M254">
        <f>MIN(L254,MAX(0,$B254-((E$5&lt;K$5)*F254+(Q$5&lt;K$5)*R254+(W$5&lt;K$5)*X254+(AC$5&lt;K$5)*AD254+(AI$5&lt;K$5)*AJ254+(AO$5&lt;K$5)*AP254+(AU$5&lt;K$5)*AV254)))</f>
        <v/>
      </c>
      <c r="N254">
        <f>IF(L254-M254&lt;0.005,0,L254-M254)</f>
        <v/>
      </c>
      <c r="O254">
        <f>T253</f>
        <v/>
      </c>
      <c r="P254">
        <f>O254*Plan!D8/100/12</f>
        <v/>
      </c>
      <c r="Q254">
        <f>MIN(Plan!E8,O254+P254)</f>
        <v/>
      </c>
      <c r="R254">
        <f>O254+P254-Q254</f>
        <v/>
      </c>
      <c r="S254">
        <f>MIN(R254,MAX(0,$B254-((E$5&lt;Q$5)*F254+(K$5&lt;Q$5)*L254+(W$5&lt;Q$5)*X254+(AC$5&lt;Q$5)*AD254+(AI$5&lt;Q$5)*AJ254+(AO$5&lt;Q$5)*AP254+(AU$5&lt;Q$5)*AV254)))</f>
        <v/>
      </c>
      <c r="T254">
        <f>IF(R254-S254&lt;0.005,0,R254-S254)</f>
        <v/>
      </c>
      <c r="U254">
        <f>Z253</f>
        <v/>
      </c>
      <c r="V254">
        <f>U254*Plan!D9/100/12</f>
        <v/>
      </c>
      <c r="W254">
        <f>MIN(Plan!E9,U254+V254)</f>
        <v/>
      </c>
      <c r="X254">
        <f>U254+V254-W254</f>
        <v/>
      </c>
      <c r="Y254">
        <f>MIN(X254,MAX(0,$B254-((E$5&lt;W$5)*F254+(K$5&lt;W$5)*L254+(Q$5&lt;W$5)*R254+(AC$5&lt;W$5)*AD254+(AI$5&lt;W$5)*AJ254+(AO$5&lt;W$5)*AP254+(AU$5&lt;W$5)*AV254)))</f>
        <v/>
      </c>
      <c r="Z254">
        <f>IF(X254-Y254&lt;0.005,0,X254-Y254)</f>
        <v/>
      </c>
      <c r="AA254">
        <f>AF253</f>
        <v/>
      </c>
      <c r="AB254">
        <f>AA254*Plan!D10/100/12</f>
        <v/>
      </c>
      <c r="AC254">
        <f>MIN(Plan!E10,AA254+AB254)</f>
        <v/>
      </c>
      <c r="AD254">
        <f>AA254+AB254-AC254</f>
        <v/>
      </c>
      <c r="AE254">
        <f>MIN(AD254,MAX(0,$B254-((E$5&lt;AC$5)*F254+(K$5&lt;AC$5)*L254+(Q$5&lt;AC$5)*R254+(W$5&lt;AC$5)*X254+(AI$5&lt;AC$5)*AJ254+(AO$5&lt;AC$5)*AP254+(AU$5&lt;AC$5)*AV254)))</f>
        <v/>
      </c>
      <c r="AF254">
        <f>IF(AD254-AE254&lt;0.005,0,AD254-AE254)</f>
        <v/>
      </c>
      <c r="AG254">
        <f>AL253</f>
        <v/>
      </c>
      <c r="AH254">
        <f>AG254*Plan!D11/100/12</f>
        <v/>
      </c>
      <c r="AI254">
        <f>MIN(Plan!E11,AG254+AH254)</f>
        <v/>
      </c>
      <c r="AJ254">
        <f>AG254+AH254-AI254</f>
        <v/>
      </c>
      <c r="AK254">
        <f>MIN(AJ254,MAX(0,$B254-((E$5&lt;AI$5)*F254+(K$5&lt;AI$5)*L254+(Q$5&lt;AI$5)*R254+(W$5&lt;AI$5)*X254+(AC$5&lt;AI$5)*AD254+(AO$5&lt;AI$5)*AP254+(AU$5&lt;AI$5)*AV254)))</f>
        <v/>
      </c>
      <c r="AL254">
        <f>IF(AJ254-AK254&lt;0.005,0,AJ254-AK254)</f>
        <v/>
      </c>
      <c r="AM254">
        <f>AR253</f>
        <v/>
      </c>
      <c r="AN254">
        <f>AM254*Plan!D12/100/12</f>
        <v/>
      </c>
      <c r="AO254">
        <f>MIN(Plan!E12,AM254+AN254)</f>
        <v/>
      </c>
      <c r="AP254">
        <f>AM254+AN254-AO254</f>
        <v/>
      </c>
      <c r="AQ254">
        <f>MIN(AP254,MAX(0,$B254-((E$5&lt;AO$5)*F254+(K$5&lt;AO$5)*L254+(Q$5&lt;AO$5)*R254+(W$5&lt;AO$5)*X254+(AC$5&lt;AO$5)*AD254+(AI$5&lt;AO$5)*AJ254+(AU$5&lt;AO$5)*AV254)))</f>
        <v/>
      </c>
      <c r="AR254">
        <f>IF(AP254-AQ254&lt;0.005,0,AP254-AQ254)</f>
        <v/>
      </c>
      <c r="AS254">
        <f>AX253</f>
        <v/>
      </c>
      <c r="AT254">
        <f>AS254*Plan!D13/100/12</f>
        <v/>
      </c>
      <c r="AU254">
        <f>MIN(Plan!E13,AS254+AT254)</f>
        <v/>
      </c>
      <c r="AV254">
        <f>AS254+AT254-AU254</f>
        <v/>
      </c>
      <c r="AW254">
        <f>MIN(AV254,MAX(0,$B254-((E$5&lt;AU$5)*F254+(K$5&lt;AU$5)*L254+(Q$5&lt;AU$5)*R254+(W$5&lt;AU$5)*X254+(AC$5&lt;AU$5)*AD254+(AI$5&lt;AU$5)*AJ254+(AO$5&lt;AU$5)*AP254)))</f>
        <v/>
      </c>
      <c r="AX254">
        <f>IF(AV254-AW254&lt;0.005,0,AV254-AW254)</f>
        <v/>
      </c>
      <c r="BC254">
        <f>H254+N254+T254+Z254+AF254+AL254+AR254+AX254</f>
        <v/>
      </c>
    </row>
    <row r="255">
      <c r="A255" t="n">
        <v>249</v>
      </c>
      <c r="B255" s="19">
        <f>MAX(0,$B$3-(E255+K255+Q255+W255+AC255+AI255+AO255+AU255))</f>
        <v/>
      </c>
      <c r="C255">
        <f>H254</f>
        <v/>
      </c>
      <c r="D255">
        <f>C255*Plan!D6/100/12</f>
        <v/>
      </c>
      <c r="E255">
        <f>MIN(Plan!E6,C255+D255)</f>
        <v/>
      </c>
      <c r="F255">
        <f>C255+D255-E255</f>
        <v/>
      </c>
      <c r="G255">
        <f>MIN(F255,MAX(0,$B255-((K$5&lt;E$5)*L255+(Q$5&lt;E$5)*R255+(W$5&lt;E$5)*X255+(AC$5&lt;E$5)*AD255+(AI$5&lt;E$5)*AJ255+(AO$5&lt;E$5)*AP255+(AU$5&lt;E$5)*AV255)))</f>
        <v/>
      </c>
      <c r="H255">
        <f>IF(F255-G255&lt;0.005,0,F255-G255)</f>
        <v/>
      </c>
      <c r="I255">
        <f>N254</f>
        <v/>
      </c>
      <c r="J255">
        <f>I255*Plan!D7/100/12</f>
        <v/>
      </c>
      <c r="K255">
        <f>MIN(Plan!E7,I255+J255)</f>
        <v/>
      </c>
      <c r="L255">
        <f>I255+J255-K255</f>
        <v/>
      </c>
      <c r="M255">
        <f>MIN(L255,MAX(0,$B255-((E$5&lt;K$5)*F255+(Q$5&lt;K$5)*R255+(W$5&lt;K$5)*X255+(AC$5&lt;K$5)*AD255+(AI$5&lt;K$5)*AJ255+(AO$5&lt;K$5)*AP255+(AU$5&lt;K$5)*AV255)))</f>
        <v/>
      </c>
      <c r="N255">
        <f>IF(L255-M255&lt;0.005,0,L255-M255)</f>
        <v/>
      </c>
      <c r="O255">
        <f>T254</f>
        <v/>
      </c>
      <c r="P255">
        <f>O255*Plan!D8/100/12</f>
        <v/>
      </c>
      <c r="Q255">
        <f>MIN(Plan!E8,O255+P255)</f>
        <v/>
      </c>
      <c r="R255">
        <f>O255+P255-Q255</f>
        <v/>
      </c>
      <c r="S255">
        <f>MIN(R255,MAX(0,$B255-((E$5&lt;Q$5)*F255+(K$5&lt;Q$5)*L255+(W$5&lt;Q$5)*X255+(AC$5&lt;Q$5)*AD255+(AI$5&lt;Q$5)*AJ255+(AO$5&lt;Q$5)*AP255+(AU$5&lt;Q$5)*AV255)))</f>
        <v/>
      </c>
      <c r="T255">
        <f>IF(R255-S255&lt;0.005,0,R255-S255)</f>
        <v/>
      </c>
      <c r="U255">
        <f>Z254</f>
        <v/>
      </c>
      <c r="V255">
        <f>U255*Plan!D9/100/12</f>
        <v/>
      </c>
      <c r="W255">
        <f>MIN(Plan!E9,U255+V255)</f>
        <v/>
      </c>
      <c r="X255">
        <f>U255+V255-W255</f>
        <v/>
      </c>
      <c r="Y255">
        <f>MIN(X255,MAX(0,$B255-((E$5&lt;W$5)*F255+(K$5&lt;W$5)*L255+(Q$5&lt;W$5)*R255+(AC$5&lt;W$5)*AD255+(AI$5&lt;W$5)*AJ255+(AO$5&lt;W$5)*AP255+(AU$5&lt;W$5)*AV255)))</f>
        <v/>
      </c>
      <c r="Z255">
        <f>IF(X255-Y255&lt;0.005,0,X255-Y255)</f>
        <v/>
      </c>
      <c r="AA255">
        <f>AF254</f>
        <v/>
      </c>
      <c r="AB255">
        <f>AA255*Plan!D10/100/12</f>
        <v/>
      </c>
      <c r="AC255">
        <f>MIN(Plan!E10,AA255+AB255)</f>
        <v/>
      </c>
      <c r="AD255">
        <f>AA255+AB255-AC255</f>
        <v/>
      </c>
      <c r="AE255">
        <f>MIN(AD255,MAX(0,$B255-((E$5&lt;AC$5)*F255+(K$5&lt;AC$5)*L255+(Q$5&lt;AC$5)*R255+(W$5&lt;AC$5)*X255+(AI$5&lt;AC$5)*AJ255+(AO$5&lt;AC$5)*AP255+(AU$5&lt;AC$5)*AV255)))</f>
        <v/>
      </c>
      <c r="AF255">
        <f>IF(AD255-AE255&lt;0.005,0,AD255-AE255)</f>
        <v/>
      </c>
      <c r="AG255">
        <f>AL254</f>
        <v/>
      </c>
      <c r="AH255">
        <f>AG255*Plan!D11/100/12</f>
        <v/>
      </c>
      <c r="AI255">
        <f>MIN(Plan!E11,AG255+AH255)</f>
        <v/>
      </c>
      <c r="AJ255">
        <f>AG255+AH255-AI255</f>
        <v/>
      </c>
      <c r="AK255">
        <f>MIN(AJ255,MAX(0,$B255-((E$5&lt;AI$5)*F255+(K$5&lt;AI$5)*L255+(Q$5&lt;AI$5)*R255+(W$5&lt;AI$5)*X255+(AC$5&lt;AI$5)*AD255+(AO$5&lt;AI$5)*AP255+(AU$5&lt;AI$5)*AV255)))</f>
        <v/>
      </c>
      <c r="AL255">
        <f>IF(AJ255-AK255&lt;0.005,0,AJ255-AK255)</f>
        <v/>
      </c>
      <c r="AM255">
        <f>AR254</f>
        <v/>
      </c>
      <c r="AN255">
        <f>AM255*Plan!D12/100/12</f>
        <v/>
      </c>
      <c r="AO255">
        <f>MIN(Plan!E12,AM255+AN255)</f>
        <v/>
      </c>
      <c r="AP255">
        <f>AM255+AN255-AO255</f>
        <v/>
      </c>
      <c r="AQ255">
        <f>MIN(AP255,MAX(0,$B255-((E$5&lt;AO$5)*F255+(K$5&lt;AO$5)*L255+(Q$5&lt;AO$5)*R255+(W$5&lt;AO$5)*X255+(AC$5&lt;AO$5)*AD255+(AI$5&lt;AO$5)*AJ255+(AU$5&lt;AO$5)*AV255)))</f>
        <v/>
      </c>
      <c r="AR255">
        <f>IF(AP255-AQ255&lt;0.005,0,AP255-AQ255)</f>
        <v/>
      </c>
      <c r="AS255">
        <f>AX254</f>
        <v/>
      </c>
      <c r="AT255">
        <f>AS255*Plan!D13/100/12</f>
        <v/>
      </c>
      <c r="AU255">
        <f>MIN(Plan!E13,AS255+AT255)</f>
        <v/>
      </c>
      <c r="AV255">
        <f>AS255+AT255-AU255</f>
        <v/>
      </c>
      <c r="AW255">
        <f>MIN(AV255,MAX(0,$B255-((E$5&lt;AU$5)*F255+(K$5&lt;AU$5)*L255+(Q$5&lt;AU$5)*R255+(W$5&lt;AU$5)*X255+(AC$5&lt;AU$5)*AD255+(AI$5&lt;AU$5)*AJ255+(AO$5&lt;AU$5)*AP255)))</f>
        <v/>
      </c>
      <c r="AX255">
        <f>IF(AV255-AW255&lt;0.005,0,AV255-AW255)</f>
        <v/>
      </c>
      <c r="BC255">
        <f>H255+N255+T255+Z255+AF255+AL255+AR255+AX255</f>
        <v/>
      </c>
    </row>
    <row r="256">
      <c r="A256" t="n">
        <v>250</v>
      </c>
      <c r="B256" s="19">
        <f>MAX(0,$B$3-(E256+K256+Q256+W256+AC256+AI256+AO256+AU256))</f>
        <v/>
      </c>
      <c r="C256">
        <f>H255</f>
        <v/>
      </c>
      <c r="D256">
        <f>C256*Plan!D6/100/12</f>
        <v/>
      </c>
      <c r="E256">
        <f>MIN(Plan!E6,C256+D256)</f>
        <v/>
      </c>
      <c r="F256">
        <f>C256+D256-E256</f>
        <v/>
      </c>
      <c r="G256">
        <f>MIN(F256,MAX(0,$B256-((K$5&lt;E$5)*L256+(Q$5&lt;E$5)*R256+(W$5&lt;E$5)*X256+(AC$5&lt;E$5)*AD256+(AI$5&lt;E$5)*AJ256+(AO$5&lt;E$5)*AP256+(AU$5&lt;E$5)*AV256)))</f>
        <v/>
      </c>
      <c r="H256">
        <f>IF(F256-G256&lt;0.005,0,F256-G256)</f>
        <v/>
      </c>
      <c r="I256">
        <f>N255</f>
        <v/>
      </c>
      <c r="J256">
        <f>I256*Plan!D7/100/12</f>
        <v/>
      </c>
      <c r="K256">
        <f>MIN(Plan!E7,I256+J256)</f>
        <v/>
      </c>
      <c r="L256">
        <f>I256+J256-K256</f>
        <v/>
      </c>
      <c r="M256">
        <f>MIN(L256,MAX(0,$B256-((E$5&lt;K$5)*F256+(Q$5&lt;K$5)*R256+(W$5&lt;K$5)*X256+(AC$5&lt;K$5)*AD256+(AI$5&lt;K$5)*AJ256+(AO$5&lt;K$5)*AP256+(AU$5&lt;K$5)*AV256)))</f>
        <v/>
      </c>
      <c r="N256">
        <f>IF(L256-M256&lt;0.005,0,L256-M256)</f>
        <v/>
      </c>
      <c r="O256">
        <f>T255</f>
        <v/>
      </c>
      <c r="P256">
        <f>O256*Plan!D8/100/12</f>
        <v/>
      </c>
      <c r="Q256">
        <f>MIN(Plan!E8,O256+P256)</f>
        <v/>
      </c>
      <c r="R256">
        <f>O256+P256-Q256</f>
        <v/>
      </c>
      <c r="S256">
        <f>MIN(R256,MAX(0,$B256-((E$5&lt;Q$5)*F256+(K$5&lt;Q$5)*L256+(W$5&lt;Q$5)*X256+(AC$5&lt;Q$5)*AD256+(AI$5&lt;Q$5)*AJ256+(AO$5&lt;Q$5)*AP256+(AU$5&lt;Q$5)*AV256)))</f>
        <v/>
      </c>
      <c r="T256">
        <f>IF(R256-S256&lt;0.005,0,R256-S256)</f>
        <v/>
      </c>
      <c r="U256">
        <f>Z255</f>
        <v/>
      </c>
      <c r="V256">
        <f>U256*Plan!D9/100/12</f>
        <v/>
      </c>
      <c r="W256">
        <f>MIN(Plan!E9,U256+V256)</f>
        <v/>
      </c>
      <c r="X256">
        <f>U256+V256-W256</f>
        <v/>
      </c>
      <c r="Y256">
        <f>MIN(X256,MAX(0,$B256-((E$5&lt;W$5)*F256+(K$5&lt;W$5)*L256+(Q$5&lt;W$5)*R256+(AC$5&lt;W$5)*AD256+(AI$5&lt;W$5)*AJ256+(AO$5&lt;W$5)*AP256+(AU$5&lt;W$5)*AV256)))</f>
        <v/>
      </c>
      <c r="Z256">
        <f>IF(X256-Y256&lt;0.005,0,X256-Y256)</f>
        <v/>
      </c>
      <c r="AA256">
        <f>AF255</f>
        <v/>
      </c>
      <c r="AB256">
        <f>AA256*Plan!D10/100/12</f>
        <v/>
      </c>
      <c r="AC256">
        <f>MIN(Plan!E10,AA256+AB256)</f>
        <v/>
      </c>
      <c r="AD256">
        <f>AA256+AB256-AC256</f>
        <v/>
      </c>
      <c r="AE256">
        <f>MIN(AD256,MAX(0,$B256-((E$5&lt;AC$5)*F256+(K$5&lt;AC$5)*L256+(Q$5&lt;AC$5)*R256+(W$5&lt;AC$5)*X256+(AI$5&lt;AC$5)*AJ256+(AO$5&lt;AC$5)*AP256+(AU$5&lt;AC$5)*AV256)))</f>
        <v/>
      </c>
      <c r="AF256">
        <f>IF(AD256-AE256&lt;0.005,0,AD256-AE256)</f>
        <v/>
      </c>
      <c r="AG256">
        <f>AL255</f>
        <v/>
      </c>
      <c r="AH256">
        <f>AG256*Plan!D11/100/12</f>
        <v/>
      </c>
      <c r="AI256">
        <f>MIN(Plan!E11,AG256+AH256)</f>
        <v/>
      </c>
      <c r="AJ256">
        <f>AG256+AH256-AI256</f>
        <v/>
      </c>
      <c r="AK256">
        <f>MIN(AJ256,MAX(0,$B256-((E$5&lt;AI$5)*F256+(K$5&lt;AI$5)*L256+(Q$5&lt;AI$5)*R256+(W$5&lt;AI$5)*X256+(AC$5&lt;AI$5)*AD256+(AO$5&lt;AI$5)*AP256+(AU$5&lt;AI$5)*AV256)))</f>
        <v/>
      </c>
      <c r="AL256">
        <f>IF(AJ256-AK256&lt;0.005,0,AJ256-AK256)</f>
        <v/>
      </c>
      <c r="AM256">
        <f>AR255</f>
        <v/>
      </c>
      <c r="AN256">
        <f>AM256*Plan!D12/100/12</f>
        <v/>
      </c>
      <c r="AO256">
        <f>MIN(Plan!E12,AM256+AN256)</f>
        <v/>
      </c>
      <c r="AP256">
        <f>AM256+AN256-AO256</f>
        <v/>
      </c>
      <c r="AQ256">
        <f>MIN(AP256,MAX(0,$B256-((E$5&lt;AO$5)*F256+(K$5&lt;AO$5)*L256+(Q$5&lt;AO$5)*R256+(W$5&lt;AO$5)*X256+(AC$5&lt;AO$5)*AD256+(AI$5&lt;AO$5)*AJ256+(AU$5&lt;AO$5)*AV256)))</f>
        <v/>
      </c>
      <c r="AR256">
        <f>IF(AP256-AQ256&lt;0.005,0,AP256-AQ256)</f>
        <v/>
      </c>
      <c r="AS256">
        <f>AX255</f>
        <v/>
      </c>
      <c r="AT256">
        <f>AS256*Plan!D13/100/12</f>
        <v/>
      </c>
      <c r="AU256">
        <f>MIN(Plan!E13,AS256+AT256)</f>
        <v/>
      </c>
      <c r="AV256">
        <f>AS256+AT256-AU256</f>
        <v/>
      </c>
      <c r="AW256">
        <f>MIN(AV256,MAX(0,$B256-((E$5&lt;AU$5)*F256+(K$5&lt;AU$5)*L256+(Q$5&lt;AU$5)*R256+(W$5&lt;AU$5)*X256+(AC$5&lt;AU$5)*AD256+(AI$5&lt;AU$5)*AJ256+(AO$5&lt;AU$5)*AP256)))</f>
        <v/>
      </c>
      <c r="AX256">
        <f>IF(AV256-AW256&lt;0.005,0,AV256-AW256)</f>
        <v/>
      </c>
      <c r="BC256">
        <f>H256+N256+T256+Z256+AF256+AL256+AR256+AX256</f>
        <v/>
      </c>
    </row>
    <row r="257">
      <c r="A257" t="n">
        <v>251</v>
      </c>
      <c r="B257" s="19">
        <f>MAX(0,$B$3-(E257+K257+Q257+W257+AC257+AI257+AO257+AU257))</f>
        <v/>
      </c>
      <c r="C257">
        <f>H256</f>
        <v/>
      </c>
      <c r="D257">
        <f>C257*Plan!D6/100/12</f>
        <v/>
      </c>
      <c r="E257">
        <f>MIN(Plan!E6,C257+D257)</f>
        <v/>
      </c>
      <c r="F257">
        <f>C257+D257-E257</f>
        <v/>
      </c>
      <c r="G257">
        <f>MIN(F257,MAX(0,$B257-((K$5&lt;E$5)*L257+(Q$5&lt;E$5)*R257+(W$5&lt;E$5)*X257+(AC$5&lt;E$5)*AD257+(AI$5&lt;E$5)*AJ257+(AO$5&lt;E$5)*AP257+(AU$5&lt;E$5)*AV257)))</f>
        <v/>
      </c>
      <c r="H257">
        <f>IF(F257-G257&lt;0.005,0,F257-G257)</f>
        <v/>
      </c>
      <c r="I257">
        <f>N256</f>
        <v/>
      </c>
      <c r="J257">
        <f>I257*Plan!D7/100/12</f>
        <v/>
      </c>
      <c r="K257">
        <f>MIN(Plan!E7,I257+J257)</f>
        <v/>
      </c>
      <c r="L257">
        <f>I257+J257-K257</f>
        <v/>
      </c>
      <c r="M257">
        <f>MIN(L257,MAX(0,$B257-((E$5&lt;K$5)*F257+(Q$5&lt;K$5)*R257+(W$5&lt;K$5)*X257+(AC$5&lt;K$5)*AD257+(AI$5&lt;K$5)*AJ257+(AO$5&lt;K$5)*AP257+(AU$5&lt;K$5)*AV257)))</f>
        <v/>
      </c>
      <c r="N257">
        <f>IF(L257-M257&lt;0.005,0,L257-M257)</f>
        <v/>
      </c>
      <c r="O257">
        <f>T256</f>
        <v/>
      </c>
      <c r="P257">
        <f>O257*Plan!D8/100/12</f>
        <v/>
      </c>
      <c r="Q257">
        <f>MIN(Plan!E8,O257+P257)</f>
        <v/>
      </c>
      <c r="R257">
        <f>O257+P257-Q257</f>
        <v/>
      </c>
      <c r="S257">
        <f>MIN(R257,MAX(0,$B257-((E$5&lt;Q$5)*F257+(K$5&lt;Q$5)*L257+(W$5&lt;Q$5)*X257+(AC$5&lt;Q$5)*AD257+(AI$5&lt;Q$5)*AJ257+(AO$5&lt;Q$5)*AP257+(AU$5&lt;Q$5)*AV257)))</f>
        <v/>
      </c>
      <c r="T257">
        <f>IF(R257-S257&lt;0.005,0,R257-S257)</f>
        <v/>
      </c>
      <c r="U257">
        <f>Z256</f>
        <v/>
      </c>
      <c r="V257">
        <f>U257*Plan!D9/100/12</f>
        <v/>
      </c>
      <c r="W257">
        <f>MIN(Plan!E9,U257+V257)</f>
        <v/>
      </c>
      <c r="X257">
        <f>U257+V257-W257</f>
        <v/>
      </c>
      <c r="Y257">
        <f>MIN(X257,MAX(0,$B257-((E$5&lt;W$5)*F257+(K$5&lt;W$5)*L257+(Q$5&lt;W$5)*R257+(AC$5&lt;W$5)*AD257+(AI$5&lt;W$5)*AJ257+(AO$5&lt;W$5)*AP257+(AU$5&lt;W$5)*AV257)))</f>
        <v/>
      </c>
      <c r="Z257">
        <f>IF(X257-Y257&lt;0.005,0,X257-Y257)</f>
        <v/>
      </c>
      <c r="AA257">
        <f>AF256</f>
        <v/>
      </c>
      <c r="AB257">
        <f>AA257*Plan!D10/100/12</f>
        <v/>
      </c>
      <c r="AC257">
        <f>MIN(Plan!E10,AA257+AB257)</f>
        <v/>
      </c>
      <c r="AD257">
        <f>AA257+AB257-AC257</f>
        <v/>
      </c>
      <c r="AE257">
        <f>MIN(AD257,MAX(0,$B257-((E$5&lt;AC$5)*F257+(K$5&lt;AC$5)*L257+(Q$5&lt;AC$5)*R257+(W$5&lt;AC$5)*X257+(AI$5&lt;AC$5)*AJ257+(AO$5&lt;AC$5)*AP257+(AU$5&lt;AC$5)*AV257)))</f>
        <v/>
      </c>
      <c r="AF257">
        <f>IF(AD257-AE257&lt;0.005,0,AD257-AE257)</f>
        <v/>
      </c>
      <c r="AG257">
        <f>AL256</f>
        <v/>
      </c>
      <c r="AH257">
        <f>AG257*Plan!D11/100/12</f>
        <v/>
      </c>
      <c r="AI257">
        <f>MIN(Plan!E11,AG257+AH257)</f>
        <v/>
      </c>
      <c r="AJ257">
        <f>AG257+AH257-AI257</f>
        <v/>
      </c>
      <c r="AK257">
        <f>MIN(AJ257,MAX(0,$B257-((E$5&lt;AI$5)*F257+(K$5&lt;AI$5)*L257+(Q$5&lt;AI$5)*R257+(W$5&lt;AI$5)*X257+(AC$5&lt;AI$5)*AD257+(AO$5&lt;AI$5)*AP257+(AU$5&lt;AI$5)*AV257)))</f>
        <v/>
      </c>
      <c r="AL257">
        <f>IF(AJ257-AK257&lt;0.005,0,AJ257-AK257)</f>
        <v/>
      </c>
      <c r="AM257">
        <f>AR256</f>
        <v/>
      </c>
      <c r="AN257">
        <f>AM257*Plan!D12/100/12</f>
        <v/>
      </c>
      <c r="AO257">
        <f>MIN(Plan!E12,AM257+AN257)</f>
        <v/>
      </c>
      <c r="AP257">
        <f>AM257+AN257-AO257</f>
        <v/>
      </c>
      <c r="AQ257">
        <f>MIN(AP257,MAX(0,$B257-((E$5&lt;AO$5)*F257+(K$5&lt;AO$5)*L257+(Q$5&lt;AO$5)*R257+(W$5&lt;AO$5)*X257+(AC$5&lt;AO$5)*AD257+(AI$5&lt;AO$5)*AJ257+(AU$5&lt;AO$5)*AV257)))</f>
        <v/>
      </c>
      <c r="AR257">
        <f>IF(AP257-AQ257&lt;0.005,0,AP257-AQ257)</f>
        <v/>
      </c>
      <c r="AS257">
        <f>AX256</f>
        <v/>
      </c>
      <c r="AT257">
        <f>AS257*Plan!D13/100/12</f>
        <v/>
      </c>
      <c r="AU257">
        <f>MIN(Plan!E13,AS257+AT257)</f>
        <v/>
      </c>
      <c r="AV257">
        <f>AS257+AT257-AU257</f>
        <v/>
      </c>
      <c r="AW257">
        <f>MIN(AV257,MAX(0,$B257-((E$5&lt;AU$5)*F257+(K$5&lt;AU$5)*L257+(Q$5&lt;AU$5)*R257+(W$5&lt;AU$5)*X257+(AC$5&lt;AU$5)*AD257+(AI$5&lt;AU$5)*AJ257+(AO$5&lt;AU$5)*AP257)))</f>
        <v/>
      </c>
      <c r="AX257">
        <f>IF(AV257-AW257&lt;0.005,0,AV257-AW257)</f>
        <v/>
      </c>
      <c r="BC257">
        <f>H257+N257+T257+Z257+AF257+AL257+AR257+AX257</f>
        <v/>
      </c>
    </row>
    <row r="258">
      <c r="A258" t="n">
        <v>252</v>
      </c>
      <c r="B258" s="19">
        <f>MAX(0,$B$3-(E258+K258+Q258+W258+AC258+AI258+AO258+AU258))</f>
        <v/>
      </c>
      <c r="C258">
        <f>H257</f>
        <v/>
      </c>
      <c r="D258">
        <f>C258*Plan!D6/100/12</f>
        <v/>
      </c>
      <c r="E258">
        <f>MIN(Plan!E6,C258+D258)</f>
        <v/>
      </c>
      <c r="F258">
        <f>C258+D258-E258</f>
        <v/>
      </c>
      <c r="G258">
        <f>MIN(F258,MAX(0,$B258-((K$5&lt;E$5)*L258+(Q$5&lt;E$5)*R258+(W$5&lt;E$5)*X258+(AC$5&lt;E$5)*AD258+(AI$5&lt;E$5)*AJ258+(AO$5&lt;E$5)*AP258+(AU$5&lt;E$5)*AV258)))</f>
        <v/>
      </c>
      <c r="H258">
        <f>IF(F258-G258&lt;0.005,0,F258-G258)</f>
        <v/>
      </c>
      <c r="I258">
        <f>N257</f>
        <v/>
      </c>
      <c r="J258">
        <f>I258*Plan!D7/100/12</f>
        <v/>
      </c>
      <c r="K258">
        <f>MIN(Plan!E7,I258+J258)</f>
        <v/>
      </c>
      <c r="L258">
        <f>I258+J258-K258</f>
        <v/>
      </c>
      <c r="M258">
        <f>MIN(L258,MAX(0,$B258-((E$5&lt;K$5)*F258+(Q$5&lt;K$5)*R258+(W$5&lt;K$5)*X258+(AC$5&lt;K$5)*AD258+(AI$5&lt;K$5)*AJ258+(AO$5&lt;K$5)*AP258+(AU$5&lt;K$5)*AV258)))</f>
        <v/>
      </c>
      <c r="N258">
        <f>IF(L258-M258&lt;0.005,0,L258-M258)</f>
        <v/>
      </c>
      <c r="O258">
        <f>T257</f>
        <v/>
      </c>
      <c r="P258">
        <f>O258*Plan!D8/100/12</f>
        <v/>
      </c>
      <c r="Q258">
        <f>MIN(Plan!E8,O258+P258)</f>
        <v/>
      </c>
      <c r="R258">
        <f>O258+P258-Q258</f>
        <v/>
      </c>
      <c r="S258">
        <f>MIN(R258,MAX(0,$B258-((E$5&lt;Q$5)*F258+(K$5&lt;Q$5)*L258+(W$5&lt;Q$5)*X258+(AC$5&lt;Q$5)*AD258+(AI$5&lt;Q$5)*AJ258+(AO$5&lt;Q$5)*AP258+(AU$5&lt;Q$5)*AV258)))</f>
        <v/>
      </c>
      <c r="T258">
        <f>IF(R258-S258&lt;0.005,0,R258-S258)</f>
        <v/>
      </c>
      <c r="U258">
        <f>Z257</f>
        <v/>
      </c>
      <c r="V258">
        <f>U258*Plan!D9/100/12</f>
        <v/>
      </c>
      <c r="W258">
        <f>MIN(Plan!E9,U258+V258)</f>
        <v/>
      </c>
      <c r="X258">
        <f>U258+V258-W258</f>
        <v/>
      </c>
      <c r="Y258">
        <f>MIN(X258,MAX(0,$B258-((E$5&lt;W$5)*F258+(K$5&lt;W$5)*L258+(Q$5&lt;W$5)*R258+(AC$5&lt;W$5)*AD258+(AI$5&lt;W$5)*AJ258+(AO$5&lt;W$5)*AP258+(AU$5&lt;W$5)*AV258)))</f>
        <v/>
      </c>
      <c r="Z258">
        <f>IF(X258-Y258&lt;0.005,0,X258-Y258)</f>
        <v/>
      </c>
      <c r="AA258">
        <f>AF257</f>
        <v/>
      </c>
      <c r="AB258">
        <f>AA258*Plan!D10/100/12</f>
        <v/>
      </c>
      <c r="AC258">
        <f>MIN(Plan!E10,AA258+AB258)</f>
        <v/>
      </c>
      <c r="AD258">
        <f>AA258+AB258-AC258</f>
        <v/>
      </c>
      <c r="AE258">
        <f>MIN(AD258,MAX(0,$B258-((E$5&lt;AC$5)*F258+(K$5&lt;AC$5)*L258+(Q$5&lt;AC$5)*R258+(W$5&lt;AC$5)*X258+(AI$5&lt;AC$5)*AJ258+(AO$5&lt;AC$5)*AP258+(AU$5&lt;AC$5)*AV258)))</f>
        <v/>
      </c>
      <c r="AF258">
        <f>IF(AD258-AE258&lt;0.005,0,AD258-AE258)</f>
        <v/>
      </c>
      <c r="AG258">
        <f>AL257</f>
        <v/>
      </c>
      <c r="AH258">
        <f>AG258*Plan!D11/100/12</f>
        <v/>
      </c>
      <c r="AI258">
        <f>MIN(Plan!E11,AG258+AH258)</f>
        <v/>
      </c>
      <c r="AJ258">
        <f>AG258+AH258-AI258</f>
        <v/>
      </c>
      <c r="AK258">
        <f>MIN(AJ258,MAX(0,$B258-((E$5&lt;AI$5)*F258+(K$5&lt;AI$5)*L258+(Q$5&lt;AI$5)*R258+(W$5&lt;AI$5)*X258+(AC$5&lt;AI$5)*AD258+(AO$5&lt;AI$5)*AP258+(AU$5&lt;AI$5)*AV258)))</f>
        <v/>
      </c>
      <c r="AL258">
        <f>IF(AJ258-AK258&lt;0.005,0,AJ258-AK258)</f>
        <v/>
      </c>
      <c r="AM258">
        <f>AR257</f>
        <v/>
      </c>
      <c r="AN258">
        <f>AM258*Plan!D12/100/12</f>
        <v/>
      </c>
      <c r="AO258">
        <f>MIN(Plan!E12,AM258+AN258)</f>
        <v/>
      </c>
      <c r="AP258">
        <f>AM258+AN258-AO258</f>
        <v/>
      </c>
      <c r="AQ258">
        <f>MIN(AP258,MAX(0,$B258-((E$5&lt;AO$5)*F258+(K$5&lt;AO$5)*L258+(Q$5&lt;AO$5)*R258+(W$5&lt;AO$5)*X258+(AC$5&lt;AO$5)*AD258+(AI$5&lt;AO$5)*AJ258+(AU$5&lt;AO$5)*AV258)))</f>
        <v/>
      </c>
      <c r="AR258">
        <f>IF(AP258-AQ258&lt;0.005,0,AP258-AQ258)</f>
        <v/>
      </c>
      <c r="AS258">
        <f>AX257</f>
        <v/>
      </c>
      <c r="AT258">
        <f>AS258*Plan!D13/100/12</f>
        <v/>
      </c>
      <c r="AU258">
        <f>MIN(Plan!E13,AS258+AT258)</f>
        <v/>
      </c>
      <c r="AV258">
        <f>AS258+AT258-AU258</f>
        <v/>
      </c>
      <c r="AW258">
        <f>MIN(AV258,MAX(0,$B258-((E$5&lt;AU$5)*F258+(K$5&lt;AU$5)*L258+(Q$5&lt;AU$5)*R258+(W$5&lt;AU$5)*X258+(AC$5&lt;AU$5)*AD258+(AI$5&lt;AU$5)*AJ258+(AO$5&lt;AU$5)*AP258)))</f>
        <v/>
      </c>
      <c r="AX258">
        <f>IF(AV258-AW258&lt;0.005,0,AV258-AW258)</f>
        <v/>
      </c>
      <c r="BC258">
        <f>H258+N258+T258+Z258+AF258+AL258+AR258+AX258</f>
        <v/>
      </c>
    </row>
    <row r="259">
      <c r="A259" t="n">
        <v>253</v>
      </c>
      <c r="B259" s="19">
        <f>MAX(0,$B$3-(E259+K259+Q259+W259+AC259+AI259+AO259+AU259))</f>
        <v/>
      </c>
      <c r="C259">
        <f>H258</f>
        <v/>
      </c>
      <c r="D259">
        <f>C259*Plan!D6/100/12</f>
        <v/>
      </c>
      <c r="E259">
        <f>MIN(Plan!E6,C259+D259)</f>
        <v/>
      </c>
      <c r="F259">
        <f>C259+D259-E259</f>
        <v/>
      </c>
      <c r="G259">
        <f>MIN(F259,MAX(0,$B259-((K$5&lt;E$5)*L259+(Q$5&lt;E$5)*R259+(W$5&lt;E$5)*X259+(AC$5&lt;E$5)*AD259+(AI$5&lt;E$5)*AJ259+(AO$5&lt;E$5)*AP259+(AU$5&lt;E$5)*AV259)))</f>
        <v/>
      </c>
      <c r="H259">
        <f>IF(F259-G259&lt;0.005,0,F259-G259)</f>
        <v/>
      </c>
      <c r="I259">
        <f>N258</f>
        <v/>
      </c>
      <c r="J259">
        <f>I259*Plan!D7/100/12</f>
        <v/>
      </c>
      <c r="K259">
        <f>MIN(Plan!E7,I259+J259)</f>
        <v/>
      </c>
      <c r="L259">
        <f>I259+J259-K259</f>
        <v/>
      </c>
      <c r="M259">
        <f>MIN(L259,MAX(0,$B259-((E$5&lt;K$5)*F259+(Q$5&lt;K$5)*R259+(W$5&lt;K$5)*X259+(AC$5&lt;K$5)*AD259+(AI$5&lt;K$5)*AJ259+(AO$5&lt;K$5)*AP259+(AU$5&lt;K$5)*AV259)))</f>
        <v/>
      </c>
      <c r="N259">
        <f>IF(L259-M259&lt;0.005,0,L259-M259)</f>
        <v/>
      </c>
      <c r="O259">
        <f>T258</f>
        <v/>
      </c>
      <c r="P259">
        <f>O259*Plan!D8/100/12</f>
        <v/>
      </c>
      <c r="Q259">
        <f>MIN(Plan!E8,O259+P259)</f>
        <v/>
      </c>
      <c r="R259">
        <f>O259+P259-Q259</f>
        <v/>
      </c>
      <c r="S259">
        <f>MIN(R259,MAX(0,$B259-((E$5&lt;Q$5)*F259+(K$5&lt;Q$5)*L259+(W$5&lt;Q$5)*X259+(AC$5&lt;Q$5)*AD259+(AI$5&lt;Q$5)*AJ259+(AO$5&lt;Q$5)*AP259+(AU$5&lt;Q$5)*AV259)))</f>
        <v/>
      </c>
      <c r="T259">
        <f>IF(R259-S259&lt;0.005,0,R259-S259)</f>
        <v/>
      </c>
      <c r="U259">
        <f>Z258</f>
        <v/>
      </c>
      <c r="V259">
        <f>U259*Plan!D9/100/12</f>
        <v/>
      </c>
      <c r="W259">
        <f>MIN(Plan!E9,U259+V259)</f>
        <v/>
      </c>
      <c r="X259">
        <f>U259+V259-W259</f>
        <v/>
      </c>
      <c r="Y259">
        <f>MIN(X259,MAX(0,$B259-((E$5&lt;W$5)*F259+(K$5&lt;W$5)*L259+(Q$5&lt;W$5)*R259+(AC$5&lt;W$5)*AD259+(AI$5&lt;W$5)*AJ259+(AO$5&lt;W$5)*AP259+(AU$5&lt;W$5)*AV259)))</f>
        <v/>
      </c>
      <c r="Z259">
        <f>IF(X259-Y259&lt;0.005,0,X259-Y259)</f>
        <v/>
      </c>
      <c r="AA259">
        <f>AF258</f>
        <v/>
      </c>
      <c r="AB259">
        <f>AA259*Plan!D10/100/12</f>
        <v/>
      </c>
      <c r="AC259">
        <f>MIN(Plan!E10,AA259+AB259)</f>
        <v/>
      </c>
      <c r="AD259">
        <f>AA259+AB259-AC259</f>
        <v/>
      </c>
      <c r="AE259">
        <f>MIN(AD259,MAX(0,$B259-((E$5&lt;AC$5)*F259+(K$5&lt;AC$5)*L259+(Q$5&lt;AC$5)*R259+(W$5&lt;AC$5)*X259+(AI$5&lt;AC$5)*AJ259+(AO$5&lt;AC$5)*AP259+(AU$5&lt;AC$5)*AV259)))</f>
        <v/>
      </c>
      <c r="AF259">
        <f>IF(AD259-AE259&lt;0.005,0,AD259-AE259)</f>
        <v/>
      </c>
      <c r="AG259">
        <f>AL258</f>
        <v/>
      </c>
      <c r="AH259">
        <f>AG259*Plan!D11/100/12</f>
        <v/>
      </c>
      <c r="AI259">
        <f>MIN(Plan!E11,AG259+AH259)</f>
        <v/>
      </c>
      <c r="AJ259">
        <f>AG259+AH259-AI259</f>
        <v/>
      </c>
      <c r="AK259">
        <f>MIN(AJ259,MAX(0,$B259-((E$5&lt;AI$5)*F259+(K$5&lt;AI$5)*L259+(Q$5&lt;AI$5)*R259+(W$5&lt;AI$5)*X259+(AC$5&lt;AI$5)*AD259+(AO$5&lt;AI$5)*AP259+(AU$5&lt;AI$5)*AV259)))</f>
        <v/>
      </c>
      <c r="AL259">
        <f>IF(AJ259-AK259&lt;0.005,0,AJ259-AK259)</f>
        <v/>
      </c>
      <c r="AM259">
        <f>AR258</f>
        <v/>
      </c>
      <c r="AN259">
        <f>AM259*Plan!D12/100/12</f>
        <v/>
      </c>
      <c r="AO259">
        <f>MIN(Plan!E12,AM259+AN259)</f>
        <v/>
      </c>
      <c r="AP259">
        <f>AM259+AN259-AO259</f>
        <v/>
      </c>
      <c r="AQ259">
        <f>MIN(AP259,MAX(0,$B259-((E$5&lt;AO$5)*F259+(K$5&lt;AO$5)*L259+(Q$5&lt;AO$5)*R259+(W$5&lt;AO$5)*X259+(AC$5&lt;AO$5)*AD259+(AI$5&lt;AO$5)*AJ259+(AU$5&lt;AO$5)*AV259)))</f>
        <v/>
      </c>
      <c r="AR259">
        <f>IF(AP259-AQ259&lt;0.005,0,AP259-AQ259)</f>
        <v/>
      </c>
      <c r="AS259">
        <f>AX258</f>
        <v/>
      </c>
      <c r="AT259">
        <f>AS259*Plan!D13/100/12</f>
        <v/>
      </c>
      <c r="AU259">
        <f>MIN(Plan!E13,AS259+AT259)</f>
        <v/>
      </c>
      <c r="AV259">
        <f>AS259+AT259-AU259</f>
        <v/>
      </c>
      <c r="AW259">
        <f>MIN(AV259,MAX(0,$B259-((E$5&lt;AU$5)*F259+(K$5&lt;AU$5)*L259+(Q$5&lt;AU$5)*R259+(W$5&lt;AU$5)*X259+(AC$5&lt;AU$5)*AD259+(AI$5&lt;AU$5)*AJ259+(AO$5&lt;AU$5)*AP259)))</f>
        <v/>
      </c>
      <c r="AX259">
        <f>IF(AV259-AW259&lt;0.005,0,AV259-AW259)</f>
        <v/>
      </c>
      <c r="BC259">
        <f>H259+N259+T259+Z259+AF259+AL259+AR259+AX259</f>
        <v/>
      </c>
    </row>
    <row r="260">
      <c r="A260" t="n">
        <v>254</v>
      </c>
      <c r="B260" s="19">
        <f>MAX(0,$B$3-(E260+K260+Q260+W260+AC260+AI260+AO260+AU260))</f>
        <v/>
      </c>
      <c r="C260">
        <f>H259</f>
        <v/>
      </c>
      <c r="D260">
        <f>C260*Plan!D6/100/12</f>
        <v/>
      </c>
      <c r="E260">
        <f>MIN(Plan!E6,C260+D260)</f>
        <v/>
      </c>
      <c r="F260">
        <f>C260+D260-E260</f>
        <v/>
      </c>
      <c r="G260">
        <f>MIN(F260,MAX(0,$B260-((K$5&lt;E$5)*L260+(Q$5&lt;E$5)*R260+(W$5&lt;E$5)*X260+(AC$5&lt;E$5)*AD260+(AI$5&lt;E$5)*AJ260+(AO$5&lt;E$5)*AP260+(AU$5&lt;E$5)*AV260)))</f>
        <v/>
      </c>
      <c r="H260">
        <f>IF(F260-G260&lt;0.005,0,F260-G260)</f>
        <v/>
      </c>
      <c r="I260">
        <f>N259</f>
        <v/>
      </c>
      <c r="J260">
        <f>I260*Plan!D7/100/12</f>
        <v/>
      </c>
      <c r="K260">
        <f>MIN(Plan!E7,I260+J260)</f>
        <v/>
      </c>
      <c r="L260">
        <f>I260+J260-K260</f>
        <v/>
      </c>
      <c r="M260">
        <f>MIN(L260,MAX(0,$B260-((E$5&lt;K$5)*F260+(Q$5&lt;K$5)*R260+(W$5&lt;K$5)*X260+(AC$5&lt;K$5)*AD260+(AI$5&lt;K$5)*AJ260+(AO$5&lt;K$5)*AP260+(AU$5&lt;K$5)*AV260)))</f>
        <v/>
      </c>
      <c r="N260">
        <f>IF(L260-M260&lt;0.005,0,L260-M260)</f>
        <v/>
      </c>
      <c r="O260">
        <f>T259</f>
        <v/>
      </c>
      <c r="P260">
        <f>O260*Plan!D8/100/12</f>
        <v/>
      </c>
      <c r="Q260">
        <f>MIN(Plan!E8,O260+P260)</f>
        <v/>
      </c>
      <c r="R260">
        <f>O260+P260-Q260</f>
        <v/>
      </c>
      <c r="S260">
        <f>MIN(R260,MAX(0,$B260-((E$5&lt;Q$5)*F260+(K$5&lt;Q$5)*L260+(W$5&lt;Q$5)*X260+(AC$5&lt;Q$5)*AD260+(AI$5&lt;Q$5)*AJ260+(AO$5&lt;Q$5)*AP260+(AU$5&lt;Q$5)*AV260)))</f>
        <v/>
      </c>
      <c r="T260">
        <f>IF(R260-S260&lt;0.005,0,R260-S260)</f>
        <v/>
      </c>
      <c r="U260">
        <f>Z259</f>
        <v/>
      </c>
      <c r="V260">
        <f>U260*Plan!D9/100/12</f>
        <v/>
      </c>
      <c r="W260">
        <f>MIN(Plan!E9,U260+V260)</f>
        <v/>
      </c>
      <c r="X260">
        <f>U260+V260-W260</f>
        <v/>
      </c>
      <c r="Y260">
        <f>MIN(X260,MAX(0,$B260-((E$5&lt;W$5)*F260+(K$5&lt;W$5)*L260+(Q$5&lt;W$5)*R260+(AC$5&lt;W$5)*AD260+(AI$5&lt;W$5)*AJ260+(AO$5&lt;W$5)*AP260+(AU$5&lt;W$5)*AV260)))</f>
        <v/>
      </c>
      <c r="Z260">
        <f>IF(X260-Y260&lt;0.005,0,X260-Y260)</f>
        <v/>
      </c>
      <c r="AA260">
        <f>AF259</f>
        <v/>
      </c>
      <c r="AB260">
        <f>AA260*Plan!D10/100/12</f>
        <v/>
      </c>
      <c r="AC260">
        <f>MIN(Plan!E10,AA260+AB260)</f>
        <v/>
      </c>
      <c r="AD260">
        <f>AA260+AB260-AC260</f>
        <v/>
      </c>
      <c r="AE260">
        <f>MIN(AD260,MAX(0,$B260-((E$5&lt;AC$5)*F260+(K$5&lt;AC$5)*L260+(Q$5&lt;AC$5)*R260+(W$5&lt;AC$5)*X260+(AI$5&lt;AC$5)*AJ260+(AO$5&lt;AC$5)*AP260+(AU$5&lt;AC$5)*AV260)))</f>
        <v/>
      </c>
      <c r="AF260">
        <f>IF(AD260-AE260&lt;0.005,0,AD260-AE260)</f>
        <v/>
      </c>
      <c r="AG260">
        <f>AL259</f>
        <v/>
      </c>
      <c r="AH260">
        <f>AG260*Plan!D11/100/12</f>
        <v/>
      </c>
      <c r="AI260">
        <f>MIN(Plan!E11,AG260+AH260)</f>
        <v/>
      </c>
      <c r="AJ260">
        <f>AG260+AH260-AI260</f>
        <v/>
      </c>
      <c r="AK260">
        <f>MIN(AJ260,MAX(0,$B260-((E$5&lt;AI$5)*F260+(K$5&lt;AI$5)*L260+(Q$5&lt;AI$5)*R260+(W$5&lt;AI$5)*X260+(AC$5&lt;AI$5)*AD260+(AO$5&lt;AI$5)*AP260+(AU$5&lt;AI$5)*AV260)))</f>
        <v/>
      </c>
      <c r="AL260">
        <f>IF(AJ260-AK260&lt;0.005,0,AJ260-AK260)</f>
        <v/>
      </c>
      <c r="AM260">
        <f>AR259</f>
        <v/>
      </c>
      <c r="AN260">
        <f>AM260*Plan!D12/100/12</f>
        <v/>
      </c>
      <c r="AO260">
        <f>MIN(Plan!E12,AM260+AN260)</f>
        <v/>
      </c>
      <c r="AP260">
        <f>AM260+AN260-AO260</f>
        <v/>
      </c>
      <c r="AQ260">
        <f>MIN(AP260,MAX(0,$B260-((E$5&lt;AO$5)*F260+(K$5&lt;AO$5)*L260+(Q$5&lt;AO$5)*R260+(W$5&lt;AO$5)*X260+(AC$5&lt;AO$5)*AD260+(AI$5&lt;AO$5)*AJ260+(AU$5&lt;AO$5)*AV260)))</f>
        <v/>
      </c>
      <c r="AR260">
        <f>IF(AP260-AQ260&lt;0.005,0,AP260-AQ260)</f>
        <v/>
      </c>
      <c r="AS260">
        <f>AX259</f>
        <v/>
      </c>
      <c r="AT260">
        <f>AS260*Plan!D13/100/12</f>
        <v/>
      </c>
      <c r="AU260">
        <f>MIN(Plan!E13,AS260+AT260)</f>
        <v/>
      </c>
      <c r="AV260">
        <f>AS260+AT260-AU260</f>
        <v/>
      </c>
      <c r="AW260">
        <f>MIN(AV260,MAX(0,$B260-((E$5&lt;AU$5)*F260+(K$5&lt;AU$5)*L260+(Q$5&lt;AU$5)*R260+(W$5&lt;AU$5)*X260+(AC$5&lt;AU$5)*AD260+(AI$5&lt;AU$5)*AJ260+(AO$5&lt;AU$5)*AP260)))</f>
        <v/>
      </c>
      <c r="AX260">
        <f>IF(AV260-AW260&lt;0.005,0,AV260-AW260)</f>
        <v/>
      </c>
      <c r="BC260">
        <f>H260+N260+T260+Z260+AF260+AL260+AR260+AX260</f>
        <v/>
      </c>
    </row>
    <row r="261">
      <c r="A261" t="n">
        <v>255</v>
      </c>
      <c r="B261" s="19">
        <f>MAX(0,$B$3-(E261+K261+Q261+W261+AC261+AI261+AO261+AU261))</f>
        <v/>
      </c>
      <c r="C261">
        <f>H260</f>
        <v/>
      </c>
      <c r="D261">
        <f>C261*Plan!D6/100/12</f>
        <v/>
      </c>
      <c r="E261">
        <f>MIN(Plan!E6,C261+D261)</f>
        <v/>
      </c>
      <c r="F261">
        <f>C261+D261-E261</f>
        <v/>
      </c>
      <c r="G261">
        <f>MIN(F261,MAX(0,$B261-((K$5&lt;E$5)*L261+(Q$5&lt;E$5)*R261+(W$5&lt;E$5)*X261+(AC$5&lt;E$5)*AD261+(AI$5&lt;E$5)*AJ261+(AO$5&lt;E$5)*AP261+(AU$5&lt;E$5)*AV261)))</f>
        <v/>
      </c>
      <c r="H261">
        <f>IF(F261-G261&lt;0.005,0,F261-G261)</f>
        <v/>
      </c>
      <c r="I261">
        <f>N260</f>
        <v/>
      </c>
      <c r="J261">
        <f>I261*Plan!D7/100/12</f>
        <v/>
      </c>
      <c r="K261">
        <f>MIN(Plan!E7,I261+J261)</f>
        <v/>
      </c>
      <c r="L261">
        <f>I261+J261-K261</f>
        <v/>
      </c>
      <c r="M261">
        <f>MIN(L261,MAX(0,$B261-((E$5&lt;K$5)*F261+(Q$5&lt;K$5)*R261+(W$5&lt;K$5)*X261+(AC$5&lt;K$5)*AD261+(AI$5&lt;K$5)*AJ261+(AO$5&lt;K$5)*AP261+(AU$5&lt;K$5)*AV261)))</f>
        <v/>
      </c>
      <c r="N261">
        <f>IF(L261-M261&lt;0.005,0,L261-M261)</f>
        <v/>
      </c>
      <c r="O261">
        <f>T260</f>
        <v/>
      </c>
      <c r="P261">
        <f>O261*Plan!D8/100/12</f>
        <v/>
      </c>
      <c r="Q261">
        <f>MIN(Plan!E8,O261+P261)</f>
        <v/>
      </c>
      <c r="R261">
        <f>O261+P261-Q261</f>
        <v/>
      </c>
      <c r="S261">
        <f>MIN(R261,MAX(0,$B261-((E$5&lt;Q$5)*F261+(K$5&lt;Q$5)*L261+(W$5&lt;Q$5)*X261+(AC$5&lt;Q$5)*AD261+(AI$5&lt;Q$5)*AJ261+(AO$5&lt;Q$5)*AP261+(AU$5&lt;Q$5)*AV261)))</f>
        <v/>
      </c>
      <c r="T261">
        <f>IF(R261-S261&lt;0.005,0,R261-S261)</f>
        <v/>
      </c>
      <c r="U261">
        <f>Z260</f>
        <v/>
      </c>
      <c r="V261">
        <f>U261*Plan!D9/100/12</f>
        <v/>
      </c>
      <c r="W261">
        <f>MIN(Plan!E9,U261+V261)</f>
        <v/>
      </c>
      <c r="X261">
        <f>U261+V261-W261</f>
        <v/>
      </c>
      <c r="Y261">
        <f>MIN(X261,MAX(0,$B261-((E$5&lt;W$5)*F261+(K$5&lt;W$5)*L261+(Q$5&lt;W$5)*R261+(AC$5&lt;W$5)*AD261+(AI$5&lt;W$5)*AJ261+(AO$5&lt;W$5)*AP261+(AU$5&lt;W$5)*AV261)))</f>
        <v/>
      </c>
      <c r="Z261">
        <f>IF(X261-Y261&lt;0.005,0,X261-Y261)</f>
        <v/>
      </c>
      <c r="AA261">
        <f>AF260</f>
        <v/>
      </c>
      <c r="AB261">
        <f>AA261*Plan!D10/100/12</f>
        <v/>
      </c>
      <c r="AC261">
        <f>MIN(Plan!E10,AA261+AB261)</f>
        <v/>
      </c>
      <c r="AD261">
        <f>AA261+AB261-AC261</f>
        <v/>
      </c>
      <c r="AE261">
        <f>MIN(AD261,MAX(0,$B261-((E$5&lt;AC$5)*F261+(K$5&lt;AC$5)*L261+(Q$5&lt;AC$5)*R261+(W$5&lt;AC$5)*X261+(AI$5&lt;AC$5)*AJ261+(AO$5&lt;AC$5)*AP261+(AU$5&lt;AC$5)*AV261)))</f>
        <v/>
      </c>
      <c r="AF261">
        <f>IF(AD261-AE261&lt;0.005,0,AD261-AE261)</f>
        <v/>
      </c>
      <c r="AG261">
        <f>AL260</f>
        <v/>
      </c>
      <c r="AH261">
        <f>AG261*Plan!D11/100/12</f>
        <v/>
      </c>
      <c r="AI261">
        <f>MIN(Plan!E11,AG261+AH261)</f>
        <v/>
      </c>
      <c r="AJ261">
        <f>AG261+AH261-AI261</f>
        <v/>
      </c>
      <c r="AK261">
        <f>MIN(AJ261,MAX(0,$B261-((E$5&lt;AI$5)*F261+(K$5&lt;AI$5)*L261+(Q$5&lt;AI$5)*R261+(W$5&lt;AI$5)*X261+(AC$5&lt;AI$5)*AD261+(AO$5&lt;AI$5)*AP261+(AU$5&lt;AI$5)*AV261)))</f>
        <v/>
      </c>
      <c r="AL261">
        <f>IF(AJ261-AK261&lt;0.005,0,AJ261-AK261)</f>
        <v/>
      </c>
      <c r="AM261">
        <f>AR260</f>
        <v/>
      </c>
      <c r="AN261">
        <f>AM261*Plan!D12/100/12</f>
        <v/>
      </c>
      <c r="AO261">
        <f>MIN(Plan!E12,AM261+AN261)</f>
        <v/>
      </c>
      <c r="AP261">
        <f>AM261+AN261-AO261</f>
        <v/>
      </c>
      <c r="AQ261">
        <f>MIN(AP261,MAX(0,$B261-((E$5&lt;AO$5)*F261+(K$5&lt;AO$5)*L261+(Q$5&lt;AO$5)*R261+(W$5&lt;AO$5)*X261+(AC$5&lt;AO$5)*AD261+(AI$5&lt;AO$5)*AJ261+(AU$5&lt;AO$5)*AV261)))</f>
        <v/>
      </c>
      <c r="AR261">
        <f>IF(AP261-AQ261&lt;0.005,0,AP261-AQ261)</f>
        <v/>
      </c>
      <c r="AS261">
        <f>AX260</f>
        <v/>
      </c>
      <c r="AT261">
        <f>AS261*Plan!D13/100/12</f>
        <v/>
      </c>
      <c r="AU261">
        <f>MIN(Plan!E13,AS261+AT261)</f>
        <v/>
      </c>
      <c r="AV261">
        <f>AS261+AT261-AU261</f>
        <v/>
      </c>
      <c r="AW261">
        <f>MIN(AV261,MAX(0,$B261-((E$5&lt;AU$5)*F261+(K$5&lt;AU$5)*L261+(Q$5&lt;AU$5)*R261+(W$5&lt;AU$5)*X261+(AC$5&lt;AU$5)*AD261+(AI$5&lt;AU$5)*AJ261+(AO$5&lt;AU$5)*AP261)))</f>
        <v/>
      </c>
      <c r="AX261">
        <f>IF(AV261-AW261&lt;0.005,0,AV261-AW261)</f>
        <v/>
      </c>
      <c r="BC261">
        <f>H261+N261+T261+Z261+AF261+AL261+AR261+AX261</f>
        <v/>
      </c>
    </row>
    <row r="262">
      <c r="A262" t="n">
        <v>256</v>
      </c>
      <c r="B262" s="19">
        <f>MAX(0,$B$3-(E262+K262+Q262+W262+AC262+AI262+AO262+AU262))</f>
        <v/>
      </c>
      <c r="C262">
        <f>H261</f>
        <v/>
      </c>
      <c r="D262">
        <f>C262*Plan!D6/100/12</f>
        <v/>
      </c>
      <c r="E262">
        <f>MIN(Plan!E6,C262+D262)</f>
        <v/>
      </c>
      <c r="F262">
        <f>C262+D262-E262</f>
        <v/>
      </c>
      <c r="G262">
        <f>MIN(F262,MAX(0,$B262-((K$5&lt;E$5)*L262+(Q$5&lt;E$5)*R262+(W$5&lt;E$5)*X262+(AC$5&lt;E$5)*AD262+(AI$5&lt;E$5)*AJ262+(AO$5&lt;E$5)*AP262+(AU$5&lt;E$5)*AV262)))</f>
        <v/>
      </c>
      <c r="H262">
        <f>IF(F262-G262&lt;0.005,0,F262-G262)</f>
        <v/>
      </c>
      <c r="I262">
        <f>N261</f>
        <v/>
      </c>
      <c r="J262">
        <f>I262*Plan!D7/100/12</f>
        <v/>
      </c>
      <c r="K262">
        <f>MIN(Plan!E7,I262+J262)</f>
        <v/>
      </c>
      <c r="L262">
        <f>I262+J262-K262</f>
        <v/>
      </c>
      <c r="M262">
        <f>MIN(L262,MAX(0,$B262-((E$5&lt;K$5)*F262+(Q$5&lt;K$5)*R262+(W$5&lt;K$5)*X262+(AC$5&lt;K$5)*AD262+(AI$5&lt;K$5)*AJ262+(AO$5&lt;K$5)*AP262+(AU$5&lt;K$5)*AV262)))</f>
        <v/>
      </c>
      <c r="N262">
        <f>IF(L262-M262&lt;0.005,0,L262-M262)</f>
        <v/>
      </c>
      <c r="O262">
        <f>T261</f>
        <v/>
      </c>
      <c r="P262">
        <f>O262*Plan!D8/100/12</f>
        <v/>
      </c>
      <c r="Q262">
        <f>MIN(Plan!E8,O262+P262)</f>
        <v/>
      </c>
      <c r="R262">
        <f>O262+P262-Q262</f>
        <v/>
      </c>
      <c r="S262">
        <f>MIN(R262,MAX(0,$B262-((E$5&lt;Q$5)*F262+(K$5&lt;Q$5)*L262+(W$5&lt;Q$5)*X262+(AC$5&lt;Q$5)*AD262+(AI$5&lt;Q$5)*AJ262+(AO$5&lt;Q$5)*AP262+(AU$5&lt;Q$5)*AV262)))</f>
        <v/>
      </c>
      <c r="T262">
        <f>IF(R262-S262&lt;0.005,0,R262-S262)</f>
        <v/>
      </c>
      <c r="U262">
        <f>Z261</f>
        <v/>
      </c>
      <c r="V262">
        <f>U262*Plan!D9/100/12</f>
        <v/>
      </c>
      <c r="W262">
        <f>MIN(Plan!E9,U262+V262)</f>
        <v/>
      </c>
      <c r="X262">
        <f>U262+V262-W262</f>
        <v/>
      </c>
      <c r="Y262">
        <f>MIN(X262,MAX(0,$B262-((E$5&lt;W$5)*F262+(K$5&lt;W$5)*L262+(Q$5&lt;W$5)*R262+(AC$5&lt;W$5)*AD262+(AI$5&lt;W$5)*AJ262+(AO$5&lt;W$5)*AP262+(AU$5&lt;W$5)*AV262)))</f>
        <v/>
      </c>
      <c r="Z262">
        <f>IF(X262-Y262&lt;0.005,0,X262-Y262)</f>
        <v/>
      </c>
      <c r="AA262">
        <f>AF261</f>
        <v/>
      </c>
      <c r="AB262">
        <f>AA262*Plan!D10/100/12</f>
        <v/>
      </c>
      <c r="AC262">
        <f>MIN(Plan!E10,AA262+AB262)</f>
        <v/>
      </c>
      <c r="AD262">
        <f>AA262+AB262-AC262</f>
        <v/>
      </c>
      <c r="AE262">
        <f>MIN(AD262,MAX(0,$B262-((E$5&lt;AC$5)*F262+(K$5&lt;AC$5)*L262+(Q$5&lt;AC$5)*R262+(W$5&lt;AC$5)*X262+(AI$5&lt;AC$5)*AJ262+(AO$5&lt;AC$5)*AP262+(AU$5&lt;AC$5)*AV262)))</f>
        <v/>
      </c>
      <c r="AF262">
        <f>IF(AD262-AE262&lt;0.005,0,AD262-AE262)</f>
        <v/>
      </c>
      <c r="AG262">
        <f>AL261</f>
        <v/>
      </c>
      <c r="AH262">
        <f>AG262*Plan!D11/100/12</f>
        <v/>
      </c>
      <c r="AI262">
        <f>MIN(Plan!E11,AG262+AH262)</f>
        <v/>
      </c>
      <c r="AJ262">
        <f>AG262+AH262-AI262</f>
        <v/>
      </c>
      <c r="AK262">
        <f>MIN(AJ262,MAX(0,$B262-((E$5&lt;AI$5)*F262+(K$5&lt;AI$5)*L262+(Q$5&lt;AI$5)*R262+(W$5&lt;AI$5)*X262+(AC$5&lt;AI$5)*AD262+(AO$5&lt;AI$5)*AP262+(AU$5&lt;AI$5)*AV262)))</f>
        <v/>
      </c>
      <c r="AL262">
        <f>IF(AJ262-AK262&lt;0.005,0,AJ262-AK262)</f>
        <v/>
      </c>
      <c r="AM262">
        <f>AR261</f>
        <v/>
      </c>
      <c r="AN262">
        <f>AM262*Plan!D12/100/12</f>
        <v/>
      </c>
      <c r="AO262">
        <f>MIN(Plan!E12,AM262+AN262)</f>
        <v/>
      </c>
      <c r="AP262">
        <f>AM262+AN262-AO262</f>
        <v/>
      </c>
      <c r="AQ262">
        <f>MIN(AP262,MAX(0,$B262-((E$5&lt;AO$5)*F262+(K$5&lt;AO$5)*L262+(Q$5&lt;AO$5)*R262+(W$5&lt;AO$5)*X262+(AC$5&lt;AO$5)*AD262+(AI$5&lt;AO$5)*AJ262+(AU$5&lt;AO$5)*AV262)))</f>
        <v/>
      </c>
      <c r="AR262">
        <f>IF(AP262-AQ262&lt;0.005,0,AP262-AQ262)</f>
        <v/>
      </c>
      <c r="AS262">
        <f>AX261</f>
        <v/>
      </c>
      <c r="AT262">
        <f>AS262*Plan!D13/100/12</f>
        <v/>
      </c>
      <c r="AU262">
        <f>MIN(Plan!E13,AS262+AT262)</f>
        <v/>
      </c>
      <c r="AV262">
        <f>AS262+AT262-AU262</f>
        <v/>
      </c>
      <c r="AW262">
        <f>MIN(AV262,MAX(0,$B262-((E$5&lt;AU$5)*F262+(K$5&lt;AU$5)*L262+(Q$5&lt;AU$5)*R262+(W$5&lt;AU$5)*X262+(AC$5&lt;AU$5)*AD262+(AI$5&lt;AU$5)*AJ262+(AO$5&lt;AU$5)*AP262)))</f>
        <v/>
      </c>
      <c r="AX262">
        <f>IF(AV262-AW262&lt;0.005,0,AV262-AW262)</f>
        <v/>
      </c>
      <c r="BC262">
        <f>H262+N262+T262+Z262+AF262+AL262+AR262+AX262</f>
        <v/>
      </c>
    </row>
    <row r="263">
      <c r="A263" t="n">
        <v>257</v>
      </c>
      <c r="B263" s="19">
        <f>MAX(0,$B$3-(E263+K263+Q263+W263+AC263+AI263+AO263+AU263))</f>
        <v/>
      </c>
      <c r="C263">
        <f>H262</f>
        <v/>
      </c>
      <c r="D263">
        <f>C263*Plan!D6/100/12</f>
        <v/>
      </c>
      <c r="E263">
        <f>MIN(Plan!E6,C263+D263)</f>
        <v/>
      </c>
      <c r="F263">
        <f>C263+D263-E263</f>
        <v/>
      </c>
      <c r="G263">
        <f>MIN(F263,MAX(0,$B263-((K$5&lt;E$5)*L263+(Q$5&lt;E$5)*R263+(W$5&lt;E$5)*X263+(AC$5&lt;E$5)*AD263+(AI$5&lt;E$5)*AJ263+(AO$5&lt;E$5)*AP263+(AU$5&lt;E$5)*AV263)))</f>
        <v/>
      </c>
      <c r="H263">
        <f>IF(F263-G263&lt;0.005,0,F263-G263)</f>
        <v/>
      </c>
      <c r="I263">
        <f>N262</f>
        <v/>
      </c>
      <c r="J263">
        <f>I263*Plan!D7/100/12</f>
        <v/>
      </c>
      <c r="K263">
        <f>MIN(Plan!E7,I263+J263)</f>
        <v/>
      </c>
      <c r="L263">
        <f>I263+J263-K263</f>
        <v/>
      </c>
      <c r="M263">
        <f>MIN(L263,MAX(0,$B263-((E$5&lt;K$5)*F263+(Q$5&lt;K$5)*R263+(W$5&lt;K$5)*X263+(AC$5&lt;K$5)*AD263+(AI$5&lt;K$5)*AJ263+(AO$5&lt;K$5)*AP263+(AU$5&lt;K$5)*AV263)))</f>
        <v/>
      </c>
      <c r="N263">
        <f>IF(L263-M263&lt;0.005,0,L263-M263)</f>
        <v/>
      </c>
      <c r="O263">
        <f>T262</f>
        <v/>
      </c>
      <c r="P263">
        <f>O263*Plan!D8/100/12</f>
        <v/>
      </c>
      <c r="Q263">
        <f>MIN(Plan!E8,O263+P263)</f>
        <v/>
      </c>
      <c r="R263">
        <f>O263+P263-Q263</f>
        <v/>
      </c>
      <c r="S263">
        <f>MIN(R263,MAX(0,$B263-((E$5&lt;Q$5)*F263+(K$5&lt;Q$5)*L263+(W$5&lt;Q$5)*X263+(AC$5&lt;Q$5)*AD263+(AI$5&lt;Q$5)*AJ263+(AO$5&lt;Q$5)*AP263+(AU$5&lt;Q$5)*AV263)))</f>
        <v/>
      </c>
      <c r="T263">
        <f>IF(R263-S263&lt;0.005,0,R263-S263)</f>
        <v/>
      </c>
      <c r="U263">
        <f>Z262</f>
        <v/>
      </c>
      <c r="V263">
        <f>U263*Plan!D9/100/12</f>
        <v/>
      </c>
      <c r="W263">
        <f>MIN(Plan!E9,U263+V263)</f>
        <v/>
      </c>
      <c r="X263">
        <f>U263+V263-W263</f>
        <v/>
      </c>
      <c r="Y263">
        <f>MIN(X263,MAX(0,$B263-((E$5&lt;W$5)*F263+(K$5&lt;W$5)*L263+(Q$5&lt;W$5)*R263+(AC$5&lt;W$5)*AD263+(AI$5&lt;W$5)*AJ263+(AO$5&lt;W$5)*AP263+(AU$5&lt;W$5)*AV263)))</f>
        <v/>
      </c>
      <c r="Z263">
        <f>IF(X263-Y263&lt;0.005,0,X263-Y263)</f>
        <v/>
      </c>
      <c r="AA263">
        <f>AF262</f>
        <v/>
      </c>
      <c r="AB263">
        <f>AA263*Plan!D10/100/12</f>
        <v/>
      </c>
      <c r="AC263">
        <f>MIN(Plan!E10,AA263+AB263)</f>
        <v/>
      </c>
      <c r="AD263">
        <f>AA263+AB263-AC263</f>
        <v/>
      </c>
      <c r="AE263">
        <f>MIN(AD263,MAX(0,$B263-((E$5&lt;AC$5)*F263+(K$5&lt;AC$5)*L263+(Q$5&lt;AC$5)*R263+(W$5&lt;AC$5)*X263+(AI$5&lt;AC$5)*AJ263+(AO$5&lt;AC$5)*AP263+(AU$5&lt;AC$5)*AV263)))</f>
        <v/>
      </c>
      <c r="AF263">
        <f>IF(AD263-AE263&lt;0.005,0,AD263-AE263)</f>
        <v/>
      </c>
      <c r="AG263">
        <f>AL262</f>
        <v/>
      </c>
      <c r="AH263">
        <f>AG263*Plan!D11/100/12</f>
        <v/>
      </c>
      <c r="AI263">
        <f>MIN(Plan!E11,AG263+AH263)</f>
        <v/>
      </c>
      <c r="AJ263">
        <f>AG263+AH263-AI263</f>
        <v/>
      </c>
      <c r="AK263">
        <f>MIN(AJ263,MAX(0,$B263-((E$5&lt;AI$5)*F263+(K$5&lt;AI$5)*L263+(Q$5&lt;AI$5)*R263+(W$5&lt;AI$5)*X263+(AC$5&lt;AI$5)*AD263+(AO$5&lt;AI$5)*AP263+(AU$5&lt;AI$5)*AV263)))</f>
        <v/>
      </c>
      <c r="AL263">
        <f>IF(AJ263-AK263&lt;0.005,0,AJ263-AK263)</f>
        <v/>
      </c>
      <c r="AM263">
        <f>AR262</f>
        <v/>
      </c>
      <c r="AN263">
        <f>AM263*Plan!D12/100/12</f>
        <v/>
      </c>
      <c r="AO263">
        <f>MIN(Plan!E12,AM263+AN263)</f>
        <v/>
      </c>
      <c r="AP263">
        <f>AM263+AN263-AO263</f>
        <v/>
      </c>
      <c r="AQ263">
        <f>MIN(AP263,MAX(0,$B263-((E$5&lt;AO$5)*F263+(K$5&lt;AO$5)*L263+(Q$5&lt;AO$5)*R263+(W$5&lt;AO$5)*X263+(AC$5&lt;AO$5)*AD263+(AI$5&lt;AO$5)*AJ263+(AU$5&lt;AO$5)*AV263)))</f>
        <v/>
      </c>
      <c r="AR263">
        <f>IF(AP263-AQ263&lt;0.005,0,AP263-AQ263)</f>
        <v/>
      </c>
      <c r="AS263">
        <f>AX262</f>
        <v/>
      </c>
      <c r="AT263">
        <f>AS263*Plan!D13/100/12</f>
        <v/>
      </c>
      <c r="AU263">
        <f>MIN(Plan!E13,AS263+AT263)</f>
        <v/>
      </c>
      <c r="AV263">
        <f>AS263+AT263-AU263</f>
        <v/>
      </c>
      <c r="AW263">
        <f>MIN(AV263,MAX(0,$B263-((E$5&lt;AU$5)*F263+(K$5&lt;AU$5)*L263+(Q$5&lt;AU$5)*R263+(W$5&lt;AU$5)*X263+(AC$5&lt;AU$5)*AD263+(AI$5&lt;AU$5)*AJ263+(AO$5&lt;AU$5)*AP263)))</f>
        <v/>
      </c>
      <c r="AX263">
        <f>IF(AV263-AW263&lt;0.005,0,AV263-AW263)</f>
        <v/>
      </c>
      <c r="BC263">
        <f>H263+N263+T263+Z263+AF263+AL263+AR263+AX263</f>
        <v/>
      </c>
    </row>
    <row r="264">
      <c r="A264" t="n">
        <v>258</v>
      </c>
      <c r="B264" s="19">
        <f>MAX(0,$B$3-(E264+K264+Q264+W264+AC264+AI264+AO264+AU264))</f>
        <v/>
      </c>
      <c r="C264">
        <f>H263</f>
        <v/>
      </c>
      <c r="D264">
        <f>C264*Plan!D6/100/12</f>
        <v/>
      </c>
      <c r="E264">
        <f>MIN(Plan!E6,C264+D264)</f>
        <v/>
      </c>
      <c r="F264">
        <f>C264+D264-E264</f>
        <v/>
      </c>
      <c r="G264">
        <f>MIN(F264,MAX(0,$B264-((K$5&lt;E$5)*L264+(Q$5&lt;E$5)*R264+(W$5&lt;E$5)*X264+(AC$5&lt;E$5)*AD264+(AI$5&lt;E$5)*AJ264+(AO$5&lt;E$5)*AP264+(AU$5&lt;E$5)*AV264)))</f>
        <v/>
      </c>
      <c r="H264">
        <f>IF(F264-G264&lt;0.005,0,F264-G264)</f>
        <v/>
      </c>
      <c r="I264">
        <f>N263</f>
        <v/>
      </c>
      <c r="J264">
        <f>I264*Plan!D7/100/12</f>
        <v/>
      </c>
      <c r="K264">
        <f>MIN(Plan!E7,I264+J264)</f>
        <v/>
      </c>
      <c r="L264">
        <f>I264+J264-K264</f>
        <v/>
      </c>
      <c r="M264">
        <f>MIN(L264,MAX(0,$B264-((E$5&lt;K$5)*F264+(Q$5&lt;K$5)*R264+(W$5&lt;K$5)*X264+(AC$5&lt;K$5)*AD264+(AI$5&lt;K$5)*AJ264+(AO$5&lt;K$5)*AP264+(AU$5&lt;K$5)*AV264)))</f>
        <v/>
      </c>
      <c r="N264">
        <f>IF(L264-M264&lt;0.005,0,L264-M264)</f>
        <v/>
      </c>
      <c r="O264">
        <f>T263</f>
        <v/>
      </c>
      <c r="P264">
        <f>O264*Plan!D8/100/12</f>
        <v/>
      </c>
      <c r="Q264">
        <f>MIN(Plan!E8,O264+P264)</f>
        <v/>
      </c>
      <c r="R264">
        <f>O264+P264-Q264</f>
        <v/>
      </c>
      <c r="S264">
        <f>MIN(R264,MAX(0,$B264-((E$5&lt;Q$5)*F264+(K$5&lt;Q$5)*L264+(W$5&lt;Q$5)*X264+(AC$5&lt;Q$5)*AD264+(AI$5&lt;Q$5)*AJ264+(AO$5&lt;Q$5)*AP264+(AU$5&lt;Q$5)*AV264)))</f>
        <v/>
      </c>
      <c r="T264">
        <f>IF(R264-S264&lt;0.005,0,R264-S264)</f>
        <v/>
      </c>
      <c r="U264">
        <f>Z263</f>
        <v/>
      </c>
      <c r="V264">
        <f>U264*Plan!D9/100/12</f>
        <v/>
      </c>
      <c r="W264">
        <f>MIN(Plan!E9,U264+V264)</f>
        <v/>
      </c>
      <c r="X264">
        <f>U264+V264-W264</f>
        <v/>
      </c>
      <c r="Y264">
        <f>MIN(X264,MAX(0,$B264-((E$5&lt;W$5)*F264+(K$5&lt;W$5)*L264+(Q$5&lt;W$5)*R264+(AC$5&lt;W$5)*AD264+(AI$5&lt;W$5)*AJ264+(AO$5&lt;W$5)*AP264+(AU$5&lt;W$5)*AV264)))</f>
        <v/>
      </c>
      <c r="Z264">
        <f>IF(X264-Y264&lt;0.005,0,X264-Y264)</f>
        <v/>
      </c>
      <c r="AA264">
        <f>AF263</f>
        <v/>
      </c>
      <c r="AB264">
        <f>AA264*Plan!D10/100/12</f>
        <v/>
      </c>
      <c r="AC264">
        <f>MIN(Plan!E10,AA264+AB264)</f>
        <v/>
      </c>
      <c r="AD264">
        <f>AA264+AB264-AC264</f>
        <v/>
      </c>
      <c r="AE264">
        <f>MIN(AD264,MAX(0,$B264-((E$5&lt;AC$5)*F264+(K$5&lt;AC$5)*L264+(Q$5&lt;AC$5)*R264+(W$5&lt;AC$5)*X264+(AI$5&lt;AC$5)*AJ264+(AO$5&lt;AC$5)*AP264+(AU$5&lt;AC$5)*AV264)))</f>
        <v/>
      </c>
      <c r="AF264">
        <f>IF(AD264-AE264&lt;0.005,0,AD264-AE264)</f>
        <v/>
      </c>
      <c r="AG264">
        <f>AL263</f>
        <v/>
      </c>
      <c r="AH264">
        <f>AG264*Plan!D11/100/12</f>
        <v/>
      </c>
      <c r="AI264">
        <f>MIN(Plan!E11,AG264+AH264)</f>
        <v/>
      </c>
      <c r="AJ264">
        <f>AG264+AH264-AI264</f>
        <v/>
      </c>
      <c r="AK264">
        <f>MIN(AJ264,MAX(0,$B264-((E$5&lt;AI$5)*F264+(K$5&lt;AI$5)*L264+(Q$5&lt;AI$5)*R264+(W$5&lt;AI$5)*X264+(AC$5&lt;AI$5)*AD264+(AO$5&lt;AI$5)*AP264+(AU$5&lt;AI$5)*AV264)))</f>
        <v/>
      </c>
      <c r="AL264">
        <f>IF(AJ264-AK264&lt;0.005,0,AJ264-AK264)</f>
        <v/>
      </c>
      <c r="AM264">
        <f>AR263</f>
        <v/>
      </c>
      <c r="AN264">
        <f>AM264*Plan!D12/100/12</f>
        <v/>
      </c>
      <c r="AO264">
        <f>MIN(Plan!E12,AM264+AN264)</f>
        <v/>
      </c>
      <c r="AP264">
        <f>AM264+AN264-AO264</f>
        <v/>
      </c>
      <c r="AQ264">
        <f>MIN(AP264,MAX(0,$B264-((E$5&lt;AO$5)*F264+(K$5&lt;AO$5)*L264+(Q$5&lt;AO$5)*R264+(W$5&lt;AO$5)*X264+(AC$5&lt;AO$5)*AD264+(AI$5&lt;AO$5)*AJ264+(AU$5&lt;AO$5)*AV264)))</f>
        <v/>
      </c>
      <c r="AR264">
        <f>IF(AP264-AQ264&lt;0.005,0,AP264-AQ264)</f>
        <v/>
      </c>
      <c r="AS264">
        <f>AX263</f>
        <v/>
      </c>
      <c r="AT264">
        <f>AS264*Plan!D13/100/12</f>
        <v/>
      </c>
      <c r="AU264">
        <f>MIN(Plan!E13,AS264+AT264)</f>
        <v/>
      </c>
      <c r="AV264">
        <f>AS264+AT264-AU264</f>
        <v/>
      </c>
      <c r="AW264">
        <f>MIN(AV264,MAX(0,$B264-((E$5&lt;AU$5)*F264+(K$5&lt;AU$5)*L264+(Q$5&lt;AU$5)*R264+(W$5&lt;AU$5)*X264+(AC$5&lt;AU$5)*AD264+(AI$5&lt;AU$5)*AJ264+(AO$5&lt;AU$5)*AP264)))</f>
        <v/>
      </c>
      <c r="AX264">
        <f>IF(AV264-AW264&lt;0.005,0,AV264-AW264)</f>
        <v/>
      </c>
      <c r="BC264">
        <f>H264+N264+T264+Z264+AF264+AL264+AR264+AX264</f>
        <v/>
      </c>
    </row>
    <row r="265">
      <c r="A265" t="n">
        <v>259</v>
      </c>
      <c r="B265" s="19">
        <f>MAX(0,$B$3-(E265+K265+Q265+W265+AC265+AI265+AO265+AU265))</f>
        <v/>
      </c>
      <c r="C265">
        <f>H264</f>
        <v/>
      </c>
      <c r="D265">
        <f>C265*Plan!D6/100/12</f>
        <v/>
      </c>
      <c r="E265">
        <f>MIN(Plan!E6,C265+D265)</f>
        <v/>
      </c>
      <c r="F265">
        <f>C265+D265-E265</f>
        <v/>
      </c>
      <c r="G265">
        <f>MIN(F265,MAX(0,$B265-((K$5&lt;E$5)*L265+(Q$5&lt;E$5)*R265+(W$5&lt;E$5)*X265+(AC$5&lt;E$5)*AD265+(AI$5&lt;E$5)*AJ265+(AO$5&lt;E$5)*AP265+(AU$5&lt;E$5)*AV265)))</f>
        <v/>
      </c>
      <c r="H265">
        <f>IF(F265-G265&lt;0.005,0,F265-G265)</f>
        <v/>
      </c>
      <c r="I265">
        <f>N264</f>
        <v/>
      </c>
      <c r="J265">
        <f>I265*Plan!D7/100/12</f>
        <v/>
      </c>
      <c r="K265">
        <f>MIN(Plan!E7,I265+J265)</f>
        <v/>
      </c>
      <c r="L265">
        <f>I265+J265-K265</f>
        <v/>
      </c>
      <c r="M265">
        <f>MIN(L265,MAX(0,$B265-((E$5&lt;K$5)*F265+(Q$5&lt;K$5)*R265+(W$5&lt;K$5)*X265+(AC$5&lt;K$5)*AD265+(AI$5&lt;K$5)*AJ265+(AO$5&lt;K$5)*AP265+(AU$5&lt;K$5)*AV265)))</f>
        <v/>
      </c>
      <c r="N265">
        <f>IF(L265-M265&lt;0.005,0,L265-M265)</f>
        <v/>
      </c>
      <c r="O265">
        <f>T264</f>
        <v/>
      </c>
      <c r="P265">
        <f>O265*Plan!D8/100/12</f>
        <v/>
      </c>
      <c r="Q265">
        <f>MIN(Plan!E8,O265+P265)</f>
        <v/>
      </c>
      <c r="R265">
        <f>O265+P265-Q265</f>
        <v/>
      </c>
      <c r="S265">
        <f>MIN(R265,MAX(0,$B265-((E$5&lt;Q$5)*F265+(K$5&lt;Q$5)*L265+(W$5&lt;Q$5)*X265+(AC$5&lt;Q$5)*AD265+(AI$5&lt;Q$5)*AJ265+(AO$5&lt;Q$5)*AP265+(AU$5&lt;Q$5)*AV265)))</f>
        <v/>
      </c>
      <c r="T265">
        <f>IF(R265-S265&lt;0.005,0,R265-S265)</f>
        <v/>
      </c>
      <c r="U265">
        <f>Z264</f>
        <v/>
      </c>
      <c r="V265">
        <f>U265*Plan!D9/100/12</f>
        <v/>
      </c>
      <c r="W265">
        <f>MIN(Plan!E9,U265+V265)</f>
        <v/>
      </c>
      <c r="X265">
        <f>U265+V265-W265</f>
        <v/>
      </c>
      <c r="Y265">
        <f>MIN(X265,MAX(0,$B265-((E$5&lt;W$5)*F265+(K$5&lt;W$5)*L265+(Q$5&lt;W$5)*R265+(AC$5&lt;W$5)*AD265+(AI$5&lt;W$5)*AJ265+(AO$5&lt;W$5)*AP265+(AU$5&lt;W$5)*AV265)))</f>
        <v/>
      </c>
      <c r="Z265">
        <f>IF(X265-Y265&lt;0.005,0,X265-Y265)</f>
        <v/>
      </c>
      <c r="AA265">
        <f>AF264</f>
        <v/>
      </c>
      <c r="AB265">
        <f>AA265*Plan!D10/100/12</f>
        <v/>
      </c>
      <c r="AC265">
        <f>MIN(Plan!E10,AA265+AB265)</f>
        <v/>
      </c>
      <c r="AD265">
        <f>AA265+AB265-AC265</f>
        <v/>
      </c>
      <c r="AE265">
        <f>MIN(AD265,MAX(0,$B265-((E$5&lt;AC$5)*F265+(K$5&lt;AC$5)*L265+(Q$5&lt;AC$5)*R265+(W$5&lt;AC$5)*X265+(AI$5&lt;AC$5)*AJ265+(AO$5&lt;AC$5)*AP265+(AU$5&lt;AC$5)*AV265)))</f>
        <v/>
      </c>
      <c r="AF265">
        <f>IF(AD265-AE265&lt;0.005,0,AD265-AE265)</f>
        <v/>
      </c>
      <c r="AG265">
        <f>AL264</f>
        <v/>
      </c>
      <c r="AH265">
        <f>AG265*Plan!D11/100/12</f>
        <v/>
      </c>
      <c r="AI265">
        <f>MIN(Plan!E11,AG265+AH265)</f>
        <v/>
      </c>
      <c r="AJ265">
        <f>AG265+AH265-AI265</f>
        <v/>
      </c>
      <c r="AK265">
        <f>MIN(AJ265,MAX(0,$B265-((E$5&lt;AI$5)*F265+(K$5&lt;AI$5)*L265+(Q$5&lt;AI$5)*R265+(W$5&lt;AI$5)*X265+(AC$5&lt;AI$5)*AD265+(AO$5&lt;AI$5)*AP265+(AU$5&lt;AI$5)*AV265)))</f>
        <v/>
      </c>
      <c r="AL265">
        <f>IF(AJ265-AK265&lt;0.005,0,AJ265-AK265)</f>
        <v/>
      </c>
      <c r="AM265">
        <f>AR264</f>
        <v/>
      </c>
      <c r="AN265">
        <f>AM265*Plan!D12/100/12</f>
        <v/>
      </c>
      <c r="AO265">
        <f>MIN(Plan!E12,AM265+AN265)</f>
        <v/>
      </c>
      <c r="AP265">
        <f>AM265+AN265-AO265</f>
        <v/>
      </c>
      <c r="AQ265">
        <f>MIN(AP265,MAX(0,$B265-((E$5&lt;AO$5)*F265+(K$5&lt;AO$5)*L265+(Q$5&lt;AO$5)*R265+(W$5&lt;AO$5)*X265+(AC$5&lt;AO$5)*AD265+(AI$5&lt;AO$5)*AJ265+(AU$5&lt;AO$5)*AV265)))</f>
        <v/>
      </c>
      <c r="AR265">
        <f>IF(AP265-AQ265&lt;0.005,0,AP265-AQ265)</f>
        <v/>
      </c>
      <c r="AS265">
        <f>AX264</f>
        <v/>
      </c>
      <c r="AT265">
        <f>AS265*Plan!D13/100/12</f>
        <v/>
      </c>
      <c r="AU265">
        <f>MIN(Plan!E13,AS265+AT265)</f>
        <v/>
      </c>
      <c r="AV265">
        <f>AS265+AT265-AU265</f>
        <v/>
      </c>
      <c r="AW265">
        <f>MIN(AV265,MAX(0,$B265-((E$5&lt;AU$5)*F265+(K$5&lt;AU$5)*L265+(Q$5&lt;AU$5)*R265+(W$5&lt;AU$5)*X265+(AC$5&lt;AU$5)*AD265+(AI$5&lt;AU$5)*AJ265+(AO$5&lt;AU$5)*AP265)))</f>
        <v/>
      </c>
      <c r="AX265">
        <f>IF(AV265-AW265&lt;0.005,0,AV265-AW265)</f>
        <v/>
      </c>
      <c r="BC265">
        <f>H265+N265+T265+Z265+AF265+AL265+AR265+AX265</f>
        <v/>
      </c>
    </row>
    <row r="266">
      <c r="A266" t="n">
        <v>260</v>
      </c>
      <c r="B266" s="19">
        <f>MAX(0,$B$3-(E266+K266+Q266+W266+AC266+AI266+AO266+AU266))</f>
        <v/>
      </c>
      <c r="C266">
        <f>H265</f>
        <v/>
      </c>
      <c r="D266">
        <f>C266*Plan!D6/100/12</f>
        <v/>
      </c>
      <c r="E266">
        <f>MIN(Plan!E6,C266+D266)</f>
        <v/>
      </c>
      <c r="F266">
        <f>C266+D266-E266</f>
        <v/>
      </c>
      <c r="G266">
        <f>MIN(F266,MAX(0,$B266-((K$5&lt;E$5)*L266+(Q$5&lt;E$5)*R266+(W$5&lt;E$5)*X266+(AC$5&lt;E$5)*AD266+(AI$5&lt;E$5)*AJ266+(AO$5&lt;E$5)*AP266+(AU$5&lt;E$5)*AV266)))</f>
        <v/>
      </c>
      <c r="H266">
        <f>IF(F266-G266&lt;0.005,0,F266-G266)</f>
        <v/>
      </c>
      <c r="I266">
        <f>N265</f>
        <v/>
      </c>
      <c r="J266">
        <f>I266*Plan!D7/100/12</f>
        <v/>
      </c>
      <c r="K266">
        <f>MIN(Plan!E7,I266+J266)</f>
        <v/>
      </c>
      <c r="L266">
        <f>I266+J266-K266</f>
        <v/>
      </c>
      <c r="M266">
        <f>MIN(L266,MAX(0,$B266-((E$5&lt;K$5)*F266+(Q$5&lt;K$5)*R266+(W$5&lt;K$5)*X266+(AC$5&lt;K$5)*AD266+(AI$5&lt;K$5)*AJ266+(AO$5&lt;K$5)*AP266+(AU$5&lt;K$5)*AV266)))</f>
        <v/>
      </c>
      <c r="N266">
        <f>IF(L266-M266&lt;0.005,0,L266-M266)</f>
        <v/>
      </c>
      <c r="O266">
        <f>T265</f>
        <v/>
      </c>
      <c r="P266">
        <f>O266*Plan!D8/100/12</f>
        <v/>
      </c>
      <c r="Q266">
        <f>MIN(Plan!E8,O266+P266)</f>
        <v/>
      </c>
      <c r="R266">
        <f>O266+P266-Q266</f>
        <v/>
      </c>
      <c r="S266">
        <f>MIN(R266,MAX(0,$B266-((E$5&lt;Q$5)*F266+(K$5&lt;Q$5)*L266+(W$5&lt;Q$5)*X266+(AC$5&lt;Q$5)*AD266+(AI$5&lt;Q$5)*AJ266+(AO$5&lt;Q$5)*AP266+(AU$5&lt;Q$5)*AV266)))</f>
        <v/>
      </c>
      <c r="T266">
        <f>IF(R266-S266&lt;0.005,0,R266-S266)</f>
        <v/>
      </c>
      <c r="U266">
        <f>Z265</f>
        <v/>
      </c>
      <c r="V266">
        <f>U266*Plan!D9/100/12</f>
        <v/>
      </c>
      <c r="W266">
        <f>MIN(Plan!E9,U266+V266)</f>
        <v/>
      </c>
      <c r="X266">
        <f>U266+V266-W266</f>
        <v/>
      </c>
      <c r="Y266">
        <f>MIN(X266,MAX(0,$B266-((E$5&lt;W$5)*F266+(K$5&lt;W$5)*L266+(Q$5&lt;W$5)*R266+(AC$5&lt;W$5)*AD266+(AI$5&lt;W$5)*AJ266+(AO$5&lt;W$5)*AP266+(AU$5&lt;W$5)*AV266)))</f>
        <v/>
      </c>
      <c r="Z266">
        <f>IF(X266-Y266&lt;0.005,0,X266-Y266)</f>
        <v/>
      </c>
      <c r="AA266">
        <f>AF265</f>
        <v/>
      </c>
      <c r="AB266">
        <f>AA266*Plan!D10/100/12</f>
        <v/>
      </c>
      <c r="AC266">
        <f>MIN(Plan!E10,AA266+AB266)</f>
        <v/>
      </c>
      <c r="AD266">
        <f>AA266+AB266-AC266</f>
        <v/>
      </c>
      <c r="AE266">
        <f>MIN(AD266,MAX(0,$B266-((E$5&lt;AC$5)*F266+(K$5&lt;AC$5)*L266+(Q$5&lt;AC$5)*R266+(W$5&lt;AC$5)*X266+(AI$5&lt;AC$5)*AJ266+(AO$5&lt;AC$5)*AP266+(AU$5&lt;AC$5)*AV266)))</f>
        <v/>
      </c>
      <c r="AF266">
        <f>IF(AD266-AE266&lt;0.005,0,AD266-AE266)</f>
        <v/>
      </c>
      <c r="AG266">
        <f>AL265</f>
        <v/>
      </c>
      <c r="AH266">
        <f>AG266*Plan!D11/100/12</f>
        <v/>
      </c>
      <c r="AI266">
        <f>MIN(Plan!E11,AG266+AH266)</f>
        <v/>
      </c>
      <c r="AJ266">
        <f>AG266+AH266-AI266</f>
        <v/>
      </c>
      <c r="AK266">
        <f>MIN(AJ266,MAX(0,$B266-((E$5&lt;AI$5)*F266+(K$5&lt;AI$5)*L266+(Q$5&lt;AI$5)*R266+(W$5&lt;AI$5)*X266+(AC$5&lt;AI$5)*AD266+(AO$5&lt;AI$5)*AP266+(AU$5&lt;AI$5)*AV266)))</f>
        <v/>
      </c>
      <c r="AL266">
        <f>IF(AJ266-AK266&lt;0.005,0,AJ266-AK266)</f>
        <v/>
      </c>
      <c r="AM266">
        <f>AR265</f>
        <v/>
      </c>
      <c r="AN266">
        <f>AM266*Plan!D12/100/12</f>
        <v/>
      </c>
      <c r="AO266">
        <f>MIN(Plan!E12,AM266+AN266)</f>
        <v/>
      </c>
      <c r="AP266">
        <f>AM266+AN266-AO266</f>
        <v/>
      </c>
      <c r="AQ266">
        <f>MIN(AP266,MAX(0,$B266-((E$5&lt;AO$5)*F266+(K$5&lt;AO$5)*L266+(Q$5&lt;AO$5)*R266+(W$5&lt;AO$5)*X266+(AC$5&lt;AO$5)*AD266+(AI$5&lt;AO$5)*AJ266+(AU$5&lt;AO$5)*AV266)))</f>
        <v/>
      </c>
      <c r="AR266">
        <f>IF(AP266-AQ266&lt;0.005,0,AP266-AQ266)</f>
        <v/>
      </c>
      <c r="AS266">
        <f>AX265</f>
        <v/>
      </c>
      <c r="AT266">
        <f>AS266*Plan!D13/100/12</f>
        <v/>
      </c>
      <c r="AU266">
        <f>MIN(Plan!E13,AS266+AT266)</f>
        <v/>
      </c>
      <c r="AV266">
        <f>AS266+AT266-AU266</f>
        <v/>
      </c>
      <c r="AW266">
        <f>MIN(AV266,MAX(0,$B266-((E$5&lt;AU$5)*F266+(K$5&lt;AU$5)*L266+(Q$5&lt;AU$5)*R266+(W$5&lt;AU$5)*X266+(AC$5&lt;AU$5)*AD266+(AI$5&lt;AU$5)*AJ266+(AO$5&lt;AU$5)*AP266)))</f>
        <v/>
      </c>
      <c r="AX266">
        <f>IF(AV266-AW266&lt;0.005,0,AV266-AW266)</f>
        <v/>
      </c>
      <c r="BC266">
        <f>H266+N266+T266+Z266+AF266+AL266+AR266+AX266</f>
        <v/>
      </c>
    </row>
    <row r="267">
      <c r="A267" t="n">
        <v>261</v>
      </c>
      <c r="B267" s="19">
        <f>MAX(0,$B$3-(E267+K267+Q267+W267+AC267+AI267+AO267+AU267))</f>
        <v/>
      </c>
      <c r="C267">
        <f>H266</f>
        <v/>
      </c>
      <c r="D267">
        <f>C267*Plan!D6/100/12</f>
        <v/>
      </c>
      <c r="E267">
        <f>MIN(Plan!E6,C267+D267)</f>
        <v/>
      </c>
      <c r="F267">
        <f>C267+D267-E267</f>
        <v/>
      </c>
      <c r="G267">
        <f>MIN(F267,MAX(0,$B267-((K$5&lt;E$5)*L267+(Q$5&lt;E$5)*R267+(W$5&lt;E$5)*X267+(AC$5&lt;E$5)*AD267+(AI$5&lt;E$5)*AJ267+(AO$5&lt;E$5)*AP267+(AU$5&lt;E$5)*AV267)))</f>
        <v/>
      </c>
      <c r="H267">
        <f>IF(F267-G267&lt;0.005,0,F267-G267)</f>
        <v/>
      </c>
      <c r="I267">
        <f>N266</f>
        <v/>
      </c>
      <c r="J267">
        <f>I267*Plan!D7/100/12</f>
        <v/>
      </c>
      <c r="K267">
        <f>MIN(Plan!E7,I267+J267)</f>
        <v/>
      </c>
      <c r="L267">
        <f>I267+J267-K267</f>
        <v/>
      </c>
      <c r="M267">
        <f>MIN(L267,MAX(0,$B267-((E$5&lt;K$5)*F267+(Q$5&lt;K$5)*R267+(W$5&lt;K$5)*X267+(AC$5&lt;K$5)*AD267+(AI$5&lt;K$5)*AJ267+(AO$5&lt;K$5)*AP267+(AU$5&lt;K$5)*AV267)))</f>
        <v/>
      </c>
      <c r="N267">
        <f>IF(L267-M267&lt;0.005,0,L267-M267)</f>
        <v/>
      </c>
      <c r="O267">
        <f>T266</f>
        <v/>
      </c>
      <c r="P267">
        <f>O267*Plan!D8/100/12</f>
        <v/>
      </c>
      <c r="Q267">
        <f>MIN(Plan!E8,O267+P267)</f>
        <v/>
      </c>
      <c r="R267">
        <f>O267+P267-Q267</f>
        <v/>
      </c>
      <c r="S267">
        <f>MIN(R267,MAX(0,$B267-((E$5&lt;Q$5)*F267+(K$5&lt;Q$5)*L267+(W$5&lt;Q$5)*X267+(AC$5&lt;Q$5)*AD267+(AI$5&lt;Q$5)*AJ267+(AO$5&lt;Q$5)*AP267+(AU$5&lt;Q$5)*AV267)))</f>
        <v/>
      </c>
      <c r="T267">
        <f>IF(R267-S267&lt;0.005,0,R267-S267)</f>
        <v/>
      </c>
      <c r="U267">
        <f>Z266</f>
        <v/>
      </c>
      <c r="V267">
        <f>U267*Plan!D9/100/12</f>
        <v/>
      </c>
      <c r="W267">
        <f>MIN(Plan!E9,U267+V267)</f>
        <v/>
      </c>
      <c r="X267">
        <f>U267+V267-W267</f>
        <v/>
      </c>
      <c r="Y267">
        <f>MIN(X267,MAX(0,$B267-((E$5&lt;W$5)*F267+(K$5&lt;W$5)*L267+(Q$5&lt;W$5)*R267+(AC$5&lt;W$5)*AD267+(AI$5&lt;W$5)*AJ267+(AO$5&lt;W$5)*AP267+(AU$5&lt;W$5)*AV267)))</f>
        <v/>
      </c>
      <c r="Z267">
        <f>IF(X267-Y267&lt;0.005,0,X267-Y267)</f>
        <v/>
      </c>
      <c r="AA267">
        <f>AF266</f>
        <v/>
      </c>
      <c r="AB267">
        <f>AA267*Plan!D10/100/12</f>
        <v/>
      </c>
      <c r="AC267">
        <f>MIN(Plan!E10,AA267+AB267)</f>
        <v/>
      </c>
      <c r="AD267">
        <f>AA267+AB267-AC267</f>
        <v/>
      </c>
      <c r="AE267">
        <f>MIN(AD267,MAX(0,$B267-((E$5&lt;AC$5)*F267+(K$5&lt;AC$5)*L267+(Q$5&lt;AC$5)*R267+(W$5&lt;AC$5)*X267+(AI$5&lt;AC$5)*AJ267+(AO$5&lt;AC$5)*AP267+(AU$5&lt;AC$5)*AV267)))</f>
        <v/>
      </c>
      <c r="AF267">
        <f>IF(AD267-AE267&lt;0.005,0,AD267-AE267)</f>
        <v/>
      </c>
      <c r="AG267">
        <f>AL266</f>
        <v/>
      </c>
      <c r="AH267">
        <f>AG267*Plan!D11/100/12</f>
        <v/>
      </c>
      <c r="AI267">
        <f>MIN(Plan!E11,AG267+AH267)</f>
        <v/>
      </c>
      <c r="AJ267">
        <f>AG267+AH267-AI267</f>
        <v/>
      </c>
      <c r="AK267">
        <f>MIN(AJ267,MAX(0,$B267-((E$5&lt;AI$5)*F267+(K$5&lt;AI$5)*L267+(Q$5&lt;AI$5)*R267+(W$5&lt;AI$5)*X267+(AC$5&lt;AI$5)*AD267+(AO$5&lt;AI$5)*AP267+(AU$5&lt;AI$5)*AV267)))</f>
        <v/>
      </c>
      <c r="AL267">
        <f>IF(AJ267-AK267&lt;0.005,0,AJ267-AK267)</f>
        <v/>
      </c>
      <c r="AM267">
        <f>AR266</f>
        <v/>
      </c>
      <c r="AN267">
        <f>AM267*Plan!D12/100/12</f>
        <v/>
      </c>
      <c r="AO267">
        <f>MIN(Plan!E12,AM267+AN267)</f>
        <v/>
      </c>
      <c r="AP267">
        <f>AM267+AN267-AO267</f>
        <v/>
      </c>
      <c r="AQ267">
        <f>MIN(AP267,MAX(0,$B267-((E$5&lt;AO$5)*F267+(K$5&lt;AO$5)*L267+(Q$5&lt;AO$5)*R267+(W$5&lt;AO$5)*X267+(AC$5&lt;AO$5)*AD267+(AI$5&lt;AO$5)*AJ267+(AU$5&lt;AO$5)*AV267)))</f>
        <v/>
      </c>
      <c r="AR267">
        <f>IF(AP267-AQ267&lt;0.005,0,AP267-AQ267)</f>
        <v/>
      </c>
      <c r="AS267">
        <f>AX266</f>
        <v/>
      </c>
      <c r="AT267">
        <f>AS267*Plan!D13/100/12</f>
        <v/>
      </c>
      <c r="AU267">
        <f>MIN(Plan!E13,AS267+AT267)</f>
        <v/>
      </c>
      <c r="AV267">
        <f>AS267+AT267-AU267</f>
        <v/>
      </c>
      <c r="AW267">
        <f>MIN(AV267,MAX(0,$B267-((E$5&lt;AU$5)*F267+(K$5&lt;AU$5)*L267+(Q$5&lt;AU$5)*R267+(W$5&lt;AU$5)*X267+(AC$5&lt;AU$5)*AD267+(AI$5&lt;AU$5)*AJ267+(AO$5&lt;AU$5)*AP267)))</f>
        <v/>
      </c>
      <c r="AX267">
        <f>IF(AV267-AW267&lt;0.005,0,AV267-AW267)</f>
        <v/>
      </c>
      <c r="BC267">
        <f>H267+N267+T267+Z267+AF267+AL267+AR267+AX267</f>
        <v/>
      </c>
    </row>
    <row r="268">
      <c r="A268" t="n">
        <v>262</v>
      </c>
      <c r="B268" s="19">
        <f>MAX(0,$B$3-(E268+K268+Q268+W268+AC268+AI268+AO268+AU268))</f>
        <v/>
      </c>
      <c r="C268">
        <f>H267</f>
        <v/>
      </c>
      <c r="D268">
        <f>C268*Plan!D6/100/12</f>
        <v/>
      </c>
      <c r="E268">
        <f>MIN(Plan!E6,C268+D268)</f>
        <v/>
      </c>
      <c r="F268">
        <f>C268+D268-E268</f>
        <v/>
      </c>
      <c r="G268">
        <f>MIN(F268,MAX(0,$B268-((K$5&lt;E$5)*L268+(Q$5&lt;E$5)*R268+(W$5&lt;E$5)*X268+(AC$5&lt;E$5)*AD268+(AI$5&lt;E$5)*AJ268+(AO$5&lt;E$5)*AP268+(AU$5&lt;E$5)*AV268)))</f>
        <v/>
      </c>
      <c r="H268">
        <f>IF(F268-G268&lt;0.005,0,F268-G268)</f>
        <v/>
      </c>
      <c r="I268">
        <f>N267</f>
        <v/>
      </c>
      <c r="J268">
        <f>I268*Plan!D7/100/12</f>
        <v/>
      </c>
      <c r="K268">
        <f>MIN(Plan!E7,I268+J268)</f>
        <v/>
      </c>
      <c r="L268">
        <f>I268+J268-K268</f>
        <v/>
      </c>
      <c r="M268">
        <f>MIN(L268,MAX(0,$B268-((E$5&lt;K$5)*F268+(Q$5&lt;K$5)*R268+(W$5&lt;K$5)*X268+(AC$5&lt;K$5)*AD268+(AI$5&lt;K$5)*AJ268+(AO$5&lt;K$5)*AP268+(AU$5&lt;K$5)*AV268)))</f>
        <v/>
      </c>
      <c r="N268">
        <f>IF(L268-M268&lt;0.005,0,L268-M268)</f>
        <v/>
      </c>
      <c r="O268">
        <f>T267</f>
        <v/>
      </c>
      <c r="P268">
        <f>O268*Plan!D8/100/12</f>
        <v/>
      </c>
      <c r="Q268">
        <f>MIN(Plan!E8,O268+P268)</f>
        <v/>
      </c>
      <c r="R268">
        <f>O268+P268-Q268</f>
        <v/>
      </c>
      <c r="S268">
        <f>MIN(R268,MAX(0,$B268-((E$5&lt;Q$5)*F268+(K$5&lt;Q$5)*L268+(W$5&lt;Q$5)*X268+(AC$5&lt;Q$5)*AD268+(AI$5&lt;Q$5)*AJ268+(AO$5&lt;Q$5)*AP268+(AU$5&lt;Q$5)*AV268)))</f>
        <v/>
      </c>
      <c r="T268">
        <f>IF(R268-S268&lt;0.005,0,R268-S268)</f>
        <v/>
      </c>
      <c r="U268">
        <f>Z267</f>
        <v/>
      </c>
      <c r="V268">
        <f>U268*Plan!D9/100/12</f>
        <v/>
      </c>
      <c r="W268">
        <f>MIN(Plan!E9,U268+V268)</f>
        <v/>
      </c>
      <c r="X268">
        <f>U268+V268-W268</f>
        <v/>
      </c>
      <c r="Y268">
        <f>MIN(X268,MAX(0,$B268-((E$5&lt;W$5)*F268+(K$5&lt;W$5)*L268+(Q$5&lt;W$5)*R268+(AC$5&lt;W$5)*AD268+(AI$5&lt;W$5)*AJ268+(AO$5&lt;W$5)*AP268+(AU$5&lt;W$5)*AV268)))</f>
        <v/>
      </c>
      <c r="Z268">
        <f>IF(X268-Y268&lt;0.005,0,X268-Y268)</f>
        <v/>
      </c>
      <c r="AA268">
        <f>AF267</f>
        <v/>
      </c>
      <c r="AB268">
        <f>AA268*Plan!D10/100/12</f>
        <v/>
      </c>
      <c r="AC268">
        <f>MIN(Plan!E10,AA268+AB268)</f>
        <v/>
      </c>
      <c r="AD268">
        <f>AA268+AB268-AC268</f>
        <v/>
      </c>
      <c r="AE268">
        <f>MIN(AD268,MAX(0,$B268-((E$5&lt;AC$5)*F268+(K$5&lt;AC$5)*L268+(Q$5&lt;AC$5)*R268+(W$5&lt;AC$5)*X268+(AI$5&lt;AC$5)*AJ268+(AO$5&lt;AC$5)*AP268+(AU$5&lt;AC$5)*AV268)))</f>
        <v/>
      </c>
      <c r="AF268">
        <f>IF(AD268-AE268&lt;0.005,0,AD268-AE268)</f>
        <v/>
      </c>
      <c r="AG268">
        <f>AL267</f>
        <v/>
      </c>
      <c r="AH268">
        <f>AG268*Plan!D11/100/12</f>
        <v/>
      </c>
      <c r="AI268">
        <f>MIN(Plan!E11,AG268+AH268)</f>
        <v/>
      </c>
      <c r="AJ268">
        <f>AG268+AH268-AI268</f>
        <v/>
      </c>
      <c r="AK268">
        <f>MIN(AJ268,MAX(0,$B268-((E$5&lt;AI$5)*F268+(K$5&lt;AI$5)*L268+(Q$5&lt;AI$5)*R268+(W$5&lt;AI$5)*X268+(AC$5&lt;AI$5)*AD268+(AO$5&lt;AI$5)*AP268+(AU$5&lt;AI$5)*AV268)))</f>
        <v/>
      </c>
      <c r="AL268">
        <f>IF(AJ268-AK268&lt;0.005,0,AJ268-AK268)</f>
        <v/>
      </c>
      <c r="AM268">
        <f>AR267</f>
        <v/>
      </c>
      <c r="AN268">
        <f>AM268*Plan!D12/100/12</f>
        <v/>
      </c>
      <c r="AO268">
        <f>MIN(Plan!E12,AM268+AN268)</f>
        <v/>
      </c>
      <c r="AP268">
        <f>AM268+AN268-AO268</f>
        <v/>
      </c>
      <c r="AQ268">
        <f>MIN(AP268,MAX(0,$B268-((E$5&lt;AO$5)*F268+(K$5&lt;AO$5)*L268+(Q$5&lt;AO$5)*R268+(W$5&lt;AO$5)*X268+(AC$5&lt;AO$5)*AD268+(AI$5&lt;AO$5)*AJ268+(AU$5&lt;AO$5)*AV268)))</f>
        <v/>
      </c>
      <c r="AR268">
        <f>IF(AP268-AQ268&lt;0.005,0,AP268-AQ268)</f>
        <v/>
      </c>
      <c r="AS268">
        <f>AX267</f>
        <v/>
      </c>
      <c r="AT268">
        <f>AS268*Plan!D13/100/12</f>
        <v/>
      </c>
      <c r="AU268">
        <f>MIN(Plan!E13,AS268+AT268)</f>
        <v/>
      </c>
      <c r="AV268">
        <f>AS268+AT268-AU268</f>
        <v/>
      </c>
      <c r="AW268">
        <f>MIN(AV268,MAX(0,$B268-((E$5&lt;AU$5)*F268+(K$5&lt;AU$5)*L268+(Q$5&lt;AU$5)*R268+(W$5&lt;AU$5)*X268+(AC$5&lt;AU$5)*AD268+(AI$5&lt;AU$5)*AJ268+(AO$5&lt;AU$5)*AP268)))</f>
        <v/>
      </c>
      <c r="AX268">
        <f>IF(AV268-AW268&lt;0.005,0,AV268-AW268)</f>
        <v/>
      </c>
      <c r="BC268">
        <f>H268+N268+T268+Z268+AF268+AL268+AR268+AX268</f>
        <v/>
      </c>
    </row>
    <row r="269">
      <c r="A269" t="n">
        <v>263</v>
      </c>
      <c r="B269" s="19">
        <f>MAX(0,$B$3-(E269+K269+Q269+W269+AC269+AI269+AO269+AU269))</f>
        <v/>
      </c>
      <c r="C269">
        <f>H268</f>
        <v/>
      </c>
      <c r="D269">
        <f>C269*Plan!D6/100/12</f>
        <v/>
      </c>
      <c r="E269">
        <f>MIN(Plan!E6,C269+D269)</f>
        <v/>
      </c>
      <c r="F269">
        <f>C269+D269-E269</f>
        <v/>
      </c>
      <c r="G269">
        <f>MIN(F269,MAX(0,$B269-((K$5&lt;E$5)*L269+(Q$5&lt;E$5)*R269+(W$5&lt;E$5)*X269+(AC$5&lt;E$5)*AD269+(AI$5&lt;E$5)*AJ269+(AO$5&lt;E$5)*AP269+(AU$5&lt;E$5)*AV269)))</f>
        <v/>
      </c>
      <c r="H269">
        <f>IF(F269-G269&lt;0.005,0,F269-G269)</f>
        <v/>
      </c>
      <c r="I269">
        <f>N268</f>
        <v/>
      </c>
      <c r="J269">
        <f>I269*Plan!D7/100/12</f>
        <v/>
      </c>
      <c r="K269">
        <f>MIN(Plan!E7,I269+J269)</f>
        <v/>
      </c>
      <c r="L269">
        <f>I269+J269-K269</f>
        <v/>
      </c>
      <c r="M269">
        <f>MIN(L269,MAX(0,$B269-((E$5&lt;K$5)*F269+(Q$5&lt;K$5)*R269+(W$5&lt;K$5)*X269+(AC$5&lt;K$5)*AD269+(AI$5&lt;K$5)*AJ269+(AO$5&lt;K$5)*AP269+(AU$5&lt;K$5)*AV269)))</f>
        <v/>
      </c>
      <c r="N269">
        <f>IF(L269-M269&lt;0.005,0,L269-M269)</f>
        <v/>
      </c>
      <c r="O269">
        <f>T268</f>
        <v/>
      </c>
      <c r="P269">
        <f>O269*Plan!D8/100/12</f>
        <v/>
      </c>
      <c r="Q269">
        <f>MIN(Plan!E8,O269+P269)</f>
        <v/>
      </c>
      <c r="R269">
        <f>O269+P269-Q269</f>
        <v/>
      </c>
      <c r="S269">
        <f>MIN(R269,MAX(0,$B269-((E$5&lt;Q$5)*F269+(K$5&lt;Q$5)*L269+(W$5&lt;Q$5)*X269+(AC$5&lt;Q$5)*AD269+(AI$5&lt;Q$5)*AJ269+(AO$5&lt;Q$5)*AP269+(AU$5&lt;Q$5)*AV269)))</f>
        <v/>
      </c>
      <c r="T269">
        <f>IF(R269-S269&lt;0.005,0,R269-S269)</f>
        <v/>
      </c>
      <c r="U269">
        <f>Z268</f>
        <v/>
      </c>
      <c r="V269">
        <f>U269*Plan!D9/100/12</f>
        <v/>
      </c>
      <c r="W269">
        <f>MIN(Plan!E9,U269+V269)</f>
        <v/>
      </c>
      <c r="X269">
        <f>U269+V269-W269</f>
        <v/>
      </c>
      <c r="Y269">
        <f>MIN(X269,MAX(0,$B269-((E$5&lt;W$5)*F269+(K$5&lt;W$5)*L269+(Q$5&lt;W$5)*R269+(AC$5&lt;W$5)*AD269+(AI$5&lt;W$5)*AJ269+(AO$5&lt;W$5)*AP269+(AU$5&lt;W$5)*AV269)))</f>
        <v/>
      </c>
      <c r="Z269">
        <f>IF(X269-Y269&lt;0.005,0,X269-Y269)</f>
        <v/>
      </c>
      <c r="AA269">
        <f>AF268</f>
        <v/>
      </c>
      <c r="AB269">
        <f>AA269*Plan!D10/100/12</f>
        <v/>
      </c>
      <c r="AC269">
        <f>MIN(Plan!E10,AA269+AB269)</f>
        <v/>
      </c>
      <c r="AD269">
        <f>AA269+AB269-AC269</f>
        <v/>
      </c>
      <c r="AE269">
        <f>MIN(AD269,MAX(0,$B269-((E$5&lt;AC$5)*F269+(K$5&lt;AC$5)*L269+(Q$5&lt;AC$5)*R269+(W$5&lt;AC$5)*X269+(AI$5&lt;AC$5)*AJ269+(AO$5&lt;AC$5)*AP269+(AU$5&lt;AC$5)*AV269)))</f>
        <v/>
      </c>
      <c r="AF269">
        <f>IF(AD269-AE269&lt;0.005,0,AD269-AE269)</f>
        <v/>
      </c>
      <c r="AG269">
        <f>AL268</f>
        <v/>
      </c>
      <c r="AH269">
        <f>AG269*Plan!D11/100/12</f>
        <v/>
      </c>
      <c r="AI269">
        <f>MIN(Plan!E11,AG269+AH269)</f>
        <v/>
      </c>
      <c r="AJ269">
        <f>AG269+AH269-AI269</f>
        <v/>
      </c>
      <c r="AK269">
        <f>MIN(AJ269,MAX(0,$B269-((E$5&lt;AI$5)*F269+(K$5&lt;AI$5)*L269+(Q$5&lt;AI$5)*R269+(W$5&lt;AI$5)*X269+(AC$5&lt;AI$5)*AD269+(AO$5&lt;AI$5)*AP269+(AU$5&lt;AI$5)*AV269)))</f>
        <v/>
      </c>
      <c r="AL269">
        <f>IF(AJ269-AK269&lt;0.005,0,AJ269-AK269)</f>
        <v/>
      </c>
      <c r="AM269">
        <f>AR268</f>
        <v/>
      </c>
      <c r="AN269">
        <f>AM269*Plan!D12/100/12</f>
        <v/>
      </c>
      <c r="AO269">
        <f>MIN(Plan!E12,AM269+AN269)</f>
        <v/>
      </c>
      <c r="AP269">
        <f>AM269+AN269-AO269</f>
        <v/>
      </c>
      <c r="AQ269">
        <f>MIN(AP269,MAX(0,$B269-((E$5&lt;AO$5)*F269+(K$5&lt;AO$5)*L269+(Q$5&lt;AO$5)*R269+(W$5&lt;AO$5)*X269+(AC$5&lt;AO$5)*AD269+(AI$5&lt;AO$5)*AJ269+(AU$5&lt;AO$5)*AV269)))</f>
        <v/>
      </c>
      <c r="AR269">
        <f>IF(AP269-AQ269&lt;0.005,0,AP269-AQ269)</f>
        <v/>
      </c>
      <c r="AS269">
        <f>AX268</f>
        <v/>
      </c>
      <c r="AT269">
        <f>AS269*Plan!D13/100/12</f>
        <v/>
      </c>
      <c r="AU269">
        <f>MIN(Plan!E13,AS269+AT269)</f>
        <v/>
      </c>
      <c r="AV269">
        <f>AS269+AT269-AU269</f>
        <v/>
      </c>
      <c r="AW269">
        <f>MIN(AV269,MAX(0,$B269-((E$5&lt;AU$5)*F269+(K$5&lt;AU$5)*L269+(Q$5&lt;AU$5)*R269+(W$5&lt;AU$5)*X269+(AC$5&lt;AU$5)*AD269+(AI$5&lt;AU$5)*AJ269+(AO$5&lt;AU$5)*AP269)))</f>
        <v/>
      </c>
      <c r="AX269">
        <f>IF(AV269-AW269&lt;0.005,0,AV269-AW269)</f>
        <v/>
      </c>
      <c r="BC269">
        <f>H269+N269+T269+Z269+AF269+AL269+AR269+AX269</f>
        <v/>
      </c>
    </row>
    <row r="270">
      <c r="A270" t="n">
        <v>264</v>
      </c>
      <c r="B270" s="19">
        <f>MAX(0,$B$3-(E270+K270+Q270+W270+AC270+AI270+AO270+AU270))</f>
        <v/>
      </c>
      <c r="C270">
        <f>H269</f>
        <v/>
      </c>
      <c r="D270">
        <f>C270*Plan!D6/100/12</f>
        <v/>
      </c>
      <c r="E270">
        <f>MIN(Plan!E6,C270+D270)</f>
        <v/>
      </c>
      <c r="F270">
        <f>C270+D270-E270</f>
        <v/>
      </c>
      <c r="G270">
        <f>MIN(F270,MAX(0,$B270-((K$5&lt;E$5)*L270+(Q$5&lt;E$5)*R270+(W$5&lt;E$5)*X270+(AC$5&lt;E$5)*AD270+(AI$5&lt;E$5)*AJ270+(AO$5&lt;E$5)*AP270+(AU$5&lt;E$5)*AV270)))</f>
        <v/>
      </c>
      <c r="H270">
        <f>IF(F270-G270&lt;0.005,0,F270-G270)</f>
        <v/>
      </c>
      <c r="I270">
        <f>N269</f>
        <v/>
      </c>
      <c r="J270">
        <f>I270*Plan!D7/100/12</f>
        <v/>
      </c>
      <c r="K270">
        <f>MIN(Plan!E7,I270+J270)</f>
        <v/>
      </c>
      <c r="L270">
        <f>I270+J270-K270</f>
        <v/>
      </c>
      <c r="M270">
        <f>MIN(L270,MAX(0,$B270-((E$5&lt;K$5)*F270+(Q$5&lt;K$5)*R270+(W$5&lt;K$5)*X270+(AC$5&lt;K$5)*AD270+(AI$5&lt;K$5)*AJ270+(AO$5&lt;K$5)*AP270+(AU$5&lt;K$5)*AV270)))</f>
        <v/>
      </c>
      <c r="N270">
        <f>IF(L270-M270&lt;0.005,0,L270-M270)</f>
        <v/>
      </c>
      <c r="O270">
        <f>T269</f>
        <v/>
      </c>
      <c r="P270">
        <f>O270*Plan!D8/100/12</f>
        <v/>
      </c>
      <c r="Q270">
        <f>MIN(Plan!E8,O270+P270)</f>
        <v/>
      </c>
      <c r="R270">
        <f>O270+P270-Q270</f>
        <v/>
      </c>
      <c r="S270">
        <f>MIN(R270,MAX(0,$B270-((E$5&lt;Q$5)*F270+(K$5&lt;Q$5)*L270+(W$5&lt;Q$5)*X270+(AC$5&lt;Q$5)*AD270+(AI$5&lt;Q$5)*AJ270+(AO$5&lt;Q$5)*AP270+(AU$5&lt;Q$5)*AV270)))</f>
        <v/>
      </c>
      <c r="T270">
        <f>IF(R270-S270&lt;0.005,0,R270-S270)</f>
        <v/>
      </c>
      <c r="U270">
        <f>Z269</f>
        <v/>
      </c>
      <c r="V270">
        <f>U270*Plan!D9/100/12</f>
        <v/>
      </c>
      <c r="W270">
        <f>MIN(Plan!E9,U270+V270)</f>
        <v/>
      </c>
      <c r="X270">
        <f>U270+V270-W270</f>
        <v/>
      </c>
      <c r="Y270">
        <f>MIN(X270,MAX(0,$B270-((E$5&lt;W$5)*F270+(K$5&lt;W$5)*L270+(Q$5&lt;W$5)*R270+(AC$5&lt;W$5)*AD270+(AI$5&lt;W$5)*AJ270+(AO$5&lt;W$5)*AP270+(AU$5&lt;W$5)*AV270)))</f>
        <v/>
      </c>
      <c r="Z270">
        <f>IF(X270-Y270&lt;0.005,0,X270-Y270)</f>
        <v/>
      </c>
      <c r="AA270">
        <f>AF269</f>
        <v/>
      </c>
      <c r="AB270">
        <f>AA270*Plan!D10/100/12</f>
        <v/>
      </c>
      <c r="AC270">
        <f>MIN(Plan!E10,AA270+AB270)</f>
        <v/>
      </c>
      <c r="AD270">
        <f>AA270+AB270-AC270</f>
        <v/>
      </c>
      <c r="AE270">
        <f>MIN(AD270,MAX(0,$B270-((E$5&lt;AC$5)*F270+(K$5&lt;AC$5)*L270+(Q$5&lt;AC$5)*R270+(W$5&lt;AC$5)*X270+(AI$5&lt;AC$5)*AJ270+(AO$5&lt;AC$5)*AP270+(AU$5&lt;AC$5)*AV270)))</f>
        <v/>
      </c>
      <c r="AF270">
        <f>IF(AD270-AE270&lt;0.005,0,AD270-AE270)</f>
        <v/>
      </c>
      <c r="AG270">
        <f>AL269</f>
        <v/>
      </c>
      <c r="AH270">
        <f>AG270*Plan!D11/100/12</f>
        <v/>
      </c>
      <c r="AI270">
        <f>MIN(Plan!E11,AG270+AH270)</f>
        <v/>
      </c>
      <c r="AJ270">
        <f>AG270+AH270-AI270</f>
        <v/>
      </c>
      <c r="AK270">
        <f>MIN(AJ270,MAX(0,$B270-((E$5&lt;AI$5)*F270+(K$5&lt;AI$5)*L270+(Q$5&lt;AI$5)*R270+(W$5&lt;AI$5)*X270+(AC$5&lt;AI$5)*AD270+(AO$5&lt;AI$5)*AP270+(AU$5&lt;AI$5)*AV270)))</f>
        <v/>
      </c>
      <c r="AL270">
        <f>IF(AJ270-AK270&lt;0.005,0,AJ270-AK270)</f>
        <v/>
      </c>
      <c r="AM270">
        <f>AR269</f>
        <v/>
      </c>
      <c r="AN270">
        <f>AM270*Plan!D12/100/12</f>
        <v/>
      </c>
      <c r="AO270">
        <f>MIN(Plan!E12,AM270+AN270)</f>
        <v/>
      </c>
      <c r="AP270">
        <f>AM270+AN270-AO270</f>
        <v/>
      </c>
      <c r="AQ270">
        <f>MIN(AP270,MAX(0,$B270-((E$5&lt;AO$5)*F270+(K$5&lt;AO$5)*L270+(Q$5&lt;AO$5)*R270+(W$5&lt;AO$5)*X270+(AC$5&lt;AO$5)*AD270+(AI$5&lt;AO$5)*AJ270+(AU$5&lt;AO$5)*AV270)))</f>
        <v/>
      </c>
      <c r="AR270">
        <f>IF(AP270-AQ270&lt;0.005,0,AP270-AQ270)</f>
        <v/>
      </c>
      <c r="AS270">
        <f>AX269</f>
        <v/>
      </c>
      <c r="AT270">
        <f>AS270*Plan!D13/100/12</f>
        <v/>
      </c>
      <c r="AU270">
        <f>MIN(Plan!E13,AS270+AT270)</f>
        <v/>
      </c>
      <c r="AV270">
        <f>AS270+AT270-AU270</f>
        <v/>
      </c>
      <c r="AW270">
        <f>MIN(AV270,MAX(0,$B270-((E$5&lt;AU$5)*F270+(K$5&lt;AU$5)*L270+(Q$5&lt;AU$5)*R270+(W$5&lt;AU$5)*X270+(AC$5&lt;AU$5)*AD270+(AI$5&lt;AU$5)*AJ270+(AO$5&lt;AU$5)*AP270)))</f>
        <v/>
      </c>
      <c r="AX270">
        <f>IF(AV270-AW270&lt;0.005,0,AV270-AW270)</f>
        <v/>
      </c>
      <c r="BC270">
        <f>H270+N270+T270+Z270+AF270+AL270+AR270+AX270</f>
        <v/>
      </c>
    </row>
    <row r="271">
      <c r="A271" t="n">
        <v>265</v>
      </c>
      <c r="B271" s="19">
        <f>MAX(0,$B$3-(E271+K271+Q271+W271+AC271+AI271+AO271+AU271))</f>
        <v/>
      </c>
      <c r="C271">
        <f>H270</f>
        <v/>
      </c>
      <c r="D271">
        <f>C271*Plan!D6/100/12</f>
        <v/>
      </c>
      <c r="E271">
        <f>MIN(Plan!E6,C271+D271)</f>
        <v/>
      </c>
      <c r="F271">
        <f>C271+D271-E271</f>
        <v/>
      </c>
      <c r="G271">
        <f>MIN(F271,MAX(0,$B271-((K$5&lt;E$5)*L271+(Q$5&lt;E$5)*R271+(W$5&lt;E$5)*X271+(AC$5&lt;E$5)*AD271+(AI$5&lt;E$5)*AJ271+(AO$5&lt;E$5)*AP271+(AU$5&lt;E$5)*AV271)))</f>
        <v/>
      </c>
      <c r="H271">
        <f>IF(F271-G271&lt;0.005,0,F271-G271)</f>
        <v/>
      </c>
      <c r="I271">
        <f>N270</f>
        <v/>
      </c>
      <c r="J271">
        <f>I271*Plan!D7/100/12</f>
        <v/>
      </c>
      <c r="K271">
        <f>MIN(Plan!E7,I271+J271)</f>
        <v/>
      </c>
      <c r="L271">
        <f>I271+J271-K271</f>
        <v/>
      </c>
      <c r="M271">
        <f>MIN(L271,MAX(0,$B271-((E$5&lt;K$5)*F271+(Q$5&lt;K$5)*R271+(W$5&lt;K$5)*X271+(AC$5&lt;K$5)*AD271+(AI$5&lt;K$5)*AJ271+(AO$5&lt;K$5)*AP271+(AU$5&lt;K$5)*AV271)))</f>
        <v/>
      </c>
      <c r="N271">
        <f>IF(L271-M271&lt;0.005,0,L271-M271)</f>
        <v/>
      </c>
      <c r="O271">
        <f>T270</f>
        <v/>
      </c>
      <c r="P271">
        <f>O271*Plan!D8/100/12</f>
        <v/>
      </c>
      <c r="Q271">
        <f>MIN(Plan!E8,O271+P271)</f>
        <v/>
      </c>
      <c r="R271">
        <f>O271+P271-Q271</f>
        <v/>
      </c>
      <c r="S271">
        <f>MIN(R271,MAX(0,$B271-((E$5&lt;Q$5)*F271+(K$5&lt;Q$5)*L271+(W$5&lt;Q$5)*X271+(AC$5&lt;Q$5)*AD271+(AI$5&lt;Q$5)*AJ271+(AO$5&lt;Q$5)*AP271+(AU$5&lt;Q$5)*AV271)))</f>
        <v/>
      </c>
      <c r="T271">
        <f>IF(R271-S271&lt;0.005,0,R271-S271)</f>
        <v/>
      </c>
      <c r="U271">
        <f>Z270</f>
        <v/>
      </c>
      <c r="V271">
        <f>U271*Plan!D9/100/12</f>
        <v/>
      </c>
      <c r="W271">
        <f>MIN(Plan!E9,U271+V271)</f>
        <v/>
      </c>
      <c r="X271">
        <f>U271+V271-W271</f>
        <v/>
      </c>
      <c r="Y271">
        <f>MIN(X271,MAX(0,$B271-((E$5&lt;W$5)*F271+(K$5&lt;W$5)*L271+(Q$5&lt;W$5)*R271+(AC$5&lt;W$5)*AD271+(AI$5&lt;W$5)*AJ271+(AO$5&lt;W$5)*AP271+(AU$5&lt;W$5)*AV271)))</f>
        <v/>
      </c>
      <c r="Z271">
        <f>IF(X271-Y271&lt;0.005,0,X271-Y271)</f>
        <v/>
      </c>
      <c r="AA271">
        <f>AF270</f>
        <v/>
      </c>
      <c r="AB271">
        <f>AA271*Plan!D10/100/12</f>
        <v/>
      </c>
      <c r="AC271">
        <f>MIN(Plan!E10,AA271+AB271)</f>
        <v/>
      </c>
      <c r="AD271">
        <f>AA271+AB271-AC271</f>
        <v/>
      </c>
      <c r="AE271">
        <f>MIN(AD271,MAX(0,$B271-((E$5&lt;AC$5)*F271+(K$5&lt;AC$5)*L271+(Q$5&lt;AC$5)*R271+(W$5&lt;AC$5)*X271+(AI$5&lt;AC$5)*AJ271+(AO$5&lt;AC$5)*AP271+(AU$5&lt;AC$5)*AV271)))</f>
        <v/>
      </c>
      <c r="AF271">
        <f>IF(AD271-AE271&lt;0.005,0,AD271-AE271)</f>
        <v/>
      </c>
      <c r="AG271">
        <f>AL270</f>
        <v/>
      </c>
      <c r="AH271">
        <f>AG271*Plan!D11/100/12</f>
        <v/>
      </c>
      <c r="AI271">
        <f>MIN(Plan!E11,AG271+AH271)</f>
        <v/>
      </c>
      <c r="AJ271">
        <f>AG271+AH271-AI271</f>
        <v/>
      </c>
      <c r="AK271">
        <f>MIN(AJ271,MAX(0,$B271-((E$5&lt;AI$5)*F271+(K$5&lt;AI$5)*L271+(Q$5&lt;AI$5)*R271+(W$5&lt;AI$5)*X271+(AC$5&lt;AI$5)*AD271+(AO$5&lt;AI$5)*AP271+(AU$5&lt;AI$5)*AV271)))</f>
        <v/>
      </c>
      <c r="AL271">
        <f>IF(AJ271-AK271&lt;0.005,0,AJ271-AK271)</f>
        <v/>
      </c>
      <c r="AM271">
        <f>AR270</f>
        <v/>
      </c>
      <c r="AN271">
        <f>AM271*Plan!D12/100/12</f>
        <v/>
      </c>
      <c r="AO271">
        <f>MIN(Plan!E12,AM271+AN271)</f>
        <v/>
      </c>
      <c r="AP271">
        <f>AM271+AN271-AO271</f>
        <v/>
      </c>
      <c r="AQ271">
        <f>MIN(AP271,MAX(0,$B271-((E$5&lt;AO$5)*F271+(K$5&lt;AO$5)*L271+(Q$5&lt;AO$5)*R271+(W$5&lt;AO$5)*X271+(AC$5&lt;AO$5)*AD271+(AI$5&lt;AO$5)*AJ271+(AU$5&lt;AO$5)*AV271)))</f>
        <v/>
      </c>
      <c r="AR271">
        <f>IF(AP271-AQ271&lt;0.005,0,AP271-AQ271)</f>
        <v/>
      </c>
      <c r="AS271">
        <f>AX270</f>
        <v/>
      </c>
      <c r="AT271">
        <f>AS271*Plan!D13/100/12</f>
        <v/>
      </c>
      <c r="AU271">
        <f>MIN(Plan!E13,AS271+AT271)</f>
        <v/>
      </c>
      <c r="AV271">
        <f>AS271+AT271-AU271</f>
        <v/>
      </c>
      <c r="AW271">
        <f>MIN(AV271,MAX(0,$B271-((E$5&lt;AU$5)*F271+(K$5&lt;AU$5)*L271+(Q$5&lt;AU$5)*R271+(W$5&lt;AU$5)*X271+(AC$5&lt;AU$5)*AD271+(AI$5&lt;AU$5)*AJ271+(AO$5&lt;AU$5)*AP271)))</f>
        <v/>
      </c>
      <c r="AX271">
        <f>IF(AV271-AW271&lt;0.005,0,AV271-AW271)</f>
        <v/>
      </c>
      <c r="BC271">
        <f>H271+N271+T271+Z271+AF271+AL271+AR271+AX271</f>
        <v/>
      </c>
    </row>
    <row r="272">
      <c r="A272" t="n">
        <v>266</v>
      </c>
      <c r="B272" s="19">
        <f>MAX(0,$B$3-(E272+K272+Q272+W272+AC272+AI272+AO272+AU272))</f>
        <v/>
      </c>
      <c r="C272">
        <f>H271</f>
        <v/>
      </c>
      <c r="D272">
        <f>C272*Plan!D6/100/12</f>
        <v/>
      </c>
      <c r="E272">
        <f>MIN(Plan!E6,C272+D272)</f>
        <v/>
      </c>
      <c r="F272">
        <f>C272+D272-E272</f>
        <v/>
      </c>
      <c r="G272">
        <f>MIN(F272,MAX(0,$B272-((K$5&lt;E$5)*L272+(Q$5&lt;E$5)*R272+(W$5&lt;E$5)*X272+(AC$5&lt;E$5)*AD272+(AI$5&lt;E$5)*AJ272+(AO$5&lt;E$5)*AP272+(AU$5&lt;E$5)*AV272)))</f>
        <v/>
      </c>
      <c r="H272">
        <f>IF(F272-G272&lt;0.005,0,F272-G272)</f>
        <v/>
      </c>
      <c r="I272">
        <f>N271</f>
        <v/>
      </c>
      <c r="J272">
        <f>I272*Plan!D7/100/12</f>
        <v/>
      </c>
      <c r="K272">
        <f>MIN(Plan!E7,I272+J272)</f>
        <v/>
      </c>
      <c r="L272">
        <f>I272+J272-K272</f>
        <v/>
      </c>
      <c r="M272">
        <f>MIN(L272,MAX(0,$B272-((E$5&lt;K$5)*F272+(Q$5&lt;K$5)*R272+(W$5&lt;K$5)*X272+(AC$5&lt;K$5)*AD272+(AI$5&lt;K$5)*AJ272+(AO$5&lt;K$5)*AP272+(AU$5&lt;K$5)*AV272)))</f>
        <v/>
      </c>
      <c r="N272">
        <f>IF(L272-M272&lt;0.005,0,L272-M272)</f>
        <v/>
      </c>
      <c r="O272">
        <f>T271</f>
        <v/>
      </c>
      <c r="P272">
        <f>O272*Plan!D8/100/12</f>
        <v/>
      </c>
      <c r="Q272">
        <f>MIN(Plan!E8,O272+P272)</f>
        <v/>
      </c>
      <c r="R272">
        <f>O272+P272-Q272</f>
        <v/>
      </c>
      <c r="S272">
        <f>MIN(R272,MAX(0,$B272-((E$5&lt;Q$5)*F272+(K$5&lt;Q$5)*L272+(W$5&lt;Q$5)*X272+(AC$5&lt;Q$5)*AD272+(AI$5&lt;Q$5)*AJ272+(AO$5&lt;Q$5)*AP272+(AU$5&lt;Q$5)*AV272)))</f>
        <v/>
      </c>
      <c r="T272">
        <f>IF(R272-S272&lt;0.005,0,R272-S272)</f>
        <v/>
      </c>
      <c r="U272">
        <f>Z271</f>
        <v/>
      </c>
      <c r="V272">
        <f>U272*Plan!D9/100/12</f>
        <v/>
      </c>
      <c r="W272">
        <f>MIN(Plan!E9,U272+V272)</f>
        <v/>
      </c>
      <c r="X272">
        <f>U272+V272-W272</f>
        <v/>
      </c>
      <c r="Y272">
        <f>MIN(X272,MAX(0,$B272-((E$5&lt;W$5)*F272+(K$5&lt;W$5)*L272+(Q$5&lt;W$5)*R272+(AC$5&lt;W$5)*AD272+(AI$5&lt;W$5)*AJ272+(AO$5&lt;W$5)*AP272+(AU$5&lt;W$5)*AV272)))</f>
        <v/>
      </c>
      <c r="Z272">
        <f>IF(X272-Y272&lt;0.005,0,X272-Y272)</f>
        <v/>
      </c>
      <c r="AA272">
        <f>AF271</f>
        <v/>
      </c>
      <c r="AB272">
        <f>AA272*Plan!D10/100/12</f>
        <v/>
      </c>
      <c r="AC272">
        <f>MIN(Plan!E10,AA272+AB272)</f>
        <v/>
      </c>
      <c r="AD272">
        <f>AA272+AB272-AC272</f>
        <v/>
      </c>
      <c r="AE272">
        <f>MIN(AD272,MAX(0,$B272-((E$5&lt;AC$5)*F272+(K$5&lt;AC$5)*L272+(Q$5&lt;AC$5)*R272+(W$5&lt;AC$5)*X272+(AI$5&lt;AC$5)*AJ272+(AO$5&lt;AC$5)*AP272+(AU$5&lt;AC$5)*AV272)))</f>
        <v/>
      </c>
      <c r="AF272">
        <f>IF(AD272-AE272&lt;0.005,0,AD272-AE272)</f>
        <v/>
      </c>
      <c r="AG272">
        <f>AL271</f>
        <v/>
      </c>
      <c r="AH272">
        <f>AG272*Plan!D11/100/12</f>
        <v/>
      </c>
      <c r="AI272">
        <f>MIN(Plan!E11,AG272+AH272)</f>
        <v/>
      </c>
      <c r="AJ272">
        <f>AG272+AH272-AI272</f>
        <v/>
      </c>
      <c r="AK272">
        <f>MIN(AJ272,MAX(0,$B272-((E$5&lt;AI$5)*F272+(K$5&lt;AI$5)*L272+(Q$5&lt;AI$5)*R272+(W$5&lt;AI$5)*X272+(AC$5&lt;AI$5)*AD272+(AO$5&lt;AI$5)*AP272+(AU$5&lt;AI$5)*AV272)))</f>
        <v/>
      </c>
      <c r="AL272">
        <f>IF(AJ272-AK272&lt;0.005,0,AJ272-AK272)</f>
        <v/>
      </c>
      <c r="AM272">
        <f>AR271</f>
        <v/>
      </c>
      <c r="AN272">
        <f>AM272*Plan!D12/100/12</f>
        <v/>
      </c>
      <c r="AO272">
        <f>MIN(Plan!E12,AM272+AN272)</f>
        <v/>
      </c>
      <c r="AP272">
        <f>AM272+AN272-AO272</f>
        <v/>
      </c>
      <c r="AQ272">
        <f>MIN(AP272,MAX(0,$B272-((E$5&lt;AO$5)*F272+(K$5&lt;AO$5)*L272+(Q$5&lt;AO$5)*R272+(W$5&lt;AO$5)*X272+(AC$5&lt;AO$5)*AD272+(AI$5&lt;AO$5)*AJ272+(AU$5&lt;AO$5)*AV272)))</f>
        <v/>
      </c>
      <c r="AR272">
        <f>IF(AP272-AQ272&lt;0.005,0,AP272-AQ272)</f>
        <v/>
      </c>
      <c r="AS272">
        <f>AX271</f>
        <v/>
      </c>
      <c r="AT272">
        <f>AS272*Plan!D13/100/12</f>
        <v/>
      </c>
      <c r="AU272">
        <f>MIN(Plan!E13,AS272+AT272)</f>
        <v/>
      </c>
      <c r="AV272">
        <f>AS272+AT272-AU272</f>
        <v/>
      </c>
      <c r="AW272">
        <f>MIN(AV272,MAX(0,$B272-((E$5&lt;AU$5)*F272+(K$5&lt;AU$5)*L272+(Q$5&lt;AU$5)*R272+(W$5&lt;AU$5)*X272+(AC$5&lt;AU$5)*AD272+(AI$5&lt;AU$5)*AJ272+(AO$5&lt;AU$5)*AP272)))</f>
        <v/>
      </c>
      <c r="AX272">
        <f>IF(AV272-AW272&lt;0.005,0,AV272-AW272)</f>
        <v/>
      </c>
      <c r="BC272">
        <f>H272+N272+T272+Z272+AF272+AL272+AR272+AX272</f>
        <v/>
      </c>
    </row>
    <row r="273">
      <c r="A273" t="n">
        <v>267</v>
      </c>
      <c r="B273" s="19">
        <f>MAX(0,$B$3-(E273+K273+Q273+W273+AC273+AI273+AO273+AU273))</f>
        <v/>
      </c>
      <c r="C273">
        <f>H272</f>
        <v/>
      </c>
      <c r="D273">
        <f>C273*Plan!D6/100/12</f>
        <v/>
      </c>
      <c r="E273">
        <f>MIN(Plan!E6,C273+D273)</f>
        <v/>
      </c>
      <c r="F273">
        <f>C273+D273-E273</f>
        <v/>
      </c>
      <c r="G273">
        <f>MIN(F273,MAX(0,$B273-((K$5&lt;E$5)*L273+(Q$5&lt;E$5)*R273+(W$5&lt;E$5)*X273+(AC$5&lt;E$5)*AD273+(AI$5&lt;E$5)*AJ273+(AO$5&lt;E$5)*AP273+(AU$5&lt;E$5)*AV273)))</f>
        <v/>
      </c>
      <c r="H273">
        <f>IF(F273-G273&lt;0.005,0,F273-G273)</f>
        <v/>
      </c>
      <c r="I273">
        <f>N272</f>
        <v/>
      </c>
      <c r="J273">
        <f>I273*Plan!D7/100/12</f>
        <v/>
      </c>
      <c r="K273">
        <f>MIN(Plan!E7,I273+J273)</f>
        <v/>
      </c>
      <c r="L273">
        <f>I273+J273-K273</f>
        <v/>
      </c>
      <c r="M273">
        <f>MIN(L273,MAX(0,$B273-((E$5&lt;K$5)*F273+(Q$5&lt;K$5)*R273+(W$5&lt;K$5)*X273+(AC$5&lt;K$5)*AD273+(AI$5&lt;K$5)*AJ273+(AO$5&lt;K$5)*AP273+(AU$5&lt;K$5)*AV273)))</f>
        <v/>
      </c>
      <c r="N273">
        <f>IF(L273-M273&lt;0.005,0,L273-M273)</f>
        <v/>
      </c>
      <c r="O273">
        <f>T272</f>
        <v/>
      </c>
      <c r="P273">
        <f>O273*Plan!D8/100/12</f>
        <v/>
      </c>
      <c r="Q273">
        <f>MIN(Plan!E8,O273+P273)</f>
        <v/>
      </c>
      <c r="R273">
        <f>O273+P273-Q273</f>
        <v/>
      </c>
      <c r="S273">
        <f>MIN(R273,MAX(0,$B273-((E$5&lt;Q$5)*F273+(K$5&lt;Q$5)*L273+(W$5&lt;Q$5)*X273+(AC$5&lt;Q$5)*AD273+(AI$5&lt;Q$5)*AJ273+(AO$5&lt;Q$5)*AP273+(AU$5&lt;Q$5)*AV273)))</f>
        <v/>
      </c>
      <c r="T273">
        <f>IF(R273-S273&lt;0.005,0,R273-S273)</f>
        <v/>
      </c>
      <c r="U273">
        <f>Z272</f>
        <v/>
      </c>
      <c r="V273">
        <f>U273*Plan!D9/100/12</f>
        <v/>
      </c>
      <c r="W273">
        <f>MIN(Plan!E9,U273+V273)</f>
        <v/>
      </c>
      <c r="X273">
        <f>U273+V273-W273</f>
        <v/>
      </c>
      <c r="Y273">
        <f>MIN(X273,MAX(0,$B273-((E$5&lt;W$5)*F273+(K$5&lt;W$5)*L273+(Q$5&lt;W$5)*R273+(AC$5&lt;W$5)*AD273+(AI$5&lt;W$5)*AJ273+(AO$5&lt;W$5)*AP273+(AU$5&lt;W$5)*AV273)))</f>
        <v/>
      </c>
      <c r="Z273">
        <f>IF(X273-Y273&lt;0.005,0,X273-Y273)</f>
        <v/>
      </c>
      <c r="AA273">
        <f>AF272</f>
        <v/>
      </c>
      <c r="AB273">
        <f>AA273*Plan!D10/100/12</f>
        <v/>
      </c>
      <c r="AC273">
        <f>MIN(Plan!E10,AA273+AB273)</f>
        <v/>
      </c>
      <c r="AD273">
        <f>AA273+AB273-AC273</f>
        <v/>
      </c>
      <c r="AE273">
        <f>MIN(AD273,MAX(0,$B273-((E$5&lt;AC$5)*F273+(K$5&lt;AC$5)*L273+(Q$5&lt;AC$5)*R273+(W$5&lt;AC$5)*X273+(AI$5&lt;AC$5)*AJ273+(AO$5&lt;AC$5)*AP273+(AU$5&lt;AC$5)*AV273)))</f>
        <v/>
      </c>
      <c r="AF273">
        <f>IF(AD273-AE273&lt;0.005,0,AD273-AE273)</f>
        <v/>
      </c>
      <c r="AG273">
        <f>AL272</f>
        <v/>
      </c>
      <c r="AH273">
        <f>AG273*Plan!D11/100/12</f>
        <v/>
      </c>
      <c r="AI273">
        <f>MIN(Plan!E11,AG273+AH273)</f>
        <v/>
      </c>
      <c r="AJ273">
        <f>AG273+AH273-AI273</f>
        <v/>
      </c>
      <c r="AK273">
        <f>MIN(AJ273,MAX(0,$B273-((E$5&lt;AI$5)*F273+(K$5&lt;AI$5)*L273+(Q$5&lt;AI$5)*R273+(W$5&lt;AI$5)*X273+(AC$5&lt;AI$5)*AD273+(AO$5&lt;AI$5)*AP273+(AU$5&lt;AI$5)*AV273)))</f>
        <v/>
      </c>
      <c r="AL273">
        <f>IF(AJ273-AK273&lt;0.005,0,AJ273-AK273)</f>
        <v/>
      </c>
      <c r="AM273">
        <f>AR272</f>
        <v/>
      </c>
      <c r="AN273">
        <f>AM273*Plan!D12/100/12</f>
        <v/>
      </c>
      <c r="AO273">
        <f>MIN(Plan!E12,AM273+AN273)</f>
        <v/>
      </c>
      <c r="AP273">
        <f>AM273+AN273-AO273</f>
        <v/>
      </c>
      <c r="AQ273">
        <f>MIN(AP273,MAX(0,$B273-((E$5&lt;AO$5)*F273+(K$5&lt;AO$5)*L273+(Q$5&lt;AO$5)*R273+(W$5&lt;AO$5)*X273+(AC$5&lt;AO$5)*AD273+(AI$5&lt;AO$5)*AJ273+(AU$5&lt;AO$5)*AV273)))</f>
        <v/>
      </c>
      <c r="AR273">
        <f>IF(AP273-AQ273&lt;0.005,0,AP273-AQ273)</f>
        <v/>
      </c>
      <c r="AS273">
        <f>AX272</f>
        <v/>
      </c>
      <c r="AT273">
        <f>AS273*Plan!D13/100/12</f>
        <v/>
      </c>
      <c r="AU273">
        <f>MIN(Plan!E13,AS273+AT273)</f>
        <v/>
      </c>
      <c r="AV273">
        <f>AS273+AT273-AU273</f>
        <v/>
      </c>
      <c r="AW273">
        <f>MIN(AV273,MAX(0,$B273-((E$5&lt;AU$5)*F273+(K$5&lt;AU$5)*L273+(Q$5&lt;AU$5)*R273+(W$5&lt;AU$5)*X273+(AC$5&lt;AU$5)*AD273+(AI$5&lt;AU$5)*AJ273+(AO$5&lt;AU$5)*AP273)))</f>
        <v/>
      </c>
      <c r="AX273">
        <f>IF(AV273-AW273&lt;0.005,0,AV273-AW273)</f>
        <v/>
      </c>
      <c r="BC273">
        <f>H273+N273+T273+Z273+AF273+AL273+AR273+AX273</f>
        <v/>
      </c>
    </row>
    <row r="274">
      <c r="A274" t="n">
        <v>268</v>
      </c>
      <c r="B274" s="19">
        <f>MAX(0,$B$3-(E274+K274+Q274+W274+AC274+AI274+AO274+AU274))</f>
        <v/>
      </c>
      <c r="C274">
        <f>H273</f>
        <v/>
      </c>
      <c r="D274">
        <f>C274*Plan!D6/100/12</f>
        <v/>
      </c>
      <c r="E274">
        <f>MIN(Plan!E6,C274+D274)</f>
        <v/>
      </c>
      <c r="F274">
        <f>C274+D274-E274</f>
        <v/>
      </c>
      <c r="G274">
        <f>MIN(F274,MAX(0,$B274-((K$5&lt;E$5)*L274+(Q$5&lt;E$5)*R274+(W$5&lt;E$5)*X274+(AC$5&lt;E$5)*AD274+(AI$5&lt;E$5)*AJ274+(AO$5&lt;E$5)*AP274+(AU$5&lt;E$5)*AV274)))</f>
        <v/>
      </c>
      <c r="H274">
        <f>IF(F274-G274&lt;0.005,0,F274-G274)</f>
        <v/>
      </c>
      <c r="I274">
        <f>N273</f>
        <v/>
      </c>
      <c r="J274">
        <f>I274*Plan!D7/100/12</f>
        <v/>
      </c>
      <c r="K274">
        <f>MIN(Plan!E7,I274+J274)</f>
        <v/>
      </c>
      <c r="L274">
        <f>I274+J274-K274</f>
        <v/>
      </c>
      <c r="M274">
        <f>MIN(L274,MAX(0,$B274-((E$5&lt;K$5)*F274+(Q$5&lt;K$5)*R274+(W$5&lt;K$5)*X274+(AC$5&lt;K$5)*AD274+(AI$5&lt;K$5)*AJ274+(AO$5&lt;K$5)*AP274+(AU$5&lt;K$5)*AV274)))</f>
        <v/>
      </c>
      <c r="N274">
        <f>IF(L274-M274&lt;0.005,0,L274-M274)</f>
        <v/>
      </c>
      <c r="O274">
        <f>T273</f>
        <v/>
      </c>
      <c r="P274">
        <f>O274*Plan!D8/100/12</f>
        <v/>
      </c>
      <c r="Q274">
        <f>MIN(Plan!E8,O274+P274)</f>
        <v/>
      </c>
      <c r="R274">
        <f>O274+P274-Q274</f>
        <v/>
      </c>
      <c r="S274">
        <f>MIN(R274,MAX(0,$B274-((E$5&lt;Q$5)*F274+(K$5&lt;Q$5)*L274+(W$5&lt;Q$5)*X274+(AC$5&lt;Q$5)*AD274+(AI$5&lt;Q$5)*AJ274+(AO$5&lt;Q$5)*AP274+(AU$5&lt;Q$5)*AV274)))</f>
        <v/>
      </c>
      <c r="T274">
        <f>IF(R274-S274&lt;0.005,0,R274-S274)</f>
        <v/>
      </c>
      <c r="U274">
        <f>Z273</f>
        <v/>
      </c>
      <c r="V274">
        <f>U274*Plan!D9/100/12</f>
        <v/>
      </c>
      <c r="W274">
        <f>MIN(Plan!E9,U274+V274)</f>
        <v/>
      </c>
      <c r="X274">
        <f>U274+V274-W274</f>
        <v/>
      </c>
      <c r="Y274">
        <f>MIN(X274,MAX(0,$B274-((E$5&lt;W$5)*F274+(K$5&lt;W$5)*L274+(Q$5&lt;W$5)*R274+(AC$5&lt;W$5)*AD274+(AI$5&lt;W$5)*AJ274+(AO$5&lt;W$5)*AP274+(AU$5&lt;W$5)*AV274)))</f>
        <v/>
      </c>
      <c r="Z274">
        <f>IF(X274-Y274&lt;0.005,0,X274-Y274)</f>
        <v/>
      </c>
      <c r="AA274">
        <f>AF273</f>
        <v/>
      </c>
      <c r="AB274">
        <f>AA274*Plan!D10/100/12</f>
        <v/>
      </c>
      <c r="AC274">
        <f>MIN(Plan!E10,AA274+AB274)</f>
        <v/>
      </c>
      <c r="AD274">
        <f>AA274+AB274-AC274</f>
        <v/>
      </c>
      <c r="AE274">
        <f>MIN(AD274,MAX(0,$B274-((E$5&lt;AC$5)*F274+(K$5&lt;AC$5)*L274+(Q$5&lt;AC$5)*R274+(W$5&lt;AC$5)*X274+(AI$5&lt;AC$5)*AJ274+(AO$5&lt;AC$5)*AP274+(AU$5&lt;AC$5)*AV274)))</f>
        <v/>
      </c>
      <c r="AF274">
        <f>IF(AD274-AE274&lt;0.005,0,AD274-AE274)</f>
        <v/>
      </c>
      <c r="AG274">
        <f>AL273</f>
        <v/>
      </c>
      <c r="AH274">
        <f>AG274*Plan!D11/100/12</f>
        <v/>
      </c>
      <c r="AI274">
        <f>MIN(Plan!E11,AG274+AH274)</f>
        <v/>
      </c>
      <c r="AJ274">
        <f>AG274+AH274-AI274</f>
        <v/>
      </c>
      <c r="AK274">
        <f>MIN(AJ274,MAX(0,$B274-((E$5&lt;AI$5)*F274+(K$5&lt;AI$5)*L274+(Q$5&lt;AI$5)*R274+(W$5&lt;AI$5)*X274+(AC$5&lt;AI$5)*AD274+(AO$5&lt;AI$5)*AP274+(AU$5&lt;AI$5)*AV274)))</f>
        <v/>
      </c>
      <c r="AL274">
        <f>IF(AJ274-AK274&lt;0.005,0,AJ274-AK274)</f>
        <v/>
      </c>
      <c r="AM274">
        <f>AR273</f>
        <v/>
      </c>
      <c r="AN274">
        <f>AM274*Plan!D12/100/12</f>
        <v/>
      </c>
      <c r="AO274">
        <f>MIN(Plan!E12,AM274+AN274)</f>
        <v/>
      </c>
      <c r="AP274">
        <f>AM274+AN274-AO274</f>
        <v/>
      </c>
      <c r="AQ274">
        <f>MIN(AP274,MAX(0,$B274-((E$5&lt;AO$5)*F274+(K$5&lt;AO$5)*L274+(Q$5&lt;AO$5)*R274+(W$5&lt;AO$5)*X274+(AC$5&lt;AO$5)*AD274+(AI$5&lt;AO$5)*AJ274+(AU$5&lt;AO$5)*AV274)))</f>
        <v/>
      </c>
      <c r="AR274">
        <f>IF(AP274-AQ274&lt;0.005,0,AP274-AQ274)</f>
        <v/>
      </c>
      <c r="AS274">
        <f>AX273</f>
        <v/>
      </c>
      <c r="AT274">
        <f>AS274*Plan!D13/100/12</f>
        <v/>
      </c>
      <c r="AU274">
        <f>MIN(Plan!E13,AS274+AT274)</f>
        <v/>
      </c>
      <c r="AV274">
        <f>AS274+AT274-AU274</f>
        <v/>
      </c>
      <c r="AW274">
        <f>MIN(AV274,MAX(0,$B274-((E$5&lt;AU$5)*F274+(K$5&lt;AU$5)*L274+(Q$5&lt;AU$5)*R274+(W$5&lt;AU$5)*X274+(AC$5&lt;AU$5)*AD274+(AI$5&lt;AU$5)*AJ274+(AO$5&lt;AU$5)*AP274)))</f>
        <v/>
      </c>
      <c r="AX274">
        <f>IF(AV274-AW274&lt;0.005,0,AV274-AW274)</f>
        <v/>
      </c>
      <c r="BC274">
        <f>H274+N274+T274+Z274+AF274+AL274+AR274+AX274</f>
        <v/>
      </c>
    </row>
    <row r="275">
      <c r="A275" t="n">
        <v>269</v>
      </c>
      <c r="B275" s="19">
        <f>MAX(0,$B$3-(E275+K275+Q275+W275+AC275+AI275+AO275+AU275))</f>
        <v/>
      </c>
      <c r="C275">
        <f>H274</f>
        <v/>
      </c>
      <c r="D275">
        <f>C275*Plan!D6/100/12</f>
        <v/>
      </c>
      <c r="E275">
        <f>MIN(Plan!E6,C275+D275)</f>
        <v/>
      </c>
      <c r="F275">
        <f>C275+D275-E275</f>
        <v/>
      </c>
      <c r="G275">
        <f>MIN(F275,MAX(0,$B275-((K$5&lt;E$5)*L275+(Q$5&lt;E$5)*R275+(W$5&lt;E$5)*X275+(AC$5&lt;E$5)*AD275+(AI$5&lt;E$5)*AJ275+(AO$5&lt;E$5)*AP275+(AU$5&lt;E$5)*AV275)))</f>
        <v/>
      </c>
      <c r="H275">
        <f>IF(F275-G275&lt;0.005,0,F275-G275)</f>
        <v/>
      </c>
      <c r="I275">
        <f>N274</f>
        <v/>
      </c>
      <c r="J275">
        <f>I275*Plan!D7/100/12</f>
        <v/>
      </c>
      <c r="K275">
        <f>MIN(Plan!E7,I275+J275)</f>
        <v/>
      </c>
      <c r="L275">
        <f>I275+J275-K275</f>
        <v/>
      </c>
      <c r="M275">
        <f>MIN(L275,MAX(0,$B275-((E$5&lt;K$5)*F275+(Q$5&lt;K$5)*R275+(W$5&lt;K$5)*X275+(AC$5&lt;K$5)*AD275+(AI$5&lt;K$5)*AJ275+(AO$5&lt;K$5)*AP275+(AU$5&lt;K$5)*AV275)))</f>
        <v/>
      </c>
      <c r="N275">
        <f>IF(L275-M275&lt;0.005,0,L275-M275)</f>
        <v/>
      </c>
      <c r="O275">
        <f>T274</f>
        <v/>
      </c>
      <c r="P275">
        <f>O275*Plan!D8/100/12</f>
        <v/>
      </c>
      <c r="Q275">
        <f>MIN(Plan!E8,O275+P275)</f>
        <v/>
      </c>
      <c r="R275">
        <f>O275+P275-Q275</f>
        <v/>
      </c>
      <c r="S275">
        <f>MIN(R275,MAX(0,$B275-((E$5&lt;Q$5)*F275+(K$5&lt;Q$5)*L275+(W$5&lt;Q$5)*X275+(AC$5&lt;Q$5)*AD275+(AI$5&lt;Q$5)*AJ275+(AO$5&lt;Q$5)*AP275+(AU$5&lt;Q$5)*AV275)))</f>
        <v/>
      </c>
      <c r="T275">
        <f>IF(R275-S275&lt;0.005,0,R275-S275)</f>
        <v/>
      </c>
      <c r="U275">
        <f>Z274</f>
        <v/>
      </c>
      <c r="V275">
        <f>U275*Plan!D9/100/12</f>
        <v/>
      </c>
      <c r="W275">
        <f>MIN(Plan!E9,U275+V275)</f>
        <v/>
      </c>
      <c r="X275">
        <f>U275+V275-W275</f>
        <v/>
      </c>
      <c r="Y275">
        <f>MIN(X275,MAX(0,$B275-((E$5&lt;W$5)*F275+(K$5&lt;W$5)*L275+(Q$5&lt;W$5)*R275+(AC$5&lt;W$5)*AD275+(AI$5&lt;W$5)*AJ275+(AO$5&lt;W$5)*AP275+(AU$5&lt;W$5)*AV275)))</f>
        <v/>
      </c>
      <c r="Z275">
        <f>IF(X275-Y275&lt;0.005,0,X275-Y275)</f>
        <v/>
      </c>
      <c r="AA275">
        <f>AF274</f>
        <v/>
      </c>
      <c r="AB275">
        <f>AA275*Plan!D10/100/12</f>
        <v/>
      </c>
      <c r="AC275">
        <f>MIN(Plan!E10,AA275+AB275)</f>
        <v/>
      </c>
      <c r="AD275">
        <f>AA275+AB275-AC275</f>
        <v/>
      </c>
      <c r="AE275">
        <f>MIN(AD275,MAX(0,$B275-((E$5&lt;AC$5)*F275+(K$5&lt;AC$5)*L275+(Q$5&lt;AC$5)*R275+(W$5&lt;AC$5)*X275+(AI$5&lt;AC$5)*AJ275+(AO$5&lt;AC$5)*AP275+(AU$5&lt;AC$5)*AV275)))</f>
        <v/>
      </c>
      <c r="AF275">
        <f>IF(AD275-AE275&lt;0.005,0,AD275-AE275)</f>
        <v/>
      </c>
      <c r="AG275">
        <f>AL274</f>
        <v/>
      </c>
      <c r="AH275">
        <f>AG275*Plan!D11/100/12</f>
        <v/>
      </c>
      <c r="AI275">
        <f>MIN(Plan!E11,AG275+AH275)</f>
        <v/>
      </c>
      <c r="AJ275">
        <f>AG275+AH275-AI275</f>
        <v/>
      </c>
      <c r="AK275">
        <f>MIN(AJ275,MAX(0,$B275-((E$5&lt;AI$5)*F275+(K$5&lt;AI$5)*L275+(Q$5&lt;AI$5)*R275+(W$5&lt;AI$5)*X275+(AC$5&lt;AI$5)*AD275+(AO$5&lt;AI$5)*AP275+(AU$5&lt;AI$5)*AV275)))</f>
        <v/>
      </c>
      <c r="AL275">
        <f>IF(AJ275-AK275&lt;0.005,0,AJ275-AK275)</f>
        <v/>
      </c>
      <c r="AM275">
        <f>AR274</f>
        <v/>
      </c>
      <c r="AN275">
        <f>AM275*Plan!D12/100/12</f>
        <v/>
      </c>
      <c r="AO275">
        <f>MIN(Plan!E12,AM275+AN275)</f>
        <v/>
      </c>
      <c r="AP275">
        <f>AM275+AN275-AO275</f>
        <v/>
      </c>
      <c r="AQ275">
        <f>MIN(AP275,MAX(0,$B275-((E$5&lt;AO$5)*F275+(K$5&lt;AO$5)*L275+(Q$5&lt;AO$5)*R275+(W$5&lt;AO$5)*X275+(AC$5&lt;AO$5)*AD275+(AI$5&lt;AO$5)*AJ275+(AU$5&lt;AO$5)*AV275)))</f>
        <v/>
      </c>
      <c r="AR275">
        <f>IF(AP275-AQ275&lt;0.005,0,AP275-AQ275)</f>
        <v/>
      </c>
      <c r="AS275">
        <f>AX274</f>
        <v/>
      </c>
      <c r="AT275">
        <f>AS275*Plan!D13/100/12</f>
        <v/>
      </c>
      <c r="AU275">
        <f>MIN(Plan!E13,AS275+AT275)</f>
        <v/>
      </c>
      <c r="AV275">
        <f>AS275+AT275-AU275</f>
        <v/>
      </c>
      <c r="AW275">
        <f>MIN(AV275,MAX(0,$B275-((E$5&lt;AU$5)*F275+(K$5&lt;AU$5)*L275+(Q$5&lt;AU$5)*R275+(W$5&lt;AU$5)*X275+(AC$5&lt;AU$5)*AD275+(AI$5&lt;AU$5)*AJ275+(AO$5&lt;AU$5)*AP275)))</f>
        <v/>
      </c>
      <c r="AX275">
        <f>IF(AV275-AW275&lt;0.005,0,AV275-AW275)</f>
        <v/>
      </c>
      <c r="BC275">
        <f>H275+N275+T275+Z275+AF275+AL275+AR275+AX275</f>
        <v/>
      </c>
    </row>
    <row r="276">
      <c r="A276" t="n">
        <v>270</v>
      </c>
      <c r="B276" s="19">
        <f>MAX(0,$B$3-(E276+K276+Q276+W276+AC276+AI276+AO276+AU276))</f>
        <v/>
      </c>
      <c r="C276">
        <f>H275</f>
        <v/>
      </c>
      <c r="D276">
        <f>C276*Plan!D6/100/12</f>
        <v/>
      </c>
      <c r="E276">
        <f>MIN(Plan!E6,C276+D276)</f>
        <v/>
      </c>
      <c r="F276">
        <f>C276+D276-E276</f>
        <v/>
      </c>
      <c r="G276">
        <f>MIN(F276,MAX(0,$B276-((K$5&lt;E$5)*L276+(Q$5&lt;E$5)*R276+(W$5&lt;E$5)*X276+(AC$5&lt;E$5)*AD276+(AI$5&lt;E$5)*AJ276+(AO$5&lt;E$5)*AP276+(AU$5&lt;E$5)*AV276)))</f>
        <v/>
      </c>
      <c r="H276">
        <f>IF(F276-G276&lt;0.005,0,F276-G276)</f>
        <v/>
      </c>
      <c r="I276">
        <f>N275</f>
        <v/>
      </c>
      <c r="J276">
        <f>I276*Plan!D7/100/12</f>
        <v/>
      </c>
      <c r="K276">
        <f>MIN(Plan!E7,I276+J276)</f>
        <v/>
      </c>
      <c r="L276">
        <f>I276+J276-K276</f>
        <v/>
      </c>
      <c r="M276">
        <f>MIN(L276,MAX(0,$B276-((E$5&lt;K$5)*F276+(Q$5&lt;K$5)*R276+(W$5&lt;K$5)*X276+(AC$5&lt;K$5)*AD276+(AI$5&lt;K$5)*AJ276+(AO$5&lt;K$5)*AP276+(AU$5&lt;K$5)*AV276)))</f>
        <v/>
      </c>
      <c r="N276">
        <f>IF(L276-M276&lt;0.005,0,L276-M276)</f>
        <v/>
      </c>
      <c r="O276">
        <f>T275</f>
        <v/>
      </c>
      <c r="P276">
        <f>O276*Plan!D8/100/12</f>
        <v/>
      </c>
      <c r="Q276">
        <f>MIN(Plan!E8,O276+P276)</f>
        <v/>
      </c>
      <c r="R276">
        <f>O276+P276-Q276</f>
        <v/>
      </c>
      <c r="S276">
        <f>MIN(R276,MAX(0,$B276-((E$5&lt;Q$5)*F276+(K$5&lt;Q$5)*L276+(W$5&lt;Q$5)*X276+(AC$5&lt;Q$5)*AD276+(AI$5&lt;Q$5)*AJ276+(AO$5&lt;Q$5)*AP276+(AU$5&lt;Q$5)*AV276)))</f>
        <v/>
      </c>
      <c r="T276">
        <f>IF(R276-S276&lt;0.005,0,R276-S276)</f>
        <v/>
      </c>
      <c r="U276">
        <f>Z275</f>
        <v/>
      </c>
      <c r="V276">
        <f>U276*Plan!D9/100/12</f>
        <v/>
      </c>
      <c r="W276">
        <f>MIN(Plan!E9,U276+V276)</f>
        <v/>
      </c>
      <c r="X276">
        <f>U276+V276-W276</f>
        <v/>
      </c>
      <c r="Y276">
        <f>MIN(X276,MAX(0,$B276-((E$5&lt;W$5)*F276+(K$5&lt;W$5)*L276+(Q$5&lt;W$5)*R276+(AC$5&lt;W$5)*AD276+(AI$5&lt;W$5)*AJ276+(AO$5&lt;W$5)*AP276+(AU$5&lt;W$5)*AV276)))</f>
        <v/>
      </c>
      <c r="Z276">
        <f>IF(X276-Y276&lt;0.005,0,X276-Y276)</f>
        <v/>
      </c>
      <c r="AA276">
        <f>AF275</f>
        <v/>
      </c>
      <c r="AB276">
        <f>AA276*Plan!D10/100/12</f>
        <v/>
      </c>
      <c r="AC276">
        <f>MIN(Plan!E10,AA276+AB276)</f>
        <v/>
      </c>
      <c r="AD276">
        <f>AA276+AB276-AC276</f>
        <v/>
      </c>
      <c r="AE276">
        <f>MIN(AD276,MAX(0,$B276-((E$5&lt;AC$5)*F276+(K$5&lt;AC$5)*L276+(Q$5&lt;AC$5)*R276+(W$5&lt;AC$5)*X276+(AI$5&lt;AC$5)*AJ276+(AO$5&lt;AC$5)*AP276+(AU$5&lt;AC$5)*AV276)))</f>
        <v/>
      </c>
      <c r="AF276">
        <f>IF(AD276-AE276&lt;0.005,0,AD276-AE276)</f>
        <v/>
      </c>
      <c r="AG276">
        <f>AL275</f>
        <v/>
      </c>
      <c r="AH276">
        <f>AG276*Plan!D11/100/12</f>
        <v/>
      </c>
      <c r="AI276">
        <f>MIN(Plan!E11,AG276+AH276)</f>
        <v/>
      </c>
      <c r="AJ276">
        <f>AG276+AH276-AI276</f>
        <v/>
      </c>
      <c r="AK276">
        <f>MIN(AJ276,MAX(0,$B276-((E$5&lt;AI$5)*F276+(K$5&lt;AI$5)*L276+(Q$5&lt;AI$5)*R276+(W$5&lt;AI$5)*X276+(AC$5&lt;AI$5)*AD276+(AO$5&lt;AI$5)*AP276+(AU$5&lt;AI$5)*AV276)))</f>
        <v/>
      </c>
      <c r="AL276">
        <f>IF(AJ276-AK276&lt;0.005,0,AJ276-AK276)</f>
        <v/>
      </c>
      <c r="AM276">
        <f>AR275</f>
        <v/>
      </c>
      <c r="AN276">
        <f>AM276*Plan!D12/100/12</f>
        <v/>
      </c>
      <c r="AO276">
        <f>MIN(Plan!E12,AM276+AN276)</f>
        <v/>
      </c>
      <c r="AP276">
        <f>AM276+AN276-AO276</f>
        <v/>
      </c>
      <c r="AQ276">
        <f>MIN(AP276,MAX(0,$B276-((E$5&lt;AO$5)*F276+(K$5&lt;AO$5)*L276+(Q$5&lt;AO$5)*R276+(W$5&lt;AO$5)*X276+(AC$5&lt;AO$5)*AD276+(AI$5&lt;AO$5)*AJ276+(AU$5&lt;AO$5)*AV276)))</f>
        <v/>
      </c>
      <c r="AR276">
        <f>IF(AP276-AQ276&lt;0.005,0,AP276-AQ276)</f>
        <v/>
      </c>
      <c r="AS276">
        <f>AX275</f>
        <v/>
      </c>
      <c r="AT276">
        <f>AS276*Plan!D13/100/12</f>
        <v/>
      </c>
      <c r="AU276">
        <f>MIN(Plan!E13,AS276+AT276)</f>
        <v/>
      </c>
      <c r="AV276">
        <f>AS276+AT276-AU276</f>
        <v/>
      </c>
      <c r="AW276">
        <f>MIN(AV276,MAX(0,$B276-((E$5&lt;AU$5)*F276+(K$5&lt;AU$5)*L276+(Q$5&lt;AU$5)*R276+(W$5&lt;AU$5)*X276+(AC$5&lt;AU$5)*AD276+(AI$5&lt;AU$5)*AJ276+(AO$5&lt;AU$5)*AP276)))</f>
        <v/>
      </c>
      <c r="AX276">
        <f>IF(AV276-AW276&lt;0.005,0,AV276-AW276)</f>
        <v/>
      </c>
      <c r="BC276">
        <f>H276+N276+T276+Z276+AF276+AL276+AR276+AX276</f>
        <v/>
      </c>
    </row>
    <row r="277">
      <c r="A277" t="n">
        <v>271</v>
      </c>
      <c r="B277" s="19">
        <f>MAX(0,$B$3-(E277+K277+Q277+W277+AC277+AI277+AO277+AU277))</f>
        <v/>
      </c>
      <c r="C277">
        <f>H276</f>
        <v/>
      </c>
      <c r="D277">
        <f>C277*Plan!D6/100/12</f>
        <v/>
      </c>
      <c r="E277">
        <f>MIN(Plan!E6,C277+D277)</f>
        <v/>
      </c>
      <c r="F277">
        <f>C277+D277-E277</f>
        <v/>
      </c>
      <c r="G277">
        <f>MIN(F277,MAX(0,$B277-((K$5&lt;E$5)*L277+(Q$5&lt;E$5)*R277+(W$5&lt;E$5)*X277+(AC$5&lt;E$5)*AD277+(AI$5&lt;E$5)*AJ277+(AO$5&lt;E$5)*AP277+(AU$5&lt;E$5)*AV277)))</f>
        <v/>
      </c>
      <c r="H277">
        <f>IF(F277-G277&lt;0.005,0,F277-G277)</f>
        <v/>
      </c>
      <c r="I277">
        <f>N276</f>
        <v/>
      </c>
      <c r="J277">
        <f>I277*Plan!D7/100/12</f>
        <v/>
      </c>
      <c r="K277">
        <f>MIN(Plan!E7,I277+J277)</f>
        <v/>
      </c>
      <c r="L277">
        <f>I277+J277-K277</f>
        <v/>
      </c>
      <c r="M277">
        <f>MIN(L277,MAX(0,$B277-((E$5&lt;K$5)*F277+(Q$5&lt;K$5)*R277+(W$5&lt;K$5)*X277+(AC$5&lt;K$5)*AD277+(AI$5&lt;K$5)*AJ277+(AO$5&lt;K$5)*AP277+(AU$5&lt;K$5)*AV277)))</f>
        <v/>
      </c>
      <c r="N277">
        <f>IF(L277-M277&lt;0.005,0,L277-M277)</f>
        <v/>
      </c>
      <c r="O277">
        <f>T276</f>
        <v/>
      </c>
      <c r="P277">
        <f>O277*Plan!D8/100/12</f>
        <v/>
      </c>
      <c r="Q277">
        <f>MIN(Plan!E8,O277+P277)</f>
        <v/>
      </c>
      <c r="R277">
        <f>O277+P277-Q277</f>
        <v/>
      </c>
      <c r="S277">
        <f>MIN(R277,MAX(0,$B277-((E$5&lt;Q$5)*F277+(K$5&lt;Q$5)*L277+(W$5&lt;Q$5)*X277+(AC$5&lt;Q$5)*AD277+(AI$5&lt;Q$5)*AJ277+(AO$5&lt;Q$5)*AP277+(AU$5&lt;Q$5)*AV277)))</f>
        <v/>
      </c>
      <c r="T277">
        <f>IF(R277-S277&lt;0.005,0,R277-S277)</f>
        <v/>
      </c>
      <c r="U277">
        <f>Z276</f>
        <v/>
      </c>
      <c r="V277">
        <f>U277*Plan!D9/100/12</f>
        <v/>
      </c>
      <c r="W277">
        <f>MIN(Plan!E9,U277+V277)</f>
        <v/>
      </c>
      <c r="X277">
        <f>U277+V277-W277</f>
        <v/>
      </c>
      <c r="Y277">
        <f>MIN(X277,MAX(0,$B277-((E$5&lt;W$5)*F277+(K$5&lt;W$5)*L277+(Q$5&lt;W$5)*R277+(AC$5&lt;W$5)*AD277+(AI$5&lt;W$5)*AJ277+(AO$5&lt;W$5)*AP277+(AU$5&lt;W$5)*AV277)))</f>
        <v/>
      </c>
      <c r="Z277">
        <f>IF(X277-Y277&lt;0.005,0,X277-Y277)</f>
        <v/>
      </c>
      <c r="AA277">
        <f>AF276</f>
        <v/>
      </c>
      <c r="AB277">
        <f>AA277*Plan!D10/100/12</f>
        <v/>
      </c>
      <c r="AC277">
        <f>MIN(Plan!E10,AA277+AB277)</f>
        <v/>
      </c>
      <c r="AD277">
        <f>AA277+AB277-AC277</f>
        <v/>
      </c>
      <c r="AE277">
        <f>MIN(AD277,MAX(0,$B277-((E$5&lt;AC$5)*F277+(K$5&lt;AC$5)*L277+(Q$5&lt;AC$5)*R277+(W$5&lt;AC$5)*X277+(AI$5&lt;AC$5)*AJ277+(AO$5&lt;AC$5)*AP277+(AU$5&lt;AC$5)*AV277)))</f>
        <v/>
      </c>
      <c r="AF277">
        <f>IF(AD277-AE277&lt;0.005,0,AD277-AE277)</f>
        <v/>
      </c>
      <c r="AG277">
        <f>AL276</f>
        <v/>
      </c>
      <c r="AH277">
        <f>AG277*Plan!D11/100/12</f>
        <v/>
      </c>
      <c r="AI277">
        <f>MIN(Plan!E11,AG277+AH277)</f>
        <v/>
      </c>
      <c r="AJ277">
        <f>AG277+AH277-AI277</f>
        <v/>
      </c>
      <c r="AK277">
        <f>MIN(AJ277,MAX(0,$B277-((E$5&lt;AI$5)*F277+(K$5&lt;AI$5)*L277+(Q$5&lt;AI$5)*R277+(W$5&lt;AI$5)*X277+(AC$5&lt;AI$5)*AD277+(AO$5&lt;AI$5)*AP277+(AU$5&lt;AI$5)*AV277)))</f>
        <v/>
      </c>
      <c r="AL277">
        <f>IF(AJ277-AK277&lt;0.005,0,AJ277-AK277)</f>
        <v/>
      </c>
      <c r="AM277">
        <f>AR276</f>
        <v/>
      </c>
      <c r="AN277">
        <f>AM277*Plan!D12/100/12</f>
        <v/>
      </c>
      <c r="AO277">
        <f>MIN(Plan!E12,AM277+AN277)</f>
        <v/>
      </c>
      <c r="AP277">
        <f>AM277+AN277-AO277</f>
        <v/>
      </c>
      <c r="AQ277">
        <f>MIN(AP277,MAX(0,$B277-((E$5&lt;AO$5)*F277+(K$5&lt;AO$5)*L277+(Q$5&lt;AO$5)*R277+(W$5&lt;AO$5)*X277+(AC$5&lt;AO$5)*AD277+(AI$5&lt;AO$5)*AJ277+(AU$5&lt;AO$5)*AV277)))</f>
        <v/>
      </c>
      <c r="AR277">
        <f>IF(AP277-AQ277&lt;0.005,0,AP277-AQ277)</f>
        <v/>
      </c>
      <c r="AS277">
        <f>AX276</f>
        <v/>
      </c>
      <c r="AT277">
        <f>AS277*Plan!D13/100/12</f>
        <v/>
      </c>
      <c r="AU277">
        <f>MIN(Plan!E13,AS277+AT277)</f>
        <v/>
      </c>
      <c r="AV277">
        <f>AS277+AT277-AU277</f>
        <v/>
      </c>
      <c r="AW277">
        <f>MIN(AV277,MAX(0,$B277-((E$5&lt;AU$5)*F277+(K$5&lt;AU$5)*L277+(Q$5&lt;AU$5)*R277+(W$5&lt;AU$5)*X277+(AC$5&lt;AU$5)*AD277+(AI$5&lt;AU$5)*AJ277+(AO$5&lt;AU$5)*AP277)))</f>
        <v/>
      </c>
      <c r="AX277">
        <f>IF(AV277-AW277&lt;0.005,0,AV277-AW277)</f>
        <v/>
      </c>
      <c r="BC277">
        <f>H277+N277+T277+Z277+AF277+AL277+AR277+AX277</f>
        <v/>
      </c>
    </row>
    <row r="278">
      <c r="A278" t="n">
        <v>272</v>
      </c>
      <c r="B278" s="19">
        <f>MAX(0,$B$3-(E278+K278+Q278+W278+AC278+AI278+AO278+AU278))</f>
        <v/>
      </c>
      <c r="C278">
        <f>H277</f>
        <v/>
      </c>
      <c r="D278">
        <f>C278*Plan!D6/100/12</f>
        <v/>
      </c>
      <c r="E278">
        <f>MIN(Plan!E6,C278+D278)</f>
        <v/>
      </c>
      <c r="F278">
        <f>C278+D278-E278</f>
        <v/>
      </c>
      <c r="G278">
        <f>MIN(F278,MAX(0,$B278-((K$5&lt;E$5)*L278+(Q$5&lt;E$5)*R278+(W$5&lt;E$5)*X278+(AC$5&lt;E$5)*AD278+(AI$5&lt;E$5)*AJ278+(AO$5&lt;E$5)*AP278+(AU$5&lt;E$5)*AV278)))</f>
        <v/>
      </c>
      <c r="H278">
        <f>IF(F278-G278&lt;0.005,0,F278-G278)</f>
        <v/>
      </c>
      <c r="I278">
        <f>N277</f>
        <v/>
      </c>
      <c r="J278">
        <f>I278*Plan!D7/100/12</f>
        <v/>
      </c>
      <c r="K278">
        <f>MIN(Plan!E7,I278+J278)</f>
        <v/>
      </c>
      <c r="L278">
        <f>I278+J278-K278</f>
        <v/>
      </c>
      <c r="M278">
        <f>MIN(L278,MAX(0,$B278-((E$5&lt;K$5)*F278+(Q$5&lt;K$5)*R278+(W$5&lt;K$5)*X278+(AC$5&lt;K$5)*AD278+(AI$5&lt;K$5)*AJ278+(AO$5&lt;K$5)*AP278+(AU$5&lt;K$5)*AV278)))</f>
        <v/>
      </c>
      <c r="N278">
        <f>IF(L278-M278&lt;0.005,0,L278-M278)</f>
        <v/>
      </c>
      <c r="O278">
        <f>T277</f>
        <v/>
      </c>
      <c r="P278">
        <f>O278*Plan!D8/100/12</f>
        <v/>
      </c>
      <c r="Q278">
        <f>MIN(Plan!E8,O278+P278)</f>
        <v/>
      </c>
      <c r="R278">
        <f>O278+P278-Q278</f>
        <v/>
      </c>
      <c r="S278">
        <f>MIN(R278,MAX(0,$B278-((E$5&lt;Q$5)*F278+(K$5&lt;Q$5)*L278+(W$5&lt;Q$5)*X278+(AC$5&lt;Q$5)*AD278+(AI$5&lt;Q$5)*AJ278+(AO$5&lt;Q$5)*AP278+(AU$5&lt;Q$5)*AV278)))</f>
        <v/>
      </c>
      <c r="T278">
        <f>IF(R278-S278&lt;0.005,0,R278-S278)</f>
        <v/>
      </c>
      <c r="U278">
        <f>Z277</f>
        <v/>
      </c>
      <c r="V278">
        <f>U278*Plan!D9/100/12</f>
        <v/>
      </c>
      <c r="W278">
        <f>MIN(Plan!E9,U278+V278)</f>
        <v/>
      </c>
      <c r="X278">
        <f>U278+V278-W278</f>
        <v/>
      </c>
      <c r="Y278">
        <f>MIN(X278,MAX(0,$B278-((E$5&lt;W$5)*F278+(K$5&lt;W$5)*L278+(Q$5&lt;W$5)*R278+(AC$5&lt;W$5)*AD278+(AI$5&lt;W$5)*AJ278+(AO$5&lt;W$5)*AP278+(AU$5&lt;W$5)*AV278)))</f>
        <v/>
      </c>
      <c r="Z278">
        <f>IF(X278-Y278&lt;0.005,0,X278-Y278)</f>
        <v/>
      </c>
      <c r="AA278">
        <f>AF277</f>
        <v/>
      </c>
      <c r="AB278">
        <f>AA278*Plan!D10/100/12</f>
        <v/>
      </c>
      <c r="AC278">
        <f>MIN(Plan!E10,AA278+AB278)</f>
        <v/>
      </c>
      <c r="AD278">
        <f>AA278+AB278-AC278</f>
        <v/>
      </c>
      <c r="AE278">
        <f>MIN(AD278,MAX(0,$B278-((E$5&lt;AC$5)*F278+(K$5&lt;AC$5)*L278+(Q$5&lt;AC$5)*R278+(W$5&lt;AC$5)*X278+(AI$5&lt;AC$5)*AJ278+(AO$5&lt;AC$5)*AP278+(AU$5&lt;AC$5)*AV278)))</f>
        <v/>
      </c>
      <c r="AF278">
        <f>IF(AD278-AE278&lt;0.005,0,AD278-AE278)</f>
        <v/>
      </c>
      <c r="AG278">
        <f>AL277</f>
        <v/>
      </c>
      <c r="AH278">
        <f>AG278*Plan!D11/100/12</f>
        <v/>
      </c>
      <c r="AI278">
        <f>MIN(Plan!E11,AG278+AH278)</f>
        <v/>
      </c>
      <c r="AJ278">
        <f>AG278+AH278-AI278</f>
        <v/>
      </c>
      <c r="AK278">
        <f>MIN(AJ278,MAX(0,$B278-((E$5&lt;AI$5)*F278+(K$5&lt;AI$5)*L278+(Q$5&lt;AI$5)*R278+(W$5&lt;AI$5)*X278+(AC$5&lt;AI$5)*AD278+(AO$5&lt;AI$5)*AP278+(AU$5&lt;AI$5)*AV278)))</f>
        <v/>
      </c>
      <c r="AL278">
        <f>IF(AJ278-AK278&lt;0.005,0,AJ278-AK278)</f>
        <v/>
      </c>
      <c r="AM278">
        <f>AR277</f>
        <v/>
      </c>
      <c r="AN278">
        <f>AM278*Plan!D12/100/12</f>
        <v/>
      </c>
      <c r="AO278">
        <f>MIN(Plan!E12,AM278+AN278)</f>
        <v/>
      </c>
      <c r="AP278">
        <f>AM278+AN278-AO278</f>
        <v/>
      </c>
      <c r="AQ278">
        <f>MIN(AP278,MAX(0,$B278-((E$5&lt;AO$5)*F278+(K$5&lt;AO$5)*L278+(Q$5&lt;AO$5)*R278+(W$5&lt;AO$5)*X278+(AC$5&lt;AO$5)*AD278+(AI$5&lt;AO$5)*AJ278+(AU$5&lt;AO$5)*AV278)))</f>
        <v/>
      </c>
      <c r="AR278">
        <f>IF(AP278-AQ278&lt;0.005,0,AP278-AQ278)</f>
        <v/>
      </c>
      <c r="AS278">
        <f>AX277</f>
        <v/>
      </c>
      <c r="AT278">
        <f>AS278*Plan!D13/100/12</f>
        <v/>
      </c>
      <c r="AU278">
        <f>MIN(Plan!E13,AS278+AT278)</f>
        <v/>
      </c>
      <c r="AV278">
        <f>AS278+AT278-AU278</f>
        <v/>
      </c>
      <c r="AW278">
        <f>MIN(AV278,MAX(0,$B278-((E$5&lt;AU$5)*F278+(K$5&lt;AU$5)*L278+(Q$5&lt;AU$5)*R278+(W$5&lt;AU$5)*X278+(AC$5&lt;AU$5)*AD278+(AI$5&lt;AU$5)*AJ278+(AO$5&lt;AU$5)*AP278)))</f>
        <v/>
      </c>
      <c r="AX278">
        <f>IF(AV278-AW278&lt;0.005,0,AV278-AW278)</f>
        <v/>
      </c>
      <c r="BC278">
        <f>H278+N278+T278+Z278+AF278+AL278+AR278+AX278</f>
        <v/>
      </c>
    </row>
    <row r="279">
      <c r="A279" t="n">
        <v>273</v>
      </c>
      <c r="B279" s="19">
        <f>MAX(0,$B$3-(E279+K279+Q279+W279+AC279+AI279+AO279+AU279))</f>
        <v/>
      </c>
      <c r="C279">
        <f>H278</f>
        <v/>
      </c>
      <c r="D279">
        <f>C279*Plan!D6/100/12</f>
        <v/>
      </c>
      <c r="E279">
        <f>MIN(Plan!E6,C279+D279)</f>
        <v/>
      </c>
      <c r="F279">
        <f>C279+D279-E279</f>
        <v/>
      </c>
      <c r="G279">
        <f>MIN(F279,MAX(0,$B279-((K$5&lt;E$5)*L279+(Q$5&lt;E$5)*R279+(W$5&lt;E$5)*X279+(AC$5&lt;E$5)*AD279+(AI$5&lt;E$5)*AJ279+(AO$5&lt;E$5)*AP279+(AU$5&lt;E$5)*AV279)))</f>
        <v/>
      </c>
      <c r="H279">
        <f>IF(F279-G279&lt;0.005,0,F279-G279)</f>
        <v/>
      </c>
      <c r="I279">
        <f>N278</f>
        <v/>
      </c>
      <c r="J279">
        <f>I279*Plan!D7/100/12</f>
        <v/>
      </c>
      <c r="K279">
        <f>MIN(Plan!E7,I279+J279)</f>
        <v/>
      </c>
      <c r="L279">
        <f>I279+J279-K279</f>
        <v/>
      </c>
      <c r="M279">
        <f>MIN(L279,MAX(0,$B279-((E$5&lt;K$5)*F279+(Q$5&lt;K$5)*R279+(W$5&lt;K$5)*X279+(AC$5&lt;K$5)*AD279+(AI$5&lt;K$5)*AJ279+(AO$5&lt;K$5)*AP279+(AU$5&lt;K$5)*AV279)))</f>
        <v/>
      </c>
      <c r="N279">
        <f>IF(L279-M279&lt;0.005,0,L279-M279)</f>
        <v/>
      </c>
      <c r="O279">
        <f>T278</f>
        <v/>
      </c>
      <c r="P279">
        <f>O279*Plan!D8/100/12</f>
        <v/>
      </c>
      <c r="Q279">
        <f>MIN(Plan!E8,O279+P279)</f>
        <v/>
      </c>
      <c r="R279">
        <f>O279+P279-Q279</f>
        <v/>
      </c>
      <c r="S279">
        <f>MIN(R279,MAX(0,$B279-((E$5&lt;Q$5)*F279+(K$5&lt;Q$5)*L279+(W$5&lt;Q$5)*X279+(AC$5&lt;Q$5)*AD279+(AI$5&lt;Q$5)*AJ279+(AO$5&lt;Q$5)*AP279+(AU$5&lt;Q$5)*AV279)))</f>
        <v/>
      </c>
      <c r="T279">
        <f>IF(R279-S279&lt;0.005,0,R279-S279)</f>
        <v/>
      </c>
      <c r="U279">
        <f>Z278</f>
        <v/>
      </c>
      <c r="V279">
        <f>U279*Plan!D9/100/12</f>
        <v/>
      </c>
      <c r="W279">
        <f>MIN(Plan!E9,U279+V279)</f>
        <v/>
      </c>
      <c r="X279">
        <f>U279+V279-W279</f>
        <v/>
      </c>
      <c r="Y279">
        <f>MIN(X279,MAX(0,$B279-((E$5&lt;W$5)*F279+(K$5&lt;W$5)*L279+(Q$5&lt;W$5)*R279+(AC$5&lt;W$5)*AD279+(AI$5&lt;W$5)*AJ279+(AO$5&lt;W$5)*AP279+(AU$5&lt;W$5)*AV279)))</f>
        <v/>
      </c>
      <c r="Z279">
        <f>IF(X279-Y279&lt;0.005,0,X279-Y279)</f>
        <v/>
      </c>
      <c r="AA279">
        <f>AF278</f>
        <v/>
      </c>
      <c r="AB279">
        <f>AA279*Plan!D10/100/12</f>
        <v/>
      </c>
      <c r="AC279">
        <f>MIN(Plan!E10,AA279+AB279)</f>
        <v/>
      </c>
      <c r="AD279">
        <f>AA279+AB279-AC279</f>
        <v/>
      </c>
      <c r="AE279">
        <f>MIN(AD279,MAX(0,$B279-((E$5&lt;AC$5)*F279+(K$5&lt;AC$5)*L279+(Q$5&lt;AC$5)*R279+(W$5&lt;AC$5)*X279+(AI$5&lt;AC$5)*AJ279+(AO$5&lt;AC$5)*AP279+(AU$5&lt;AC$5)*AV279)))</f>
        <v/>
      </c>
      <c r="AF279">
        <f>IF(AD279-AE279&lt;0.005,0,AD279-AE279)</f>
        <v/>
      </c>
      <c r="AG279">
        <f>AL278</f>
        <v/>
      </c>
      <c r="AH279">
        <f>AG279*Plan!D11/100/12</f>
        <v/>
      </c>
      <c r="AI279">
        <f>MIN(Plan!E11,AG279+AH279)</f>
        <v/>
      </c>
      <c r="AJ279">
        <f>AG279+AH279-AI279</f>
        <v/>
      </c>
      <c r="AK279">
        <f>MIN(AJ279,MAX(0,$B279-((E$5&lt;AI$5)*F279+(K$5&lt;AI$5)*L279+(Q$5&lt;AI$5)*R279+(W$5&lt;AI$5)*X279+(AC$5&lt;AI$5)*AD279+(AO$5&lt;AI$5)*AP279+(AU$5&lt;AI$5)*AV279)))</f>
        <v/>
      </c>
      <c r="AL279">
        <f>IF(AJ279-AK279&lt;0.005,0,AJ279-AK279)</f>
        <v/>
      </c>
      <c r="AM279">
        <f>AR278</f>
        <v/>
      </c>
      <c r="AN279">
        <f>AM279*Plan!D12/100/12</f>
        <v/>
      </c>
      <c r="AO279">
        <f>MIN(Plan!E12,AM279+AN279)</f>
        <v/>
      </c>
      <c r="AP279">
        <f>AM279+AN279-AO279</f>
        <v/>
      </c>
      <c r="AQ279">
        <f>MIN(AP279,MAX(0,$B279-((E$5&lt;AO$5)*F279+(K$5&lt;AO$5)*L279+(Q$5&lt;AO$5)*R279+(W$5&lt;AO$5)*X279+(AC$5&lt;AO$5)*AD279+(AI$5&lt;AO$5)*AJ279+(AU$5&lt;AO$5)*AV279)))</f>
        <v/>
      </c>
      <c r="AR279">
        <f>IF(AP279-AQ279&lt;0.005,0,AP279-AQ279)</f>
        <v/>
      </c>
      <c r="AS279">
        <f>AX278</f>
        <v/>
      </c>
      <c r="AT279">
        <f>AS279*Plan!D13/100/12</f>
        <v/>
      </c>
      <c r="AU279">
        <f>MIN(Plan!E13,AS279+AT279)</f>
        <v/>
      </c>
      <c r="AV279">
        <f>AS279+AT279-AU279</f>
        <v/>
      </c>
      <c r="AW279">
        <f>MIN(AV279,MAX(0,$B279-((E$5&lt;AU$5)*F279+(K$5&lt;AU$5)*L279+(Q$5&lt;AU$5)*R279+(W$5&lt;AU$5)*X279+(AC$5&lt;AU$5)*AD279+(AI$5&lt;AU$5)*AJ279+(AO$5&lt;AU$5)*AP279)))</f>
        <v/>
      </c>
      <c r="AX279">
        <f>IF(AV279-AW279&lt;0.005,0,AV279-AW279)</f>
        <v/>
      </c>
      <c r="BC279">
        <f>H279+N279+T279+Z279+AF279+AL279+AR279+AX279</f>
        <v/>
      </c>
    </row>
    <row r="280">
      <c r="A280" t="n">
        <v>274</v>
      </c>
      <c r="B280" s="19">
        <f>MAX(0,$B$3-(E280+K280+Q280+W280+AC280+AI280+AO280+AU280))</f>
        <v/>
      </c>
      <c r="C280">
        <f>H279</f>
        <v/>
      </c>
      <c r="D280">
        <f>C280*Plan!D6/100/12</f>
        <v/>
      </c>
      <c r="E280">
        <f>MIN(Plan!E6,C280+D280)</f>
        <v/>
      </c>
      <c r="F280">
        <f>C280+D280-E280</f>
        <v/>
      </c>
      <c r="G280">
        <f>MIN(F280,MAX(0,$B280-((K$5&lt;E$5)*L280+(Q$5&lt;E$5)*R280+(W$5&lt;E$5)*X280+(AC$5&lt;E$5)*AD280+(AI$5&lt;E$5)*AJ280+(AO$5&lt;E$5)*AP280+(AU$5&lt;E$5)*AV280)))</f>
        <v/>
      </c>
      <c r="H280">
        <f>IF(F280-G280&lt;0.005,0,F280-G280)</f>
        <v/>
      </c>
      <c r="I280">
        <f>N279</f>
        <v/>
      </c>
      <c r="J280">
        <f>I280*Plan!D7/100/12</f>
        <v/>
      </c>
      <c r="K280">
        <f>MIN(Plan!E7,I280+J280)</f>
        <v/>
      </c>
      <c r="L280">
        <f>I280+J280-K280</f>
        <v/>
      </c>
      <c r="M280">
        <f>MIN(L280,MAX(0,$B280-((E$5&lt;K$5)*F280+(Q$5&lt;K$5)*R280+(W$5&lt;K$5)*X280+(AC$5&lt;K$5)*AD280+(AI$5&lt;K$5)*AJ280+(AO$5&lt;K$5)*AP280+(AU$5&lt;K$5)*AV280)))</f>
        <v/>
      </c>
      <c r="N280">
        <f>IF(L280-M280&lt;0.005,0,L280-M280)</f>
        <v/>
      </c>
      <c r="O280">
        <f>T279</f>
        <v/>
      </c>
      <c r="P280">
        <f>O280*Plan!D8/100/12</f>
        <v/>
      </c>
      <c r="Q280">
        <f>MIN(Plan!E8,O280+P280)</f>
        <v/>
      </c>
      <c r="R280">
        <f>O280+P280-Q280</f>
        <v/>
      </c>
      <c r="S280">
        <f>MIN(R280,MAX(0,$B280-((E$5&lt;Q$5)*F280+(K$5&lt;Q$5)*L280+(W$5&lt;Q$5)*X280+(AC$5&lt;Q$5)*AD280+(AI$5&lt;Q$5)*AJ280+(AO$5&lt;Q$5)*AP280+(AU$5&lt;Q$5)*AV280)))</f>
        <v/>
      </c>
      <c r="T280">
        <f>IF(R280-S280&lt;0.005,0,R280-S280)</f>
        <v/>
      </c>
      <c r="U280">
        <f>Z279</f>
        <v/>
      </c>
      <c r="V280">
        <f>U280*Plan!D9/100/12</f>
        <v/>
      </c>
      <c r="W280">
        <f>MIN(Plan!E9,U280+V280)</f>
        <v/>
      </c>
      <c r="X280">
        <f>U280+V280-W280</f>
        <v/>
      </c>
      <c r="Y280">
        <f>MIN(X280,MAX(0,$B280-((E$5&lt;W$5)*F280+(K$5&lt;W$5)*L280+(Q$5&lt;W$5)*R280+(AC$5&lt;W$5)*AD280+(AI$5&lt;W$5)*AJ280+(AO$5&lt;W$5)*AP280+(AU$5&lt;W$5)*AV280)))</f>
        <v/>
      </c>
      <c r="Z280">
        <f>IF(X280-Y280&lt;0.005,0,X280-Y280)</f>
        <v/>
      </c>
      <c r="AA280">
        <f>AF279</f>
        <v/>
      </c>
      <c r="AB280">
        <f>AA280*Plan!D10/100/12</f>
        <v/>
      </c>
      <c r="AC280">
        <f>MIN(Plan!E10,AA280+AB280)</f>
        <v/>
      </c>
      <c r="AD280">
        <f>AA280+AB280-AC280</f>
        <v/>
      </c>
      <c r="AE280">
        <f>MIN(AD280,MAX(0,$B280-((E$5&lt;AC$5)*F280+(K$5&lt;AC$5)*L280+(Q$5&lt;AC$5)*R280+(W$5&lt;AC$5)*X280+(AI$5&lt;AC$5)*AJ280+(AO$5&lt;AC$5)*AP280+(AU$5&lt;AC$5)*AV280)))</f>
        <v/>
      </c>
      <c r="AF280">
        <f>IF(AD280-AE280&lt;0.005,0,AD280-AE280)</f>
        <v/>
      </c>
      <c r="AG280">
        <f>AL279</f>
        <v/>
      </c>
      <c r="AH280">
        <f>AG280*Plan!D11/100/12</f>
        <v/>
      </c>
      <c r="AI280">
        <f>MIN(Plan!E11,AG280+AH280)</f>
        <v/>
      </c>
      <c r="AJ280">
        <f>AG280+AH280-AI280</f>
        <v/>
      </c>
      <c r="AK280">
        <f>MIN(AJ280,MAX(0,$B280-((E$5&lt;AI$5)*F280+(K$5&lt;AI$5)*L280+(Q$5&lt;AI$5)*R280+(W$5&lt;AI$5)*X280+(AC$5&lt;AI$5)*AD280+(AO$5&lt;AI$5)*AP280+(AU$5&lt;AI$5)*AV280)))</f>
        <v/>
      </c>
      <c r="AL280">
        <f>IF(AJ280-AK280&lt;0.005,0,AJ280-AK280)</f>
        <v/>
      </c>
      <c r="AM280">
        <f>AR279</f>
        <v/>
      </c>
      <c r="AN280">
        <f>AM280*Plan!D12/100/12</f>
        <v/>
      </c>
      <c r="AO280">
        <f>MIN(Plan!E12,AM280+AN280)</f>
        <v/>
      </c>
      <c r="AP280">
        <f>AM280+AN280-AO280</f>
        <v/>
      </c>
      <c r="AQ280">
        <f>MIN(AP280,MAX(0,$B280-((E$5&lt;AO$5)*F280+(K$5&lt;AO$5)*L280+(Q$5&lt;AO$5)*R280+(W$5&lt;AO$5)*X280+(AC$5&lt;AO$5)*AD280+(AI$5&lt;AO$5)*AJ280+(AU$5&lt;AO$5)*AV280)))</f>
        <v/>
      </c>
      <c r="AR280">
        <f>IF(AP280-AQ280&lt;0.005,0,AP280-AQ280)</f>
        <v/>
      </c>
      <c r="AS280">
        <f>AX279</f>
        <v/>
      </c>
      <c r="AT280">
        <f>AS280*Plan!D13/100/12</f>
        <v/>
      </c>
      <c r="AU280">
        <f>MIN(Plan!E13,AS280+AT280)</f>
        <v/>
      </c>
      <c r="AV280">
        <f>AS280+AT280-AU280</f>
        <v/>
      </c>
      <c r="AW280">
        <f>MIN(AV280,MAX(0,$B280-((E$5&lt;AU$5)*F280+(K$5&lt;AU$5)*L280+(Q$5&lt;AU$5)*R280+(W$5&lt;AU$5)*X280+(AC$5&lt;AU$5)*AD280+(AI$5&lt;AU$5)*AJ280+(AO$5&lt;AU$5)*AP280)))</f>
        <v/>
      </c>
      <c r="AX280">
        <f>IF(AV280-AW280&lt;0.005,0,AV280-AW280)</f>
        <v/>
      </c>
      <c r="BC280">
        <f>H280+N280+T280+Z280+AF280+AL280+AR280+AX280</f>
        <v/>
      </c>
    </row>
    <row r="281">
      <c r="A281" t="n">
        <v>275</v>
      </c>
      <c r="B281" s="19">
        <f>MAX(0,$B$3-(E281+K281+Q281+W281+AC281+AI281+AO281+AU281))</f>
        <v/>
      </c>
      <c r="C281">
        <f>H280</f>
        <v/>
      </c>
      <c r="D281">
        <f>C281*Plan!D6/100/12</f>
        <v/>
      </c>
      <c r="E281">
        <f>MIN(Plan!E6,C281+D281)</f>
        <v/>
      </c>
      <c r="F281">
        <f>C281+D281-E281</f>
        <v/>
      </c>
      <c r="G281">
        <f>MIN(F281,MAX(0,$B281-((K$5&lt;E$5)*L281+(Q$5&lt;E$5)*R281+(W$5&lt;E$5)*X281+(AC$5&lt;E$5)*AD281+(AI$5&lt;E$5)*AJ281+(AO$5&lt;E$5)*AP281+(AU$5&lt;E$5)*AV281)))</f>
        <v/>
      </c>
      <c r="H281">
        <f>IF(F281-G281&lt;0.005,0,F281-G281)</f>
        <v/>
      </c>
      <c r="I281">
        <f>N280</f>
        <v/>
      </c>
      <c r="J281">
        <f>I281*Plan!D7/100/12</f>
        <v/>
      </c>
      <c r="K281">
        <f>MIN(Plan!E7,I281+J281)</f>
        <v/>
      </c>
      <c r="L281">
        <f>I281+J281-K281</f>
        <v/>
      </c>
      <c r="M281">
        <f>MIN(L281,MAX(0,$B281-((E$5&lt;K$5)*F281+(Q$5&lt;K$5)*R281+(W$5&lt;K$5)*X281+(AC$5&lt;K$5)*AD281+(AI$5&lt;K$5)*AJ281+(AO$5&lt;K$5)*AP281+(AU$5&lt;K$5)*AV281)))</f>
        <v/>
      </c>
      <c r="N281">
        <f>IF(L281-M281&lt;0.005,0,L281-M281)</f>
        <v/>
      </c>
      <c r="O281">
        <f>T280</f>
        <v/>
      </c>
      <c r="P281">
        <f>O281*Plan!D8/100/12</f>
        <v/>
      </c>
      <c r="Q281">
        <f>MIN(Plan!E8,O281+P281)</f>
        <v/>
      </c>
      <c r="R281">
        <f>O281+P281-Q281</f>
        <v/>
      </c>
      <c r="S281">
        <f>MIN(R281,MAX(0,$B281-((E$5&lt;Q$5)*F281+(K$5&lt;Q$5)*L281+(W$5&lt;Q$5)*X281+(AC$5&lt;Q$5)*AD281+(AI$5&lt;Q$5)*AJ281+(AO$5&lt;Q$5)*AP281+(AU$5&lt;Q$5)*AV281)))</f>
        <v/>
      </c>
      <c r="T281">
        <f>IF(R281-S281&lt;0.005,0,R281-S281)</f>
        <v/>
      </c>
      <c r="U281">
        <f>Z280</f>
        <v/>
      </c>
      <c r="V281">
        <f>U281*Plan!D9/100/12</f>
        <v/>
      </c>
      <c r="W281">
        <f>MIN(Plan!E9,U281+V281)</f>
        <v/>
      </c>
      <c r="X281">
        <f>U281+V281-W281</f>
        <v/>
      </c>
      <c r="Y281">
        <f>MIN(X281,MAX(0,$B281-((E$5&lt;W$5)*F281+(K$5&lt;W$5)*L281+(Q$5&lt;W$5)*R281+(AC$5&lt;W$5)*AD281+(AI$5&lt;W$5)*AJ281+(AO$5&lt;W$5)*AP281+(AU$5&lt;W$5)*AV281)))</f>
        <v/>
      </c>
      <c r="Z281">
        <f>IF(X281-Y281&lt;0.005,0,X281-Y281)</f>
        <v/>
      </c>
      <c r="AA281">
        <f>AF280</f>
        <v/>
      </c>
      <c r="AB281">
        <f>AA281*Plan!D10/100/12</f>
        <v/>
      </c>
      <c r="AC281">
        <f>MIN(Plan!E10,AA281+AB281)</f>
        <v/>
      </c>
      <c r="AD281">
        <f>AA281+AB281-AC281</f>
        <v/>
      </c>
      <c r="AE281">
        <f>MIN(AD281,MAX(0,$B281-((E$5&lt;AC$5)*F281+(K$5&lt;AC$5)*L281+(Q$5&lt;AC$5)*R281+(W$5&lt;AC$5)*X281+(AI$5&lt;AC$5)*AJ281+(AO$5&lt;AC$5)*AP281+(AU$5&lt;AC$5)*AV281)))</f>
        <v/>
      </c>
      <c r="AF281">
        <f>IF(AD281-AE281&lt;0.005,0,AD281-AE281)</f>
        <v/>
      </c>
      <c r="AG281">
        <f>AL280</f>
        <v/>
      </c>
      <c r="AH281">
        <f>AG281*Plan!D11/100/12</f>
        <v/>
      </c>
      <c r="AI281">
        <f>MIN(Plan!E11,AG281+AH281)</f>
        <v/>
      </c>
      <c r="AJ281">
        <f>AG281+AH281-AI281</f>
        <v/>
      </c>
      <c r="AK281">
        <f>MIN(AJ281,MAX(0,$B281-((E$5&lt;AI$5)*F281+(K$5&lt;AI$5)*L281+(Q$5&lt;AI$5)*R281+(W$5&lt;AI$5)*X281+(AC$5&lt;AI$5)*AD281+(AO$5&lt;AI$5)*AP281+(AU$5&lt;AI$5)*AV281)))</f>
        <v/>
      </c>
      <c r="AL281">
        <f>IF(AJ281-AK281&lt;0.005,0,AJ281-AK281)</f>
        <v/>
      </c>
      <c r="AM281">
        <f>AR280</f>
        <v/>
      </c>
      <c r="AN281">
        <f>AM281*Plan!D12/100/12</f>
        <v/>
      </c>
      <c r="AO281">
        <f>MIN(Plan!E12,AM281+AN281)</f>
        <v/>
      </c>
      <c r="AP281">
        <f>AM281+AN281-AO281</f>
        <v/>
      </c>
      <c r="AQ281">
        <f>MIN(AP281,MAX(0,$B281-((E$5&lt;AO$5)*F281+(K$5&lt;AO$5)*L281+(Q$5&lt;AO$5)*R281+(W$5&lt;AO$5)*X281+(AC$5&lt;AO$5)*AD281+(AI$5&lt;AO$5)*AJ281+(AU$5&lt;AO$5)*AV281)))</f>
        <v/>
      </c>
      <c r="AR281">
        <f>IF(AP281-AQ281&lt;0.005,0,AP281-AQ281)</f>
        <v/>
      </c>
      <c r="AS281">
        <f>AX280</f>
        <v/>
      </c>
      <c r="AT281">
        <f>AS281*Plan!D13/100/12</f>
        <v/>
      </c>
      <c r="AU281">
        <f>MIN(Plan!E13,AS281+AT281)</f>
        <v/>
      </c>
      <c r="AV281">
        <f>AS281+AT281-AU281</f>
        <v/>
      </c>
      <c r="AW281">
        <f>MIN(AV281,MAX(0,$B281-((E$5&lt;AU$5)*F281+(K$5&lt;AU$5)*L281+(Q$5&lt;AU$5)*R281+(W$5&lt;AU$5)*X281+(AC$5&lt;AU$5)*AD281+(AI$5&lt;AU$5)*AJ281+(AO$5&lt;AU$5)*AP281)))</f>
        <v/>
      </c>
      <c r="AX281">
        <f>IF(AV281-AW281&lt;0.005,0,AV281-AW281)</f>
        <v/>
      </c>
      <c r="BC281">
        <f>H281+N281+T281+Z281+AF281+AL281+AR281+AX281</f>
        <v/>
      </c>
    </row>
    <row r="282">
      <c r="A282" t="n">
        <v>276</v>
      </c>
      <c r="B282" s="19">
        <f>MAX(0,$B$3-(E282+K282+Q282+W282+AC282+AI282+AO282+AU282))</f>
        <v/>
      </c>
      <c r="C282">
        <f>H281</f>
        <v/>
      </c>
      <c r="D282">
        <f>C282*Plan!D6/100/12</f>
        <v/>
      </c>
      <c r="E282">
        <f>MIN(Plan!E6,C282+D282)</f>
        <v/>
      </c>
      <c r="F282">
        <f>C282+D282-E282</f>
        <v/>
      </c>
      <c r="G282">
        <f>MIN(F282,MAX(0,$B282-((K$5&lt;E$5)*L282+(Q$5&lt;E$5)*R282+(W$5&lt;E$5)*X282+(AC$5&lt;E$5)*AD282+(AI$5&lt;E$5)*AJ282+(AO$5&lt;E$5)*AP282+(AU$5&lt;E$5)*AV282)))</f>
        <v/>
      </c>
      <c r="H282">
        <f>IF(F282-G282&lt;0.005,0,F282-G282)</f>
        <v/>
      </c>
      <c r="I282">
        <f>N281</f>
        <v/>
      </c>
      <c r="J282">
        <f>I282*Plan!D7/100/12</f>
        <v/>
      </c>
      <c r="K282">
        <f>MIN(Plan!E7,I282+J282)</f>
        <v/>
      </c>
      <c r="L282">
        <f>I282+J282-K282</f>
        <v/>
      </c>
      <c r="M282">
        <f>MIN(L282,MAX(0,$B282-((E$5&lt;K$5)*F282+(Q$5&lt;K$5)*R282+(W$5&lt;K$5)*X282+(AC$5&lt;K$5)*AD282+(AI$5&lt;K$5)*AJ282+(AO$5&lt;K$5)*AP282+(AU$5&lt;K$5)*AV282)))</f>
        <v/>
      </c>
      <c r="N282">
        <f>IF(L282-M282&lt;0.005,0,L282-M282)</f>
        <v/>
      </c>
      <c r="O282">
        <f>T281</f>
        <v/>
      </c>
      <c r="P282">
        <f>O282*Plan!D8/100/12</f>
        <v/>
      </c>
      <c r="Q282">
        <f>MIN(Plan!E8,O282+P282)</f>
        <v/>
      </c>
      <c r="R282">
        <f>O282+P282-Q282</f>
        <v/>
      </c>
      <c r="S282">
        <f>MIN(R282,MAX(0,$B282-((E$5&lt;Q$5)*F282+(K$5&lt;Q$5)*L282+(W$5&lt;Q$5)*X282+(AC$5&lt;Q$5)*AD282+(AI$5&lt;Q$5)*AJ282+(AO$5&lt;Q$5)*AP282+(AU$5&lt;Q$5)*AV282)))</f>
        <v/>
      </c>
      <c r="T282">
        <f>IF(R282-S282&lt;0.005,0,R282-S282)</f>
        <v/>
      </c>
      <c r="U282">
        <f>Z281</f>
        <v/>
      </c>
      <c r="V282">
        <f>U282*Plan!D9/100/12</f>
        <v/>
      </c>
      <c r="W282">
        <f>MIN(Plan!E9,U282+V282)</f>
        <v/>
      </c>
      <c r="X282">
        <f>U282+V282-W282</f>
        <v/>
      </c>
      <c r="Y282">
        <f>MIN(X282,MAX(0,$B282-((E$5&lt;W$5)*F282+(K$5&lt;W$5)*L282+(Q$5&lt;W$5)*R282+(AC$5&lt;W$5)*AD282+(AI$5&lt;W$5)*AJ282+(AO$5&lt;W$5)*AP282+(AU$5&lt;W$5)*AV282)))</f>
        <v/>
      </c>
      <c r="Z282">
        <f>IF(X282-Y282&lt;0.005,0,X282-Y282)</f>
        <v/>
      </c>
      <c r="AA282">
        <f>AF281</f>
        <v/>
      </c>
      <c r="AB282">
        <f>AA282*Plan!D10/100/12</f>
        <v/>
      </c>
      <c r="AC282">
        <f>MIN(Plan!E10,AA282+AB282)</f>
        <v/>
      </c>
      <c r="AD282">
        <f>AA282+AB282-AC282</f>
        <v/>
      </c>
      <c r="AE282">
        <f>MIN(AD282,MAX(0,$B282-((E$5&lt;AC$5)*F282+(K$5&lt;AC$5)*L282+(Q$5&lt;AC$5)*R282+(W$5&lt;AC$5)*X282+(AI$5&lt;AC$5)*AJ282+(AO$5&lt;AC$5)*AP282+(AU$5&lt;AC$5)*AV282)))</f>
        <v/>
      </c>
      <c r="AF282">
        <f>IF(AD282-AE282&lt;0.005,0,AD282-AE282)</f>
        <v/>
      </c>
      <c r="AG282">
        <f>AL281</f>
        <v/>
      </c>
      <c r="AH282">
        <f>AG282*Plan!D11/100/12</f>
        <v/>
      </c>
      <c r="AI282">
        <f>MIN(Plan!E11,AG282+AH282)</f>
        <v/>
      </c>
      <c r="AJ282">
        <f>AG282+AH282-AI282</f>
        <v/>
      </c>
      <c r="AK282">
        <f>MIN(AJ282,MAX(0,$B282-((E$5&lt;AI$5)*F282+(K$5&lt;AI$5)*L282+(Q$5&lt;AI$5)*R282+(W$5&lt;AI$5)*X282+(AC$5&lt;AI$5)*AD282+(AO$5&lt;AI$5)*AP282+(AU$5&lt;AI$5)*AV282)))</f>
        <v/>
      </c>
      <c r="AL282">
        <f>IF(AJ282-AK282&lt;0.005,0,AJ282-AK282)</f>
        <v/>
      </c>
      <c r="AM282">
        <f>AR281</f>
        <v/>
      </c>
      <c r="AN282">
        <f>AM282*Plan!D12/100/12</f>
        <v/>
      </c>
      <c r="AO282">
        <f>MIN(Plan!E12,AM282+AN282)</f>
        <v/>
      </c>
      <c r="AP282">
        <f>AM282+AN282-AO282</f>
        <v/>
      </c>
      <c r="AQ282">
        <f>MIN(AP282,MAX(0,$B282-((E$5&lt;AO$5)*F282+(K$5&lt;AO$5)*L282+(Q$5&lt;AO$5)*R282+(W$5&lt;AO$5)*X282+(AC$5&lt;AO$5)*AD282+(AI$5&lt;AO$5)*AJ282+(AU$5&lt;AO$5)*AV282)))</f>
        <v/>
      </c>
      <c r="AR282">
        <f>IF(AP282-AQ282&lt;0.005,0,AP282-AQ282)</f>
        <v/>
      </c>
      <c r="AS282">
        <f>AX281</f>
        <v/>
      </c>
      <c r="AT282">
        <f>AS282*Plan!D13/100/12</f>
        <v/>
      </c>
      <c r="AU282">
        <f>MIN(Plan!E13,AS282+AT282)</f>
        <v/>
      </c>
      <c r="AV282">
        <f>AS282+AT282-AU282</f>
        <v/>
      </c>
      <c r="AW282">
        <f>MIN(AV282,MAX(0,$B282-((E$5&lt;AU$5)*F282+(K$5&lt;AU$5)*L282+(Q$5&lt;AU$5)*R282+(W$5&lt;AU$5)*X282+(AC$5&lt;AU$5)*AD282+(AI$5&lt;AU$5)*AJ282+(AO$5&lt;AU$5)*AP282)))</f>
        <v/>
      </c>
      <c r="AX282">
        <f>IF(AV282-AW282&lt;0.005,0,AV282-AW282)</f>
        <v/>
      </c>
      <c r="BC282">
        <f>H282+N282+T282+Z282+AF282+AL282+AR282+AX282</f>
        <v/>
      </c>
    </row>
    <row r="283">
      <c r="A283" t="n">
        <v>277</v>
      </c>
      <c r="B283" s="19">
        <f>MAX(0,$B$3-(E283+K283+Q283+W283+AC283+AI283+AO283+AU283))</f>
        <v/>
      </c>
      <c r="C283">
        <f>H282</f>
        <v/>
      </c>
      <c r="D283">
        <f>C283*Plan!D6/100/12</f>
        <v/>
      </c>
      <c r="E283">
        <f>MIN(Plan!E6,C283+D283)</f>
        <v/>
      </c>
      <c r="F283">
        <f>C283+D283-E283</f>
        <v/>
      </c>
      <c r="G283">
        <f>MIN(F283,MAX(0,$B283-((K$5&lt;E$5)*L283+(Q$5&lt;E$5)*R283+(W$5&lt;E$5)*X283+(AC$5&lt;E$5)*AD283+(AI$5&lt;E$5)*AJ283+(AO$5&lt;E$5)*AP283+(AU$5&lt;E$5)*AV283)))</f>
        <v/>
      </c>
      <c r="H283">
        <f>IF(F283-G283&lt;0.005,0,F283-G283)</f>
        <v/>
      </c>
      <c r="I283">
        <f>N282</f>
        <v/>
      </c>
      <c r="J283">
        <f>I283*Plan!D7/100/12</f>
        <v/>
      </c>
      <c r="K283">
        <f>MIN(Plan!E7,I283+J283)</f>
        <v/>
      </c>
      <c r="L283">
        <f>I283+J283-K283</f>
        <v/>
      </c>
      <c r="M283">
        <f>MIN(L283,MAX(0,$B283-((E$5&lt;K$5)*F283+(Q$5&lt;K$5)*R283+(W$5&lt;K$5)*X283+(AC$5&lt;K$5)*AD283+(AI$5&lt;K$5)*AJ283+(AO$5&lt;K$5)*AP283+(AU$5&lt;K$5)*AV283)))</f>
        <v/>
      </c>
      <c r="N283">
        <f>IF(L283-M283&lt;0.005,0,L283-M283)</f>
        <v/>
      </c>
      <c r="O283">
        <f>T282</f>
        <v/>
      </c>
      <c r="P283">
        <f>O283*Plan!D8/100/12</f>
        <v/>
      </c>
      <c r="Q283">
        <f>MIN(Plan!E8,O283+P283)</f>
        <v/>
      </c>
      <c r="R283">
        <f>O283+P283-Q283</f>
        <v/>
      </c>
      <c r="S283">
        <f>MIN(R283,MAX(0,$B283-((E$5&lt;Q$5)*F283+(K$5&lt;Q$5)*L283+(W$5&lt;Q$5)*X283+(AC$5&lt;Q$5)*AD283+(AI$5&lt;Q$5)*AJ283+(AO$5&lt;Q$5)*AP283+(AU$5&lt;Q$5)*AV283)))</f>
        <v/>
      </c>
      <c r="T283">
        <f>IF(R283-S283&lt;0.005,0,R283-S283)</f>
        <v/>
      </c>
      <c r="U283">
        <f>Z282</f>
        <v/>
      </c>
      <c r="V283">
        <f>U283*Plan!D9/100/12</f>
        <v/>
      </c>
      <c r="W283">
        <f>MIN(Plan!E9,U283+V283)</f>
        <v/>
      </c>
      <c r="X283">
        <f>U283+V283-W283</f>
        <v/>
      </c>
      <c r="Y283">
        <f>MIN(X283,MAX(0,$B283-((E$5&lt;W$5)*F283+(K$5&lt;W$5)*L283+(Q$5&lt;W$5)*R283+(AC$5&lt;W$5)*AD283+(AI$5&lt;W$5)*AJ283+(AO$5&lt;W$5)*AP283+(AU$5&lt;W$5)*AV283)))</f>
        <v/>
      </c>
      <c r="Z283">
        <f>IF(X283-Y283&lt;0.005,0,X283-Y283)</f>
        <v/>
      </c>
      <c r="AA283">
        <f>AF282</f>
        <v/>
      </c>
      <c r="AB283">
        <f>AA283*Plan!D10/100/12</f>
        <v/>
      </c>
      <c r="AC283">
        <f>MIN(Plan!E10,AA283+AB283)</f>
        <v/>
      </c>
      <c r="AD283">
        <f>AA283+AB283-AC283</f>
        <v/>
      </c>
      <c r="AE283">
        <f>MIN(AD283,MAX(0,$B283-((E$5&lt;AC$5)*F283+(K$5&lt;AC$5)*L283+(Q$5&lt;AC$5)*R283+(W$5&lt;AC$5)*X283+(AI$5&lt;AC$5)*AJ283+(AO$5&lt;AC$5)*AP283+(AU$5&lt;AC$5)*AV283)))</f>
        <v/>
      </c>
      <c r="AF283">
        <f>IF(AD283-AE283&lt;0.005,0,AD283-AE283)</f>
        <v/>
      </c>
      <c r="AG283">
        <f>AL282</f>
        <v/>
      </c>
      <c r="AH283">
        <f>AG283*Plan!D11/100/12</f>
        <v/>
      </c>
      <c r="AI283">
        <f>MIN(Plan!E11,AG283+AH283)</f>
        <v/>
      </c>
      <c r="AJ283">
        <f>AG283+AH283-AI283</f>
        <v/>
      </c>
      <c r="AK283">
        <f>MIN(AJ283,MAX(0,$B283-((E$5&lt;AI$5)*F283+(K$5&lt;AI$5)*L283+(Q$5&lt;AI$5)*R283+(W$5&lt;AI$5)*X283+(AC$5&lt;AI$5)*AD283+(AO$5&lt;AI$5)*AP283+(AU$5&lt;AI$5)*AV283)))</f>
        <v/>
      </c>
      <c r="AL283">
        <f>IF(AJ283-AK283&lt;0.005,0,AJ283-AK283)</f>
        <v/>
      </c>
      <c r="AM283">
        <f>AR282</f>
        <v/>
      </c>
      <c r="AN283">
        <f>AM283*Plan!D12/100/12</f>
        <v/>
      </c>
      <c r="AO283">
        <f>MIN(Plan!E12,AM283+AN283)</f>
        <v/>
      </c>
      <c r="AP283">
        <f>AM283+AN283-AO283</f>
        <v/>
      </c>
      <c r="AQ283">
        <f>MIN(AP283,MAX(0,$B283-((E$5&lt;AO$5)*F283+(K$5&lt;AO$5)*L283+(Q$5&lt;AO$5)*R283+(W$5&lt;AO$5)*X283+(AC$5&lt;AO$5)*AD283+(AI$5&lt;AO$5)*AJ283+(AU$5&lt;AO$5)*AV283)))</f>
        <v/>
      </c>
      <c r="AR283">
        <f>IF(AP283-AQ283&lt;0.005,0,AP283-AQ283)</f>
        <v/>
      </c>
      <c r="AS283">
        <f>AX282</f>
        <v/>
      </c>
      <c r="AT283">
        <f>AS283*Plan!D13/100/12</f>
        <v/>
      </c>
      <c r="AU283">
        <f>MIN(Plan!E13,AS283+AT283)</f>
        <v/>
      </c>
      <c r="AV283">
        <f>AS283+AT283-AU283</f>
        <v/>
      </c>
      <c r="AW283">
        <f>MIN(AV283,MAX(0,$B283-((E$5&lt;AU$5)*F283+(K$5&lt;AU$5)*L283+(Q$5&lt;AU$5)*R283+(W$5&lt;AU$5)*X283+(AC$5&lt;AU$5)*AD283+(AI$5&lt;AU$5)*AJ283+(AO$5&lt;AU$5)*AP283)))</f>
        <v/>
      </c>
      <c r="AX283">
        <f>IF(AV283-AW283&lt;0.005,0,AV283-AW283)</f>
        <v/>
      </c>
      <c r="BC283">
        <f>H283+N283+T283+Z283+AF283+AL283+AR283+AX283</f>
        <v/>
      </c>
    </row>
    <row r="284">
      <c r="A284" t="n">
        <v>278</v>
      </c>
      <c r="B284" s="19">
        <f>MAX(0,$B$3-(E284+K284+Q284+W284+AC284+AI284+AO284+AU284))</f>
        <v/>
      </c>
      <c r="C284">
        <f>H283</f>
        <v/>
      </c>
      <c r="D284">
        <f>C284*Plan!D6/100/12</f>
        <v/>
      </c>
      <c r="E284">
        <f>MIN(Plan!E6,C284+D284)</f>
        <v/>
      </c>
      <c r="F284">
        <f>C284+D284-E284</f>
        <v/>
      </c>
      <c r="G284">
        <f>MIN(F284,MAX(0,$B284-((K$5&lt;E$5)*L284+(Q$5&lt;E$5)*R284+(W$5&lt;E$5)*X284+(AC$5&lt;E$5)*AD284+(AI$5&lt;E$5)*AJ284+(AO$5&lt;E$5)*AP284+(AU$5&lt;E$5)*AV284)))</f>
        <v/>
      </c>
      <c r="H284">
        <f>IF(F284-G284&lt;0.005,0,F284-G284)</f>
        <v/>
      </c>
      <c r="I284">
        <f>N283</f>
        <v/>
      </c>
      <c r="J284">
        <f>I284*Plan!D7/100/12</f>
        <v/>
      </c>
      <c r="K284">
        <f>MIN(Plan!E7,I284+J284)</f>
        <v/>
      </c>
      <c r="L284">
        <f>I284+J284-K284</f>
        <v/>
      </c>
      <c r="M284">
        <f>MIN(L284,MAX(0,$B284-((E$5&lt;K$5)*F284+(Q$5&lt;K$5)*R284+(W$5&lt;K$5)*X284+(AC$5&lt;K$5)*AD284+(AI$5&lt;K$5)*AJ284+(AO$5&lt;K$5)*AP284+(AU$5&lt;K$5)*AV284)))</f>
        <v/>
      </c>
      <c r="N284">
        <f>IF(L284-M284&lt;0.005,0,L284-M284)</f>
        <v/>
      </c>
      <c r="O284">
        <f>T283</f>
        <v/>
      </c>
      <c r="P284">
        <f>O284*Plan!D8/100/12</f>
        <v/>
      </c>
      <c r="Q284">
        <f>MIN(Plan!E8,O284+P284)</f>
        <v/>
      </c>
      <c r="R284">
        <f>O284+P284-Q284</f>
        <v/>
      </c>
      <c r="S284">
        <f>MIN(R284,MAX(0,$B284-((E$5&lt;Q$5)*F284+(K$5&lt;Q$5)*L284+(W$5&lt;Q$5)*X284+(AC$5&lt;Q$5)*AD284+(AI$5&lt;Q$5)*AJ284+(AO$5&lt;Q$5)*AP284+(AU$5&lt;Q$5)*AV284)))</f>
        <v/>
      </c>
      <c r="T284">
        <f>IF(R284-S284&lt;0.005,0,R284-S284)</f>
        <v/>
      </c>
      <c r="U284">
        <f>Z283</f>
        <v/>
      </c>
      <c r="V284">
        <f>U284*Plan!D9/100/12</f>
        <v/>
      </c>
      <c r="W284">
        <f>MIN(Plan!E9,U284+V284)</f>
        <v/>
      </c>
      <c r="X284">
        <f>U284+V284-W284</f>
        <v/>
      </c>
      <c r="Y284">
        <f>MIN(X284,MAX(0,$B284-((E$5&lt;W$5)*F284+(K$5&lt;W$5)*L284+(Q$5&lt;W$5)*R284+(AC$5&lt;W$5)*AD284+(AI$5&lt;W$5)*AJ284+(AO$5&lt;W$5)*AP284+(AU$5&lt;W$5)*AV284)))</f>
        <v/>
      </c>
      <c r="Z284">
        <f>IF(X284-Y284&lt;0.005,0,X284-Y284)</f>
        <v/>
      </c>
      <c r="AA284">
        <f>AF283</f>
        <v/>
      </c>
      <c r="AB284">
        <f>AA284*Plan!D10/100/12</f>
        <v/>
      </c>
      <c r="AC284">
        <f>MIN(Plan!E10,AA284+AB284)</f>
        <v/>
      </c>
      <c r="AD284">
        <f>AA284+AB284-AC284</f>
        <v/>
      </c>
      <c r="AE284">
        <f>MIN(AD284,MAX(0,$B284-((E$5&lt;AC$5)*F284+(K$5&lt;AC$5)*L284+(Q$5&lt;AC$5)*R284+(W$5&lt;AC$5)*X284+(AI$5&lt;AC$5)*AJ284+(AO$5&lt;AC$5)*AP284+(AU$5&lt;AC$5)*AV284)))</f>
        <v/>
      </c>
      <c r="AF284">
        <f>IF(AD284-AE284&lt;0.005,0,AD284-AE284)</f>
        <v/>
      </c>
      <c r="AG284">
        <f>AL283</f>
        <v/>
      </c>
      <c r="AH284">
        <f>AG284*Plan!D11/100/12</f>
        <v/>
      </c>
      <c r="AI284">
        <f>MIN(Plan!E11,AG284+AH284)</f>
        <v/>
      </c>
      <c r="AJ284">
        <f>AG284+AH284-AI284</f>
        <v/>
      </c>
      <c r="AK284">
        <f>MIN(AJ284,MAX(0,$B284-((E$5&lt;AI$5)*F284+(K$5&lt;AI$5)*L284+(Q$5&lt;AI$5)*R284+(W$5&lt;AI$5)*X284+(AC$5&lt;AI$5)*AD284+(AO$5&lt;AI$5)*AP284+(AU$5&lt;AI$5)*AV284)))</f>
        <v/>
      </c>
      <c r="AL284">
        <f>IF(AJ284-AK284&lt;0.005,0,AJ284-AK284)</f>
        <v/>
      </c>
      <c r="AM284">
        <f>AR283</f>
        <v/>
      </c>
      <c r="AN284">
        <f>AM284*Plan!D12/100/12</f>
        <v/>
      </c>
      <c r="AO284">
        <f>MIN(Plan!E12,AM284+AN284)</f>
        <v/>
      </c>
      <c r="AP284">
        <f>AM284+AN284-AO284</f>
        <v/>
      </c>
      <c r="AQ284">
        <f>MIN(AP284,MAX(0,$B284-((E$5&lt;AO$5)*F284+(K$5&lt;AO$5)*L284+(Q$5&lt;AO$5)*R284+(W$5&lt;AO$5)*X284+(AC$5&lt;AO$5)*AD284+(AI$5&lt;AO$5)*AJ284+(AU$5&lt;AO$5)*AV284)))</f>
        <v/>
      </c>
      <c r="AR284">
        <f>IF(AP284-AQ284&lt;0.005,0,AP284-AQ284)</f>
        <v/>
      </c>
      <c r="AS284">
        <f>AX283</f>
        <v/>
      </c>
      <c r="AT284">
        <f>AS284*Plan!D13/100/12</f>
        <v/>
      </c>
      <c r="AU284">
        <f>MIN(Plan!E13,AS284+AT284)</f>
        <v/>
      </c>
      <c r="AV284">
        <f>AS284+AT284-AU284</f>
        <v/>
      </c>
      <c r="AW284">
        <f>MIN(AV284,MAX(0,$B284-((E$5&lt;AU$5)*F284+(K$5&lt;AU$5)*L284+(Q$5&lt;AU$5)*R284+(W$5&lt;AU$5)*X284+(AC$5&lt;AU$5)*AD284+(AI$5&lt;AU$5)*AJ284+(AO$5&lt;AU$5)*AP284)))</f>
        <v/>
      </c>
      <c r="AX284">
        <f>IF(AV284-AW284&lt;0.005,0,AV284-AW284)</f>
        <v/>
      </c>
      <c r="BC284">
        <f>H284+N284+T284+Z284+AF284+AL284+AR284+AX284</f>
        <v/>
      </c>
    </row>
    <row r="285">
      <c r="A285" t="n">
        <v>279</v>
      </c>
      <c r="B285" s="19">
        <f>MAX(0,$B$3-(E285+K285+Q285+W285+AC285+AI285+AO285+AU285))</f>
        <v/>
      </c>
      <c r="C285">
        <f>H284</f>
        <v/>
      </c>
      <c r="D285">
        <f>C285*Plan!D6/100/12</f>
        <v/>
      </c>
      <c r="E285">
        <f>MIN(Plan!E6,C285+D285)</f>
        <v/>
      </c>
      <c r="F285">
        <f>C285+D285-E285</f>
        <v/>
      </c>
      <c r="G285">
        <f>MIN(F285,MAX(0,$B285-((K$5&lt;E$5)*L285+(Q$5&lt;E$5)*R285+(W$5&lt;E$5)*X285+(AC$5&lt;E$5)*AD285+(AI$5&lt;E$5)*AJ285+(AO$5&lt;E$5)*AP285+(AU$5&lt;E$5)*AV285)))</f>
        <v/>
      </c>
      <c r="H285">
        <f>IF(F285-G285&lt;0.005,0,F285-G285)</f>
        <v/>
      </c>
      <c r="I285">
        <f>N284</f>
        <v/>
      </c>
      <c r="J285">
        <f>I285*Plan!D7/100/12</f>
        <v/>
      </c>
      <c r="K285">
        <f>MIN(Plan!E7,I285+J285)</f>
        <v/>
      </c>
      <c r="L285">
        <f>I285+J285-K285</f>
        <v/>
      </c>
      <c r="M285">
        <f>MIN(L285,MAX(0,$B285-((E$5&lt;K$5)*F285+(Q$5&lt;K$5)*R285+(W$5&lt;K$5)*X285+(AC$5&lt;K$5)*AD285+(AI$5&lt;K$5)*AJ285+(AO$5&lt;K$5)*AP285+(AU$5&lt;K$5)*AV285)))</f>
        <v/>
      </c>
      <c r="N285">
        <f>IF(L285-M285&lt;0.005,0,L285-M285)</f>
        <v/>
      </c>
      <c r="O285">
        <f>T284</f>
        <v/>
      </c>
      <c r="P285">
        <f>O285*Plan!D8/100/12</f>
        <v/>
      </c>
      <c r="Q285">
        <f>MIN(Plan!E8,O285+P285)</f>
        <v/>
      </c>
      <c r="R285">
        <f>O285+P285-Q285</f>
        <v/>
      </c>
      <c r="S285">
        <f>MIN(R285,MAX(0,$B285-((E$5&lt;Q$5)*F285+(K$5&lt;Q$5)*L285+(W$5&lt;Q$5)*X285+(AC$5&lt;Q$5)*AD285+(AI$5&lt;Q$5)*AJ285+(AO$5&lt;Q$5)*AP285+(AU$5&lt;Q$5)*AV285)))</f>
        <v/>
      </c>
      <c r="T285">
        <f>IF(R285-S285&lt;0.005,0,R285-S285)</f>
        <v/>
      </c>
      <c r="U285">
        <f>Z284</f>
        <v/>
      </c>
      <c r="V285">
        <f>U285*Plan!D9/100/12</f>
        <v/>
      </c>
      <c r="W285">
        <f>MIN(Plan!E9,U285+V285)</f>
        <v/>
      </c>
      <c r="X285">
        <f>U285+V285-W285</f>
        <v/>
      </c>
      <c r="Y285">
        <f>MIN(X285,MAX(0,$B285-((E$5&lt;W$5)*F285+(K$5&lt;W$5)*L285+(Q$5&lt;W$5)*R285+(AC$5&lt;W$5)*AD285+(AI$5&lt;W$5)*AJ285+(AO$5&lt;W$5)*AP285+(AU$5&lt;W$5)*AV285)))</f>
        <v/>
      </c>
      <c r="Z285">
        <f>IF(X285-Y285&lt;0.005,0,X285-Y285)</f>
        <v/>
      </c>
      <c r="AA285">
        <f>AF284</f>
        <v/>
      </c>
      <c r="AB285">
        <f>AA285*Plan!D10/100/12</f>
        <v/>
      </c>
      <c r="AC285">
        <f>MIN(Plan!E10,AA285+AB285)</f>
        <v/>
      </c>
      <c r="AD285">
        <f>AA285+AB285-AC285</f>
        <v/>
      </c>
      <c r="AE285">
        <f>MIN(AD285,MAX(0,$B285-((E$5&lt;AC$5)*F285+(K$5&lt;AC$5)*L285+(Q$5&lt;AC$5)*R285+(W$5&lt;AC$5)*X285+(AI$5&lt;AC$5)*AJ285+(AO$5&lt;AC$5)*AP285+(AU$5&lt;AC$5)*AV285)))</f>
        <v/>
      </c>
      <c r="AF285">
        <f>IF(AD285-AE285&lt;0.005,0,AD285-AE285)</f>
        <v/>
      </c>
      <c r="AG285">
        <f>AL284</f>
        <v/>
      </c>
      <c r="AH285">
        <f>AG285*Plan!D11/100/12</f>
        <v/>
      </c>
      <c r="AI285">
        <f>MIN(Plan!E11,AG285+AH285)</f>
        <v/>
      </c>
      <c r="AJ285">
        <f>AG285+AH285-AI285</f>
        <v/>
      </c>
      <c r="AK285">
        <f>MIN(AJ285,MAX(0,$B285-((E$5&lt;AI$5)*F285+(K$5&lt;AI$5)*L285+(Q$5&lt;AI$5)*R285+(W$5&lt;AI$5)*X285+(AC$5&lt;AI$5)*AD285+(AO$5&lt;AI$5)*AP285+(AU$5&lt;AI$5)*AV285)))</f>
        <v/>
      </c>
      <c r="AL285">
        <f>IF(AJ285-AK285&lt;0.005,0,AJ285-AK285)</f>
        <v/>
      </c>
      <c r="AM285">
        <f>AR284</f>
        <v/>
      </c>
      <c r="AN285">
        <f>AM285*Plan!D12/100/12</f>
        <v/>
      </c>
      <c r="AO285">
        <f>MIN(Plan!E12,AM285+AN285)</f>
        <v/>
      </c>
      <c r="AP285">
        <f>AM285+AN285-AO285</f>
        <v/>
      </c>
      <c r="AQ285">
        <f>MIN(AP285,MAX(0,$B285-((E$5&lt;AO$5)*F285+(K$5&lt;AO$5)*L285+(Q$5&lt;AO$5)*R285+(W$5&lt;AO$5)*X285+(AC$5&lt;AO$5)*AD285+(AI$5&lt;AO$5)*AJ285+(AU$5&lt;AO$5)*AV285)))</f>
        <v/>
      </c>
      <c r="AR285">
        <f>IF(AP285-AQ285&lt;0.005,0,AP285-AQ285)</f>
        <v/>
      </c>
      <c r="AS285">
        <f>AX284</f>
        <v/>
      </c>
      <c r="AT285">
        <f>AS285*Plan!D13/100/12</f>
        <v/>
      </c>
      <c r="AU285">
        <f>MIN(Plan!E13,AS285+AT285)</f>
        <v/>
      </c>
      <c r="AV285">
        <f>AS285+AT285-AU285</f>
        <v/>
      </c>
      <c r="AW285">
        <f>MIN(AV285,MAX(0,$B285-((E$5&lt;AU$5)*F285+(K$5&lt;AU$5)*L285+(Q$5&lt;AU$5)*R285+(W$5&lt;AU$5)*X285+(AC$5&lt;AU$5)*AD285+(AI$5&lt;AU$5)*AJ285+(AO$5&lt;AU$5)*AP285)))</f>
        <v/>
      </c>
      <c r="AX285">
        <f>IF(AV285-AW285&lt;0.005,0,AV285-AW285)</f>
        <v/>
      </c>
      <c r="BC285">
        <f>H285+N285+T285+Z285+AF285+AL285+AR285+AX285</f>
        <v/>
      </c>
    </row>
    <row r="286">
      <c r="A286" t="n">
        <v>280</v>
      </c>
      <c r="B286" s="19">
        <f>MAX(0,$B$3-(E286+K286+Q286+W286+AC286+AI286+AO286+AU286))</f>
        <v/>
      </c>
      <c r="C286">
        <f>H285</f>
        <v/>
      </c>
      <c r="D286">
        <f>C286*Plan!D6/100/12</f>
        <v/>
      </c>
      <c r="E286">
        <f>MIN(Plan!E6,C286+D286)</f>
        <v/>
      </c>
      <c r="F286">
        <f>C286+D286-E286</f>
        <v/>
      </c>
      <c r="G286">
        <f>MIN(F286,MAX(0,$B286-((K$5&lt;E$5)*L286+(Q$5&lt;E$5)*R286+(W$5&lt;E$5)*X286+(AC$5&lt;E$5)*AD286+(AI$5&lt;E$5)*AJ286+(AO$5&lt;E$5)*AP286+(AU$5&lt;E$5)*AV286)))</f>
        <v/>
      </c>
      <c r="H286">
        <f>IF(F286-G286&lt;0.005,0,F286-G286)</f>
        <v/>
      </c>
      <c r="I286">
        <f>N285</f>
        <v/>
      </c>
      <c r="J286">
        <f>I286*Plan!D7/100/12</f>
        <v/>
      </c>
      <c r="K286">
        <f>MIN(Plan!E7,I286+J286)</f>
        <v/>
      </c>
      <c r="L286">
        <f>I286+J286-K286</f>
        <v/>
      </c>
      <c r="M286">
        <f>MIN(L286,MAX(0,$B286-((E$5&lt;K$5)*F286+(Q$5&lt;K$5)*R286+(W$5&lt;K$5)*X286+(AC$5&lt;K$5)*AD286+(AI$5&lt;K$5)*AJ286+(AO$5&lt;K$5)*AP286+(AU$5&lt;K$5)*AV286)))</f>
        <v/>
      </c>
      <c r="N286">
        <f>IF(L286-M286&lt;0.005,0,L286-M286)</f>
        <v/>
      </c>
      <c r="O286">
        <f>T285</f>
        <v/>
      </c>
      <c r="P286">
        <f>O286*Plan!D8/100/12</f>
        <v/>
      </c>
      <c r="Q286">
        <f>MIN(Plan!E8,O286+P286)</f>
        <v/>
      </c>
      <c r="R286">
        <f>O286+P286-Q286</f>
        <v/>
      </c>
      <c r="S286">
        <f>MIN(R286,MAX(0,$B286-((E$5&lt;Q$5)*F286+(K$5&lt;Q$5)*L286+(W$5&lt;Q$5)*X286+(AC$5&lt;Q$5)*AD286+(AI$5&lt;Q$5)*AJ286+(AO$5&lt;Q$5)*AP286+(AU$5&lt;Q$5)*AV286)))</f>
        <v/>
      </c>
      <c r="T286">
        <f>IF(R286-S286&lt;0.005,0,R286-S286)</f>
        <v/>
      </c>
      <c r="U286">
        <f>Z285</f>
        <v/>
      </c>
      <c r="V286">
        <f>U286*Plan!D9/100/12</f>
        <v/>
      </c>
      <c r="W286">
        <f>MIN(Plan!E9,U286+V286)</f>
        <v/>
      </c>
      <c r="X286">
        <f>U286+V286-W286</f>
        <v/>
      </c>
      <c r="Y286">
        <f>MIN(X286,MAX(0,$B286-((E$5&lt;W$5)*F286+(K$5&lt;W$5)*L286+(Q$5&lt;W$5)*R286+(AC$5&lt;W$5)*AD286+(AI$5&lt;W$5)*AJ286+(AO$5&lt;W$5)*AP286+(AU$5&lt;W$5)*AV286)))</f>
        <v/>
      </c>
      <c r="Z286">
        <f>IF(X286-Y286&lt;0.005,0,X286-Y286)</f>
        <v/>
      </c>
      <c r="AA286">
        <f>AF285</f>
        <v/>
      </c>
      <c r="AB286">
        <f>AA286*Plan!D10/100/12</f>
        <v/>
      </c>
      <c r="AC286">
        <f>MIN(Plan!E10,AA286+AB286)</f>
        <v/>
      </c>
      <c r="AD286">
        <f>AA286+AB286-AC286</f>
        <v/>
      </c>
      <c r="AE286">
        <f>MIN(AD286,MAX(0,$B286-((E$5&lt;AC$5)*F286+(K$5&lt;AC$5)*L286+(Q$5&lt;AC$5)*R286+(W$5&lt;AC$5)*X286+(AI$5&lt;AC$5)*AJ286+(AO$5&lt;AC$5)*AP286+(AU$5&lt;AC$5)*AV286)))</f>
        <v/>
      </c>
      <c r="AF286">
        <f>IF(AD286-AE286&lt;0.005,0,AD286-AE286)</f>
        <v/>
      </c>
      <c r="AG286">
        <f>AL285</f>
        <v/>
      </c>
      <c r="AH286">
        <f>AG286*Plan!D11/100/12</f>
        <v/>
      </c>
      <c r="AI286">
        <f>MIN(Plan!E11,AG286+AH286)</f>
        <v/>
      </c>
      <c r="AJ286">
        <f>AG286+AH286-AI286</f>
        <v/>
      </c>
      <c r="AK286">
        <f>MIN(AJ286,MAX(0,$B286-((E$5&lt;AI$5)*F286+(K$5&lt;AI$5)*L286+(Q$5&lt;AI$5)*R286+(W$5&lt;AI$5)*X286+(AC$5&lt;AI$5)*AD286+(AO$5&lt;AI$5)*AP286+(AU$5&lt;AI$5)*AV286)))</f>
        <v/>
      </c>
      <c r="AL286">
        <f>IF(AJ286-AK286&lt;0.005,0,AJ286-AK286)</f>
        <v/>
      </c>
      <c r="AM286">
        <f>AR285</f>
        <v/>
      </c>
      <c r="AN286">
        <f>AM286*Plan!D12/100/12</f>
        <v/>
      </c>
      <c r="AO286">
        <f>MIN(Plan!E12,AM286+AN286)</f>
        <v/>
      </c>
      <c r="AP286">
        <f>AM286+AN286-AO286</f>
        <v/>
      </c>
      <c r="AQ286">
        <f>MIN(AP286,MAX(0,$B286-((E$5&lt;AO$5)*F286+(K$5&lt;AO$5)*L286+(Q$5&lt;AO$5)*R286+(W$5&lt;AO$5)*X286+(AC$5&lt;AO$5)*AD286+(AI$5&lt;AO$5)*AJ286+(AU$5&lt;AO$5)*AV286)))</f>
        <v/>
      </c>
      <c r="AR286">
        <f>IF(AP286-AQ286&lt;0.005,0,AP286-AQ286)</f>
        <v/>
      </c>
      <c r="AS286">
        <f>AX285</f>
        <v/>
      </c>
      <c r="AT286">
        <f>AS286*Plan!D13/100/12</f>
        <v/>
      </c>
      <c r="AU286">
        <f>MIN(Plan!E13,AS286+AT286)</f>
        <v/>
      </c>
      <c r="AV286">
        <f>AS286+AT286-AU286</f>
        <v/>
      </c>
      <c r="AW286">
        <f>MIN(AV286,MAX(0,$B286-((E$5&lt;AU$5)*F286+(K$5&lt;AU$5)*L286+(Q$5&lt;AU$5)*R286+(W$5&lt;AU$5)*X286+(AC$5&lt;AU$5)*AD286+(AI$5&lt;AU$5)*AJ286+(AO$5&lt;AU$5)*AP286)))</f>
        <v/>
      </c>
      <c r="AX286">
        <f>IF(AV286-AW286&lt;0.005,0,AV286-AW286)</f>
        <v/>
      </c>
      <c r="BC286">
        <f>H286+N286+T286+Z286+AF286+AL286+AR286+AX286</f>
        <v/>
      </c>
    </row>
    <row r="287">
      <c r="A287" t="n">
        <v>281</v>
      </c>
      <c r="B287" s="19">
        <f>MAX(0,$B$3-(E287+K287+Q287+W287+AC287+AI287+AO287+AU287))</f>
        <v/>
      </c>
      <c r="C287">
        <f>H286</f>
        <v/>
      </c>
      <c r="D287">
        <f>C287*Plan!D6/100/12</f>
        <v/>
      </c>
      <c r="E287">
        <f>MIN(Plan!E6,C287+D287)</f>
        <v/>
      </c>
      <c r="F287">
        <f>C287+D287-E287</f>
        <v/>
      </c>
      <c r="G287">
        <f>MIN(F287,MAX(0,$B287-((K$5&lt;E$5)*L287+(Q$5&lt;E$5)*R287+(W$5&lt;E$5)*X287+(AC$5&lt;E$5)*AD287+(AI$5&lt;E$5)*AJ287+(AO$5&lt;E$5)*AP287+(AU$5&lt;E$5)*AV287)))</f>
        <v/>
      </c>
      <c r="H287">
        <f>IF(F287-G287&lt;0.005,0,F287-G287)</f>
        <v/>
      </c>
      <c r="I287">
        <f>N286</f>
        <v/>
      </c>
      <c r="J287">
        <f>I287*Plan!D7/100/12</f>
        <v/>
      </c>
      <c r="K287">
        <f>MIN(Plan!E7,I287+J287)</f>
        <v/>
      </c>
      <c r="L287">
        <f>I287+J287-K287</f>
        <v/>
      </c>
      <c r="M287">
        <f>MIN(L287,MAX(0,$B287-((E$5&lt;K$5)*F287+(Q$5&lt;K$5)*R287+(W$5&lt;K$5)*X287+(AC$5&lt;K$5)*AD287+(AI$5&lt;K$5)*AJ287+(AO$5&lt;K$5)*AP287+(AU$5&lt;K$5)*AV287)))</f>
        <v/>
      </c>
      <c r="N287">
        <f>IF(L287-M287&lt;0.005,0,L287-M287)</f>
        <v/>
      </c>
      <c r="O287">
        <f>T286</f>
        <v/>
      </c>
      <c r="P287">
        <f>O287*Plan!D8/100/12</f>
        <v/>
      </c>
      <c r="Q287">
        <f>MIN(Plan!E8,O287+P287)</f>
        <v/>
      </c>
      <c r="R287">
        <f>O287+P287-Q287</f>
        <v/>
      </c>
      <c r="S287">
        <f>MIN(R287,MAX(0,$B287-((E$5&lt;Q$5)*F287+(K$5&lt;Q$5)*L287+(W$5&lt;Q$5)*X287+(AC$5&lt;Q$5)*AD287+(AI$5&lt;Q$5)*AJ287+(AO$5&lt;Q$5)*AP287+(AU$5&lt;Q$5)*AV287)))</f>
        <v/>
      </c>
      <c r="T287">
        <f>IF(R287-S287&lt;0.005,0,R287-S287)</f>
        <v/>
      </c>
      <c r="U287">
        <f>Z286</f>
        <v/>
      </c>
      <c r="V287">
        <f>U287*Plan!D9/100/12</f>
        <v/>
      </c>
      <c r="W287">
        <f>MIN(Plan!E9,U287+V287)</f>
        <v/>
      </c>
      <c r="X287">
        <f>U287+V287-W287</f>
        <v/>
      </c>
      <c r="Y287">
        <f>MIN(X287,MAX(0,$B287-((E$5&lt;W$5)*F287+(K$5&lt;W$5)*L287+(Q$5&lt;W$5)*R287+(AC$5&lt;W$5)*AD287+(AI$5&lt;W$5)*AJ287+(AO$5&lt;W$5)*AP287+(AU$5&lt;W$5)*AV287)))</f>
        <v/>
      </c>
      <c r="Z287">
        <f>IF(X287-Y287&lt;0.005,0,X287-Y287)</f>
        <v/>
      </c>
      <c r="AA287">
        <f>AF286</f>
        <v/>
      </c>
      <c r="AB287">
        <f>AA287*Plan!D10/100/12</f>
        <v/>
      </c>
      <c r="AC287">
        <f>MIN(Plan!E10,AA287+AB287)</f>
        <v/>
      </c>
      <c r="AD287">
        <f>AA287+AB287-AC287</f>
        <v/>
      </c>
      <c r="AE287">
        <f>MIN(AD287,MAX(0,$B287-((E$5&lt;AC$5)*F287+(K$5&lt;AC$5)*L287+(Q$5&lt;AC$5)*R287+(W$5&lt;AC$5)*X287+(AI$5&lt;AC$5)*AJ287+(AO$5&lt;AC$5)*AP287+(AU$5&lt;AC$5)*AV287)))</f>
        <v/>
      </c>
      <c r="AF287">
        <f>IF(AD287-AE287&lt;0.005,0,AD287-AE287)</f>
        <v/>
      </c>
      <c r="AG287">
        <f>AL286</f>
        <v/>
      </c>
      <c r="AH287">
        <f>AG287*Plan!D11/100/12</f>
        <v/>
      </c>
      <c r="AI287">
        <f>MIN(Plan!E11,AG287+AH287)</f>
        <v/>
      </c>
      <c r="AJ287">
        <f>AG287+AH287-AI287</f>
        <v/>
      </c>
      <c r="AK287">
        <f>MIN(AJ287,MAX(0,$B287-((E$5&lt;AI$5)*F287+(K$5&lt;AI$5)*L287+(Q$5&lt;AI$5)*R287+(W$5&lt;AI$5)*X287+(AC$5&lt;AI$5)*AD287+(AO$5&lt;AI$5)*AP287+(AU$5&lt;AI$5)*AV287)))</f>
        <v/>
      </c>
      <c r="AL287">
        <f>IF(AJ287-AK287&lt;0.005,0,AJ287-AK287)</f>
        <v/>
      </c>
      <c r="AM287">
        <f>AR286</f>
        <v/>
      </c>
      <c r="AN287">
        <f>AM287*Plan!D12/100/12</f>
        <v/>
      </c>
      <c r="AO287">
        <f>MIN(Plan!E12,AM287+AN287)</f>
        <v/>
      </c>
      <c r="AP287">
        <f>AM287+AN287-AO287</f>
        <v/>
      </c>
      <c r="AQ287">
        <f>MIN(AP287,MAX(0,$B287-((E$5&lt;AO$5)*F287+(K$5&lt;AO$5)*L287+(Q$5&lt;AO$5)*R287+(W$5&lt;AO$5)*X287+(AC$5&lt;AO$5)*AD287+(AI$5&lt;AO$5)*AJ287+(AU$5&lt;AO$5)*AV287)))</f>
        <v/>
      </c>
      <c r="AR287">
        <f>IF(AP287-AQ287&lt;0.005,0,AP287-AQ287)</f>
        <v/>
      </c>
      <c r="AS287">
        <f>AX286</f>
        <v/>
      </c>
      <c r="AT287">
        <f>AS287*Plan!D13/100/12</f>
        <v/>
      </c>
      <c r="AU287">
        <f>MIN(Plan!E13,AS287+AT287)</f>
        <v/>
      </c>
      <c r="AV287">
        <f>AS287+AT287-AU287</f>
        <v/>
      </c>
      <c r="AW287">
        <f>MIN(AV287,MAX(0,$B287-((E$5&lt;AU$5)*F287+(K$5&lt;AU$5)*L287+(Q$5&lt;AU$5)*R287+(W$5&lt;AU$5)*X287+(AC$5&lt;AU$5)*AD287+(AI$5&lt;AU$5)*AJ287+(AO$5&lt;AU$5)*AP287)))</f>
        <v/>
      </c>
      <c r="AX287">
        <f>IF(AV287-AW287&lt;0.005,0,AV287-AW287)</f>
        <v/>
      </c>
      <c r="BC287">
        <f>H287+N287+T287+Z287+AF287+AL287+AR287+AX287</f>
        <v/>
      </c>
    </row>
    <row r="288">
      <c r="A288" t="n">
        <v>282</v>
      </c>
      <c r="B288" s="19">
        <f>MAX(0,$B$3-(E288+K288+Q288+W288+AC288+AI288+AO288+AU288))</f>
        <v/>
      </c>
      <c r="C288">
        <f>H287</f>
        <v/>
      </c>
      <c r="D288">
        <f>C288*Plan!D6/100/12</f>
        <v/>
      </c>
      <c r="E288">
        <f>MIN(Plan!E6,C288+D288)</f>
        <v/>
      </c>
      <c r="F288">
        <f>C288+D288-E288</f>
        <v/>
      </c>
      <c r="G288">
        <f>MIN(F288,MAX(0,$B288-((K$5&lt;E$5)*L288+(Q$5&lt;E$5)*R288+(W$5&lt;E$5)*X288+(AC$5&lt;E$5)*AD288+(AI$5&lt;E$5)*AJ288+(AO$5&lt;E$5)*AP288+(AU$5&lt;E$5)*AV288)))</f>
        <v/>
      </c>
      <c r="H288">
        <f>IF(F288-G288&lt;0.005,0,F288-G288)</f>
        <v/>
      </c>
      <c r="I288">
        <f>N287</f>
        <v/>
      </c>
      <c r="J288">
        <f>I288*Plan!D7/100/12</f>
        <v/>
      </c>
      <c r="K288">
        <f>MIN(Plan!E7,I288+J288)</f>
        <v/>
      </c>
      <c r="L288">
        <f>I288+J288-K288</f>
        <v/>
      </c>
      <c r="M288">
        <f>MIN(L288,MAX(0,$B288-((E$5&lt;K$5)*F288+(Q$5&lt;K$5)*R288+(W$5&lt;K$5)*X288+(AC$5&lt;K$5)*AD288+(AI$5&lt;K$5)*AJ288+(AO$5&lt;K$5)*AP288+(AU$5&lt;K$5)*AV288)))</f>
        <v/>
      </c>
      <c r="N288">
        <f>IF(L288-M288&lt;0.005,0,L288-M288)</f>
        <v/>
      </c>
      <c r="O288">
        <f>T287</f>
        <v/>
      </c>
      <c r="P288">
        <f>O288*Plan!D8/100/12</f>
        <v/>
      </c>
      <c r="Q288">
        <f>MIN(Plan!E8,O288+P288)</f>
        <v/>
      </c>
      <c r="R288">
        <f>O288+P288-Q288</f>
        <v/>
      </c>
      <c r="S288">
        <f>MIN(R288,MAX(0,$B288-((E$5&lt;Q$5)*F288+(K$5&lt;Q$5)*L288+(W$5&lt;Q$5)*X288+(AC$5&lt;Q$5)*AD288+(AI$5&lt;Q$5)*AJ288+(AO$5&lt;Q$5)*AP288+(AU$5&lt;Q$5)*AV288)))</f>
        <v/>
      </c>
      <c r="T288">
        <f>IF(R288-S288&lt;0.005,0,R288-S288)</f>
        <v/>
      </c>
      <c r="U288">
        <f>Z287</f>
        <v/>
      </c>
      <c r="V288">
        <f>U288*Plan!D9/100/12</f>
        <v/>
      </c>
      <c r="W288">
        <f>MIN(Plan!E9,U288+V288)</f>
        <v/>
      </c>
      <c r="X288">
        <f>U288+V288-W288</f>
        <v/>
      </c>
      <c r="Y288">
        <f>MIN(X288,MAX(0,$B288-((E$5&lt;W$5)*F288+(K$5&lt;W$5)*L288+(Q$5&lt;W$5)*R288+(AC$5&lt;W$5)*AD288+(AI$5&lt;W$5)*AJ288+(AO$5&lt;W$5)*AP288+(AU$5&lt;W$5)*AV288)))</f>
        <v/>
      </c>
      <c r="Z288">
        <f>IF(X288-Y288&lt;0.005,0,X288-Y288)</f>
        <v/>
      </c>
      <c r="AA288">
        <f>AF287</f>
        <v/>
      </c>
      <c r="AB288">
        <f>AA288*Plan!D10/100/12</f>
        <v/>
      </c>
      <c r="AC288">
        <f>MIN(Plan!E10,AA288+AB288)</f>
        <v/>
      </c>
      <c r="AD288">
        <f>AA288+AB288-AC288</f>
        <v/>
      </c>
      <c r="AE288">
        <f>MIN(AD288,MAX(0,$B288-((E$5&lt;AC$5)*F288+(K$5&lt;AC$5)*L288+(Q$5&lt;AC$5)*R288+(W$5&lt;AC$5)*X288+(AI$5&lt;AC$5)*AJ288+(AO$5&lt;AC$5)*AP288+(AU$5&lt;AC$5)*AV288)))</f>
        <v/>
      </c>
      <c r="AF288">
        <f>IF(AD288-AE288&lt;0.005,0,AD288-AE288)</f>
        <v/>
      </c>
      <c r="AG288">
        <f>AL287</f>
        <v/>
      </c>
      <c r="AH288">
        <f>AG288*Plan!D11/100/12</f>
        <v/>
      </c>
      <c r="AI288">
        <f>MIN(Plan!E11,AG288+AH288)</f>
        <v/>
      </c>
      <c r="AJ288">
        <f>AG288+AH288-AI288</f>
        <v/>
      </c>
      <c r="AK288">
        <f>MIN(AJ288,MAX(0,$B288-((E$5&lt;AI$5)*F288+(K$5&lt;AI$5)*L288+(Q$5&lt;AI$5)*R288+(W$5&lt;AI$5)*X288+(AC$5&lt;AI$5)*AD288+(AO$5&lt;AI$5)*AP288+(AU$5&lt;AI$5)*AV288)))</f>
        <v/>
      </c>
      <c r="AL288">
        <f>IF(AJ288-AK288&lt;0.005,0,AJ288-AK288)</f>
        <v/>
      </c>
      <c r="AM288">
        <f>AR287</f>
        <v/>
      </c>
      <c r="AN288">
        <f>AM288*Plan!D12/100/12</f>
        <v/>
      </c>
      <c r="AO288">
        <f>MIN(Plan!E12,AM288+AN288)</f>
        <v/>
      </c>
      <c r="AP288">
        <f>AM288+AN288-AO288</f>
        <v/>
      </c>
      <c r="AQ288">
        <f>MIN(AP288,MAX(0,$B288-((E$5&lt;AO$5)*F288+(K$5&lt;AO$5)*L288+(Q$5&lt;AO$5)*R288+(W$5&lt;AO$5)*X288+(AC$5&lt;AO$5)*AD288+(AI$5&lt;AO$5)*AJ288+(AU$5&lt;AO$5)*AV288)))</f>
        <v/>
      </c>
      <c r="AR288">
        <f>IF(AP288-AQ288&lt;0.005,0,AP288-AQ288)</f>
        <v/>
      </c>
      <c r="AS288">
        <f>AX287</f>
        <v/>
      </c>
      <c r="AT288">
        <f>AS288*Plan!D13/100/12</f>
        <v/>
      </c>
      <c r="AU288">
        <f>MIN(Plan!E13,AS288+AT288)</f>
        <v/>
      </c>
      <c r="AV288">
        <f>AS288+AT288-AU288</f>
        <v/>
      </c>
      <c r="AW288">
        <f>MIN(AV288,MAX(0,$B288-((E$5&lt;AU$5)*F288+(K$5&lt;AU$5)*L288+(Q$5&lt;AU$5)*R288+(W$5&lt;AU$5)*X288+(AC$5&lt;AU$5)*AD288+(AI$5&lt;AU$5)*AJ288+(AO$5&lt;AU$5)*AP288)))</f>
        <v/>
      </c>
      <c r="AX288">
        <f>IF(AV288-AW288&lt;0.005,0,AV288-AW288)</f>
        <v/>
      </c>
      <c r="BC288">
        <f>H288+N288+T288+Z288+AF288+AL288+AR288+AX288</f>
        <v/>
      </c>
    </row>
    <row r="289">
      <c r="A289" t="n">
        <v>283</v>
      </c>
      <c r="B289" s="19">
        <f>MAX(0,$B$3-(E289+K289+Q289+W289+AC289+AI289+AO289+AU289))</f>
        <v/>
      </c>
      <c r="C289">
        <f>H288</f>
        <v/>
      </c>
      <c r="D289">
        <f>C289*Plan!D6/100/12</f>
        <v/>
      </c>
      <c r="E289">
        <f>MIN(Plan!E6,C289+D289)</f>
        <v/>
      </c>
      <c r="F289">
        <f>C289+D289-E289</f>
        <v/>
      </c>
      <c r="G289">
        <f>MIN(F289,MAX(0,$B289-((K$5&lt;E$5)*L289+(Q$5&lt;E$5)*R289+(W$5&lt;E$5)*X289+(AC$5&lt;E$5)*AD289+(AI$5&lt;E$5)*AJ289+(AO$5&lt;E$5)*AP289+(AU$5&lt;E$5)*AV289)))</f>
        <v/>
      </c>
      <c r="H289">
        <f>IF(F289-G289&lt;0.005,0,F289-G289)</f>
        <v/>
      </c>
      <c r="I289">
        <f>N288</f>
        <v/>
      </c>
      <c r="J289">
        <f>I289*Plan!D7/100/12</f>
        <v/>
      </c>
      <c r="K289">
        <f>MIN(Plan!E7,I289+J289)</f>
        <v/>
      </c>
      <c r="L289">
        <f>I289+J289-K289</f>
        <v/>
      </c>
      <c r="M289">
        <f>MIN(L289,MAX(0,$B289-((E$5&lt;K$5)*F289+(Q$5&lt;K$5)*R289+(W$5&lt;K$5)*X289+(AC$5&lt;K$5)*AD289+(AI$5&lt;K$5)*AJ289+(AO$5&lt;K$5)*AP289+(AU$5&lt;K$5)*AV289)))</f>
        <v/>
      </c>
      <c r="N289">
        <f>IF(L289-M289&lt;0.005,0,L289-M289)</f>
        <v/>
      </c>
      <c r="O289">
        <f>T288</f>
        <v/>
      </c>
      <c r="P289">
        <f>O289*Plan!D8/100/12</f>
        <v/>
      </c>
      <c r="Q289">
        <f>MIN(Plan!E8,O289+P289)</f>
        <v/>
      </c>
      <c r="R289">
        <f>O289+P289-Q289</f>
        <v/>
      </c>
      <c r="S289">
        <f>MIN(R289,MAX(0,$B289-((E$5&lt;Q$5)*F289+(K$5&lt;Q$5)*L289+(W$5&lt;Q$5)*X289+(AC$5&lt;Q$5)*AD289+(AI$5&lt;Q$5)*AJ289+(AO$5&lt;Q$5)*AP289+(AU$5&lt;Q$5)*AV289)))</f>
        <v/>
      </c>
      <c r="T289">
        <f>IF(R289-S289&lt;0.005,0,R289-S289)</f>
        <v/>
      </c>
      <c r="U289">
        <f>Z288</f>
        <v/>
      </c>
      <c r="V289">
        <f>U289*Plan!D9/100/12</f>
        <v/>
      </c>
      <c r="W289">
        <f>MIN(Plan!E9,U289+V289)</f>
        <v/>
      </c>
      <c r="X289">
        <f>U289+V289-W289</f>
        <v/>
      </c>
      <c r="Y289">
        <f>MIN(X289,MAX(0,$B289-((E$5&lt;W$5)*F289+(K$5&lt;W$5)*L289+(Q$5&lt;W$5)*R289+(AC$5&lt;W$5)*AD289+(AI$5&lt;W$5)*AJ289+(AO$5&lt;W$5)*AP289+(AU$5&lt;W$5)*AV289)))</f>
        <v/>
      </c>
      <c r="Z289">
        <f>IF(X289-Y289&lt;0.005,0,X289-Y289)</f>
        <v/>
      </c>
      <c r="AA289">
        <f>AF288</f>
        <v/>
      </c>
      <c r="AB289">
        <f>AA289*Plan!D10/100/12</f>
        <v/>
      </c>
      <c r="AC289">
        <f>MIN(Plan!E10,AA289+AB289)</f>
        <v/>
      </c>
      <c r="AD289">
        <f>AA289+AB289-AC289</f>
        <v/>
      </c>
      <c r="AE289">
        <f>MIN(AD289,MAX(0,$B289-((E$5&lt;AC$5)*F289+(K$5&lt;AC$5)*L289+(Q$5&lt;AC$5)*R289+(W$5&lt;AC$5)*X289+(AI$5&lt;AC$5)*AJ289+(AO$5&lt;AC$5)*AP289+(AU$5&lt;AC$5)*AV289)))</f>
        <v/>
      </c>
      <c r="AF289">
        <f>IF(AD289-AE289&lt;0.005,0,AD289-AE289)</f>
        <v/>
      </c>
      <c r="AG289">
        <f>AL288</f>
        <v/>
      </c>
      <c r="AH289">
        <f>AG289*Plan!D11/100/12</f>
        <v/>
      </c>
      <c r="AI289">
        <f>MIN(Plan!E11,AG289+AH289)</f>
        <v/>
      </c>
      <c r="AJ289">
        <f>AG289+AH289-AI289</f>
        <v/>
      </c>
      <c r="AK289">
        <f>MIN(AJ289,MAX(0,$B289-((E$5&lt;AI$5)*F289+(K$5&lt;AI$5)*L289+(Q$5&lt;AI$5)*R289+(W$5&lt;AI$5)*X289+(AC$5&lt;AI$5)*AD289+(AO$5&lt;AI$5)*AP289+(AU$5&lt;AI$5)*AV289)))</f>
        <v/>
      </c>
      <c r="AL289">
        <f>IF(AJ289-AK289&lt;0.005,0,AJ289-AK289)</f>
        <v/>
      </c>
      <c r="AM289">
        <f>AR288</f>
        <v/>
      </c>
      <c r="AN289">
        <f>AM289*Plan!D12/100/12</f>
        <v/>
      </c>
      <c r="AO289">
        <f>MIN(Plan!E12,AM289+AN289)</f>
        <v/>
      </c>
      <c r="AP289">
        <f>AM289+AN289-AO289</f>
        <v/>
      </c>
      <c r="AQ289">
        <f>MIN(AP289,MAX(0,$B289-((E$5&lt;AO$5)*F289+(K$5&lt;AO$5)*L289+(Q$5&lt;AO$5)*R289+(W$5&lt;AO$5)*X289+(AC$5&lt;AO$5)*AD289+(AI$5&lt;AO$5)*AJ289+(AU$5&lt;AO$5)*AV289)))</f>
        <v/>
      </c>
      <c r="AR289">
        <f>IF(AP289-AQ289&lt;0.005,0,AP289-AQ289)</f>
        <v/>
      </c>
      <c r="AS289">
        <f>AX288</f>
        <v/>
      </c>
      <c r="AT289">
        <f>AS289*Plan!D13/100/12</f>
        <v/>
      </c>
      <c r="AU289">
        <f>MIN(Plan!E13,AS289+AT289)</f>
        <v/>
      </c>
      <c r="AV289">
        <f>AS289+AT289-AU289</f>
        <v/>
      </c>
      <c r="AW289">
        <f>MIN(AV289,MAX(0,$B289-((E$5&lt;AU$5)*F289+(K$5&lt;AU$5)*L289+(Q$5&lt;AU$5)*R289+(W$5&lt;AU$5)*X289+(AC$5&lt;AU$5)*AD289+(AI$5&lt;AU$5)*AJ289+(AO$5&lt;AU$5)*AP289)))</f>
        <v/>
      </c>
      <c r="AX289">
        <f>IF(AV289-AW289&lt;0.005,0,AV289-AW289)</f>
        <v/>
      </c>
      <c r="BC289">
        <f>H289+N289+T289+Z289+AF289+AL289+AR289+AX289</f>
        <v/>
      </c>
    </row>
    <row r="290">
      <c r="A290" t="n">
        <v>284</v>
      </c>
      <c r="B290" s="19">
        <f>MAX(0,$B$3-(E290+K290+Q290+W290+AC290+AI290+AO290+AU290))</f>
        <v/>
      </c>
      <c r="C290">
        <f>H289</f>
        <v/>
      </c>
      <c r="D290">
        <f>C290*Plan!D6/100/12</f>
        <v/>
      </c>
      <c r="E290">
        <f>MIN(Plan!E6,C290+D290)</f>
        <v/>
      </c>
      <c r="F290">
        <f>C290+D290-E290</f>
        <v/>
      </c>
      <c r="G290">
        <f>MIN(F290,MAX(0,$B290-((K$5&lt;E$5)*L290+(Q$5&lt;E$5)*R290+(W$5&lt;E$5)*X290+(AC$5&lt;E$5)*AD290+(AI$5&lt;E$5)*AJ290+(AO$5&lt;E$5)*AP290+(AU$5&lt;E$5)*AV290)))</f>
        <v/>
      </c>
      <c r="H290">
        <f>IF(F290-G290&lt;0.005,0,F290-G290)</f>
        <v/>
      </c>
      <c r="I290">
        <f>N289</f>
        <v/>
      </c>
      <c r="J290">
        <f>I290*Plan!D7/100/12</f>
        <v/>
      </c>
      <c r="K290">
        <f>MIN(Plan!E7,I290+J290)</f>
        <v/>
      </c>
      <c r="L290">
        <f>I290+J290-K290</f>
        <v/>
      </c>
      <c r="M290">
        <f>MIN(L290,MAX(0,$B290-((E$5&lt;K$5)*F290+(Q$5&lt;K$5)*R290+(W$5&lt;K$5)*X290+(AC$5&lt;K$5)*AD290+(AI$5&lt;K$5)*AJ290+(AO$5&lt;K$5)*AP290+(AU$5&lt;K$5)*AV290)))</f>
        <v/>
      </c>
      <c r="N290">
        <f>IF(L290-M290&lt;0.005,0,L290-M290)</f>
        <v/>
      </c>
      <c r="O290">
        <f>T289</f>
        <v/>
      </c>
      <c r="P290">
        <f>O290*Plan!D8/100/12</f>
        <v/>
      </c>
      <c r="Q290">
        <f>MIN(Plan!E8,O290+P290)</f>
        <v/>
      </c>
      <c r="R290">
        <f>O290+P290-Q290</f>
        <v/>
      </c>
      <c r="S290">
        <f>MIN(R290,MAX(0,$B290-((E$5&lt;Q$5)*F290+(K$5&lt;Q$5)*L290+(W$5&lt;Q$5)*X290+(AC$5&lt;Q$5)*AD290+(AI$5&lt;Q$5)*AJ290+(AO$5&lt;Q$5)*AP290+(AU$5&lt;Q$5)*AV290)))</f>
        <v/>
      </c>
      <c r="T290">
        <f>IF(R290-S290&lt;0.005,0,R290-S290)</f>
        <v/>
      </c>
      <c r="U290">
        <f>Z289</f>
        <v/>
      </c>
      <c r="V290">
        <f>U290*Plan!D9/100/12</f>
        <v/>
      </c>
      <c r="W290">
        <f>MIN(Plan!E9,U290+V290)</f>
        <v/>
      </c>
      <c r="X290">
        <f>U290+V290-W290</f>
        <v/>
      </c>
      <c r="Y290">
        <f>MIN(X290,MAX(0,$B290-((E$5&lt;W$5)*F290+(K$5&lt;W$5)*L290+(Q$5&lt;W$5)*R290+(AC$5&lt;W$5)*AD290+(AI$5&lt;W$5)*AJ290+(AO$5&lt;W$5)*AP290+(AU$5&lt;W$5)*AV290)))</f>
        <v/>
      </c>
      <c r="Z290">
        <f>IF(X290-Y290&lt;0.005,0,X290-Y290)</f>
        <v/>
      </c>
      <c r="AA290">
        <f>AF289</f>
        <v/>
      </c>
      <c r="AB290">
        <f>AA290*Plan!D10/100/12</f>
        <v/>
      </c>
      <c r="AC290">
        <f>MIN(Plan!E10,AA290+AB290)</f>
        <v/>
      </c>
      <c r="AD290">
        <f>AA290+AB290-AC290</f>
        <v/>
      </c>
      <c r="AE290">
        <f>MIN(AD290,MAX(0,$B290-((E$5&lt;AC$5)*F290+(K$5&lt;AC$5)*L290+(Q$5&lt;AC$5)*R290+(W$5&lt;AC$5)*X290+(AI$5&lt;AC$5)*AJ290+(AO$5&lt;AC$5)*AP290+(AU$5&lt;AC$5)*AV290)))</f>
        <v/>
      </c>
      <c r="AF290">
        <f>IF(AD290-AE290&lt;0.005,0,AD290-AE290)</f>
        <v/>
      </c>
      <c r="AG290">
        <f>AL289</f>
        <v/>
      </c>
      <c r="AH290">
        <f>AG290*Plan!D11/100/12</f>
        <v/>
      </c>
      <c r="AI290">
        <f>MIN(Plan!E11,AG290+AH290)</f>
        <v/>
      </c>
      <c r="AJ290">
        <f>AG290+AH290-AI290</f>
        <v/>
      </c>
      <c r="AK290">
        <f>MIN(AJ290,MAX(0,$B290-((E$5&lt;AI$5)*F290+(K$5&lt;AI$5)*L290+(Q$5&lt;AI$5)*R290+(W$5&lt;AI$5)*X290+(AC$5&lt;AI$5)*AD290+(AO$5&lt;AI$5)*AP290+(AU$5&lt;AI$5)*AV290)))</f>
        <v/>
      </c>
      <c r="AL290">
        <f>IF(AJ290-AK290&lt;0.005,0,AJ290-AK290)</f>
        <v/>
      </c>
      <c r="AM290">
        <f>AR289</f>
        <v/>
      </c>
      <c r="AN290">
        <f>AM290*Plan!D12/100/12</f>
        <v/>
      </c>
      <c r="AO290">
        <f>MIN(Plan!E12,AM290+AN290)</f>
        <v/>
      </c>
      <c r="AP290">
        <f>AM290+AN290-AO290</f>
        <v/>
      </c>
      <c r="AQ290">
        <f>MIN(AP290,MAX(0,$B290-((E$5&lt;AO$5)*F290+(K$5&lt;AO$5)*L290+(Q$5&lt;AO$5)*R290+(W$5&lt;AO$5)*X290+(AC$5&lt;AO$5)*AD290+(AI$5&lt;AO$5)*AJ290+(AU$5&lt;AO$5)*AV290)))</f>
        <v/>
      </c>
      <c r="AR290">
        <f>IF(AP290-AQ290&lt;0.005,0,AP290-AQ290)</f>
        <v/>
      </c>
      <c r="AS290">
        <f>AX289</f>
        <v/>
      </c>
      <c r="AT290">
        <f>AS290*Plan!D13/100/12</f>
        <v/>
      </c>
      <c r="AU290">
        <f>MIN(Plan!E13,AS290+AT290)</f>
        <v/>
      </c>
      <c r="AV290">
        <f>AS290+AT290-AU290</f>
        <v/>
      </c>
      <c r="AW290">
        <f>MIN(AV290,MAX(0,$B290-((E$5&lt;AU$5)*F290+(K$5&lt;AU$5)*L290+(Q$5&lt;AU$5)*R290+(W$5&lt;AU$5)*X290+(AC$5&lt;AU$5)*AD290+(AI$5&lt;AU$5)*AJ290+(AO$5&lt;AU$5)*AP290)))</f>
        <v/>
      </c>
      <c r="AX290">
        <f>IF(AV290-AW290&lt;0.005,0,AV290-AW290)</f>
        <v/>
      </c>
      <c r="BC290">
        <f>H290+N290+T290+Z290+AF290+AL290+AR290+AX290</f>
        <v/>
      </c>
    </row>
    <row r="291">
      <c r="A291" t="n">
        <v>285</v>
      </c>
      <c r="B291" s="19">
        <f>MAX(0,$B$3-(E291+K291+Q291+W291+AC291+AI291+AO291+AU291))</f>
        <v/>
      </c>
      <c r="C291">
        <f>H290</f>
        <v/>
      </c>
      <c r="D291">
        <f>C291*Plan!D6/100/12</f>
        <v/>
      </c>
      <c r="E291">
        <f>MIN(Plan!E6,C291+D291)</f>
        <v/>
      </c>
      <c r="F291">
        <f>C291+D291-E291</f>
        <v/>
      </c>
      <c r="G291">
        <f>MIN(F291,MAX(0,$B291-((K$5&lt;E$5)*L291+(Q$5&lt;E$5)*R291+(W$5&lt;E$5)*X291+(AC$5&lt;E$5)*AD291+(AI$5&lt;E$5)*AJ291+(AO$5&lt;E$5)*AP291+(AU$5&lt;E$5)*AV291)))</f>
        <v/>
      </c>
      <c r="H291">
        <f>IF(F291-G291&lt;0.005,0,F291-G291)</f>
        <v/>
      </c>
      <c r="I291">
        <f>N290</f>
        <v/>
      </c>
      <c r="J291">
        <f>I291*Plan!D7/100/12</f>
        <v/>
      </c>
      <c r="K291">
        <f>MIN(Plan!E7,I291+J291)</f>
        <v/>
      </c>
      <c r="L291">
        <f>I291+J291-K291</f>
        <v/>
      </c>
      <c r="M291">
        <f>MIN(L291,MAX(0,$B291-((E$5&lt;K$5)*F291+(Q$5&lt;K$5)*R291+(W$5&lt;K$5)*X291+(AC$5&lt;K$5)*AD291+(AI$5&lt;K$5)*AJ291+(AO$5&lt;K$5)*AP291+(AU$5&lt;K$5)*AV291)))</f>
        <v/>
      </c>
      <c r="N291">
        <f>IF(L291-M291&lt;0.005,0,L291-M291)</f>
        <v/>
      </c>
      <c r="O291">
        <f>T290</f>
        <v/>
      </c>
      <c r="P291">
        <f>O291*Plan!D8/100/12</f>
        <v/>
      </c>
      <c r="Q291">
        <f>MIN(Plan!E8,O291+P291)</f>
        <v/>
      </c>
      <c r="R291">
        <f>O291+P291-Q291</f>
        <v/>
      </c>
      <c r="S291">
        <f>MIN(R291,MAX(0,$B291-((E$5&lt;Q$5)*F291+(K$5&lt;Q$5)*L291+(W$5&lt;Q$5)*X291+(AC$5&lt;Q$5)*AD291+(AI$5&lt;Q$5)*AJ291+(AO$5&lt;Q$5)*AP291+(AU$5&lt;Q$5)*AV291)))</f>
        <v/>
      </c>
      <c r="T291">
        <f>IF(R291-S291&lt;0.005,0,R291-S291)</f>
        <v/>
      </c>
      <c r="U291">
        <f>Z290</f>
        <v/>
      </c>
      <c r="V291">
        <f>U291*Plan!D9/100/12</f>
        <v/>
      </c>
      <c r="W291">
        <f>MIN(Plan!E9,U291+V291)</f>
        <v/>
      </c>
      <c r="X291">
        <f>U291+V291-W291</f>
        <v/>
      </c>
      <c r="Y291">
        <f>MIN(X291,MAX(0,$B291-((E$5&lt;W$5)*F291+(K$5&lt;W$5)*L291+(Q$5&lt;W$5)*R291+(AC$5&lt;W$5)*AD291+(AI$5&lt;W$5)*AJ291+(AO$5&lt;W$5)*AP291+(AU$5&lt;W$5)*AV291)))</f>
        <v/>
      </c>
      <c r="Z291">
        <f>IF(X291-Y291&lt;0.005,0,X291-Y291)</f>
        <v/>
      </c>
      <c r="AA291">
        <f>AF290</f>
        <v/>
      </c>
      <c r="AB291">
        <f>AA291*Plan!D10/100/12</f>
        <v/>
      </c>
      <c r="AC291">
        <f>MIN(Plan!E10,AA291+AB291)</f>
        <v/>
      </c>
      <c r="AD291">
        <f>AA291+AB291-AC291</f>
        <v/>
      </c>
      <c r="AE291">
        <f>MIN(AD291,MAX(0,$B291-((E$5&lt;AC$5)*F291+(K$5&lt;AC$5)*L291+(Q$5&lt;AC$5)*R291+(W$5&lt;AC$5)*X291+(AI$5&lt;AC$5)*AJ291+(AO$5&lt;AC$5)*AP291+(AU$5&lt;AC$5)*AV291)))</f>
        <v/>
      </c>
      <c r="AF291">
        <f>IF(AD291-AE291&lt;0.005,0,AD291-AE291)</f>
        <v/>
      </c>
      <c r="AG291">
        <f>AL290</f>
        <v/>
      </c>
      <c r="AH291">
        <f>AG291*Plan!D11/100/12</f>
        <v/>
      </c>
      <c r="AI291">
        <f>MIN(Plan!E11,AG291+AH291)</f>
        <v/>
      </c>
      <c r="AJ291">
        <f>AG291+AH291-AI291</f>
        <v/>
      </c>
      <c r="AK291">
        <f>MIN(AJ291,MAX(0,$B291-((E$5&lt;AI$5)*F291+(K$5&lt;AI$5)*L291+(Q$5&lt;AI$5)*R291+(W$5&lt;AI$5)*X291+(AC$5&lt;AI$5)*AD291+(AO$5&lt;AI$5)*AP291+(AU$5&lt;AI$5)*AV291)))</f>
        <v/>
      </c>
      <c r="AL291">
        <f>IF(AJ291-AK291&lt;0.005,0,AJ291-AK291)</f>
        <v/>
      </c>
      <c r="AM291">
        <f>AR290</f>
        <v/>
      </c>
      <c r="AN291">
        <f>AM291*Plan!D12/100/12</f>
        <v/>
      </c>
      <c r="AO291">
        <f>MIN(Plan!E12,AM291+AN291)</f>
        <v/>
      </c>
      <c r="AP291">
        <f>AM291+AN291-AO291</f>
        <v/>
      </c>
      <c r="AQ291">
        <f>MIN(AP291,MAX(0,$B291-((E$5&lt;AO$5)*F291+(K$5&lt;AO$5)*L291+(Q$5&lt;AO$5)*R291+(W$5&lt;AO$5)*X291+(AC$5&lt;AO$5)*AD291+(AI$5&lt;AO$5)*AJ291+(AU$5&lt;AO$5)*AV291)))</f>
        <v/>
      </c>
      <c r="AR291">
        <f>IF(AP291-AQ291&lt;0.005,0,AP291-AQ291)</f>
        <v/>
      </c>
      <c r="AS291">
        <f>AX290</f>
        <v/>
      </c>
      <c r="AT291">
        <f>AS291*Plan!D13/100/12</f>
        <v/>
      </c>
      <c r="AU291">
        <f>MIN(Plan!E13,AS291+AT291)</f>
        <v/>
      </c>
      <c r="AV291">
        <f>AS291+AT291-AU291</f>
        <v/>
      </c>
      <c r="AW291">
        <f>MIN(AV291,MAX(0,$B291-((E$5&lt;AU$5)*F291+(K$5&lt;AU$5)*L291+(Q$5&lt;AU$5)*R291+(W$5&lt;AU$5)*X291+(AC$5&lt;AU$5)*AD291+(AI$5&lt;AU$5)*AJ291+(AO$5&lt;AU$5)*AP291)))</f>
        <v/>
      </c>
      <c r="AX291">
        <f>IF(AV291-AW291&lt;0.005,0,AV291-AW291)</f>
        <v/>
      </c>
      <c r="BC291">
        <f>H291+N291+T291+Z291+AF291+AL291+AR291+AX291</f>
        <v/>
      </c>
    </row>
    <row r="292">
      <c r="A292" t="n">
        <v>286</v>
      </c>
      <c r="B292" s="19">
        <f>MAX(0,$B$3-(E292+K292+Q292+W292+AC292+AI292+AO292+AU292))</f>
        <v/>
      </c>
      <c r="C292">
        <f>H291</f>
        <v/>
      </c>
      <c r="D292">
        <f>C292*Plan!D6/100/12</f>
        <v/>
      </c>
      <c r="E292">
        <f>MIN(Plan!E6,C292+D292)</f>
        <v/>
      </c>
      <c r="F292">
        <f>C292+D292-E292</f>
        <v/>
      </c>
      <c r="G292">
        <f>MIN(F292,MAX(0,$B292-((K$5&lt;E$5)*L292+(Q$5&lt;E$5)*R292+(W$5&lt;E$5)*X292+(AC$5&lt;E$5)*AD292+(AI$5&lt;E$5)*AJ292+(AO$5&lt;E$5)*AP292+(AU$5&lt;E$5)*AV292)))</f>
        <v/>
      </c>
      <c r="H292">
        <f>IF(F292-G292&lt;0.005,0,F292-G292)</f>
        <v/>
      </c>
      <c r="I292">
        <f>N291</f>
        <v/>
      </c>
      <c r="J292">
        <f>I292*Plan!D7/100/12</f>
        <v/>
      </c>
      <c r="K292">
        <f>MIN(Plan!E7,I292+J292)</f>
        <v/>
      </c>
      <c r="L292">
        <f>I292+J292-K292</f>
        <v/>
      </c>
      <c r="M292">
        <f>MIN(L292,MAX(0,$B292-((E$5&lt;K$5)*F292+(Q$5&lt;K$5)*R292+(W$5&lt;K$5)*X292+(AC$5&lt;K$5)*AD292+(AI$5&lt;K$5)*AJ292+(AO$5&lt;K$5)*AP292+(AU$5&lt;K$5)*AV292)))</f>
        <v/>
      </c>
      <c r="N292">
        <f>IF(L292-M292&lt;0.005,0,L292-M292)</f>
        <v/>
      </c>
      <c r="O292">
        <f>T291</f>
        <v/>
      </c>
      <c r="P292">
        <f>O292*Plan!D8/100/12</f>
        <v/>
      </c>
      <c r="Q292">
        <f>MIN(Plan!E8,O292+P292)</f>
        <v/>
      </c>
      <c r="R292">
        <f>O292+P292-Q292</f>
        <v/>
      </c>
      <c r="S292">
        <f>MIN(R292,MAX(0,$B292-((E$5&lt;Q$5)*F292+(K$5&lt;Q$5)*L292+(W$5&lt;Q$5)*X292+(AC$5&lt;Q$5)*AD292+(AI$5&lt;Q$5)*AJ292+(AO$5&lt;Q$5)*AP292+(AU$5&lt;Q$5)*AV292)))</f>
        <v/>
      </c>
      <c r="T292">
        <f>IF(R292-S292&lt;0.005,0,R292-S292)</f>
        <v/>
      </c>
      <c r="U292">
        <f>Z291</f>
        <v/>
      </c>
      <c r="V292">
        <f>U292*Plan!D9/100/12</f>
        <v/>
      </c>
      <c r="W292">
        <f>MIN(Plan!E9,U292+V292)</f>
        <v/>
      </c>
      <c r="X292">
        <f>U292+V292-W292</f>
        <v/>
      </c>
      <c r="Y292">
        <f>MIN(X292,MAX(0,$B292-((E$5&lt;W$5)*F292+(K$5&lt;W$5)*L292+(Q$5&lt;W$5)*R292+(AC$5&lt;W$5)*AD292+(AI$5&lt;W$5)*AJ292+(AO$5&lt;W$5)*AP292+(AU$5&lt;W$5)*AV292)))</f>
        <v/>
      </c>
      <c r="Z292">
        <f>IF(X292-Y292&lt;0.005,0,X292-Y292)</f>
        <v/>
      </c>
      <c r="AA292">
        <f>AF291</f>
        <v/>
      </c>
      <c r="AB292">
        <f>AA292*Plan!D10/100/12</f>
        <v/>
      </c>
      <c r="AC292">
        <f>MIN(Plan!E10,AA292+AB292)</f>
        <v/>
      </c>
      <c r="AD292">
        <f>AA292+AB292-AC292</f>
        <v/>
      </c>
      <c r="AE292">
        <f>MIN(AD292,MAX(0,$B292-((E$5&lt;AC$5)*F292+(K$5&lt;AC$5)*L292+(Q$5&lt;AC$5)*R292+(W$5&lt;AC$5)*X292+(AI$5&lt;AC$5)*AJ292+(AO$5&lt;AC$5)*AP292+(AU$5&lt;AC$5)*AV292)))</f>
        <v/>
      </c>
      <c r="AF292">
        <f>IF(AD292-AE292&lt;0.005,0,AD292-AE292)</f>
        <v/>
      </c>
      <c r="AG292">
        <f>AL291</f>
        <v/>
      </c>
      <c r="AH292">
        <f>AG292*Plan!D11/100/12</f>
        <v/>
      </c>
      <c r="AI292">
        <f>MIN(Plan!E11,AG292+AH292)</f>
        <v/>
      </c>
      <c r="AJ292">
        <f>AG292+AH292-AI292</f>
        <v/>
      </c>
      <c r="AK292">
        <f>MIN(AJ292,MAX(0,$B292-((E$5&lt;AI$5)*F292+(K$5&lt;AI$5)*L292+(Q$5&lt;AI$5)*R292+(W$5&lt;AI$5)*X292+(AC$5&lt;AI$5)*AD292+(AO$5&lt;AI$5)*AP292+(AU$5&lt;AI$5)*AV292)))</f>
        <v/>
      </c>
      <c r="AL292">
        <f>IF(AJ292-AK292&lt;0.005,0,AJ292-AK292)</f>
        <v/>
      </c>
      <c r="AM292">
        <f>AR291</f>
        <v/>
      </c>
      <c r="AN292">
        <f>AM292*Plan!D12/100/12</f>
        <v/>
      </c>
      <c r="AO292">
        <f>MIN(Plan!E12,AM292+AN292)</f>
        <v/>
      </c>
      <c r="AP292">
        <f>AM292+AN292-AO292</f>
        <v/>
      </c>
      <c r="AQ292">
        <f>MIN(AP292,MAX(0,$B292-((E$5&lt;AO$5)*F292+(K$5&lt;AO$5)*L292+(Q$5&lt;AO$5)*R292+(W$5&lt;AO$5)*X292+(AC$5&lt;AO$5)*AD292+(AI$5&lt;AO$5)*AJ292+(AU$5&lt;AO$5)*AV292)))</f>
        <v/>
      </c>
      <c r="AR292">
        <f>IF(AP292-AQ292&lt;0.005,0,AP292-AQ292)</f>
        <v/>
      </c>
      <c r="AS292">
        <f>AX291</f>
        <v/>
      </c>
      <c r="AT292">
        <f>AS292*Plan!D13/100/12</f>
        <v/>
      </c>
      <c r="AU292">
        <f>MIN(Plan!E13,AS292+AT292)</f>
        <v/>
      </c>
      <c r="AV292">
        <f>AS292+AT292-AU292</f>
        <v/>
      </c>
      <c r="AW292">
        <f>MIN(AV292,MAX(0,$B292-((E$5&lt;AU$5)*F292+(K$5&lt;AU$5)*L292+(Q$5&lt;AU$5)*R292+(W$5&lt;AU$5)*X292+(AC$5&lt;AU$5)*AD292+(AI$5&lt;AU$5)*AJ292+(AO$5&lt;AU$5)*AP292)))</f>
        <v/>
      </c>
      <c r="AX292">
        <f>IF(AV292-AW292&lt;0.005,0,AV292-AW292)</f>
        <v/>
      </c>
      <c r="BC292">
        <f>H292+N292+T292+Z292+AF292+AL292+AR292+AX292</f>
        <v/>
      </c>
    </row>
    <row r="293">
      <c r="A293" t="n">
        <v>287</v>
      </c>
      <c r="B293" s="19">
        <f>MAX(0,$B$3-(E293+K293+Q293+W293+AC293+AI293+AO293+AU293))</f>
        <v/>
      </c>
      <c r="C293">
        <f>H292</f>
        <v/>
      </c>
      <c r="D293">
        <f>C293*Plan!D6/100/12</f>
        <v/>
      </c>
      <c r="E293">
        <f>MIN(Plan!E6,C293+D293)</f>
        <v/>
      </c>
      <c r="F293">
        <f>C293+D293-E293</f>
        <v/>
      </c>
      <c r="G293">
        <f>MIN(F293,MAX(0,$B293-((K$5&lt;E$5)*L293+(Q$5&lt;E$5)*R293+(W$5&lt;E$5)*X293+(AC$5&lt;E$5)*AD293+(AI$5&lt;E$5)*AJ293+(AO$5&lt;E$5)*AP293+(AU$5&lt;E$5)*AV293)))</f>
        <v/>
      </c>
      <c r="H293">
        <f>IF(F293-G293&lt;0.005,0,F293-G293)</f>
        <v/>
      </c>
      <c r="I293">
        <f>N292</f>
        <v/>
      </c>
      <c r="J293">
        <f>I293*Plan!D7/100/12</f>
        <v/>
      </c>
      <c r="K293">
        <f>MIN(Plan!E7,I293+J293)</f>
        <v/>
      </c>
      <c r="L293">
        <f>I293+J293-K293</f>
        <v/>
      </c>
      <c r="M293">
        <f>MIN(L293,MAX(0,$B293-((E$5&lt;K$5)*F293+(Q$5&lt;K$5)*R293+(W$5&lt;K$5)*X293+(AC$5&lt;K$5)*AD293+(AI$5&lt;K$5)*AJ293+(AO$5&lt;K$5)*AP293+(AU$5&lt;K$5)*AV293)))</f>
        <v/>
      </c>
      <c r="N293">
        <f>IF(L293-M293&lt;0.005,0,L293-M293)</f>
        <v/>
      </c>
      <c r="O293">
        <f>T292</f>
        <v/>
      </c>
      <c r="P293">
        <f>O293*Plan!D8/100/12</f>
        <v/>
      </c>
      <c r="Q293">
        <f>MIN(Plan!E8,O293+P293)</f>
        <v/>
      </c>
      <c r="R293">
        <f>O293+P293-Q293</f>
        <v/>
      </c>
      <c r="S293">
        <f>MIN(R293,MAX(0,$B293-((E$5&lt;Q$5)*F293+(K$5&lt;Q$5)*L293+(W$5&lt;Q$5)*X293+(AC$5&lt;Q$5)*AD293+(AI$5&lt;Q$5)*AJ293+(AO$5&lt;Q$5)*AP293+(AU$5&lt;Q$5)*AV293)))</f>
        <v/>
      </c>
      <c r="T293">
        <f>IF(R293-S293&lt;0.005,0,R293-S293)</f>
        <v/>
      </c>
      <c r="U293">
        <f>Z292</f>
        <v/>
      </c>
      <c r="V293">
        <f>U293*Plan!D9/100/12</f>
        <v/>
      </c>
      <c r="W293">
        <f>MIN(Plan!E9,U293+V293)</f>
        <v/>
      </c>
      <c r="X293">
        <f>U293+V293-W293</f>
        <v/>
      </c>
      <c r="Y293">
        <f>MIN(X293,MAX(0,$B293-((E$5&lt;W$5)*F293+(K$5&lt;W$5)*L293+(Q$5&lt;W$5)*R293+(AC$5&lt;W$5)*AD293+(AI$5&lt;W$5)*AJ293+(AO$5&lt;W$5)*AP293+(AU$5&lt;W$5)*AV293)))</f>
        <v/>
      </c>
      <c r="Z293">
        <f>IF(X293-Y293&lt;0.005,0,X293-Y293)</f>
        <v/>
      </c>
      <c r="AA293">
        <f>AF292</f>
        <v/>
      </c>
      <c r="AB293">
        <f>AA293*Plan!D10/100/12</f>
        <v/>
      </c>
      <c r="AC293">
        <f>MIN(Plan!E10,AA293+AB293)</f>
        <v/>
      </c>
      <c r="AD293">
        <f>AA293+AB293-AC293</f>
        <v/>
      </c>
      <c r="AE293">
        <f>MIN(AD293,MAX(0,$B293-((E$5&lt;AC$5)*F293+(K$5&lt;AC$5)*L293+(Q$5&lt;AC$5)*R293+(W$5&lt;AC$5)*X293+(AI$5&lt;AC$5)*AJ293+(AO$5&lt;AC$5)*AP293+(AU$5&lt;AC$5)*AV293)))</f>
        <v/>
      </c>
      <c r="AF293">
        <f>IF(AD293-AE293&lt;0.005,0,AD293-AE293)</f>
        <v/>
      </c>
      <c r="AG293">
        <f>AL292</f>
        <v/>
      </c>
      <c r="AH293">
        <f>AG293*Plan!D11/100/12</f>
        <v/>
      </c>
      <c r="AI293">
        <f>MIN(Plan!E11,AG293+AH293)</f>
        <v/>
      </c>
      <c r="AJ293">
        <f>AG293+AH293-AI293</f>
        <v/>
      </c>
      <c r="AK293">
        <f>MIN(AJ293,MAX(0,$B293-((E$5&lt;AI$5)*F293+(K$5&lt;AI$5)*L293+(Q$5&lt;AI$5)*R293+(W$5&lt;AI$5)*X293+(AC$5&lt;AI$5)*AD293+(AO$5&lt;AI$5)*AP293+(AU$5&lt;AI$5)*AV293)))</f>
        <v/>
      </c>
      <c r="AL293">
        <f>IF(AJ293-AK293&lt;0.005,0,AJ293-AK293)</f>
        <v/>
      </c>
      <c r="AM293">
        <f>AR292</f>
        <v/>
      </c>
      <c r="AN293">
        <f>AM293*Plan!D12/100/12</f>
        <v/>
      </c>
      <c r="AO293">
        <f>MIN(Plan!E12,AM293+AN293)</f>
        <v/>
      </c>
      <c r="AP293">
        <f>AM293+AN293-AO293</f>
        <v/>
      </c>
      <c r="AQ293">
        <f>MIN(AP293,MAX(0,$B293-((E$5&lt;AO$5)*F293+(K$5&lt;AO$5)*L293+(Q$5&lt;AO$5)*R293+(W$5&lt;AO$5)*X293+(AC$5&lt;AO$5)*AD293+(AI$5&lt;AO$5)*AJ293+(AU$5&lt;AO$5)*AV293)))</f>
        <v/>
      </c>
      <c r="AR293">
        <f>IF(AP293-AQ293&lt;0.005,0,AP293-AQ293)</f>
        <v/>
      </c>
      <c r="AS293">
        <f>AX292</f>
        <v/>
      </c>
      <c r="AT293">
        <f>AS293*Plan!D13/100/12</f>
        <v/>
      </c>
      <c r="AU293">
        <f>MIN(Plan!E13,AS293+AT293)</f>
        <v/>
      </c>
      <c r="AV293">
        <f>AS293+AT293-AU293</f>
        <v/>
      </c>
      <c r="AW293">
        <f>MIN(AV293,MAX(0,$B293-((E$5&lt;AU$5)*F293+(K$5&lt;AU$5)*L293+(Q$5&lt;AU$5)*R293+(W$5&lt;AU$5)*X293+(AC$5&lt;AU$5)*AD293+(AI$5&lt;AU$5)*AJ293+(AO$5&lt;AU$5)*AP293)))</f>
        <v/>
      </c>
      <c r="AX293">
        <f>IF(AV293-AW293&lt;0.005,0,AV293-AW293)</f>
        <v/>
      </c>
      <c r="BC293">
        <f>H293+N293+T293+Z293+AF293+AL293+AR293+AX293</f>
        <v/>
      </c>
    </row>
    <row r="294">
      <c r="A294" t="n">
        <v>288</v>
      </c>
      <c r="B294" s="19">
        <f>MAX(0,$B$3-(E294+K294+Q294+W294+AC294+AI294+AO294+AU294))</f>
        <v/>
      </c>
      <c r="C294">
        <f>H293</f>
        <v/>
      </c>
      <c r="D294">
        <f>C294*Plan!D6/100/12</f>
        <v/>
      </c>
      <c r="E294">
        <f>MIN(Plan!E6,C294+D294)</f>
        <v/>
      </c>
      <c r="F294">
        <f>C294+D294-E294</f>
        <v/>
      </c>
      <c r="G294">
        <f>MIN(F294,MAX(0,$B294-((K$5&lt;E$5)*L294+(Q$5&lt;E$5)*R294+(W$5&lt;E$5)*X294+(AC$5&lt;E$5)*AD294+(AI$5&lt;E$5)*AJ294+(AO$5&lt;E$5)*AP294+(AU$5&lt;E$5)*AV294)))</f>
        <v/>
      </c>
      <c r="H294">
        <f>IF(F294-G294&lt;0.005,0,F294-G294)</f>
        <v/>
      </c>
      <c r="I294">
        <f>N293</f>
        <v/>
      </c>
      <c r="J294">
        <f>I294*Plan!D7/100/12</f>
        <v/>
      </c>
      <c r="K294">
        <f>MIN(Plan!E7,I294+J294)</f>
        <v/>
      </c>
      <c r="L294">
        <f>I294+J294-K294</f>
        <v/>
      </c>
      <c r="M294">
        <f>MIN(L294,MAX(0,$B294-((E$5&lt;K$5)*F294+(Q$5&lt;K$5)*R294+(W$5&lt;K$5)*X294+(AC$5&lt;K$5)*AD294+(AI$5&lt;K$5)*AJ294+(AO$5&lt;K$5)*AP294+(AU$5&lt;K$5)*AV294)))</f>
        <v/>
      </c>
      <c r="N294">
        <f>IF(L294-M294&lt;0.005,0,L294-M294)</f>
        <v/>
      </c>
      <c r="O294">
        <f>T293</f>
        <v/>
      </c>
      <c r="P294">
        <f>O294*Plan!D8/100/12</f>
        <v/>
      </c>
      <c r="Q294">
        <f>MIN(Plan!E8,O294+P294)</f>
        <v/>
      </c>
      <c r="R294">
        <f>O294+P294-Q294</f>
        <v/>
      </c>
      <c r="S294">
        <f>MIN(R294,MAX(0,$B294-((E$5&lt;Q$5)*F294+(K$5&lt;Q$5)*L294+(W$5&lt;Q$5)*X294+(AC$5&lt;Q$5)*AD294+(AI$5&lt;Q$5)*AJ294+(AO$5&lt;Q$5)*AP294+(AU$5&lt;Q$5)*AV294)))</f>
        <v/>
      </c>
      <c r="T294">
        <f>IF(R294-S294&lt;0.005,0,R294-S294)</f>
        <v/>
      </c>
      <c r="U294">
        <f>Z293</f>
        <v/>
      </c>
      <c r="V294">
        <f>U294*Plan!D9/100/12</f>
        <v/>
      </c>
      <c r="W294">
        <f>MIN(Plan!E9,U294+V294)</f>
        <v/>
      </c>
      <c r="X294">
        <f>U294+V294-W294</f>
        <v/>
      </c>
      <c r="Y294">
        <f>MIN(X294,MAX(0,$B294-((E$5&lt;W$5)*F294+(K$5&lt;W$5)*L294+(Q$5&lt;W$5)*R294+(AC$5&lt;W$5)*AD294+(AI$5&lt;W$5)*AJ294+(AO$5&lt;W$5)*AP294+(AU$5&lt;W$5)*AV294)))</f>
        <v/>
      </c>
      <c r="Z294">
        <f>IF(X294-Y294&lt;0.005,0,X294-Y294)</f>
        <v/>
      </c>
      <c r="AA294">
        <f>AF293</f>
        <v/>
      </c>
      <c r="AB294">
        <f>AA294*Plan!D10/100/12</f>
        <v/>
      </c>
      <c r="AC294">
        <f>MIN(Plan!E10,AA294+AB294)</f>
        <v/>
      </c>
      <c r="AD294">
        <f>AA294+AB294-AC294</f>
        <v/>
      </c>
      <c r="AE294">
        <f>MIN(AD294,MAX(0,$B294-((E$5&lt;AC$5)*F294+(K$5&lt;AC$5)*L294+(Q$5&lt;AC$5)*R294+(W$5&lt;AC$5)*X294+(AI$5&lt;AC$5)*AJ294+(AO$5&lt;AC$5)*AP294+(AU$5&lt;AC$5)*AV294)))</f>
        <v/>
      </c>
      <c r="AF294">
        <f>IF(AD294-AE294&lt;0.005,0,AD294-AE294)</f>
        <v/>
      </c>
      <c r="AG294">
        <f>AL293</f>
        <v/>
      </c>
      <c r="AH294">
        <f>AG294*Plan!D11/100/12</f>
        <v/>
      </c>
      <c r="AI294">
        <f>MIN(Plan!E11,AG294+AH294)</f>
        <v/>
      </c>
      <c r="AJ294">
        <f>AG294+AH294-AI294</f>
        <v/>
      </c>
      <c r="AK294">
        <f>MIN(AJ294,MAX(0,$B294-((E$5&lt;AI$5)*F294+(K$5&lt;AI$5)*L294+(Q$5&lt;AI$5)*R294+(W$5&lt;AI$5)*X294+(AC$5&lt;AI$5)*AD294+(AO$5&lt;AI$5)*AP294+(AU$5&lt;AI$5)*AV294)))</f>
        <v/>
      </c>
      <c r="AL294">
        <f>IF(AJ294-AK294&lt;0.005,0,AJ294-AK294)</f>
        <v/>
      </c>
      <c r="AM294">
        <f>AR293</f>
        <v/>
      </c>
      <c r="AN294">
        <f>AM294*Plan!D12/100/12</f>
        <v/>
      </c>
      <c r="AO294">
        <f>MIN(Plan!E12,AM294+AN294)</f>
        <v/>
      </c>
      <c r="AP294">
        <f>AM294+AN294-AO294</f>
        <v/>
      </c>
      <c r="AQ294">
        <f>MIN(AP294,MAX(0,$B294-((E$5&lt;AO$5)*F294+(K$5&lt;AO$5)*L294+(Q$5&lt;AO$5)*R294+(W$5&lt;AO$5)*X294+(AC$5&lt;AO$5)*AD294+(AI$5&lt;AO$5)*AJ294+(AU$5&lt;AO$5)*AV294)))</f>
        <v/>
      </c>
      <c r="AR294">
        <f>IF(AP294-AQ294&lt;0.005,0,AP294-AQ294)</f>
        <v/>
      </c>
      <c r="AS294">
        <f>AX293</f>
        <v/>
      </c>
      <c r="AT294">
        <f>AS294*Plan!D13/100/12</f>
        <v/>
      </c>
      <c r="AU294">
        <f>MIN(Plan!E13,AS294+AT294)</f>
        <v/>
      </c>
      <c r="AV294">
        <f>AS294+AT294-AU294</f>
        <v/>
      </c>
      <c r="AW294">
        <f>MIN(AV294,MAX(0,$B294-((E$5&lt;AU$5)*F294+(K$5&lt;AU$5)*L294+(Q$5&lt;AU$5)*R294+(W$5&lt;AU$5)*X294+(AC$5&lt;AU$5)*AD294+(AI$5&lt;AU$5)*AJ294+(AO$5&lt;AU$5)*AP294)))</f>
        <v/>
      </c>
      <c r="AX294">
        <f>IF(AV294-AW294&lt;0.005,0,AV294-AW294)</f>
        <v/>
      </c>
      <c r="BC294">
        <f>H294+N294+T294+Z294+AF294+AL294+AR294+AX294</f>
        <v/>
      </c>
    </row>
    <row r="295">
      <c r="A295" t="n">
        <v>289</v>
      </c>
      <c r="B295" s="19">
        <f>MAX(0,$B$3-(E295+K295+Q295+W295+AC295+AI295+AO295+AU295))</f>
        <v/>
      </c>
      <c r="C295">
        <f>H294</f>
        <v/>
      </c>
      <c r="D295">
        <f>C295*Plan!D6/100/12</f>
        <v/>
      </c>
      <c r="E295">
        <f>MIN(Plan!E6,C295+D295)</f>
        <v/>
      </c>
      <c r="F295">
        <f>C295+D295-E295</f>
        <v/>
      </c>
      <c r="G295">
        <f>MIN(F295,MAX(0,$B295-((K$5&lt;E$5)*L295+(Q$5&lt;E$5)*R295+(W$5&lt;E$5)*X295+(AC$5&lt;E$5)*AD295+(AI$5&lt;E$5)*AJ295+(AO$5&lt;E$5)*AP295+(AU$5&lt;E$5)*AV295)))</f>
        <v/>
      </c>
      <c r="H295">
        <f>IF(F295-G295&lt;0.005,0,F295-G295)</f>
        <v/>
      </c>
      <c r="I295">
        <f>N294</f>
        <v/>
      </c>
      <c r="J295">
        <f>I295*Plan!D7/100/12</f>
        <v/>
      </c>
      <c r="K295">
        <f>MIN(Plan!E7,I295+J295)</f>
        <v/>
      </c>
      <c r="L295">
        <f>I295+J295-K295</f>
        <v/>
      </c>
      <c r="M295">
        <f>MIN(L295,MAX(0,$B295-((E$5&lt;K$5)*F295+(Q$5&lt;K$5)*R295+(W$5&lt;K$5)*X295+(AC$5&lt;K$5)*AD295+(AI$5&lt;K$5)*AJ295+(AO$5&lt;K$5)*AP295+(AU$5&lt;K$5)*AV295)))</f>
        <v/>
      </c>
      <c r="N295">
        <f>IF(L295-M295&lt;0.005,0,L295-M295)</f>
        <v/>
      </c>
      <c r="O295">
        <f>T294</f>
        <v/>
      </c>
      <c r="P295">
        <f>O295*Plan!D8/100/12</f>
        <v/>
      </c>
      <c r="Q295">
        <f>MIN(Plan!E8,O295+P295)</f>
        <v/>
      </c>
      <c r="R295">
        <f>O295+P295-Q295</f>
        <v/>
      </c>
      <c r="S295">
        <f>MIN(R295,MAX(0,$B295-((E$5&lt;Q$5)*F295+(K$5&lt;Q$5)*L295+(W$5&lt;Q$5)*X295+(AC$5&lt;Q$5)*AD295+(AI$5&lt;Q$5)*AJ295+(AO$5&lt;Q$5)*AP295+(AU$5&lt;Q$5)*AV295)))</f>
        <v/>
      </c>
      <c r="T295">
        <f>IF(R295-S295&lt;0.005,0,R295-S295)</f>
        <v/>
      </c>
      <c r="U295">
        <f>Z294</f>
        <v/>
      </c>
      <c r="V295">
        <f>U295*Plan!D9/100/12</f>
        <v/>
      </c>
      <c r="W295">
        <f>MIN(Plan!E9,U295+V295)</f>
        <v/>
      </c>
      <c r="X295">
        <f>U295+V295-W295</f>
        <v/>
      </c>
      <c r="Y295">
        <f>MIN(X295,MAX(0,$B295-((E$5&lt;W$5)*F295+(K$5&lt;W$5)*L295+(Q$5&lt;W$5)*R295+(AC$5&lt;W$5)*AD295+(AI$5&lt;W$5)*AJ295+(AO$5&lt;W$5)*AP295+(AU$5&lt;W$5)*AV295)))</f>
        <v/>
      </c>
      <c r="Z295">
        <f>IF(X295-Y295&lt;0.005,0,X295-Y295)</f>
        <v/>
      </c>
      <c r="AA295">
        <f>AF294</f>
        <v/>
      </c>
      <c r="AB295">
        <f>AA295*Plan!D10/100/12</f>
        <v/>
      </c>
      <c r="AC295">
        <f>MIN(Plan!E10,AA295+AB295)</f>
        <v/>
      </c>
      <c r="AD295">
        <f>AA295+AB295-AC295</f>
        <v/>
      </c>
      <c r="AE295">
        <f>MIN(AD295,MAX(0,$B295-((E$5&lt;AC$5)*F295+(K$5&lt;AC$5)*L295+(Q$5&lt;AC$5)*R295+(W$5&lt;AC$5)*X295+(AI$5&lt;AC$5)*AJ295+(AO$5&lt;AC$5)*AP295+(AU$5&lt;AC$5)*AV295)))</f>
        <v/>
      </c>
      <c r="AF295">
        <f>IF(AD295-AE295&lt;0.005,0,AD295-AE295)</f>
        <v/>
      </c>
      <c r="AG295">
        <f>AL294</f>
        <v/>
      </c>
      <c r="AH295">
        <f>AG295*Plan!D11/100/12</f>
        <v/>
      </c>
      <c r="AI295">
        <f>MIN(Plan!E11,AG295+AH295)</f>
        <v/>
      </c>
      <c r="AJ295">
        <f>AG295+AH295-AI295</f>
        <v/>
      </c>
      <c r="AK295">
        <f>MIN(AJ295,MAX(0,$B295-((E$5&lt;AI$5)*F295+(K$5&lt;AI$5)*L295+(Q$5&lt;AI$5)*R295+(W$5&lt;AI$5)*X295+(AC$5&lt;AI$5)*AD295+(AO$5&lt;AI$5)*AP295+(AU$5&lt;AI$5)*AV295)))</f>
        <v/>
      </c>
      <c r="AL295">
        <f>IF(AJ295-AK295&lt;0.005,0,AJ295-AK295)</f>
        <v/>
      </c>
      <c r="AM295">
        <f>AR294</f>
        <v/>
      </c>
      <c r="AN295">
        <f>AM295*Plan!D12/100/12</f>
        <v/>
      </c>
      <c r="AO295">
        <f>MIN(Plan!E12,AM295+AN295)</f>
        <v/>
      </c>
      <c r="AP295">
        <f>AM295+AN295-AO295</f>
        <v/>
      </c>
      <c r="AQ295">
        <f>MIN(AP295,MAX(0,$B295-((E$5&lt;AO$5)*F295+(K$5&lt;AO$5)*L295+(Q$5&lt;AO$5)*R295+(W$5&lt;AO$5)*X295+(AC$5&lt;AO$5)*AD295+(AI$5&lt;AO$5)*AJ295+(AU$5&lt;AO$5)*AV295)))</f>
        <v/>
      </c>
      <c r="AR295">
        <f>IF(AP295-AQ295&lt;0.005,0,AP295-AQ295)</f>
        <v/>
      </c>
      <c r="AS295">
        <f>AX294</f>
        <v/>
      </c>
      <c r="AT295">
        <f>AS295*Plan!D13/100/12</f>
        <v/>
      </c>
      <c r="AU295">
        <f>MIN(Plan!E13,AS295+AT295)</f>
        <v/>
      </c>
      <c r="AV295">
        <f>AS295+AT295-AU295</f>
        <v/>
      </c>
      <c r="AW295">
        <f>MIN(AV295,MAX(0,$B295-((E$5&lt;AU$5)*F295+(K$5&lt;AU$5)*L295+(Q$5&lt;AU$5)*R295+(W$5&lt;AU$5)*X295+(AC$5&lt;AU$5)*AD295+(AI$5&lt;AU$5)*AJ295+(AO$5&lt;AU$5)*AP295)))</f>
        <v/>
      </c>
      <c r="AX295">
        <f>IF(AV295-AW295&lt;0.005,0,AV295-AW295)</f>
        <v/>
      </c>
      <c r="BC295">
        <f>H295+N295+T295+Z295+AF295+AL295+AR295+AX295</f>
        <v/>
      </c>
    </row>
    <row r="296">
      <c r="A296" t="n">
        <v>290</v>
      </c>
      <c r="B296" s="19">
        <f>MAX(0,$B$3-(E296+K296+Q296+W296+AC296+AI296+AO296+AU296))</f>
        <v/>
      </c>
      <c r="C296">
        <f>H295</f>
        <v/>
      </c>
      <c r="D296">
        <f>C296*Plan!D6/100/12</f>
        <v/>
      </c>
      <c r="E296">
        <f>MIN(Plan!E6,C296+D296)</f>
        <v/>
      </c>
      <c r="F296">
        <f>C296+D296-E296</f>
        <v/>
      </c>
      <c r="G296">
        <f>MIN(F296,MAX(0,$B296-((K$5&lt;E$5)*L296+(Q$5&lt;E$5)*R296+(W$5&lt;E$5)*X296+(AC$5&lt;E$5)*AD296+(AI$5&lt;E$5)*AJ296+(AO$5&lt;E$5)*AP296+(AU$5&lt;E$5)*AV296)))</f>
        <v/>
      </c>
      <c r="H296">
        <f>IF(F296-G296&lt;0.005,0,F296-G296)</f>
        <v/>
      </c>
      <c r="I296">
        <f>N295</f>
        <v/>
      </c>
      <c r="J296">
        <f>I296*Plan!D7/100/12</f>
        <v/>
      </c>
      <c r="K296">
        <f>MIN(Plan!E7,I296+J296)</f>
        <v/>
      </c>
      <c r="L296">
        <f>I296+J296-K296</f>
        <v/>
      </c>
      <c r="M296">
        <f>MIN(L296,MAX(0,$B296-((E$5&lt;K$5)*F296+(Q$5&lt;K$5)*R296+(W$5&lt;K$5)*X296+(AC$5&lt;K$5)*AD296+(AI$5&lt;K$5)*AJ296+(AO$5&lt;K$5)*AP296+(AU$5&lt;K$5)*AV296)))</f>
        <v/>
      </c>
      <c r="N296">
        <f>IF(L296-M296&lt;0.005,0,L296-M296)</f>
        <v/>
      </c>
      <c r="O296">
        <f>T295</f>
        <v/>
      </c>
      <c r="P296">
        <f>O296*Plan!D8/100/12</f>
        <v/>
      </c>
      <c r="Q296">
        <f>MIN(Plan!E8,O296+P296)</f>
        <v/>
      </c>
      <c r="R296">
        <f>O296+P296-Q296</f>
        <v/>
      </c>
      <c r="S296">
        <f>MIN(R296,MAX(0,$B296-((E$5&lt;Q$5)*F296+(K$5&lt;Q$5)*L296+(W$5&lt;Q$5)*X296+(AC$5&lt;Q$5)*AD296+(AI$5&lt;Q$5)*AJ296+(AO$5&lt;Q$5)*AP296+(AU$5&lt;Q$5)*AV296)))</f>
        <v/>
      </c>
      <c r="T296">
        <f>IF(R296-S296&lt;0.005,0,R296-S296)</f>
        <v/>
      </c>
      <c r="U296">
        <f>Z295</f>
        <v/>
      </c>
      <c r="V296">
        <f>U296*Plan!D9/100/12</f>
        <v/>
      </c>
      <c r="W296">
        <f>MIN(Plan!E9,U296+V296)</f>
        <v/>
      </c>
      <c r="X296">
        <f>U296+V296-W296</f>
        <v/>
      </c>
      <c r="Y296">
        <f>MIN(X296,MAX(0,$B296-((E$5&lt;W$5)*F296+(K$5&lt;W$5)*L296+(Q$5&lt;W$5)*R296+(AC$5&lt;W$5)*AD296+(AI$5&lt;W$5)*AJ296+(AO$5&lt;W$5)*AP296+(AU$5&lt;W$5)*AV296)))</f>
        <v/>
      </c>
      <c r="Z296">
        <f>IF(X296-Y296&lt;0.005,0,X296-Y296)</f>
        <v/>
      </c>
      <c r="AA296">
        <f>AF295</f>
        <v/>
      </c>
      <c r="AB296">
        <f>AA296*Plan!D10/100/12</f>
        <v/>
      </c>
      <c r="AC296">
        <f>MIN(Plan!E10,AA296+AB296)</f>
        <v/>
      </c>
      <c r="AD296">
        <f>AA296+AB296-AC296</f>
        <v/>
      </c>
      <c r="AE296">
        <f>MIN(AD296,MAX(0,$B296-((E$5&lt;AC$5)*F296+(K$5&lt;AC$5)*L296+(Q$5&lt;AC$5)*R296+(W$5&lt;AC$5)*X296+(AI$5&lt;AC$5)*AJ296+(AO$5&lt;AC$5)*AP296+(AU$5&lt;AC$5)*AV296)))</f>
        <v/>
      </c>
      <c r="AF296">
        <f>IF(AD296-AE296&lt;0.005,0,AD296-AE296)</f>
        <v/>
      </c>
      <c r="AG296">
        <f>AL295</f>
        <v/>
      </c>
      <c r="AH296">
        <f>AG296*Plan!D11/100/12</f>
        <v/>
      </c>
      <c r="AI296">
        <f>MIN(Plan!E11,AG296+AH296)</f>
        <v/>
      </c>
      <c r="AJ296">
        <f>AG296+AH296-AI296</f>
        <v/>
      </c>
      <c r="AK296">
        <f>MIN(AJ296,MAX(0,$B296-((E$5&lt;AI$5)*F296+(K$5&lt;AI$5)*L296+(Q$5&lt;AI$5)*R296+(W$5&lt;AI$5)*X296+(AC$5&lt;AI$5)*AD296+(AO$5&lt;AI$5)*AP296+(AU$5&lt;AI$5)*AV296)))</f>
        <v/>
      </c>
      <c r="AL296">
        <f>IF(AJ296-AK296&lt;0.005,0,AJ296-AK296)</f>
        <v/>
      </c>
      <c r="AM296">
        <f>AR295</f>
        <v/>
      </c>
      <c r="AN296">
        <f>AM296*Plan!D12/100/12</f>
        <v/>
      </c>
      <c r="AO296">
        <f>MIN(Plan!E12,AM296+AN296)</f>
        <v/>
      </c>
      <c r="AP296">
        <f>AM296+AN296-AO296</f>
        <v/>
      </c>
      <c r="AQ296">
        <f>MIN(AP296,MAX(0,$B296-((E$5&lt;AO$5)*F296+(K$5&lt;AO$5)*L296+(Q$5&lt;AO$5)*R296+(W$5&lt;AO$5)*X296+(AC$5&lt;AO$5)*AD296+(AI$5&lt;AO$5)*AJ296+(AU$5&lt;AO$5)*AV296)))</f>
        <v/>
      </c>
      <c r="AR296">
        <f>IF(AP296-AQ296&lt;0.005,0,AP296-AQ296)</f>
        <v/>
      </c>
      <c r="AS296">
        <f>AX295</f>
        <v/>
      </c>
      <c r="AT296">
        <f>AS296*Plan!D13/100/12</f>
        <v/>
      </c>
      <c r="AU296">
        <f>MIN(Plan!E13,AS296+AT296)</f>
        <v/>
      </c>
      <c r="AV296">
        <f>AS296+AT296-AU296</f>
        <v/>
      </c>
      <c r="AW296">
        <f>MIN(AV296,MAX(0,$B296-((E$5&lt;AU$5)*F296+(K$5&lt;AU$5)*L296+(Q$5&lt;AU$5)*R296+(W$5&lt;AU$5)*X296+(AC$5&lt;AU$5)*AD296+(AI$5&lt;AU$5)*AJ296+(AO$5&lt;AU$5)*AP296)))</f>
        <v/>
      </c>
      <c r="AX296">
        <f>IF(AV296-AW296&lt;0.005,0,AV296-AW296)</f>
        <v/>
      </c>
      <c r="BC296">
        <f>H296+N296+T296+Z296+AF296+AL296+AR296+AX296</f>
        <v/>
      </c>
    </row>
    <row r="297">
      <c r="A297" t="n">
        <v>291</v>
      </c>
      <c r="B297" s="19">
        <f>MAX(0,$B$3-(E297+K297+Q297+W297+AC297+AI297+AO297+AU297))</f>
        <v/>
      </c>
      <c r="C297">
        <f>H296</f>
        <v/>
      </c>
      <c r="D297">
        <f>C297*Plan!D6/100/12</f>
        <v/>
      </c>
      <c r="E297">
        <f>MIN(Plan!E6,C297+D297)</f>
        <v/>
      </c>
      <c r="F297">
        <f>C297+D297-E297</f>
        <v/>
      </c>
      <c r="G297">
        <f>MIN(F297,MAX(0,$B297-((K$5&lt;E$5)*L297+(Q$5&lt;E$5)*R297+(W$5&lt;E$5)*X297+(AC$5&lt;E$5)*AD297+(AI$5&lt;E$5)*AJ297+(AO$5&lt;E$5)*AP297+(AU$5&lt;E$5)*AV297)))</f>
        <v/>
      </c>
      <c r="H297">
        <f>IF(F297-G297&lt;0.005,0,F297-G297)</f>
        <v/>
      </c>
      <c r="I297">
        <f>N296</f>
        <v/>
      </c>
      <c r="J297">
        <f>I297*Plan!D7/100/12</f>
        <v/>
      </c>
      <c r="K297">
        <f>MIN(Plan!E7,I297+J297)</f>
        <v/>
      </c>
      <c r="L297">
        <f>I297+J297-K297</f>
        <v/>
      </c>
      <c r="M297">
        <f>MIN(L297,MAX(0,$B297-((E$5&lt;K$5)*F297+(Q$5&lt;K$5)*R297+(W$5&lt;K$5)*X297+(AC$5&lt;K$5)*AD297+(AI$5&lt;K$5)*AJ297+(AO$5&lt;K$5)*AP297+(AU$5&lt;K$5)*AV297)))</f>
        <v/>
      </c>
      <c r="N297">
        <f>IF(L297-M297&lt;0.005,0,L297-M297)</f>
        <v/>
      </c>
      <c r="O297">
        <f>T296</f>
        <v/>
      </c>
      <c r="P297">
        <f>O297*Plan!D8/100/12</f>
        <v/>
      </c>
      <c r="Q297">
        <f>MIN(Plan!E8,O297+P297)</f>
        <v/>
      </c>
      <c r="R297">
        <f>O297+P297-Q297</f>
        <v/>
      </c>
      <c r="S297">
        <f>MIN(R297,MAX(0,$B297-((E$5&lt;Q$5)*F297+(K$5&lt;Q$5)*L297+(W$5&lt;Q$5)*X297+(AC$5&lt;Q$5)*AD297+(AI$5&lt;Q$5)*AJ297+(AO$5&lt;Q$5)*AP297+(AU$5&lt;Q$5)*AV297)))</f>
        <v/>
      </c>
      <c r="T297">
        <f>IF(R297-S297&lt;0.005,0,R297-S297)</f>
        <v/>
      </c>
      <c r="U297">
        <f>Z296</f>
        <v/>
      </c>
      <c r="V297">
        <f>U297*Plan!D9/100/12</f>
        <v/>
      </c>
      <c r="W297">
        <f>MIN(Plan!E9,U297+V297)</f>
        <v/>
      </c>
      <c r="X297">
        <f>U297+V297-W297</f>
        <v/>
      </c>
      <c r="Y297">
        <f>MIN(X297,MAX(0,$B297-((E$5&lt;W$5)*F297+(K$5&lt;W$5)*L297+(Q$5&lt;W$5)*R297+(AC$5&lt;W$5)*AD297+(AI$5&lt;W$5)*AJ297+(AO$5&lt;W$5)*AP297+(AU$5&lt;W$5)*AV297)))</f>
        <v/>
      </c>
      <c r="Z297">
        <f>IF(X297-Y297&lt;0.005,0,X297-Y297)</f>
        <v/>
      </c>
      <c r="AA297">
        <f>AF296</f>
        <v/>
      </c>
      <c r="AB297">
        <f>AA297*Plan!D10/100/12</f>
        <v/>
      </c>
      <c r="AC297">
        <f>MIN(Plan!E10,AA297+AB297)</f>
        <v/>
      </c>
      <c r="AD297">
        <f>AA297+AB297-AC297</f>
        <v/>
      </c>
      <c r="AE297">
        <f>MIN(AD297,MAX(0,$B297-((E$5&lt;AC$5)*F297+(K$5&lt;AC$5)*L297+(Q$5&lt;AC$5)*R297+(W$5&lt;AC$5)*X297+(AI$5&lt;AC$5)*AJ297+(AO$5&lt;AC$5)*AP297+(AU$5&lt;AC$5)*AV297)))</f>
        <v/>
      </c>
      <c r="AF297">
        <f>IF(AD297-AE297&lt;0.005,0,AD297-AE297)</f>
        <v/>
      </c>
      <c r="AG297">
        <f>AL296</f>
        <v/>
      </c>
      <c r="AH297">
        <f>AG297*Plan!D11/100/12</f>
        <v/>
      </c>
      <c r="AI297">
        <f>MIN(Plan!E11,AG297+AH297)</f>
        <v/>
      </c>
      <c r="AJ297">
        <f>AG297+AH297-AI297</f>
        <v/>
      </c>
      <c r="AK297">
        <f>MIN(AJ297,MAX(0,$B297-((E$5&lt;AI$5)*F297+(K$5&lt;AI$5)*L297+(Q$5&lt;AI$5)*R297+(W$5&lt;AI$5)*X297+(AC$5&lt;AI$5)*AD297+(AO$5&lt;AI$5)*AP297+(AU$5&lt;AI$5)*AV297)))</f>
        <v/>
      </c>
      <c r="AL297">
        <f>IF(AJ297-AK297&lt;0.005,0,AJ297-AK297)</f>
        <v/>
      </c>
      <c r="AM297">
        <f>AR296</f>
        <v/>
      </c>
      <c r="AN297">
        <f>AM297*Plan!D12/100/12</f>
        <v/>
      </c>
      <c r="AO297">
        <f>MIN(Plan!E12,AM297+AN297)</f>
        <v/>
      </c>
      <c r="AP297">
        <f>AM297+AN297-AO297</f>
        <v/>
      </c>
      <c r="AQ297">
        <f>MIN(AP297,MAX(0,$B297-((E$5&lt;AO$5)*F297+(K$5&lt;AO$5)*L297+(Q$5&lt;AO$5)*R297+(W$5&lt;AO$5)*X297+(AC$5&lt;AO$5)*AD297+(AI$5&lt;AO$5)*AJ297+(AU$5&lt;AO$5)*AV297)))</f>
        <v/>
      </c>
      <c r="AR297">
        <f>IF(AP297-AQ297&lt;0.005,0,AP297-AQ297)</f>
        <v/>
      </c>
      <c r="AS297">
        <f>AX296</f>
        <v/>
      </c>
      <c r="AT297">
        <f>AS297*Plan!D13/100/12</f>
        <v/>
      </c>
      <c r="AU297">
        <f>MIN(Plan!E13,AS297+AT297)</f>
        <v/>
      </c>
      <c r="AV297">
        <f>AS297+AT297-AU297</f>
        <v/>
      </c>
      <c r="AW297">
        <f>MIN(AV297,MAX(0,$B297-((E$5&lt;AU$5)*F297+(K$5&lt;AU$5)*L297+(Q$5&lt;AU$5)*R297+(W$5&lt;AU$5)*X297+(AC$5&lt;AU$5)*AD297+(AI$5&lt;AU$5)*AJ297+(AO$5&lt;AU$5)*AP297)))</f>
        <v/>
      </c>
      <c r="AX297">
        <f>IF(AV297-AW297&lt;0.005,0,AV297-AW297)</f>
        <v/>
      </c>
      <c r="BC297">
        <f>H297+N297+T297+Z297+AF297+AL297+AR297+AX297</f>
        <v/>
      </c>
    </row>
    <row r="298">
      <c r="A298" t="n">
        <v>292</v>
      </c>
      <c r="B298" s="19">
        <f>MAX(0,$B$3-(E298+K298+Q298+W298+AC298+AI298+AO298+AU298))</f>
        <v/>
      </c>
      <c r="C298">
        <f>H297</f>
        <v/>
      </c>
      <c r="D298">
        <f>C298*Plan!D6/100/12</f>
        <v/>
      </c>
      <c r="E298">
        <f>MIN(Plan!E6,C298+D298)</f>
        <v/>
      </c>
      <c r="F298">
        <f>C298+D298-E298</f>
        <v/>
      </c>
      <c r="G298">
        <f>MIN(F298,MAX(0,$B298-((K$5&lt;E$5)*L298+(Q$5&lt;E$5)*R298+(W$5&lt;E$5)*X298+(AC$5&lt;E$5)*AD298+(AI$5&lt;E$5)*AJ298+(AO$5&lt;E$5)*AP298+(AU$5&lt;E$5)*AV298)))</f>
        <v/>
      </c>
      <c r="H298">
        <f>IF(F298-G298&lt;0.005,0,F298-G298)</f>
        <v/>
      </c>
      <c r="I298">
        <f>N297</f>
        <v/>
      </c>
      <c r="J298">
        <f>I298*Plan!D7/100/12</f>
        <v/>
      </c>
      <c r="K298">
        <f>MIN(Plan!E7,I298+J298)</f>
        <v/>
      </c>
      <c r="L298">
        <f>I298+J298-K298</f>
        <v/>
      </c>
      <c r="M298">
        <f>MIN(L298,MAX(0,$B298-((E$5&lt;K$5)*F298+(Q$5&lt;K$5)*R298+(W$5&lt;K$5)*X298+(AC$5&lt;K$5)*AD298+(AI$5&lt;K$5)*AJ298+(AO$5&lt;K$5)*AP298+(AU$5&lt;K$5)*AV298)))</f>
        <v/>
      </c>
      <c r="N298">
        <f>IF(L298-M298&lt;0.005,0,L298-M298)</f>
        <v/>
      </c>
      <c r="O298">
        <f>T297</f>
        <v/>
      </c>
      <c r="P298">
        <f>O298*Plan!D8/100/12</f>
        <v/>
      </c>
      <c r="Q298">
        <f>MIN(Plan!E8,O298+P298)</f>
        <v/>
      </c>
      <c r="R298">
        <f>O298+P298-Q298</f>
        <v/>
      </c>
      <c r="S298">
        <f>MIN(R298,MAX(0,$B298-((E$5&lt;Q$5)*F298+(K$5&lt;Q$5)*L298+(W$5&lt;Q$5)*X298+(AC$5&lt;Q$5)*AD298+(AI$5&lt;Q$5)*AJ298+(AO$5&lt;Q$5)*AP298+(AU$5&lt;Q$5)*AV298)))</f>
        <v/>
      </c>
      <c r="T298">
        <f>IF(R298-S298&lt;0.005,0,R298-S298)</f>
        <v/>
      </c>
      <c r="U298">
        <f>Z297</f>
        <v/>
      </c>
      <c r="V298">
        <f>U298*Plan!D9/100/12</f>
        <v/>
      </c>
      <c r="W298">
        <f>MIN(Plan!E9,U298+V298)</f>
        <v/>
      </c>
      <c r="X298">
        <f>U298+V298-W298</f>
        <v/>
      </c>
      <c r="Y298">
        <f>MIN(X298,MAX(0,$B298-((E$5&lt;W$5)*F298+(K$5&lt;W$5)*L298+(Q$5&lt;W$5)*R298+(AC$5&lt;W$5)*AD298+(AI$5&lt;W$5)*AJ298+(AO$5&lt;W$5)*AP298+(AU$5&lt;W$5)*AV298)))</f>
        <v/>
      </c>
      <c r="Z298">
        <f>IF(X298-Y298&lt;0.005,0,X298-Y298)</f>
        <v/>
      </c>
      <c r="AA298">
        <f>AF297</f>
        <v/>
      </c>
      <c r="AB298">
        <f>AA298*Plan!D10/100/12</f>
        <v/>
      </c>
      <c r="AC298">
        <f>MIN(Plan!E10,AA298+AB298)</f>
        <v/>
      </c>
      <c r="AD298">
        <f>AA298+AB298-AC298</f>
        <v/>
      </c>
      <c r="AE298">
        <f>MIN(AD298,MAX(0,$B298-((E$5&lt;AC$5)*F298+(K$5&lt;AC$5)*L298+(Q$5&lt;AC$5)*R298+(W$5&lt;AC$5)*X298+(AI$5&lt;AC$5)*AJ298+(AO$5&lt;AC$5)*AP298+(AU$5&lt;AC$5)*AV298)))</f>
        <v/>
      </c>
      <c r="AF298">
        <f>IF(AD298-AE298&lt;0.005,0,AD298-AE298)</f>
        <v/>
      </c>
      <c r="AG298">
        <f>AL297</f>
        <v/>
      </c>
      <c r="AH298">
        <f>AG298*Plan!D11/100/12</f>
        <v/>
      </c>
      <c r="AI298">
        <f>MIN(Plan!E11,AG298+AH298)</f>
        <v/>
      </c>
      <c r="AJ298">
        <f>AG298+AH298-AI298</f>
        <v/>
      </c>
      <c r="AK298">
        <f>MIN(AJ298,MAX(0,$B298-((E$5&lt;AI$5)*F298+(K$5&lt;AI$5)*L298+(Q$5&lt;AI$5)*R298+(W$5&lt;AI$5)*X298+(AC$5&lt;AI$5)*AD298+(AO$5&lt;AI$5)*AP298+(AU$5&lt;AI$5)*AV298)))</f>
        <v/>
      </c>
      <c r="AL298">
        <f>IF(AJ298-AK298&lt;0.005,0,AJ298-AK298)</f>
        <v/>
      </c>
      <c r="AM298">
        <f>AR297</f>
        <v/>
      </c>
      <c r="AN298">
        <f>AM298*Plan!D12/100/12</f>
        <v/>
      </c>
      <c r="AO298">
        <f>MIN(Plan!E12,AM298+AN298)</f>
        <v/>
      </c>
      <c r="AP298">
        <f>AM298+AN298-AO298</f>
        <v/>
      </c>
      <c r="AQ298">
        <f>MIN(AP298,MAX(0,$B298-((E$5&lt;AO$5)*F298+(K$5&lt;AO$5)*L298+(Q$5&lt;AO$5)*R298+(W$5&lt;AO$5)*X298+(AC$5&lt;AO$5)*AD298+(AI$5&lt;AO$5)*AJ298+(AU$5&lt;AO$5)*AV298)))</f>
        <v/>
      </c>
      <c r="AR298">
        <f>IF(AP298-AQ298&lt;0.005,0,AP298-AQ298)</f>
        <v/>
      </c>
      <c r="AS298">
        <f>AX297</f>
        <v/>
      </c>
      <c r="AT298">
        <f>AS298*Plan!D13/100/12</f>
        <v/>
      </c>
      <c r="AU298">
        <f>MIN(Plan!E13,AS298+AT298)</f>
        <v/>
      </c>
      <c r="AV298">
        <f>AS298+AT298-AU298</f>
        <v/>
      </c>
      <c r="AW298">
        <f>MIN(AV298,MAX(0,$B298-((E$5&lt;AU$5)*F298+(K$5&lt;AU$5)*L298+(Q$5&lt;AU$5)*R298+(W$5&lt;AU$5)*X298+(AC$5&lt;AU$5)*AD298+(AI$5&lt;AU$5)*AJ298+(AO$5&lt;AU$5)*AP298)))</f>
        <v/>
      </c>
      <c r="AX298">
        <f>IF(AV298-AW298&lt;0.005,0,AV298-AW298)</f>
        <v/>
      </c>
      <c r="BC298">
        <f>H298+N298+T298+Z298+AF298+AL298+AR298+AX298</f>
        <v/>
      </c>
    </row>
    <row r="299">
      <c r="A299" t="n">
        <v>293</v>
      </c>
      <c r="B299" s="19">
        <f>MAX(0,$B$3-(E299+K299+Q299+W299+AC299+AI299+AO299+AU299))</f>
        <v/>
      </c>
      <c r="C299">
        <f>H298</f>
        <v/>
      </c>
      <c r="D299">
        <f>C299*Plan!D6/100/12</f>
        <v/>
      </c>
      <c r="E299">
        <f>MIN(Plan!E6,C299+D299)</f>
        <v/>
      </c>
      <c r="F299">
        <f>C299+D299-E299</f>
        <v/>
      </c>
      <c r="G299">
        <f>MIN(F299,MAX(0,$B299-((K$5&lt;E$5)*L299+(Q$5&lt;E$5)*R299+(W$5&lt;E$5)*X299+(AC$5&lt;E$5)*AD299+(AI$5&lt;E$5)*AJ299+(AO$5&lt;E$5)*AP299+(AU$5&lt;E$5)*AV299)))</f>
        <v/>
      </c>
      <c r="H299">
        <f>IF(F299-G299&lt;0.005,0,F299-G299)</f>
        <v/>
      </c>
      <c r="I299">
        <f>N298</f>
        <v/>
      </c>
      <c r="J299">
        <f>I299*Plan!D7/100/12</f>
        <v/>
      </c>
      <c r="K299">
        <f>MIN(Plan!E7,I299+J299)</f>
        <v/>
      </c>
      <c r="L299">
        <f>I299+J299-K299</f>
        <v/>
      </c>
      <c r="M299">
        <f>MIN(L299,MAX(0,$B299-((E$5&lt;K$5)*F299+(Q$5&lt;K$5)*R299+(W$5&lt;K$5)*X299+(AC$5&lt;K$5)*AD299+(AI$5&lt;K$5)*AJ299+(AO$5&lt;K$5)*AP299+(AU$5&lt;K$5)*AV299)))</f>
        <v/>
      </c>
      <c r="N299">
        <f>IF(L299-M299&lt;0.005,0,L299-M299)</f>
        <v/>
      </c>
      <c r="O299">
        <f>T298</f>
        <v/>
      </c>
      <c r="P299">
        <f>O299*Plan!D8/100/12</f>
        <v/>
      </c>
      <c r="Q299">
        <f>MIN(Plan!E8,O299+P299)</f>
        <v/>
      </c>
      <c r="R299">
        <f>O299+P299-Q299</f>
        <v/>
      </c>
      <c r="S299">
        <f>MIN(R299,MAX(0,$B299-((E$5&lt;Q$5)*F299+(K$5&lt;Q$5)*L299+(W$5&lt;Q$5)*X299+(AC$5&lt;Q$5)*AD299+(AI$5&lt;Q$5)*AJ299+(AO$5&lt;Q$5)*AP299+(AU$5&lt;Q$5)*AV299)))</f>
        <v/>
      </c>
      <c r="T299">
        <f>IF(R299-S299&lt;0.005,0,R299-S299)</f>
        <v/>
      </c>
      <c r="U299">
        <f>Z298</f>
        <v/>
      </c>
      <c r="V299">
        <f>U299*Plan!D9/100/12</f>
        <v/>
      </c>
      <c r="W299">
        <f>MIN(Plan!E9,U299+V299)</f>
        <v/>
      </c>
      <c r="X299">
        <f>U299+V299-W299</f>
        <v/>
      </c>
      <c r="Y299">
        <f>MIN(X299,MAX(0,$B299-((E$5&lt;W$5)*F299+(K$5&lt;W$5)*L299+(Q$5&lt;W$5)*R299+(AC$5&lt;W$5)*AD299+(AI$5&lt;W$5)*AJ299+(AO$5&lt;W$5)*AP299+(AU$5&lt;W$5)*AV299)))</f>
        <v/>
      </c>
      <c r="Z299">
        <f>IF(X299-Y299&lt;0.005,0,X299-Y299)</f>
        <v/>
      </c>
      <c r="AA299">
        <f>AF298</f>
        <v/>
      </c>
      <c r="AB299">
        <f>AA299*Plan!D10/100/12</f>
        <v/>
      </c>
      <c r="AC299">
        <f>MIN(Plan!E10,AA299+AB299)</f>
        <v/>
      </c>
      <c r="AD299">
        <f>AA299+AB299-AC299</f>
        <v/>
      </c>
      <c r="AE299">
        <f>MIN(AD299,MAX(0,$B299-((E$5&lt;AC$5)*F299+(K$5&lt;AC$5)*L299+(Q$5&lt;AC$5)*R299+(W$5&lt;AC$5)*X299+(AI$5&lt;AC$5)*AJ299+(AO$5&lt;AC$5)*AP299+(AU$5&lt;AC$5)*AV299)))</f>
        <v/>
      </c>
      <c r="AF299">
        <f>IF(AD299-AE299&lt;0.005,0,AD299-AE299)</f>
        <v/>
      </c>
      <c r="AG299">
        <f>AL298</f>
        <v/>
      </c>
      <c r="AH299">
        <f>AG299*Plan!D11/100/12</f>
        <v/>
      </c>
      <c r="AI299">
        <f>MIN(Plan!E11,AG299+AH299)</f>
        <v/>
      </c>
      <c r="AJ299">
        <f>AG299+AH299-AI299</f>
        <v/>
      </c>
      <c r="AK299">
        <f>MIN(AJ299,MAX(0,$B299-((E$5&lt;AI$5)*F299+(K$5&lt;AI$5)*L299+(Q$5&lt;AI$5)*R299+(W$5&lt;AI$5)*X299+(AC$5&lt;AI$5)*AD299+(AO$5&lt;AI$5)*AP299+(AU$5&lt;AI$5)*AV299)))</f>
        <v/>
      </c>
      <c r="AL299">
        <f>IF(AJ299-AK299&lt;0.005,0,AJ299-AK299)</f>
        <v/>
      </c>
      <c r="AM299">
        <f>AR298</f>
        <v/>
      </c>
      <c r="AN299">
        <f>AM299*Plan!D12/100/12</f>
        <v/>
      </c>
      <c r="AO299">
        <f>MIN(Plan!E12,AM299+AN299)</f>
        <v/>
      </c>
      <c r="AP299">
        <f>AM299+AN299-AO299</f>
        <v/>
      </c>
      <c r="AQ299">
        <f>MIN(AP299,MAX(0,$B299-((E$5&lt;AO$5)*F299+(K$5&lt;AO$5)*L299+(Q$5&lt;AO$5)*R299+(W$5&lt;AO$5)*X299+(AC$5&lt;AO$5)*AD299+(AI$5&lt;AO$5)*AJ299+(AU$5&lt;AO$5)*AV299)))</f>
        <v/>
      </c>
      <c r="AR299">
        <f>IF(AP299-AQ299&lt;0.005,0,AP299-AQ299)</f>
        <v/>
      </c>
      <c r="AS299">
        <f>AX298</f>
        <v/>
      </c>
      <c r="AT299">
        <f>AS299*Plan!D13/100/12</f>
        <v/>
      </c>
      <c r="AU299">
        <f>MIN(Plan!E13,AS299+AT299)</f>
        <v/>
      </c>
      <c r="AV299">
        <f>AS299+AT299-AU299</f>
        <v/>
      </c>
      <c r="AW299">
        <f>MIN(AV299,MAX(0,$B299-((E$5&lt;AU$5)*F299+(K$5&lt;AU$5)*L299+(Q$5&lt;AU$5)*R299+(W$5&lt;AU$5)*X299+(AC$5&lt;AU$5)*AD299+(AI$5&lt;AU$5)*AJ299+(AO$5&lt;AU$5)*AP299)))</f>
        <v/>
      </c>
      <c r="AX299">
        <f>IF(AV299-AW299&lt;0.005,0,AV299-AW299)</f>
        <v/>
      </c>
      <c r="BC299">
        <f>H299+N299+T299+Z299+AF299+AL299+AR299+AX299</f>
        <v/>
      </c>
    </row>
    <row r="300">
      <c r="A300" t="n">
        <v>294</v>
      </c>
      <c r="B300" s="19">
        <f>MAX(0,$B$3-(E300+K300+Q300+W300+AC300+AI300+AO300+AU300))</f>
        <v/>
      </c>
      <c r="C300">
        <f>H299</f>
        <v/>
      </c>
      <c r="D300">
        <f>C300*Plan!D6/100/12</f>
        <v/>
      </c>
      <c r="E300">
        <f>MIN(Plan!E6,C300+D300)</f>
        <v/>
      </c>
      <c r="F300">
        <f>C300+D300-E300</f>
        <v/>
      </c>
      <c r="G300">
        <f>MIN(F300,MAX(0,$B300-((K$5&lt;E$5)*L300+(Q$5&lt;E$5)*R300+(W$5&lt;E$5)*X300+(AC$5&lt;E$5)*AD300+(AI$5&lt;E$5)*AJ300+(AO$5&lt;E$5)*AP300+(AU$5&lt;E$5)*AV300)))</f>
        <v/>
      </c>
      <c r="H300">
        <f>IF(F300-G300&lt;0.005,0,F300-G300)</f>
        <v/>
      </c>
      <c r="I300">
        <f>N299</f>
        <v/>
      </c>
      <c r="J300">
        <f>I300*Plan!D7/100/12</f>
        <v/>
      </c>
      <c r="K300">
        <f>MIN(Plan!E7,I300+J300)</f>
        <v/>
      </c>
      <c r="L300">
        <f>I300+J300-K300</f>
        <v/>
      </c>
      <c r="M300">
        <f>MIN(L300,MAX(0,$B300-((E$5&lt;K$5)*F300+(Q$5&lt;K$5)*R300+(W$5&lt;K$5)*X300+(AC$5&lt;K$5)*AD300+(AI$5&lt;K$5)*AJ300+(AO$5&lt;K$5)*AP300+(AU$5&lt;K$5)*AV300)))</f>
        <v/>
      </c>
      <c r="N300">
        <f>IF(L300-M300&lt;0.005,0,L300-M300)</f>
        <v/>
      </c>
      <c r="O300">
        <f>T299</f>
        <v/>
      </c>
      <c r="P300">
        <f>O300*Plan!D8/100/12</f>
        <v/>
      </c>
      <c r="Q300">
        <f>MIN(Plan!E8,O300+P300)</f>
        <v/>
      </c>
      <c r="R300">
        <f>O300+P300-Q300</f>
        <v/>
      </c>
      <c r="S300">
        <f>MIN(R300,MAX(0,$B300-((E$5&lt;Q$5)*F300+(K$5&lt;Q$5)*L300+(W$5&lt;Q$5)*X300+(AC$5&lt;Q$5)*AD300+(AI$5&lt;Q$5)*AJ300+(AO$5&lt;Q$5)*AP300+(AU$5&lt;Q$5)*AV300)))</f>
        <v/>
      </c>
      <c r="T300">
        <f>IF(R300-S300&lt;0.005,0,R300-S300)</f>
        <v/>
      </c>
      <c r="U300">
        <f>Z299</f>
        <v/>
      </c>
      <c r="V300">
        <f>U300*Plan!D9/100/12</f>
        <v/>
      </c>
      <c r="W300">
        <f>MIN(Plan!E9,U300+V300)</f>
        <v/>
      </c>
      <c r="X300">
        <f>U300+V300-W300</f>
        <v/>
      </c>
      <c r="Y300">
        <f>MIN(X300,MAX(0,$B300-((E$5&lt;W$5)*F300+(K$5&lt;W$5)*L300+(Q$5&lt;W$5)*R300+(AC$5&lt;W$5)*AD300+(AI$5&lt;W$5)*AJ300+(AO$5&lt;W$5)*AP300+(AU$5&lt;W$5)*AV300)))</f>
        <v/>
      </c>
      <c r="Z300">
        <f>IF(X300-Y300&lt;0.005,0,X300-Y300)</f>
        <v/>
      </c>
      <c r="AA300">
        <f>AF299</f>
        <v/>
      </c>
      <c r="AB300">
        <f>AA300*Plan!D10/100/12</f>
        <v/>
      </c>
      <c r="AC300">
        <f>MIN(Plan!E10,AA300+AB300)</f>
        <v/>
      </c>
      <c r="AD300">
        <f>AA300+AB300-AC300</f>
        <v/>
      </c>
      <c r="AE300">
        <f>MIN(AD300,MAX(0,$B300-((E$5&lt;AC$5)*F300+(K$5&lt;AC$5)*L300+(Q$5&lt;AC$5)*R300+(W$5&lt;AC$5)*X300+(AI$5&lt;AC$5)*AJ300+(AO$5&lt;AC$5)*AP300+(AU$5&lt;AC$5)*AV300)))</f>
        <v/>
      </c>
      <c r="AF300">
        <f>IF(AD300-AE300&lt;0.005,0,AD300-AE300)</f>
        <v/>
      </c>
      <c r="AG300">
        <f>AL299</f>
        <v/>
      </c>
      <c r="AH300">
        <f>AG300*Plan!D11/100/12</f>
        <v/>
      </c>
      <c r="AI300">
        <f>MIN(Plan!E11,AG300+AH300)</f>
        <v/>
      </c>
      <c r="AJ300">
        <f>AG300+AH300-AI300</f>
        <v/>
      </c>
      <c r="AK300">
        <f>MIN(AJ300,MAX(0,$B300-((E$5&lt;AI$5)*F300+(K$5&lt;AI$5)*L300+(Q$5&lt;AI$5)*R300+(W$5&lt;AI$5)*X300+(AC$5&lt;AI$5)*AD300+(AO$5&lt;AI$5)*AP300+(AU$5&lt;AI$5)*AV300)))</f>
        <v/>
      </c>
      <c r="AL300">
        <f>IF(AJ300-AK300&lt;0.005,0,AJ300-AK300)</f>
        <v/>
      </c>
      <c r="AM300">
        <f>AR299</f>
        <v/>
      </c>
      <c r="AN300">
        <f>AM300*Plan!D12/100/12</f>
        <v/>
      </c>
      <c r="AO300">
        <f>MIN(Plan!E12,AM300+AN300)</f>
        <v/>
      </c>
      <c r="AP300">
        <f>AM300+AN300-AO300</f>
        <v/>
      </c>
      <c r="AQ300">
        <f>MIN(AP300,MAX(0,$B300-((E$5&lt;AO$5)*F300+(K$5&lt;AO$5)*L300+(Q$5&lt;AO$5)*R300+(W$5&lt;AO$5)*X300+(AC$5&lt;AO$5)*AD300+(AI$5&lt;AO$5)*AJ300+(AU$5&lt;AO$5)*AV300)))</f>
        <v/>
      </c>
      <c r="AR300">
        <f>IF(AP300-AQ300&lt;0.005,0,AP300-AQ300)</f>
        <v/>
      </c>
      <c r="AS300">
        <f>AX299</f>
        <v/>
      </c>
      <c r="AT300">
        <f>AS300*Plan!D13/100/12</f>
        <v/>
      </c>
      <c r="AU300">
        <f>MIN(Plan!E13,AS300+AT300)</f>
        <v/>
      </c>
      <c r="AV300">
        <f>AS300+AT300-AU300</f>
        <v/>
      </c>
      <c r="AW300">
        <f>MIN(AV300,MAX(0,$B300-((E$5&lt;AU$5)*F300+(K$5&lt;AU$5)*L300+(Q$5&lt;AU$5)*R300+(W$5&lt;AU$5)*X300+(AC$5&lt;AU$5)*AD300+(AI$5&lt;AU$5)*AJ300+(AO$5&lt;AU$5)*AP300)))</f>
        <v/>
      </c>
      <c r="AX300">
        <f>IF(AV300-AW300&lt;0.005,0,AV300-AW300)</f>
        <v/>
      </c>
      <c r="BC300">
        <f>H300+N300+T300+Z300+AF300+AL300+AR300+AX300</f>
        <v/>
      </c>
    </row>
    <row r="301">
      <c r="A301" t="n">
        <v>295</v>
      </c>
      <c r="B301" s="19">
        <f>MAX(0,$B$3-(E301+K301+Q301+W301+AC301+AI301+AO301+AU301))</f>
        <v/>
      </c>
      <c r="C301">
        <f>H300</f>
        <v/>
      </c>
      <c r="D301">
        <f>C301*Plan!D6/100/12</f>
        <v/>
      </c>
      <c r="E301">
        <f>MIN(Plan!E6,C301+D301)</f>
        <v/>
      </c>
      <c r="F301">
        <f>C301+D301-E301</f>
        <v/>
      </c>
      <c r="G301">
        <f>MIN(F301,MAX(0,$B301-((K$5&lt;E$5)*L301+(Q$5&lt;E$5)*R301+(W$5&lt;E$5)*X301+(AC$5&lt;E$5)*AD301+(AI$5&lt;E$5)*AJ301+(AO$5&lt;E$5)*AP301+(AU$5&lt;E$5)*AV301)))</f>
        <v/>
      </c>
      <c r="H301">
        <f>IF(F301-G301&lt;0.005,0,F301-G301)</f>
        <v/>
      </c>
      <c r="I301">
        <f>N300</f>
        <v/>
      </c>
      <c r="J301">
        <f>I301*Plan!D7/100/12</f>
        <v/>
      </c>
      <c r="K301">
        <f>MIN(Plan!E7,I301+J301)</f>
        <v/>
      </c>
      <c r="L301">
        <f>I301+J301-K301</f>
        <v/>
      </c>
      <c r="M301">
        <f>MIN(L301,MAX(0,$B301-((E$5&lt;K$5)*F301+(Q$5&lt;K$5)*R301+(W$5&lt;K$5)*X301+(AC$5&lt;K$5)*AD301+(AI$5&lt;K$5)*AJ301+(AO$5&lt;K$5)*AP301+(AU$5&lt;K$5)*AV301)))</f>
        <v/>
      </c>
      <c r="N301">
        <f>IF(L301-M301&lt;0.005,0,L301-M301)</f>
        <v/>
      </c>
      <c r="O301">
        <f>T300</f>
        <v/>
      </c>
      <c r="P301">
        <f>O301*Plan!D8/100/12</f>
        <v/>
      </c>
      <c r="Q301">
        <f>MIN(Plan!E8,O301+P301)</f>
        <v/>
      </c>
      <c r="R301">
        <f>O301+P301-Q301</f>
        <v/>
      </c>
      <c r="S301">
        <f>MIN(R301,MAX(0,$B301-((E$5&lt;Q$5)*F301+(K$5&lt;Q$5)*L301+(W$5&lt;Q$5)*X301+(AC$5&lt;Q$5)*AD301+(AI$5&lt;Q$5)*AJ301+(AO$5&lt;Q$5)*AP301+(AU$5&lt;Q$5)*AV301)))</f>
        <v/>
      </c>
      <c r="T301">
        <f>IF(R301-S301&lt;0.005,0,R301-S301)</f>
        <v/>
      </c>
      <c r="U301">
        <f>Z300</f>
        <v/>
      </c>
      <c r="V301">
        <f>U301*Plan!D9/100/12</f>
        <v/>
      </c>
      <c r="W301">
        <f>MIN(Plan!E9,U301+V301)</f>
        <v/>
      </c>
      <c r="X301">
        <f>U301+V301-W301</f>
        <v/>
      </c>
      <c r="Y301">
        <f>MIN(X301,MAX(0,$B301-((E$5&lt;W$5)*F301+(K$5&lt;W$5)*L301+(Q$5&lt;W$5)*R301+(AC$5&lt;W$5)*AD301+(AI$5&lt;W$5)*AJ301+(AO$5&lt;W$5)*AP301+(AU$5&lt;W$5)*AV301)))</f>
        <v/>
      </c>
      <c r="Z301">
        <f>IF(X301-Y301&lt;0.005,0,X301-Y301)</f>
        <v/>
      </c>
      <c r="AA301">
        <f>AF300</f>
        <v/>
      </c>
      <c r="AB301">
        <f>AA301*Plan!D10/100/12</f>
        <v/>
      </c>
      <c r="AC301">
        <f>MIN(Plan!E10,AA301+AB301)</f>
        <v/>
      </c>
      <c r="AD301">
        <f>AA301+AB301-AC301</f>
        <v/>
      </c>
      <c r="AE301">
        <f>MIN(AD301,MAX(0,$B301-((E$5&lt;AC$5)*F301+(K$5&lt;AC$5)*L301+(Q$5&lt;AC$5)*R301+(W$5&lt;AC$5)*X301+(AI$5&lt;AC$5)*AJ301+(AO$5&lt;AC$5)*AP301+(AU$5&lt;AC$5)*AV301)))</f>
        <v/>
      </c>
      <c r="AF301">
        <f>IF(AD301-AE301&lt;0.005,0,AD301-AE301)</f>
        <v/>
      </c>
      <c r="AG301">
        <f>AL300</f>
        <v/>
      </c>
      <c r="AH301">
        <f>AG301*Plan!D11/100/12</f>
        <v/>
      </c>
      <c r="AI301">
        <f>MIN(Plan!E11,AG301+AH301)</f>
        <v/>
      </c>
      <c r="AJ301">
        <f>AG301+AH301-AI301</f>
        <v/>
      </c>
      <c r="AK301">
        <f>MIN(AJ301,MAX(0,$B301-((E$5&lt;AI$5)*F301+(K$5&lt;AI$5)*L301+(Q$5&lt;AI$5)*R301+(W$5&lt;AI$5)*X301+(AC$5&lt;AI$5)*AD301+(AO$5&lt;AI$5)*AP301+(AU$5&lt;AI$5)*AV301)))</f>
        <v/>
      </c>
      <c r="AL301">
        <f>IF(AJ301-AK301&lt;0.005,0,AJ301-AK301)</f>
        <v/>
      </c>
      <c r="AM301">
        <f>AR300</f>
        <v/>
      </c>
      <c r="AN301">
        <f>AM301*Plan!D12/100/12</f>
        <v/>
      </c>
      <c r="AO301">
        <f>MIN(Plan!E12,AM301+AN301)</f>
        <v/>
      </c>
      <c r="AP301">
        <f>AM301+AN301-AO301</f>
        <v/>
      </c>
      <c r="AQ301">
        <f>MIN(AP301,MAX(0,$B301-((E$5&lt;AO$5)*F301+(K$5&lt;AO$5)*L301+(Q$5&lt;AO$5)*R301+(W$5&lt;AO$5)*X301+(AC$5&lt;AO$5)*AD301+(AI$5&lt;AO$5)*AJ301+(AU$5&lt;AO$5)*AV301)))</f>
        <v/>
      </c>
      <c r="AR301">
        <f>IF(AP301-AQ301&lt;0.005,0,AP301-AQ301)</f>
        <v/>
      </c>
      <c r="AS301">
        <f>AX300</f>
        <v/>
      </c>
      <c r="AT301">
        <f>AS301*Plan!D13/100/12</f>
        <v/>
      </c>
      <c r="AU301">
        <f>MIN(Plan!E13,AS301+AT301)</f>
        <v/>
      </c>
      <c r="AV301">
        <f>AS301+AT301-AU301</f>
        <v/>
      </c>
      <c r="AW301">
        <f>MIN(AV301,MAX(0,$B301-((E$5&lt;AU$5)*F301+(K$5&lt;AU$5)*L301+(Q$5&lt;AU$5)*R301+(W$5&lt;AU$5)*X301+(AC$5&lt;AU$5)*AD301+(AI$5&lt;AU$5)*AJ301+(AO$5&lt;AU$5)*AP301)))</f>
        <v/>
      </c>
      <c r="AX301">
        <f>IF(AV301-AW301&lt;0.005,0,AV301-AW301)</f>
        <v/>
      </c>
      <c r="BC301">
        <f>H301+N301+T301+Z301+AF301+AL301+AR301+AX301</f>
        <v/>
      </c>
    </row>
    <row r="302">
      <c r="A302" t="n">
        <v>296</v>
      </c>
      <c r="B302" s="19">
        <f>MAX(0,$B$3-(E302+K302+Q302+W302+AC302+AI302+AO302+AU302))</f>
        <v/>
      </c>
      <c r="C302">
        <f>H301</f>
        <v/>
      </c>
      <c r="D302">
        <f>C302*Plan!D6/100/12</f>
        <v/>
      </c>
      <c r="E302">
        <f>MIN(Plan!E6,C302+D302)</f>
        <v/>
      </c>
      <c r="F302">
        <f>C302+D302-E302</f>
        <v/>
      </c>
      <c r="G302">
        <f>MIN(F302,MAX(0,$B302-((K$5&lt;E$5)*L302+(Q$5&lt;E$5)*R302+(W$5&lt;E$5)*X302+(AC$5&lt;E$5)*AD302+(AI$5&lt;E$5)*AJ302+(AO$5&lt;E$5)*AP302+(AU$5&lt;E$5)*AV302)))</f>
        <v/>
      </c>
      <c r="H302">
        <f>IF(F302-G302&lt;0.005,0,F302-G302)</f>
        <v/>
      </c>
      <c r="I302">
        <f>N301</f>
        <v/>
      </c>
      <c r="J302">
        <f>I302*Plan!D7/100/12</f>
        <v/>
      </c>
      <c r="K302">
        <f>MIN(Plan!E7,I302+J302)</f>
        <v/>
      </c>
      <c r="L302">
        <f>I302+J302-K302</f>
        <v/>
      </c>
      <c r="M302">
        <f>MIN(L302,MAX(0,$B302-((E$5&lt;K$5)*F302+(Q$5&lt;K$5)*R302+(W$5&lt;K$5)*X302+(AC$5&lt;K$5)*AD302+(AI$5&lt;K$5)*AJ302+(AO$5&lt;K$5)*AP302+(AU$5&lt;K$5)*AV302)))</f>
        <v/>
      </c>
      <c r="N302">
        <f>IF(L302-M302&lt;0.005,0,L302-M302)</f>
        <v/>
      </c>
      <c r="O302">
        <f>T301</f>
        <v/>
      </c>
      <c r="P302">
        <f>O302*Plan!D8/100/12</f>
        <v/>
      </c>
      <c r="Q302">
        <f>MIN(Plan!E8,O302+P302)</f>
        <v/>
      </c>
      <c r="R302">
        <f>O302+P302-Q302</f>
        <v/>
      </c>
      <c r="S302">
        <f>MIN(R302,MAX(0,$B302-((E$5&lt;Q$5)*F302+(K$5&lt;Q$5)*L302+(W$5&lt;Q$5)*X302+(AC$5&lt;Q$5)*AD302+(AI$5&lt;Q$5)*AJ302+(AO$5&lt;Q$5)*AP302+(AU$5&lt;Q$5)*AV302)))</f>
        <v/>
      </c>
      <c r="T302">
        <f>IF(R302-S302&lt;0.005,0,R302-S302)</f>
        <v/>
      </c>
      <c r="U302">
        <f>Z301</f>
        <v/>
      </c>
      <c r="V302">
        <f>U302*Plan!D9/100/12</f>
        <v/>
      </c>
      <c r="W302">
        <f>MIN(Plan!E9,U302+V302)</f>
        <v/>
      </c>
      <c r="X302">
        <f>U302+V302-W302</f>
        <v/>
      </c>
      <c r="Y302">
        <f>MIN(X302,MAX(0,$B302-((E$5&lt;W$5)*F302+(K$5&lt;W$5)*L302+(Q$5&lt;W$5)*R302+(AC$5&lt;W$5)*AD302+(AI$5&lt;W$5)*AJ302+(AO$5&lt;W$5)*AP302+(AU$5&lt;W$5)*AV302)))</f>
        <v/>
      </c>
      <c r="Z302">
        <f>IF(X302-Y302&lt;0.005,0,X302-Y302)</f>
        <v/>
      </c>
      <c r="AA302">
        <f>AF301</f>
        <v/>
      </c>
      <c r="AB302">
        <f>AA302*Plan!D10/100/12</f>
        <v/>
      </c>
      <c r="AC302">
        <f>MIN(Plan!E10,AA302+AB302)</f>
        <v/>
      </c>
      <c r="AD302">
        <f>AA302+AB302-AC302</f>
        <v/>
      </c>
      <c r="AE302">
        <f>MIN(AD302,MAX(0,$B302-((E$5&lt;AC$5)*F302+(K$5&lt;AC$5)*L302+(Q$5&lt;AC$5)*R302+(W$5&lt;AC$5)*X302+(AI$5&lt;AC$5)*AJ302+(AO$5&lt;AC$5)*AP302+(AU$5&lt;AC$5)*AV302)))</f>
        <v/>
      </c>
      <c r="AF302">
        <f>IF(AD302-AE302&lt;0.005,0,AD302-AE302)</f>
        <v/>
      </c>
      <c r="AG302">
        <f>AL301</f>
        <v/>
      </c>
      <c r="AH302">
        <f>AG302*Plan!D11/100/12</f>
        <v/>
      </c>
      <c r="AI302">
        <f>MIN(Plan!E11,AG302+AH302)</f>
        <v/>
      </c>
      <c r="AJ302">
        <f>AG302+AH302-AI302</f>
        <v/>
      </c>
      <c r="AK302">
        <f>MIN(AJ302,MAX(0,$B302-((E$5&lt;AI$5)*F302+(K$5&lt;AI$5)*L302+(Q$5&lt;AI$5)*R302+(W$5&lt;AI$5)*X302+(AC$5&lt;AI$5)*AD302+(AO$5&lt;AI$5)*AP302+(AU$5&lt;AI$5)*AV302)))</f>
        <v/>
      </c>
      <c r="AL302">
        <f>IF(AJ302-AK302&lt;0.005,0,AJ302-AK302)</f>
        <v/>
      </c>
      <c r="AM302">
        <f>AR301</f>
        <v/>
      </c>
      <c r="AN302">
        <f>AM302*Plan!D12/100/12</f>
        <v/>
      </c>
      <c r="AO302">
        <f>MIN(Plan!E12,AM302+AN302)</f>
        <v/>
      </c>
      <c r="AP302">
        <f>AM302+AN302-AO302</f>
        <v/>
      </c>
      <c r="AQ302">
        <f>MIN(AP302,MAX(0,$B302-((E$5&lt;AO$5)*F302+(K$5&lt;AO$5)*L302+(Q$5&lt;AO$5)*R302+(W$5&lt;AO$5)*X302+(AC$5&lt;AO$5)*AD302+(AI$5&lt;AO$5)*AJ302+(AU$5&lt;AO$5)*AV302)))</f>
        <v/>
      </c>
      <c r="AR302">
        <f>IF(AP302-AQ302&lt;0.005,0,AP302-AQ302)</f>
        <v/>
      </c>
      <c r="AS302">
        <f>AX301</f>
        <v/>
      </c>
      <c r="AT302">
        <f>AS302*Plan!D13/100/12</f>
        <v/>
      </c>
      <c r="AU302">
        <f>MIN(Plan!E13,AS302+AT302)</f>
        <v/>
      </c>
      <c r="AV302">
        <f>AS302+AT302-AU302</f>
        <v/>
      </c>
      <c r="AW302">
        <f>MIN(AV302,MAX(0,$B302-((E$5&lt;AU$5)*F302+(K$5&lt;AU$5)*L302+(Q$5&lt;AU$5)*R302+(W$5&lt;AU$5)*X302+(AC$5&lt;AU$5)*AD302+(AI$5&lt;AU$5)*AJ302+(AO$5&lt;AU$5)*AP302)))</f>
        <v/>
      </c>
      <c r="AX302">
        <f>IF(AV302-AW302&lt;0.005,0,AV302-AW302)</f>
        <v/>
      </c>
      <c r="BC302">
        <f>H302+N302+T302+Z302+AF302+AL302+AR302+AX302</f>
        <v/>
      </c>
    </row>
    <row r="303">
      <c r="A303" t="n">
        <v>297</v>
      </c>
      <c r="B303" s="19">
        <f>MAX(0,$B$3-(E303+K303+Q303+W303+AC303+AI303+AO303+AU303))</f>
        <v/>
      </c>
      <c r="C303">
        <f>H302</f>
        <v/>
      </c>
      <c r="D303">
        <f>C303*Plan!D6/100/12</f>
        <v/>
      </c>
      <c r="E303">
        <f>MIN(Plan!E6,C303+D303)</f>
        <v/>
      </c>
      <c r="F303">
        <f>C303+D303-E303</f>
        <v/>
      </c>
      <c r="G303">
        <f>MIN(F303,MAX(0,$B303-((K$5&lt;E$5)*L303+(Q$5&lt;E$5)*R303+(W$5&lt;E$5)*X303+(AC$5&lt;E$5)*AD303+(AI$5&lt;E$5)*AJ303+(AO$5&lt;E$5)*AP303+(AU$5&lt;E$5)*AV303)))</f>
        <v/>
      </c>
      <c r="H303">
        <f>IF(F303-G303&lt;0.005,0,F303-G303)</f>
        <v/>
      </c>
      <c r="I303">
        <f>N302</f>
        <v/>
      </c>
      <c r="J303">
        <f>I303*Plan!D7/100/12</f>
        <v/>
      </c>
      <c r="K303">
        <f>MIN(Plan!E7,I303+J303)</f>
        <v/>
      </c>
      <c r="L303">
        <f>I303+J303-K303</f>
        <v/>
      </c>
      <c r="M303">
        <f>MIN(L303,MAX(0,$B303-((E$5&lt;K$5)*F303+(Q$5&lt;K$5)*R303+(W$5&lt;K$5)*X303+(AC$5&lt;K$5)*AD303+(AI$5&lt;K$5)*AJ303+(AO$5&lt;K$5)*AP303+(AU$5&lt;K$5)*AV303)))</f>
        <v/>
      </c>
      <c r="N303">
        <f>IF(L303-M303&lt;0.005,0,L303-M303)</f>
        <v/>
      </c>
      <c r="O303">
        <f>T302</f>
        <v/>
      </c>
      <c r="P303">
        <f>O303*Plan!D8/100/12</f>
        <v/>
      </c>
      <c r="Q303">
        <f>MIN(Plan!E8,O303+P303)</f>
        <v/>
      </c>
      <c r="R303">
        <f>O303+P303-Q303</f>
        <v/>
      </c>
      <c r="S303">
        <f>MIN(R303,MAX(0,$B303-((E$5&lt;Q$5)*F303+(K$5&lt;Q$5)*L303+(W$5&lt;Q$5)*X303+(AC$5&lt;Q$5)*AD303+(AI$5&lt;Q$5)*AJ303+(AO$5&lt;Q$5)*AP303+(AU$5&lt;Q$5)*AV303)))</f>
        <v/>
      </c>
      <c r="T303">
        <f>IF(R303-S303&lt;0.005,0,R303-S303)</f>
        <v/>
      </c>
      <c r="U303">
        <f>Z302</f>
        <v/>
      </c>
      <c r="V303">
        <f>U303*Plan!D9/100/12</f>
        <v/>
      </c>
      <c r="W303">
        <f>MIN(Plan!E9,U303+V303)</f>
        <v/>
      </c>
      <c r="X303">
        <f>U303+V303-W303</f>
        <v/>
      </c>
      <c r="Y303">
        <f>MIN(X303,MAX(0,$B303-((E$5&lt;W$5)*F303+(K$5&lt;W$5)*L303+(Q$5&lt;W$5)*R303+(AC$5&lt;W$5)*AD303+(AI$5&lt;W$5)*AJ303+(AO$5&lt;W$5)*AP303+(AU$5&lt;W$5)*AV303)))</f>
        <v/>
      </c>
      <c r="Z303">
        <f>IF(X303-Y303&lt;0.005,0,X303-Y303)</f>
        <v/>
      </c>
      <c r="AA303">
        <f>AF302</f>
        <v/>
      </c>
      <c r="AB303">
        <f>AA303*Plan!D10/100/12</f>
        <v/>
      </c>
      <c r="AC303">
        <f>MIN(Plan!E10,AA303+AB303)</f>
        <v/>
      </c>
      <c r="AD303">
        <f>AA303+AB303-AC303</f>
        <v/>
      </c>
      <c r="AE303">
        <f>MIN(AD303,MAX(0,$B303-((E$5&lt;AC$5)*F303+(K$5&lt;AC$5)*L303+(Q$5&lt;AC$5)*R303+(W$5&lt;AC$5)*X303+(AI$5&lt;AC$5)*AJ303+(AO$5&lt;AC$5)*AP303+(AU$5&lt;AC$5)*AV303)))</f>
        <v/>
      </c>
      <c r="AF303">
        <f>IF(AD303-AE303&lt;0.005,0,AD303-AE303)</f>
        <v/>
      </c>
      <c r="AG303">
        <f>AL302</f>
        <v/>
      </c>
      <c r="AH303">
        <f>AG303*Plan!D11/100/12</f>
        <v/>
      </c>
      <c r="AI303">
        <f>MIN(Plan!E11,AG303+AH303)</f>
        <v/>
      </c>
      <c r="AJ303">
        <f>AG303+AH303-AI303</f>
        <v/>
      </c>
      <c r="AK303">
        <f>MIN(AJ303,MAX(0,$B303-((E$5&lt;AI$5)*F303+(K$5&lt;AI$5)*L303+(Q$5&lt;AI$5)*R303+(W$5&lt;AI$5)*X303+(AC$5&lt;AI$5)*AD303+(AO$5&lt;AI$5)*AP303+(AU$5&lt;AI$5)*AV303)))</f>
        <v/>
      </c>
      <c r="AL303">
        <f>IF(AJ303-AK303&lt;0.005,0,AJ303-AK303)</f>
        <v/>
      </c>
      <c r="AM303">
        <f>AR302</f>
        <v/>
      </c>
      <c r="AN303">
        <f>AM303*Plan!D12/100/12</f>
        <v/>
      </c>
      <c r="AO303">
        <f>MIN(Plan!E12,AM303+AN303)</f>
        <v/>
      </c>
      <c r="AP303">
        <f>AM303+AN303-AO303</f>
        <v/>
      </c>
      <c r="AQ303">
        <f>MIN(AP303,MAX(0,$B303-((E$5&lt;AO$5)*F303+(K$5&lt;AO$5)*L303+(Q$5&lt;AO$5)*R303+(W$5&lt;AO$5)*X303+(AC$5&lt;AO$5)*AD303+(AI$5&lt;AO$5)*AJ303+(AU$5&lt;AO$5)*AV303)))</f>
        <v/>
      </c>
      <c r="AR303">
        <f>IF(AP303-AQ303&lt;0.005,0,AP303-AQ303)</f>
        <v/>
      </c>
      <c r="AS303">
        <f>AX302</f>
        <v/>
      </c>
      <c r="AT303">
        <f>AS303*Plan!D13/100/12</f>
        <v/>
      </c>
      <c r="AU303">
        <f>MIN(Plan!E13,AS303+AT303)</f>
        <v/>
      </c>
      <c r="AV303">
        <f>AS303+AT303-AU303</f>
        <v/>
      </c>
      <c r="AW303">
        <f>MIN(AV303,MAX(0,$B303-((E$5&lt;AU$5)*F303+(K$5&lt;AU$5)*L303+(Q$5&lt;AU$5)*R303+(W$5&lt;AU$5)*X303+(AC$5&lt;AU$5)*AD303+(AI$5&lt;AU$5)*AJ303+(AO$5&lt;AU$5)*AP303)))</f>
        <v/>
      </c>
      <c r="AX303">
        <f>IF(AV303-AW303&lt;0.005,0,AV303-AW303)</f>
        <v/>
      </c>
      <c r="BC303">
        <f>H303+N303+T303+Z303+AF303+AL303+AR303+AX303</f>
        <v/>
      </c>
    </row>
    <row r="304">
      <c r="A304" t="n">
        <v>298</v>
      </c>
      <c r="B304" s="19">
        <f>MAX(0,$B$3-(E304+K304+Q304+W304+AC304+AI304+AO304+AU304))</f>
        <v/>
      </c>
      <c r="C304">
        <f>H303</f>
        <v/>
      </c>
      <c r="D304">
        <f>C304*Plan!D6/100/12</f>
        <v/>
      </c>
      <c r="E304">
        <f>MIN(Plan!E6,C304+D304)</f>
        <v/>
      </c>
      <c r="F304">
        <f>C304+D304-E304</f>
        <v/>
      </c>
      <c r="G304">
        <f>MIN(F304,MAX(0,$B304-((K$5&lt;E$5)*L304+(Q$5&lt;E$5)*R304+(W$5&lt;E$5)*X304+(AC$5&lt;E$5)*AD304+(AI$5&lt;E$5)*AJ304+(AO$5&lt;E$5)*AP304+(AU$5&lt;E$5)*AV304)))</f>
        <v/>
      </c>
      <c r="H304">
        <f>IF(F304-G304&lt;0.005,0,F304-G304)</f>
        <v/>
      </c>
      <c r="I304">
        <f>N303</f>
        <v/>
      </c>
      <c r="J304">
        <f>I304*Plan!D7/100/12</f>
        <v/>
      </c>
      <c r="K304">
        <f>MIN(Plan!E7,I304+J304)</f>
        <v/>
      </c>
      <c r="L304">
        <f>I304+J304-K304</f>
        <v/>
      </c>
      <c r="M304">
        <f>MIN(L304,MAX(0,$B304-((E$5&lt;K$5)*F304+(Q$5&lt;K$5)*R304+(W$5&lt;K$5)*X304+(AC$5&lt;K$5)*AD304+(AI$5&lt;K$5)*AJ304+(AO$5&lt;K$5)*AP304+(AU$5&lt;K$5)*AV304)))</f>
        <v/>
      </c>
      <c r="N304">
        <f>IF(L304-M304&lt;0.005,0,L304-M304)</f>
        <v/>
      </c>
      <c r="O304">
        <f>T303</f>
        <v/>
      </c>
      <c r="P304">
        <f>O304*Plan!D8/100/12</f>
        <v/>
      </c>
      <c r="Q304">
        <f>MIN(Plan!E8,O304+P304)</f>
        <v/>
      </c>
      <c r="R304">
        <f>O304+P304-Q304</f>
        <v/>
      </c>
      <c r="S304">
        <f>MIN(R304,MAX(0,$B304-((E$5&lt;Q$5)*F304+(K$5&lt;Q$5)*L304+(W$5&lt;Q$5)*X304+(AC$5&lt;Q$5)*AD304+(AI$5&lt;Q$5)*AJ304+(AO$5&lt;Q$5)*AP304+(AU$5&lt;Q$5)*AV304)))</f>
        <v/>
      </c>
      <c r="T304">
        <f>IF(R304-S304&lt;0.005,0,R304-S304)</f>
        <v/>
      </c>
      <c r="U304">
        <f>Z303</f>
        <v/>
      </c>
      <c r="V304">
        <f>U304*Plan!D9/100/12</f>
        <v/>
      </c>
      <c r="W304">
        <f>MIN(Plan!E9,U304+V304)</f>
        <v/>
      </c>
      <c r="X304">
        <f>U304+V304-W304</f>
        <v/>
      </c>
      <c r="Y304">
        <f>MIN(X304,MAX(0,$B304-((E$5&lt;W$5)*F304+(K$5&lt;W$5)*L304+(Q$5&lt;W$5)*R304+(AC$5&lt;W$5)*AD304+(AI$5&lt;W$5)*AJ304+(AO$5&lt;W$5)*AP304+(AU$5&lt;W$5)*AV304)))</f>
        <v/>
      </c>
      <c r="Z304">
        <f>IF(X304-Y304&lt;0.005,0,X304-Y304)</f>
        <v/>
      </c>
      <c r="AA304">
        <f>AF303</f>
        <v/>
      </c>
      <c r="AB304">
        <f>AA304*Plan!D10/100/12</f>
        <v/>
      </c>
      <c r="AC304">
        <f>MIN(Plan!E10,AA304+AB304)</f>
        <v/>
      </c>
      <c r="AD304">
        <f>AA304+AB304-AC304</f>
        <v/>
      </c>
      <c r="AE304">
        <f>MIN(AD304,MAX(0,$B304-((E$5&lt;AC$5)*F304+(K$5&lt;AC$5)*L304+(Q$5&lt;AC$5)*R304+(W$5&lt;AC$5)*X304+(AI$5&lt;AC$5)*AJ304+(AO$5&lt;AC$5)*AP304+(AU$5&lt;AC$5)*AV304)))</f>
        <v/>
      </c>
      <c r="AF304">
        <f>IF(AD304-AE304&lt;0.005,0,AD304-AE304)</f>
        <v/>
      </c>
      <c r="AG304">
        <f>AL303</f>
        <v/>
      </c>
      <c r="AH304">
        <f>AG304*Plan!D11/100/12</f>
        <v/>
      </c>
      <c r="AI304">
        <f>MIN(Plan!E11,AG304+AH304)</f>
        <v/>
      </c>
      <c r="AJ304">
        <f>AG304+AH304-AI304</f>
        <v/>
      </c>
      <c r="AK304">
        <f>MIN(AJ304,MAX(0,$B304-((E$5&lt;AI$5)*F304+(K$5&lt;AI$5)*L304+(Q$5&lt;AI$5)*R304+(W$5&lt;AI$5)*X304+(AC$5&lt;AI$5)*AD304+(AO$5&lt;AI$5)*AP304+(AU$5&lt;AI$5)*AV304)))</f>
        <v/>
      </c>
      <c r="AL304">
        <f>IF(AJ304-AK304&lt;0.005,0,AJ304-AK304)</f>
        <v/>
      </c>
      <c r="AM304">
        <f>AR303</f>
        <v/>
      </c>
      <c r="AN304">
        <f>AM304*Plan!D12/100/12</f>
        <v/>
      </c>
      <c r="AO304">
        <f>MIN(Plan!E12,AM304+AN304)</f>
        <v/>
      </c>
      <c r="AP304">
        <f>AM304+AN304-AO304</f>
        <v/>
      </c>
      <c r="AQ304">
        <f>MIN(AP304,MAX(0,$B304-((E$5&lt;AO$5)*F304+(K$5&lt;AO$5)*L304+(Q$5&lt;AO$5)*R304+(W$5&lt;AO$5)*X304+(AC$5&lt;AO$5)*AD304+(AI$5&lt;AO$5)*AJ304+(AU$5&lt;AO$5)*AV304)))</f>
        <v/>
      </c>
      <c r="AR304">
        <f>IF(AP304-AQ304&lt;0.005,0,AP304-AQ304)</f>
        <v/>
      </c>
      <c r="AS304">
        <f>AX303</f>
        <v/>
      </c>
      <c r="AT304">
        <f>AS304*Plan!D13/100/12</f>
        <v/>
      </c>
      <c r="AU304">
        <f>MIN(Plan!E13,AS304+AT304)</f>
        <v/>
      </c>
      <c r="AV304">
        <f>AS304+AT304-AU304</f>
        <v/>
      </c>
      <c r="AW304">
        <f>MIN(AV304,MAX(0,$B304-((E$5&lt;AU$5)*F304+(K$5&lt;AU$5)*L304+(Q$5&lt;AU$5)*R304+(W$5&lt;AU$5)*X304+(AC$5&lt;AU$5)*AD304+(AI$5&lt;AU$5)*AJ304+(AO$5&lt;AU$5)*AP304)))</f>
        <v/>
      </c>
      <c r="AX304">
        <f>IF(AV304-AW304&lt;0.005,0,AV304-AW304)</f>
        <v/>
      </c>
      <c r="BC304">
        <f>H304+N304+T304+Z304+AF304+AL304+AR304+AX304</f>
        <v/>
      </c>
    </row>
    <row r="305">
      <c r="A305" t="n">
        <v>299</v>
      </c>
      <c r="B305" s="19">
        <f>MAX(0,$B$3-(E305+K305+Q305+W305+AC305+AI305+AO305+AU305))</f>
        <v/>
      </c>
      <c r="C305">
        <f>H304</f>
        <v/>
      </c>
      <c r="D305">
        <f>C305*Plan!D6/100/12</f>
        <v/>
      </c>
      <c r="E305">
        <f>MIN(Plan!E6,C305+D305)</f>
        <v/>
      </c>
      <c r="F305">
        <f>C305+D305-E305</f>
        <v/>
      </c>
      <c r="G305">
        <f>MIN(F305,MAX(0,$B305-((K$5&lt;E$5)*L305+(Q$5&lt;E$5)*R305+(W$5&lt;E$5)*X305+(AC$5&lt;E$5)*AD305+(AI$5&lt;E$5)*AJ305+(AO$5&lt;E$5)*AP305+(AU$5&lt;E$5)*AV305)))</f>
        <v/>
      </c>
      <c r="H305">
        <f>IF(F305-G305&lt;0.005,0,F305-G305)</f>
        <v/>
      </c>
      <c r="I305">
        <f>N304</f>
        <v/>
      </c>
      <c r="J305">
        <f>I305*Plan!D7/100/12</f>
        <v/>
      </c>
      <c r="K305">
        <f>MIN(Plan!E7,I305+J305)</f>
        <v/>
      </c>
      <c r="L305">
        <f>I305+J305-K305</f>
        <v/>
      </c>
      <c r="M305">
        <f>MIN(L305,MAX(0,$B305-((E$5&lt;K$5)*F305+(Q$5&lt;K$5)*R305+(W$5&lt;K$5)*X305+(AC$5&lt;K$5)*AD305+(AI$5&lt;K$5)*AJ305+(AO$5&lt;K$5)*AP305+(AU$5&lt;K$5)*AV305)))</f>
        <v/>
      </c>
      <c r="N305">
        <f>IF(L305-M305&lt;0.005,0,L305-M305)</f>
        <v/>
      </c>
      <c r="O305">
        <f>T304</f>
        <v/>
      </c>
      <c r="P305">
        <f>O305*Plan!D8/100/12</f>
        <v/>
      </c>
      <c r="Q305">
        <f>MIN(Plan!E8,O305+P305)</f>
        <v/>
      </c>
      <c r="R305">
        <f>O305+P305-Q305</f>
        <v/>
      </c>
      <c r="S305">
        <f>MIN(R305,MAX(0,$B305-((E$5&lt;Q$5)*F305+(K$5&lt;Q$5)*L305+(W$5&lt;Q$5)*X305+(AC$5&lt;Q$5)*AD305+(AI$5&lt;Q$5)*AJ305+(AO$5&lt;Q$5)*AP305+(AU$5&lt;Q$5)*AV305)))</f>
        <v/>
      </c>
      <c r="T305">
        <f>IF(R305-S305&lt;0.005,0,R305-S305)</f>
        <v/>
      </c>
      <c r="U305">
        <f>Z304</f>
        <v/>
      </c>
      <c r="V305">
        <f>U305*Plan!D9/100/12</f>
        <v/>
      </c>
      <c r="W305">
        <f>MIN(Plan!E9,U305+V305)</f>
        <v/>
      </c>
      <c r="X305">
        <f>U305+V305-W305</f>
        <v/>
      </c>
      <c r="Y305">
        <f>MIN(X305,MAX(0,$B305-((E$5&lt;W$5)*F305+(K$5&lt;W$5)*L305+(Q$5&lt;W$5)*R305+(AC$5&lt;W$5)*AD305+(AI$5&lt;W$5)*AJ305+(AO$5&lt;W$5)*AP305+(AU$5&lt;W$5)*AV305)))</f>
        <v/>
      </c>
      <c r="Z305">
        <f>IF(X305-Y305&lt;0.005,0,X305-Y305)</f>
        <v/>
      </c>
      <c r="AA305">
        <f>AF304</f>
        <v/>
      </c>
      <c r="AB305">
        <f>AA305*Plan!D10/100/12</f>
        <v/>
      </c>
      <c r="AC305">
        <f>MIN(Plan!E10,AA305+AB305)</f>
        <v/>
      </c>
      <c r="AD305">
        <f>AA305+AB305-AC305</f>
        <v/>
      </c>
      <c r="AE305">
        <f>MIN(AD305,MAX(0,$B305-((E$5&lt;AC$5)*F305+(K$5&lt;AC$5)*L305+(Q$5&lt;AC$5)*R305+(W$5&lt;AC$5)*X305+(AI$5&lt;AC$5)*AJ305+(AO$5&lt;AC$5)*AP305+(AU$5&lt;AC$5)*AV305)))</f>
        <v/>
      </c>
      <c r="AF305">
        <f>IF(AD305-AE305&lt;0.005,0,AD305-AE305)</f>
        <v/>
      </c>
      <c r="AG305">
        <f>AL304</f>
        <v/>
      </c>
      <c r="AH305">
        <f>AG305*Plan!D11/100/12</f>
        <v/>
      </c>
      <c r="AI305">
        <f>MIN(Plan!E11,AG305+AH305)</f>
        <v/>
      </c>
      <c r="AJ305">
        <f>AG305+AH305-AI305</f>
        <v/>
      </c>
      <c r="AK305">
        <f>MIN(AJ305,MAX(0,$B305-((E$5&lt;AI$5)*F305+(K$5&lt;AI$5)*L305+(Q$5&lt;AI$5)*R305+(W$5&lt;AI$5)*X305+(AC$5&lt;AI$5)*AD305+(AO$5&lt;AI$5)*AP305+(AU$5&lt;AI$5)*AV305)))</f>
        <v/>
      </c>
      <c r="AL305">
        <f>IF(AJ305-AK305&lt;0.005,0,AJ305-AK305)</f>
        <v/>
      </c>
      <c r="AM305">
        <f>AR304</f>
        <v/>
      </c>
      <c r="AN305">
        <f>AM305*Plan!D12/100/12</f>
        <v/>
      </c>
      <c r="AO305">
        <f>MIN(Plan!E12,AM305+AN305)</f>
        <v/>
      </c>
      <c r="AP305">
        <f>AM305+AN305-AO305</f>
        <v/>
      </c>
      <c r="AQ305">
        <f>MIN(AP305,MAX(0,$B305-((E$5&lt;AO$5)*F305+(K$5&lt;AO$5)*L305+(Q$5&lt;AO$5)*R305+(W$5&lt;AO$5)*X305+(AC$5&lt;AO$5)*AD305+(AI$5&lt;AO$5)*AJ305+(AU$5&lt;AO$5)*AV305)))</f>
        <v/>
      </c>
      <c r="AR305">
        <f>IF(AP305-AQ305&lt;0.005,0,AP305-AQ305)</f>
        <v/>
      </c>
      <c r="AS305">
        <f>AX304</f>
        <v/>
      </c>
      <c r="AT305">
        <f>AS305*Plan!D13/100/12</f>
        <v/>
      </c>
      <c r="AU305">
        <f>MIN(Plan!E13,AS305+AT305)</f>
        <v/>
      </c>
      <c r="AV305">
        <f>AS305+AT305-AU305</f>
        <v/>
      </c>
      <c r="AW305">
        <f>MIN(AV305,MAX(0,$B305-((E$5&lt;AU$5)*F305+(K$5&lt;AU$5)*L305+(Q$5&lt;AU$5)*R305+(W$5&lt;AU$5)*X305+(AC$5&lt;AU$5)*AD305+(AI$5&lt;AU$5)*AJ305+(AO$5&lt;AU$5)*AP305)))</f>
        <v/>
      </c>
      <c r="AX305">
        <f>IF(AV305-AW305&lt;0.005,0,AV305-AW305)</f>
        <v/>
      </c>
      <c r="BC305">
        <f>H305+N305+T305+Z305+AF305+AL305+AR305+AX305</f>
        <v/>
      </c>
    </row>
    <row r="306">
      <c r="A306" t="n">
        <v>300</v>
      </c>
      <c r="B306" s="19">
        <f>MAX(0,$B$3-(E306+K306+Q306+W306+AC306+AI306+AO306+AU306))</f>
        <v/>
      </c>
      <c r="C306">
        <f>H305</f>
        <v/>
      </c>
      <c r="D306">
        <f>C306*Plan!D6/100/12</f>
        <v/>
      </c>
      <c r="E306">
        <f>MIN(Plan!E6,C306+D306)</f>
        <v/>
      </c>
      <c r="F306">
        <f>C306+D306-E306</f>
        <v/>
      </c>
      <c r="G306">
        <f>MIN(F306,MAX(0,$B306-((K$5&lt;E$5)*L306+(Q$5&lt;E$5)*R306+(W$5&lt;E$5)*X306+(AC$5&lt;E$5)*AD306+(AI$5&lt;E$5)*AJ306+(AO$5&lt;E$5)*AP306+(AU$5&lt;E$5)*AV306)))</f>
        <v/>
      </c>
      <c r="H306">
        <f>IF(F306-G306&lt;0.005,0,F306-G306)</f>
        <v/>
      </c>
      <c r="I306">
        <f>N305</f>
        <v/>
      </c>
      <c r="J306">
        <f>I306*Plan!D7/100/12</f>
        <v/>
      </c>
      <c r="K306">
        <f>MIN(Plan!E7,I306+J306)</f>
        <v/>
      </c>
      <c r="L306">
        <f>I306+J306-K306</f>
        <v/>
      </c>
      <c r="M306">
        <f>MIN(L306,MAX(0,$B306-((E$5&lt;K$5)*F306+(Q$5&lt;K$5)*R306+(W$5&lt;K$5)*X306+(AC$5&lt;K$5)*AD306+(AI$5&lt;K$5)*AJ306+(AO$5&lt;K$5)*AP306+(AU$5&lt;K$5)*AV306)))</f>
        <v/>
      </c>
      <c r="N306">
        <f>IF(L306-M306&lt;0.005,0,L306-M306)</f>
        <v/>
      </c>
      <c r="O306">
        <f>T305</f>
        <v/>
      </c>
      <c r="P306">
        <f>O306*Plan!D8/100/12</f>
        <v/>
      </c>
      <c r="Q306">
        <f>MIN(Plan!E8,O306+P306)</f>
        <v/>
      </c>
      <c r="R306">
        <f>O306+P306-Q306</f>
        <v/>
      </c>
      <c r="S306">
        <f>MIN(R306,MAX(0,$B306-((E$5&lt;Q$5)*F306+(K$5&lt;Q$5)*L306+(W$5&lt;Q$5)*X306+(AC$5&lt;Q$5)*AD306+(AI$5&lt;Q$5)*AJ306+(AO$5&lt;Q$5)*AP306+(AU$5&lt;Q$5)*AV306)))</f>
        <v/>
      </c>
      <c r="T306">
        <f>IF(R306-S306&lt;0.005,0,R306-S306)</f>
        <v/>
      </c>
      <c r="U306">
        <f>Z305</f>
        <v/>
      </c>
      <c r="V306">
        <f>U306*Plan!D9/100/12</f>
        <v/>
      </c>
      <c r="W306">
        <f>MIN(Plan!E9,U306+V306)</f>
        <v/>
      </c>
      <c r="X306">
        <f>U306+V306-W306</f>
        <v/>
      </c>
      <c r="Y306">
        <f>MIN(X306,MAX(0,$B306-((E$5&lt;W$5)*F306+(K$5&lt;W$5)*L306+(Q$5&lt;W$5)*R306+(AC$5&lt;W$5)*AD306+(AI$5&lt;W$5)*AJ306+(AO$5&lt;W$5)*AP306+(AU$5&lt;W$5)*AV306)))</f>
        <v/>
      </c>
      <c r="Z306">
        <f>IF(X306-Y306&lt;0.005,0,X306-Y306)</f>
        <v/>
      </c>
      <c r="AA306">
        <f>AF305</f>
        <v/>
      </c>
      <c r="AB306">
        <f>AA306*Plan!D10/100/12</f>
        <v/>
      </c>
      <c r="AC306">
        <f>MIN(Plan!E10,AA306+AB306)</f>
        <v/>
      </c>
      <c r="AD306">
        <f>AA306+AB306-AC306</f>
        <v/>
      </c>
      <c r="AE306">
        <f>MIN(AD306,MAX(0,$B306-((E$5&lt;AC$5)*F306+(K$5&lt;AC$5)*L306+(Q$5&lt;AC$5)*R306+(W$5&lt;AC$5)*X306+(AI$5&lt;AC$5)*AJ306+(AO$5&lt;AC$5)*AP306+(AU$5&lt;AC$5)*AV306)))</f>
        <v/>
      </c>
      <c r="AF306">
        <f>IF(AD306-AE306&lt;0.005,0,AD306-AE306)</f>
        <v/>
      </c>
      <c r="AG306">
        <f>AL305</f>
        <v/>
      </c>
      <c r="AH306">
        <f>AG306*Plan!D11/100/12</f>
        <v/>
      </c>
      <c r="AI306">
        <f>MIN(Plan!E11,AG306+AH306)</f>
        <v/>
      </c>
      <c r="AJ306">
        <f>AG306+AH306-AI306</f>
        <v/>
      </c>
      <c r="AK306">
        <f>MIN(AJ306,MAX(0,$B306-((E$5&lt;AI$5)*F306+(K$5&lt;AI$5)*L306+(Q$5&lt;AI$5)*R306+(W$5&lt;AI$5)*X306+(AC$5&lt;AI$5)*AD306+(AO$5&lt;AI$5)*AP306+(AU$5&lt;AI$5)*AV306)))</f>
        <v/>
      </c>
      <c r="AL306">
        <f>IF(AJ306-AK306&lt;0.005,0,AJ306-AK306)</f>
        <v/>
      </c>
      <c r="AM306">
        <f>AR305</f>
        <v/>
      </c>
      <c r="AN306">
        <f>AM306*Plan!D12/100/12</f>
        <v/>
      </c>
      <c r="AO306">
        <f>MIN(Plan!E12,AM306+AN306)</f>
        <v/>
      </c>
      <c r="AP306">
        <f>AM306+AN306-AO306</f>
        <v/>
      </c>
      <c r="AQ306">
        <f>MIN(AP306,MAX(0,$B306-((E$5&lt;AO$5)*F306+(K$5&lt;AO$5)*L306+(Q$5&lt;AO$5)*R306+(W$5&lt;AO$5)*X306+(AC$5&lt;AO$5)*AD306+(AI$5&lt;AO$5)*AJ306+(AU$5&lt;AO$5)*AV306)))</f>
        <v/>
      </c>
      <c r="AR306">
        <f>IF(AP306-AQ306&lt;0.005,0,AP306-AQ306)</f>
        <v/>
      </c>
      <c r="AS306">
        <f>AX305</f>
        <v/>
      </c>
      <c r="AT306">
        <f>AS306*Plan!D13/100/12</f>
        <v/>
      </c>
      <c r="AU306">
        <f>MIN(Plan!E13,AS306+AT306)</f>
        <v/>
      </c>
      <c r="AV306">
        <f>AS306+AT306-AU306</f>
        <v/>
      </c>
      <c r="AW306">
        <f>MIN(AV306,MAX(0,$B306-((E$5&lt;AU$5)*F306+(K$5&lt;AU$5)*L306+(Q$5&lt;AU$5)*R306+(W$5&lt;AU$5)*X306+(AC$5&lt;AU$5)*AD306+(AI$5&lt;AU$5)*AJ306+(AO$5&lt;AU$5)*AP306)))</f>
        <v/>
      </c>
      <c r="AX306">
        <f>IF(AV306-AW306&lt;0.005,0,AV306-AW306)</f>
        <v/>
      </c>
      <c r="BC306">
        <f>H306+N306+T306+Z306+AF306+AL306+AR306+AX306</f>
        <v/>
      </c>
    </row>
    <row r="307">
      <c r="A307" t="n">
        <v>301</v>
      </c>
      <c r="B307" s="19">
        <f>MAX(0,$B$3-(E307+K307+Q307+W307+AC307+AI307+AO307+AU307))</f>
        <v/>
      </c>
      <c r="C307">
        <f>H306</f>
        <v/>
      </c>
      <c r="D307">
        <f>C307*Plan!D6/100/12</f>
        <v/>
      </c>
      <c r="E307">
        <f>MIN(Plan!E6,C307+D307)</f>
        <v/>
      </c>
      <c r="F307">
        <f>C307+D307-E307</f>
        <v/>
      </c>
      <c r="G307">
        <f>MIN(F307,MAX(0,$B307-((K$5&lt;E$5)*L307+(Q$5&lt;E$5)*R307+(W$5&lt;E$5)*X307+(AC$5&lt;E$5)*AD307+(AI$5&lt;E$5)*AJ307+(AO$5&lt;E$5)*AP307+(AU$5&lt;E$5)*AV307)))</f>
        <v/>
      </c>
      <c r="H307">
        <f>IF(F307-G307&lt;0.005,0,F307-G307)</f>
        <v/>
      </c>
      <c r="I307">
        <f>N306</f>
        <v/>
      </c>
      <c r="J307">
        <f>I307*Plan!D7/100/12</f>
        <v/>
      </c>
      <c r="K307">
        <f>MIN(Plan!E7,I307+J307)</f>
        <v/>
      </c>
      <c r="L307">
        <f>I307+J307-K307</f>
        <v/>
      </c>
      <c r="M307">
        <f>MIN(L307,MAX(0,$B307-((E$5&lt;K$5)*F307+(Q$5&lt;K$5)*R307+(W$5&lt;K$5)*X307+(AC$5&lt;K$5)*AD307+(AI$5&lt;K$5)*AJ307+(AO$5&lt;K$5)*AP307+(AU$5&lt;K$5)*AV307)))</f>
        <v/>
      </c>
      <c r="N307">
        <f>IF(L307-M307&lt;0.005,0,L307-M307)</f>
        <v/>
      </c>
      <c r="O307">
        <f>T306</f>
        <v/>
      </c>
      <c r="P307">
        <f>O307*Plan!D8/100/12</f>
        <v/>
      </c>
      <c r="Q307">
        <f>MIN(Plan!E8,O307+P307)</f>
        <v/>
      </c>
      <c r="R307">
        <f>O307+P307-Q307</f>
        <v/>
      </c>
      <c r="S307">
        <f>MIN(R307,MAX(0,$B307-((E$5&lt;Q$5)*F307+(K$5&lt;Q$5)*L307+(W$5&lt;Q$5)*X307+(AC$5&lt;Q$5)*AD307+(AI$5&lt;Q$5)*AJ307+(AO$5&lt;Q$5)*AP307+(AU$5&lt;Q$5)*AV307)))</f>
        <v/>
      </c>
      <c r="T307">
        <f>IF(R307-S307&lt;0.005,0,R307-S307)</f>
        <v/>
      </c>
      <c r="U307">
        <f>Z306</f>
        <v/>
      </c>
      <c r="V307">
        <f>U307*Plan!D9/100/12</f>
        <v/>
      </c>
      <c r="W307">
        <f>MIN(Plan!E9,U307+V307)</f>
        <v/>
      </c>
      <c r="X307">
        <f>U307+V307-W307</f>
        <v/>
      </c>
      <c r="Y307">
        <f>MIN(X307,MAX(0,$B307-((E$5&lt;W$5)*F307+(K$5&lt;W$5)*L307+(Q$5&lt;W$5)*R307+(AC$5&lt;W$5)*AD307+(AI$5&lt;W$5)*AJ307+(AO$5&lt;W$5)*AP307+(AU$5&lt;W$5)*AV307)))</f>
        <v/>
      </c>
      <c r="Z307">
        <f>IF(X307-Y307&lt;0.005,0,X307-Y307)</f>
        <v/>
      </c>
      <c r="AA307">
        <f>AF306</f>
        <v/>
      </c>
      <c r="AB307">
        <f>AA307*Plan!D10/100/12</f>
        <v/>
      </c>
      <c r="AC307">
        <f>MIN(Plan!E10,AA307+AB307)</f>
        <v/>
      </c>
      <c r="AD307">
        <f>AA307+AB307-AC307</f>
        <v/>
      </c>
      <c r="AE307">
        <f>MIN(AD307,MAX(0,$B307-((E$5&lt;AC$5)*F307+(K$5&lt;AC$5)*L307+(Q$5&lt;AC$5)*R307+(W$5&lt;AC$5)*X307+(AI$5&lt;AC$5)*AJ307+(AO$5&lt;AC$5)*AP307+(AU$5&lt;AC$5)*AV307)))</f>
        <v/>
      </c>
      <c r="AF307">
        <f>IF(AD307-AE307&lt;0.005,0,AD307-AE307)</f>
        <v/>
      </c>
      <c r="AG307">
        <f>AL306</f>
        <v/>
      </c>
      <c r="AH307">
        <f>AG307*Plan!D11/100/12</f>
        <v/>
      </c>
      <c r="AI307">
        <f>MIN(Plan!E11,AG307+AH307)</f>
        <v/>
      </c>
      <c r="AJ307">
        <f>AG307+AH307-AI307</f>
        <v/>
      </c>
      <c r="AK307">
        <f>MIN(AJ307,MAX(0,$B307-((E$5&lt;AI$5)*F307+(K$5&lt;AI$5)*L307+(Q$5&lt;AI$5)*R307+(W$5&lt;AI$5)*X307+(AC$5&lt;AI$5)*AD307+(AO$5&lt;AI$5)*AP307+(AU$5&lt;AI$5)*AV307)))</f>
        <v/>
      </c>
      <c r="AL307">
        <f>IF(AJ307-AK307&lt;0.005,0,AJ307-AK307)</f>
        <v/>
      </c>
      <c r="AM307">
        <f>AR306</f>
        <v/>
      </c>
      <c r="AN307">
        <f>AM307*Plan!D12/100/12</f>
        <v/>
      </c>
      <c r="AO307">
        <f>MIN(Plan!E12,AM307+AN307)</f>
        <v/>
      </c>
      <c r="AP307">
        <f>AM307+AN307-AO307</f>
        <v/>
      </c>
      <c r="AQ307">
        <f>MIN(AP307,MAX(0,$B307-((E$5&lt;AO$5)*F307+(K$5&lt;AO$5)*L307+(Q$5&lt;AO$5)*R307+(W$5&lt;AO$5)*X307+(AC$5&lt;AO$5)*AD307+(AI$5&lt;AO$5)*AJ307+(AU$5&lt;AO$5)*AV307)))</f>
        <v/>
      </c>
      <c r="AR307">
        <f>IF(AP307-AQ307&lt;0.005,0,AP307-AQ307)</f>
        <v/>
      </c>
      <c r="AS307">
        <f>AX306</f>
        <v/>
      </c>
      <c r="AT307">
        <f>AS307*Plan!D13/100/12</f>
        <v/>
      </c>
      <c r="AU307">
        <f>MIN(Plan!E13,AS307+AT307)</f>
        <v/>
      </c>
      <c r="AV307">
        <f>AS307+AT307-AU307</f>
        <v/>
      </c>
      <c r="AW307">
        <f>MIN(AV307,MAX(0,$B307-((E$5&lt;AU$5)*F307+(K$5&lt;AU$5)*L307+(Q$5&lt;AU$5)*R307+(W$5&lt;AU$5)*X307+(AC$5&lt;AU$5)*AD307+(AI$5&lt;AU$5)*AJ307+(AO$5&lt;AU$5)*AP307)))</f>
        <v/>
      </c>
      <c r="AX307">
        <f>IF(AV307-AW307&lt;0.005,0,AV307-AW307)</f>
        <v/>
      </c>
      <c r="BC307">
        <f>H307+N307+T307+Z307+AF307+AL307+AR307+AX307</f>
        <v/>
      </c>
    </row>
    <row r="308">
      <c r="A308" t="n">
        <v>302</v>
      </c>
      <c r="B308" s="19">
        <f>MAX(0,$B$3-(E308+K308+Q308+W308+AC308+AI308+AO308+AU308))</f>
        <v/>
      </c>
      <c r="C308">
        <f>H307</f>
        <v/>
      </c>
      <c r="D308">
        <f>C308*Plan!D6/100/12</f>
        <v/>
      </c>
      <c r="E308">
        <f>MIN(Plan!E6,C308+D308)</f>
        <v/>
      </c>
      <c r="F308">
        <f>C308+D308-E308</f>
        <v/>
      </c>
      <c r="G308">
        <f>MIN(F308,MAX(0,$B308-((K$5&lt;E$5)*L308+(Q$5&lt;E$5)*R308+(W$5&lt;E$5)*X308+(AC$5&lt;E$5)*AD308+(AI$5&lt;E$5)*AJ308+(AO$5&lt;E$5)*AP308+(AU$5&lt;E$5)*AV308)))</f>
        <v/>
      </c>
      <c r="H308">
        <f>IF(F308-G308&lt;0.005,0,F308-G308)</f>
        <v/>
      </c>
      <c r="I308">
        <f>N307</f>
        <v/>
      </c>
      <c r="J308">
        <f>I308*Plan!D7/100/12</f>
        <v/>
      </c>
      <c r="K308">
        <f>MIN(Plan!E7,I308+J308)</f>
        <v/>
      </c>
      <c r="L308">
        <f>I308+J308-K308</f>
        <v/>
      </c>
      <c r="M308">
        <f>MIN(L308,MAX(0,$B308-((E$5&lt;K$5)*F308+(Q$5&lt;K$5)*R308+(W$5&lt;K$5)*X308+(AC$5&lt;K$5)*AD308+(AI$5&lt;K$5)*AJ308+(AO$5&lt;K$5)*AP308+(AU$5&lt;K$5)*AV308)))</f>
        <v/>
      </c>
      <c r="N308">
        <f>IF(L308-M308&lt;0.005,0,L308-M308)</f>
        <v/>
      </c>
      <c r="O308">
        <f>T307</f>
        <v/>
      </c>
      <c r="P308">
        <f>O308*Plan!D8/100/12</f>
        <v/>
      </c>
      <c r="Q308">
        <f>MIN(Plan!E8,O308+P308)</f>
        <v/>
      </c>
      <c r="R308">
        <f>O308+P308-Q308</f>
        <v/>
      </c>
      <c r="S308">
        <f>MIN(R308,MAX(0,$B308-((E$5&lt;Q$5)*F308+(K$5&lt;Q$5)*L308+(W$5&lt;Q$5)*X308+(AC$5&lt;Q$5)*AD308+(AI$5&lt;Q$5)*AJ308+(AO$5&lt;Q$5)*AP308+(AU$5&lt;Q$5)*AV308)))</f>
        <v/>
      </c>
      <c r="T308">
        <f>IF(R308-S308&lt;0.005,0,R308-S308)</f>
        <v/>
      </c>
      <c r="U308">
        <f>Z307</f>
        <v/>
      </c>
      <c r="V308">
        <f>U308*Plan!D9/100/12</f>
        <v/>
      </c>
      <c r="W308">
        <f>MIN(Plan!E9,U308+V308)</f>
        <v/>
      </c>
      <c r="X308">
        <f>U308+V308-W308</f>
        <v/>
      </c>
      <c r="Y308">
        <f>MIN(X308,MAX(0,$B308-((E$5&lt;W$5)*F308+(K$5&lt;W$5)*L308+(Q$5&lt;W$5)*R308+(AC$5&lt;W$5)*AD308+(AI$5&lt;W$5)*AJ308+(AO$5&lt;W$5)*AP308+(AU$5&lt;W$5)*AV308)))</f>
        <v/>
      </c>
      <c r="Z308">
        <f>IF(X308-Y308&lt;0.005,0,X308-Y308)</f>
        <v/>
      </c>
      <c r="AA308">
        <f>AF307</f>
        <v/>
      </c>
      <c r="AB308">
        <f>AA308*Plan!D10/100/12</f>
        <v/>
      </c>
      <c r="AC308">
        <f>MIN(Plan!E10,AA308+AB308)</f>
        <v/>
      </c>
      <c r="AD308">
        <f>AA308+AB308-AC308</f>
        <v/>
      </c>
      <c r="AE308">
        <f>MIN(AD308,MAX(0,$B308-((E$5&lt;AC$5)*F308+(K$5&lt;AC$5)*L308+(Q$5&lt;AC$5)*R308+(W$5&lt;AC$5)*X308+(AI$5&lt;AC$5)*AJ308+(AO$5&lt;AC$5)*AP308+(AU$5&lt;AC$5)*AV308)))</f>
        <v/>
      </c>
      <c r="AF308">
        <f>IF(AD308-AE308&lt;0.005,0,AD308-AE308)</f>
        <v/>
      </c>
      <c r="AG308">
        <f>AL307</f>
        <v/>
      </c>
      <c r="AH308">
        <f>AG308*Plan!D11/100/12</f>
        <v/>
      </c>
      <c r="AI308">
        <f>MIN(Plan!E11,AG308+AH308)</f>
        <v/>
      </c>
      <c r="AJ308">
        <f>AG308+AH308-AI308</f>
        <v/>
      </c>
      <c r="AK308">
        <f>MIN(AJ308,MAX(0,$B308-((E$5&lt;AI$5)*F308+(K$5&lt;AI$5)*L308+(Q$5&lt;AI$5)*R308+(W$5&lt;AI$5)*X308+(AC$5&lt;AI$5)*AD308+(AO$5&lt;AI$5)*AP308+(AU$5&lt;AI$5)*AV308)))</f>
        <v/>
      </c>
      <c r="AL308">
        <f>IF(AJ308-AK308&lt;0.005,0,AJ308-AK308)</f>
        <v/>
      </c>
      <c r="AM308">
        <f>AR307</f>
        <v/>
      </c>
      <c r="AN308">
        <f>AM308*Plan!D12/100/12</f>
        <v/>
      </c>
      <c r="AO308">
        <f>MIN(Plan!E12,AM308+AN308)</f>
        <v/>
      </c>
      <c r="AP308">
        <f>AM308+AN308-AO308</f>
        <v/>
      </c>
      <c r="AQ308">
        <f>MIN(AP308,MAX(0,$B308-((E$5&lt;AO$5)*F308+(K$5&lt;AO$5)*L308+(Q$5&lt;AO$5)*R308+(W$5&lt;AO$5)*X308+(AC$5&lt;AO$5)*AD308+(AI$5&lt;AO$5)*AJ308+(AU$5&lt;AO$5)*AV308)))</f>
        <v/>
      </c>
      <c r="AR308">
        <f>IF(AP308-AQ308&lt;0.005,0,AP308-AQ308)</f>
        <v/>
      </c>
      <c r="AS308">
        <f>AX307</f>
        <v/>
      </c>
      <c r="AT308">
        <f>AS308*Plan!D13/100/12</f>
        <v/>
      </c>
      <c r="AU308">
        <f>MIN(Plan!E13,AS308+AT308)</f>
        <v/>
      </c>
      <c r="AV308">
        <f>AS308+AT308-AU308</f>
        <v/>
      </c>
      <c r="AW308">
        <f>MIN(AV308,MAX(0,$B308-((E$5&lt;AU$5)*F308+(K$5&lt;AU$5)*L308+(Q$5&lt;AU$5)*R308+(W$5&lt;AU$5)*X308+(AC$5&lt;AU$5)*AD308+(AI$5&lt;AU$5)*AJ308+(AO$5&lt;AU$5)*AP308)))</f>
        <v/>
      </c>
      <c r="AX308">
        <f>IF(AV308-AW308&lt;0.005,0,AV308-AW308)</f>
        <v/>
      </c>
      <c r="BC308">
        <f>H308+N308+T308+Z308+AF308+AL308+AR308+AX308</f>
        <v/>
      </c>
    </row>
    <row r="309">
      <c r="A309" t="n">
        <v>303</v>
      </c>
      <c r="B309" s="19">
        <f>MAX(0,$B$3-(E309+K309+Q309+W309+AC309+AI309+AO309+AU309))</f>
        <v/>
      </c>
      <c r="C309">
        <f>H308</f>
        <v/>
      </c>
      <c r="D309">
        <f>C309*Plan!D6/100/12</f>
        <v/>
      </c>
      <c r="E309">
        <f>MIN(Plan!E6,C309+D309)</f>
        <v/>
      </c>
      <c r="F309">
        <f>C309+D309-E309</f>
        <v/>
      </c>
      <c r="G309">
        <f>MIN(F309,MAX(0,$B309-((K$5&lt;E$5)*L309+(Q$5&lt;E$5)*R309+(W$5&lt;E$5)*X309+(AC$5&lt;E$5)*AD309+(AI$5&lt;E$5)*AJ309+(AO$5&lt;E$5)*AP309+(AU$5&lt;E$5)*AV309)))</f>
        <v/>
      </c>
      <c r="H309">
        <f>IF(F309-G309&lt;0.005,0,F309-G309)</f>
        <v/>
      </c>
      <c r="I309">
        <f>N308</f>
        <v/>
      </c>
      <c r="J309">
        <f>I309*Plan!D7/100/12</f>
        <v/>
      </c>
      <c r="K309">
        <f>MIN(Plan!E7,I309+J309)</f>
        <v/>
      </c>
      <c r="L309">
        <f>I309+J309-K309</f>
        <v/>
      </c>
      <c r="M309">
        <f>MIN(L309,MAX(0,$B309-((E$5&lt;K$5)*F309+(Q$5&lt;K$5)*R309+(W$5&lt;K$5)*X309+(AC$5&lt;K$5)*AD309+(AI$5&lt;K$5)*AJ309+(AO$5&lt;K$5)*AP309+(AU$5&lt;K$5)*AV309)))</f>
        <v/>
      </c>
      <c r="N309">
        <f>IF(L309-M309&lt;0.005,0,L309-M309)</f>
        <v/>
      </c>
      <c r="O309">
        <f>T308</f>
        <v/>
      </c>
      <c r="P309">
        <f>O309*Plan!D8/100/12</f>
        <v/>
      </c>
      <c r="Q309">
        <f>MIN(Plan!E8,O309+P309)</f>
        <v/>
      </c>
      <c r="R309">
        <f>O309+P309-Q309</f>
        <v/>
      </c>
      <c r="S309">
        <f>MIN(R309,MAX(0,$B309-((E$5&lt;Q$5)*F309+(K$5&lt;Q$5)*L309+(W$5&lt;Q$5)*X309+(AC$5&lt;Q$5)*AD309+(AI$5&lt;Q$5)*AJ309+(AO$5&lt;Q$5)*AP309+(AU$5&lt;Q$5)*AV309)))</f>
        <v/>
      </c>
      <c r="T309">
        <f>IF(R309-S309&lt;0.005,0,R309-S309)</f>
        <v/>
      </c>
      <c r="U309">
        <f>Z308</f>
        <v/>
      </c>
      <c r="V309">
        <f>U309*Plan!D9/100/12</f>
        <v/>
      </c>
      <c r="W309">
        <f>MIN(Plan!E9,U309+V309)</f>
        <v/>
      </c>
      <c r="X309">
        <f>U309+V309-W309</f>
        <v/>
      </c>
      <c r="Y309">
        <f>MIN(X309,MAX(0,$B309-((E$5&lt;W$5)*F309+(K$5&lt;W$5)*L309+(Q$5&lt;W$5)*R309+(AC$5&lt;W$5)*AD309+(AI$5&lt;W$5)*AJ309+(AO$5&lt;W$5)*AP309+(AU$5&lt;W$5)*AV309)))</f>
        <v/>
      </c>
      <c r="Z309">
        <f>IF(X309-Y309&lt;0.005,0,X309-Y309)</f>
        <v/>
      </c>
      <c r="AA309">
        <f>AF308</f>
        <v/>
      </c>
      <c r="AB309">
        <f>AA309*Plan!D10/100/12</f>
        <v/>
      </c>
      <c r="AC309">
        <f>MIN(Plan!E10,AA309+AB309)</f>
        <v/>
      </c>
      <c r="AD309">
        <f>AA309+AB309-AC309</f>
        <v/>
      </c>
      <c r="AE309">
        <f>MIN(AD309,MAX(0,$B309-((E$5&lt;AC$5)*F309+(K$5&lt;AC$5)*L309+(Q$5&lt;AC$5)*R309+(W$5&lt;AC$5)*X309+(AI$5&lt;AC$5)*AJ309+(AO$5&lt;AC$5)*AP309+(AU$5&lt;AC$5)*AV309)))</f>
        <v/>
      </c>
      <c r="AF309">
        <f>IF(AD309-AE309&lt;0.005,0,AD309-AE309)</f>
        <v/>
      </c>
      <c r="AG309">
        <f>AL308</f>
        <v/>
      </c>
      <c r="AH309">
        <f>AG309*Plan!D11/100/12</f>
        <v/>
      </c>
      <c r="AI309">
        <f>MIN(Plan!E11,AG309+AH309)</f>
        <v/>
      </c>
      <c r="AJ309">
        <f>AG309+AH309-AI309</f>
        <v/>
      </c>
      <c r="AK309">
        <f>MIN(AJ309,MAX(0,$B309-((E$5&lt;AI$5)*F309+(K$5&lt;AI$5)*L309+(Q$5&lt;AI$5)*R309+(W$5&lt;AI$5)*X309+(AC$5&lt;AI$5)*AD309+(AO$5&lt;AI$5)*AP309+(AU$5&lt;AI$5)*AV309)))</f>
        <v/>
      </c>
      <c r="AL309">
        <f>IF(AJ309-AK309&lt;0.005,0,AJ309-AK309)</f>
        <v/>
      </c>
      <c r="AM309">
        <f>AR308</f>
        <v/>
      </c>
      <c r="AN309">
        <f>AM309*Plan!D12/100/12</f>
        <v/>
      </c>
      <c r="AO309">
        <f>MIN(Plan!E12,AM309+AN309)</f>
        <v/>
      </c>
      <c r="AP309">
        <f>AM309+AN309-AO309</f>
        <v/>
      </c>
      <c r="AQ309">
        <f>MIN(AP309,MAX(0,$B309-((E$5&lt;AO$5)*F309+(K$5&lt;AO$5)*L309+(Q$5&lt;AO$5)*R309+(W$5&lt;AO$5)*X309+(AC$5&lt;AO$5)*AD309+(AI$5&lt;AO$5)*AJ309+(AU$5&lt;AO$5)*AV309)))</f>
        <v/>
      </c>
      <c r="AR309">
        <f>IF(AP309-AQ309&lt;0.005,0,AP309-AQ309)</f>
        <v/>
      </c>
      <c r="AS309">
        <f>AX308</f>
        <v/>
      </c>
      <c r="AT309">
        <f>AS309*Plan!D13/100/12</f>
        <v/>
      </c>
      <c r="AU309">
        <f>MIN(Plan!E13,AS309+AT309)</f>
        <v/>
      </c>
      <c r="AV309">
        <f>AS309+AT309-AU309</f>
        <v/>
      </c>
      <c r="AW309">
        <f>MIN(AV309,MAX(0,$B309-((E$5&lt;AU$5)*F309+(K$5&lt;AU$5)*L309+(Q$5&lt;AU$5)*R309+(W$5&lt;AU$5)*X309+(AC$5&lt;AU$5)*AD309+(AI$5&lt;AU$5)*AJ309+(AO$5&lt;AU$5)*AP309)))</f>
        <v/>
      </c>
      <c r="AX309">
        <f>IF(AV309-AW309&lt;0.005,0,AV309-AW309)</f>
        <v/>
      </c>
      <c r="BC309">
        <f>H309+N309+T309+Z309+AF309+AL309+AR309+AX309</f>
        <v/>
      </c>
    </row>
    <row r="310">
      <c r="A310" t="n">
        <v>304</v>
      </c>
      <c r="B310" s="19">
        <f>MAX(0,$B$3-(E310+K310+Q310+W310+AC310+AI310+AO310+AU310))</f>
        <v/>
      </c>
      <c r="C310">
        <f>H309</f>
        <v/>
      </c>
      <c r="D310">
        <f>C310*Plan!D6/100/12</f>
        <v/>
      </c>
      <c r="E310">
        <f>MIN(Plan!E6,C310+D310)</f>
        <v/>
      </c>
      <c r="F310">
        <f>C310+D310-E310</f>
        <v/>
      </c>
      <c r="G310">
        <f>MIN(F310,MAX(0,$B310-((K$5&lt;E$5)*L310+(Q$5&lt;E$5)*R310+(W$5&lt;E$5)*X310+(AC$5&lt;E$5)*AD310+(AI$5&lt;E$5)*AJ310+(AO$5&lt;E$5)*AP310+(AU$5&lt;E$5)*AV310)))</f>
        <v/>
      </c>
      <c r="H310">
        <f>IF(F310-G310&lt;0.005,0,F310-G310)</f>
        <v/>
      </c>
      <c r="I310">
        <f>N309</f>
        <v/>
      </c>
      <c r="J310">
        <f>I310*Plan!D7/100/12</f>
        <v/>
      </c>
      <c r="K310">
        <f>MIN(Plan!E7,I310+J310)</f>
        <v/>
      </c>
      <c r="L310">
        <f>I310+J310-K310</f>
        <v/>
      </c>
      <c r="M310">
        <f>MIN(L310,MAX(0,$B310-((E$5&lt;K$5)*F310+(Q$5&lt;K$5)*R310+(W$5&lt;K$5)*X310+(AC$5&lt;K$5)*AD310+(AI$5&lt;K$5)*AJ310+(AO$5&lt;K$5)*AP310+(AU$5&lt;K$5)*AV310)))</f>
        <v/>
      </c>
      <c r="N310">
        <f>IF(L310-M310&lt;0.005,0,L310-M310)</f>
        <v/>
      </c>
      <c r="O310">
        <f>T309</f>
        <v/>
      </c>
      <c r="P310">
        <f>O310*Plan!D8/100/12</f>
        <v/>
      </c>
      <c r="Q310">
        <f>MIN(Plan!E8,O310+P310)</f>
        <v/>
      </c>
      <c r="R310">
        <f>O310+P310-Q310</f>
        <v/>
      </c>
      <c r="S310">
        <f>MIN(R310,MAX(0,$B310-((E$5&lt;Q$5)*F310+(K$5&lt;Q$5)*L310+(W$5&lt;Q$5)*X310+(AC$5&lt;Q$5)*AD310+(AI$5&lt;Q$5)*AJ310+(AO$5&lt;Q$5)*AP310+(AU$5&lt;Q$5)*AV310)))</f>
        <v/>
      </c>
      <c r="T310">
        <f>IF(R310-S310&lt;0.005,0,R310-S310)</f>
        <v/>
      </c>
      <c r="U310">
        <f>Z309</f>
        <v/>
      </c>
      <c r="V310">
        <f>U310*Plan!D9/100/12</f>
        <v/>
      </c>
      <c r="W310">
        <f>MIN(Plan!E9,U310+V310)</f>
        <v/>
      </c>
      <c r="X310">
        <f>U310+V310-W310</f>
        <v/>
      </c>
      <c r="Y310">
        <f>MIN(X310,MAX(0,$B310-((E$5&lt;W$5)*F310+(K$5&lt;W$5)*L310+(Q$5&lt;W$5)*R310+(AC$5&lt;W$5)*AD310+(AI$5&lt;W$5)*AJ310+(AO$5&lt;W$5)*AP310+(AU$5&lt;W$5)*AV310)))</f>
        <v/>
      </c>
      <c r="Z310">
        <f>IF(X310-Y310&lt;0.005,0,X310-Y310)</f>
        <v/>
      </c>
      <c r="AA310">
        <f>AF309</f>
        <v/>
      </c>
      <c r="AB310">
        <f>AA310*Plan!D10/100/12</f>
        <v/>
      </c>
      <c r="AC310">
        <f>MIN(Plan!E10,AA310+AB310)</f>
        <v/>
      </c>
      <c r="AD310">
        <f>AA310+AB310-AC310</f>
        <v/>
      </c>
      <c r="AE310">
        <f>MIN(AD310,MAX(0,$B310-((E$5&lt;AC$5)*F310+(K$5&lt;AC$5)*L310+(Q$5&lt;AC$5)*R310+(W$5&lt;AC$5)*X310+(AI$5&lt;AC$5)*AJ310+(AO$5&lt;AC$5)*AP310+(AU$5&lt;AC$5)*AV310)))</f>
        <v/>
      </c>
      <c r="AF310">
        <f>IF(AD310-AE310&lt;0.005,0,AD310-AE310)</f>
        <v/>
      </c>
      <c r="AG310">
        <f>AL309</f>
        <v/>
      </c>
      <c r="AH310">
        <f>AG310*Plan!D11/100/12</f>
        <v/>
      </c>
      <c r="AI310">
        <f>MIN(Plan!E11,AG310+AH310)</f>
        <v/>
      </c>
      <c r="AJ310">
        <f>AG310+AH310-AI310</f>
        <v/>
      </c>
      <c r="AK310">
        <f>MIN(AJ310,MAX(0,$B310-((E$5&lt;AI$5)*F310+(K$5&lt;AI$5)*L310+(Q$5&lt;AI$5)*R310+(W$5&lt;AI$5)*X310+(AC$5&lt;AI$5)*AD310+(AO$5&lt;AI$5)*AP310+(AU$5&lt;AI$5)*AV310)))</f>
        <v/>
      </c>
      <c r="AL310">
        <f>IF(AJ310-AK310&lt;0.005,0,AJ310-AK310)</f>
        <v/>
      </c>
      <c r="AM310">
        <f>AR309</f>
        <v/>
      </c>
      <c r="AN310">
        <f>AM310*Plan!D12/100/12</f>
        <v/>
      </c>
      <c r="AO310">
        <f>MIN(Plan!E12,AM310+AN310)</f>
        <v/>
      </c>
      <c r="AP310">
        <f>AM310+AN310-AO310</f>
        <v/>
      </c>
      <c r="AQ310">
        <f>MIN(AP310,MAX(0,$B310-((E$5&lt;AO$5)*F310+(K$5&lt;AO$5)*L310+(Q$5&lt;AO$5)*R310+(W$5&lt;AO$5)*X310+(AC$5&lt;AO$5)*AD310+(AI$5&lt;AO$5)*AJ310+(AU$5&lt;AO$5)*AV310)))</f>
        <v/>
      </c>
      <c r="AR310">
        <f>IF(AP310-AQ310&lt;0.005,0,AP310-AQ310)</f>
        <v/>
      </c>
      <c r="AS310">
        <f>AX309</f>
        <v/>
      </c>
      <c r="AT310">
        <f>AS310*Plan!D13/100/12</f>
        <v/>
      </c>
      <c r="AU310">
        <f>MIN(Plan!E13,AS310+AT310)</f>
        <v/>
      </c>
      <c r="AV310">
        <f>AS310+AT310-AU310</f>
        <v/>
      </c>
      <c r="AW310">
        <f>MIN(AV310,MAX(0,$B310-((E$5&lt;AU$5)*F310+(K$5&lt;AU$5)*L310+(Q$5&lt;AU$5)*R310+(W$5&lt;AU$5)*X310+(AC$5&lt;AU$5)*AD310+(AI$5&lt;AU$5)*AJ310+(AO$5&lt;AU$5)*AP310)))</f>
        <v/>
      </c>
      <c r="AX310">
        <f>IF(AV310-AW310&lt;0.005,0,AV310-AW310)</f>
        <v/>
      </c>
      <c r="BC310">
        <f>H310+N310+T310+Z310+AF310+AL310+AR310+AX310</f>
        <v/>
      </c>
    </row>
    <row r="311">
      <c r="A311" t="n">
        <v>305</v>
      </c>
      <c r="B311" s="19">
        <f>MAX(0,$B$3-(E311+K311+Q311+W311+AC311+AI311+AO311+AU311))</f>
        <v/>
      </c>
      <c r="C311">
        <f>H310</f>
        <v/>
      </c>
      <c r="D311">
        <f>C311*Plan!D6/100/12</f>
        <v/>
      </c>
      <c r="E311">
        <f>MIN(Plan!E6,C311+D311)</f>
        <v/>
      </c>
      <c r="F311">
        <f>C311+D311-E311</f>
        <v/>
      </c>
      <c r="G311">
        <f>MIN(F311,MAX(0,$B311-((K$5&lt;E$5)*L311+(Q$5&lt;E$5)*R311+(W$5&lt;E$5)*X311+(AC$5&lt;E$5)*AD311+(AI$5&lt;E$5)*AJ311+(AO$5&lt;E$5)*AP311+(AU$5&lt;E$5)*AV311)))</f>
        <v/>
      </c>
      <c r="H311">
        <f>IF(F311-G311&lt;0.005,0,F311-G311)</f>
        <v/>
      </c>
      <c r="I311">
        <f>N310</f>
        <v/>
      </c>
      <c r="J311">
        <f>I311*Plan!D7/100/12</f>
        <v/>
      </c>
      <c r="K311">
        <f>MIN(Plan!E7,I311+J311)</f>
        <v/>
      </c>
      <c r="L311">
        <f>I311+J311-K311</f>
        <v/>
      </c>
      <c r="M311">
        <f>MIN(L311,MAX(0,$B311-((E$5&lt;K$5)*F311+(Q$5&lt;K$5)*R311+(W$5&lt;K$5)*X311+(AC$5&lt;K$5)*AD311+(AI$5&lt;K$5)*AJ311+(AO$5&lt;K$5)*AP311+(AU$5&lt;K$5)*AV311)))</f>
        <v/>
      </c>
      <c r="N311">
        <f>IF(L311-M311&lt;0.005,0,L311-M311)</f>
        <v/>
      </c>
      <c r="O311">
        <f>T310</f>
        <v/>
      </c>
      <c r="P311">
        <f>O311*Plan!D8/100/12</f>
        <v/>
      </c>
      <c r="Q311">
        <f>MIN(Plan!E8,O311+P311)</f>
        <v/>
      </c>
      <c r="R311">
        <f>O311+P311-Q311</f>
        <v/>
      </c>
      <c r="S311">
        <f>MIN(R311,MAX(0,$B311-((E$5&lt;Q$5)*F311+(K$5&lt;Q$5)*L311+(W$5&lt;Q$5)*X311+(AC$5&lt;Q$5)*AD311+(AI$5&lt;Q$5)*AJ311+(AO$5&lt;Q$5)*AP311+(AU$5&lt;Q$5)*AV311)))</f>
        <v/>
      </c>
      <c r="T311">
        <f>IF(R311-S311&lt;0.005,0,R311-S311)</f>
        <v/>
      </c>
      <c r="U311">
        <f>Z310</f>
        <v/>
      </c>
      <c r="V311">
        <f>U311*Plan!D9/100/12</f>
        <v/>
      </c>
      <c r="W311">
        <f>MIN(Plan!E9,U311+V311)</f>
        <v/>
      </c>
      <c r="X311">
        <f>U311+V311-W311</f>
        <v/>
      </c>
      <c r="Y311">
        <f>MIN(X311,MAX(0,$B311-((E$5&lt;W$5)*F311+(K$5&lt;W$5)*L311+(Q$5&lt;W$5)*R311+(AC$5&lt;W$5)*AD311+(AI$5&lt;W$5)*AJ311+(AO$5&lt;W$5)*AP311+(AU$5&lt;W$5)*AV311)))</f>
        <v/>
      </c>
      <c r="Z311">
        <f>IF(X311-Y311&lt;0.005,0,X311-Y311)</f>
        <v/>
      </c>
      <c r="AA311">
        <f>AF310</f>
        <v/>
      </c>
      <c r="AB311">
        <f>AA311*Plan!D10/100/12</f>
        <v/>
      </c>
      <c r="AC311">
        <f>MIN(Plan!E10,AA311+AB311)</f>
        <v/>
      </c>
      <c r="AD311">
        <f>AA311+AB311-AC311</f>
        <v/>
      </c>
      <c r="AE311">
        <f>MIN(AD311,MAX(0,$B311-((E$5&lt;AC$5)*F311+(K$5&lt;AC$5)*L311+(Q$5&lt;AC$5)*R311+(W$5&lt;AC$5)*X311+(AI$5&lt;AC$5)*AJ311+(AO$5&lt;AC$5)*AP311+(AU$5&lt;AC$5)*AV311)))</f>
        <v/>
      </c>
      <c r="AF311">
        <f>IF(AD311-AE311&lt;0.005,0,AD311-AE311)</f>
        <v/>
      </c>
      <c r="AG311">
        <f>AL310</f>
        <v/>
      </c>
      <c r="AH311">
        <f>AG311*Plan!D11/100/12</f>
        <v/>
      </c>
      <c r="AI311">
        <f>MIN(Plan!E11,AG311+AH311)</f>
        <v/>
      </c>
      <c r="AJ311">
        <f>AG311+AH311-AI311</f>
        <v/>
      </c>
      <c r="AK311">
        <f>MIN(AJ311,MAX(0,$B311-((E$5&lt;AI$5)*F311+(K$5&lt;AI$5)*L311+(Q$5&lt;AI$5)*R311+(W$5&lt;AI$5)*X311+(AC$5&lt;AI$5)*AD311+(AO$5&lt;AI$5)*AP311+(AU$5&lt;AI$5)*AV311)))</f>
        <v/>
      </c>
      <c r="AL311">
        <f>IF(AJ311-AK311&lt;0.005,0,AJ311-AK311)</f>
        <v/>
      </c>
      <c r="AM311">
        <f>AR310</f>
        <v/>
      </c>
      <c r="AN311">
        <f>AM311*Plan!D12/100/12</f>
        <v/>
      </c>
      <c r="AO311">
        <f>MIN(Plan!E12,AM311+AN311)</f>
        <v/>
      </c>
      <c r="AP311">
        <f>AM311+AN311-AO311</f>
        <v/>
      </c>
      <c r="AQ311">
        <f>MIN(AP311,MAX(0,$B311-((E$5&lt;AO$5)*F311+(K$5&lt;AO$5)*L311+(Q$5&lt;AO$5)*R311+(W$5&lt;AO$5)*X311+(AC$5&lt;AO$5)*AD311+(AI$5&lt;AO$5)*AJ311+(AU$5&lt;AO$5)*AV311)))</f>
        <v/>
      </c>
      <c r="AR311">
        <f>IF(AP311-AQ311&lt;0.005,0,AP311-AQ311)</f>
        <v/>
      </c>
      <c r="AS311">
        <f>AX310</f>
        <v/>
      </c>
      <c r="AT311">
        <f>AS311*Plan!D13/100/12</f>
        <v/>
      </c>
      <c r="AU311">
        <f>MIN(Plan!E13,AS311+AT311)</f>
        <v/>
      </c>
      <c r="AV311">
        <f>AS311+AT311-AU311</f>
        <v/>
      </c>
      <c r="AW311">
        <f>MIN(AV311,MAX(0,$B311-((E$5&lt;AU$5)*F311+(K$5&lt;AU$5)*L311+(Q$5&lt;AU$5)*R311+(W$5&lt;AU$5)*X311+(AC$5&lt;AU$5)*AD311+(AI$5&lt;AU$5)*AJ311+(AO$5&lt;AU$5)*AP311)))</f>
        <v/>
      </c>
      <c r="AX311">
        <f>IF(AV311-AW311&lt;0.005,0,AV311-AW311)</f>
        <v/>
      </c>
      <c r="BC311">
        <f>H311+N311+T311+Z311+AF311+AL311+AR311+AX311</f>
        <v/>
      </c>
    </row>
    <row r="312">
      <c r="A312" t="n">
        <v>306</v>
      </c>
      <c r="B312" s="19">
        <f>MAX(0,$B$3-(E312+K312+Q312+W312+AC312+AI312+AO312+AU312))</f>
        <v/>
      </c>
      <c r="C312">
        <f>H311</f>
        <v/>
      </c>
      <c r="D312">
        <f>C312*Plan!D6/100/12</f>
        <v/>
      </c>
      <c r="E312">
        <f>MIN(Plan!E6,C312+D312)</f>
        <v/>
      </c>
      <c r="F312">
        <f>C312+D312-E312</f>
        <v/>
      </c>
      <c r="G312">
        <f>MIN(F312,MAX(0,$B312-((K$5&lt;E$5)*L312+(Q$5&lt;E$5)*R312+(W$5&lt;E$5)*X312+(AC$5&lt;E$5)*AD312+(AI$5&lt;E$5)*AJ312+(AO$5&lt;E$5)*AP312+(AU$5&lt;E$5)*AV312)))</f>
        <v/>
      </c>
      <c r="H312">
        <f>IF(F312-G312&lt;0.005,0,F312-G312)</f>
        <v/>
      </c>
      <c r="I312">
        <f>N311</f>
        <v/>
      </c>
      <c r="J312">
        <f>I312*Plan!D7/100/12</f>
        <v/>
      </c>
      <c r="K312">
        <f>MIN(Plan!E7,I312+J312)</f>
        <v/>
      </c>
      <c r="L312">
        <f>I312+J312-K312</f>
        <v/>
      </c>
      <c r="M312">
        <f>MIN(L312,MAX(0,$B312-((E$5&lt;K$5)*F312+(Q$5&lt;K$5)*R312+(W$5&lt;K$5)*X312+(AC$5&lt;K$5)*AD312+(AI$5&lt;K$5)*AJ312+(AO$5&lt;K$5)*AP312+(AU$5&lt;K$5)*AV312)))</f>
        <v/>
      </c>
      <c r="N312">
        <f>IF(L312-M312&lt;0.005,0,L312-M312)</f>
        <v/>
      </c>
      <c r="O312">
        <f>T311</f>
        <v/>
      </c>
      <c r="P312">
        <f>O312*Plan!D8/100/12</f>
        <v/>
      </c>
      <c r="Q312">
        <f>MIN(Plan!E8,O312+P312)</f>
        <v/>
      </c>
      <c r="R312">
        <f>O312+P312-Q312</f>
        <v/>
      </c>
      <c r="S312">
        <f>MIN(R312,MAX(0,$B312-((E$5&lt;Q$5)*F312+(K$5&lt;Q$5)*L312+(W$5&lt;Q$5)*X312+(AC$5&lt;Q$5)*AD312+(AI$5&lt;Q$5)*AJ312+(AO$5&lt;Q$5)*AP312+(AU$5&lt;Q$5)*AV312)))</f>
        <v/>
      </c>
      <c r="T312">
        <f>IF(R312-S312&lt;0.005,0,R312-S312)</f>
        <v/>
      </c>
      <c r="U312">
        <f>Z311</f>
        <v/>
      </c>
      <c r="V312">
        <f>U312*Plan!D9/100/12</f>
        <v/>
      </c>
      <c r="W312">
        <f>MIN(Plan!E9,U312+V312)</f>
        <v/>
      </c>
      <c r="X312">
        <f>U312+V312-W312</f>
        <v/>
      </c>
      <c r="Y312">
        <f>MIN(X312,MAX(0,$B312-((E$5&lt;W$5)*F312+(K$5&lt;W$5)*L312+(Q$5&lt;W$5)*R312+(AC$5&lt;W$5)*AD312+(AI$5&lt;W$5)*AJ312+(AO$5&lt;W$5)*AP312+(AU$5&lt;W$5)*AV312)))</f>
        <v/>
      </c>
      <c r="Z312">
        <f>IF(X312-Y312&lt;0.005,0,X312-Y312)</f>
        <v/>
      </c>
      <c r="AA312">
        <f>AF311</f>
        <v/>
      </c>
      <c r="AB312">
        <f>AA312*Plan!D10/100/12</f>
        <v/>
      </c>
      <c r="AC312">
        <f>MIN(Plan!E10,AA312+AB312)</f>
        <v/>
      </c>
      <c r="AD312">
        <f>AA312+AB312-AC312</f>
        <v/>
      </c>
      <c r="AE312">
        <f>MIN(AD312,MAX(0,$B312-((E$5&lt;AC$5)*F312+(K$5&lt;AC$5)*L312+(Q$5&lt;AC$5)*R312+(W$5&lt;AC$5)*X312+(AI$5&lt;AC$5)*AJ312+(AO$5&lt;AC$5)*AP312+(AU$5&lt;AC$5)*AV312)))</f>
        <v/>
      </c>
      <c r="AF312">
        <f>IF(AD312-AE312&lt;0.005,0,AD312-AE312)</f>
        <v/>
      </c>
      <c r="AG312">
        <f>AL311</f>
        <v/>
      </c>
      <c r="AH312">
        <f>AG312*Plan!D11/100/12</f>
        <v/>
      </c>
      <c r="AI312">
        <f>MIN(Plan!E11,AG312+AH312)</f>
        <v/>
      </c>
      <c r="AJ312">
        <f>AG312+AH312-AI312</f>
        <v/>
      </c>
      <c r="AK312">
        <f>MIN(AJ312,MAX(0,$B312-((E$5&lt;AI$5)*F312+(K$5&lt;AI$5)*L312+(Q$5&lt;AI$5)*R312+(W$5&lt;AI$5)*X312+(AC$5&lt;AI$5)*AD312+(AO$5&lt;AI$5)*AP312+(AU$5&lt;AI$5)*AV312)))</f>
        <v/>
      </c>
      <c r="AL312">
        <f>IF(AJ312-AK312&lt;0.005,0,AJ312-AK312)</f>
        <v/>
      </c>
      <c r="AM312">
        <f>AR311</f>
        <v/>
      </c>
      <c r="AN312">
        <f>AM312*Plan!D12/100/12</f>
        <v/>
      </c>
      <c r="AO312">
        <f>MIN(Plan!E12,AM312+AN312)</f>
        <v/>
      </c>
      <c r="AP312">
        <f>AM312+AN312-AO312</f>
        <v/>
      </c>
      <c r="AQ312">
        <f>MIN(AP312,MAX(0,$B312-((E$5&lt;AO$5)*F312+(K$5&lt;AO$5)*L312+(Q$5&lt;AO$5)*R312+(W$5&lt;AO$5)*X312+(AC$5&lt;AO$5)*AD312+(AI$5&lt;AO$5)*AJ312+(AU$5&lt;AO$5)*AV312)))</f>
        <v/>
      </c>
      <c r="AR312">
        <f>IF(AP312-AQ312&lt;0.005,0,AP312-AQ312)</f>
        <v/>
      </c>
      <c r="AS312">
        <f>AX311</f>
        <v/>
      </c>
      <c r="AT312">
        <f>AS312*Plan!D13/100/12</f>
        <v/>
      </c>
      <c r="AU312">
        <f>MIN(Plan!E13,AS312+AT312)</f>
        <v/>
      </c>
      <c r="AV312">
        <f>AS312+AT312-AU312</f>
        <v/>
      </c>
      <c r="AW312">
        <f>MIN(AV312,MAX(0,$B312-((E$5&lt;AU$5)*F312+(K$5&lt;AU$5)*L312+(Q$5&lt;AU$5)*R312+(W$5&lt;AU$5)*X312+(AC$5&lt;AU$5)*AD312+(AI$5&lt;AU$5)*AJ312+(AO$5&lt;AU$5)*AP312)))</f>
        <v/>
      </c>
      <c r="AX312">
        <f>IF(AV312-AW312&lt;0.005,0,AV312-AW312)</f>
        <v/>
      </c>
      <c r="BC312">
        <f>H312+N312+T312+Z312+AF312+AL312+AR312+AX312</f>
        <v/>
      </c>
    </row>
    <row r="313">
      <c r="A313" t="n">
        <v>307</v>
      </c>
      <c r="B313" s="19">
        <f>MAX(0,$B$3-(E313+K313+Q313+W313+AC313+AI313+AO313+AU313))</f>
        <v/>
      </c>
      <c r="C313">
        <f>H312</f>
        <v/>
      </c>
      <c r="D313">
        <f>C313*Plan!D6/100/12</f>
        <v/>
      </c>
      <c r="E313">
        <f>MIN(Plan!E6,C313+D313)</f>
        <v/>
      </c>
      <c r="F313">
        <f>C313+D313-E313</f>
        <v/>
      </c>
      <c r="G313">
        <f>MIN(F313,MAX(0,$B313-((K$5&lt;E$5)*L313+(Q$5&lt;E$5)*R313+(W$5&lt;E$5)*X313+(AC$5&lt;E$5)*AD313+(AI$5&lt;E$5)*AJ313+(AO$5&lt;E$5)*AP313+(AU$5&lt;E$5)*AV313)))</f>
        <v/>
      </c>
      <c r="H313">
        <f>IF(F313-G313&lt;0.005,0,F313-G313)</f>
        <v/>
      </c>
      <c r="I313">
        <f>N312</f>
        <v/>
      </c>
      <c r="J313">
        <f>I313*Plan!D7/100/12</f>
        <v/>
      </c>
      <c r="K313">
        <f>MIN(Plan!E7,I313+J313)</f>
        <v/>
      </c>
      <c r="L313">
        <f>I313+J313-K313</f>
        <v/>
      </c>
      <c r="M313">
        <f>MIN(L313,MAX(0,$B313-((E$5&lt;K$5)*F313+(Q$5&lt;K$5)*R313+(W$5&lt;K$5)*X313+(AC$5&lt;K$5)*AD313+(AI$5&lt;K$5)*AJ313+(AO$5&lt;K$5)*AP313+(AU$5&lt;K$5)*AV313)))</f>
        <v/>
      </c>
      <c r="N313">
        <f>IF(L313-M313&lt;0.005,0,L313-M313)</f>
        <v/>
      </c>
      <c r="O313">
        <f>T312</f>
        <v/>
      </c>
      <c r="P313">
        <f>O313*Plan!D8/100/12</f>
        <v/>
      </c>
      <c r="Q313">
        <f>MIN(Plan!E8,O313+P313)</f>
        <v/>
      </c>
      <c r="R313">
        <f>O313+P313-Q313</f>
        <v/>
      </c>
      <c r="S313">
        <f>MIN(R313,MAX(0,$B313-((E$5&lt;Q$5)*F313+(K$5&lt;Q$5)*L313+(W$5&lt;Q$5)*X313+(AC$5&lt;Q$5)*AD313+(AI$5&lt;Q$5)*AJ313+(AO$5&lt;Q$5)*AP313+(AU$5&lt;Q$5)*AV313)))</f>
        <v/>
      </c>
      <c r="T313">
        <f>IF(R313-S313&lt;0.005,0,R313-S313)</f>
        <v/>
      </c>
      <c r="U313">
        <f>Z312</f>
        <v/>
      </c>
      <c r="V313">
        <f>U313*Plan!D9/100/12</f>
        <v/>
      </c>
      <c r="W313">
        <f>MIN(Plan!E9,U313+V313)</f>
        <v/>
      </c>
      <c r="X313">
        <f>U313+V313-W313</f>
        <v/>
      </c>
      <c r="Y313">
        <f>MIN(X313,MAX(0,$B313-((E$5&lt;W$5)*F313+(K$5&lt;W$5)*L313+(Q$5&lt;W$5)*R313+(AC$5&lt;W$5)*AD313+(AI$5&lt;W$5)*AJ313+(AO$5&lt;W$5)*AP313+(AU$5&lt;W$5)*AV313)))</f>
        <v/>
      </c>
      <c r="Z313">
        <f>IF(X313-Y313&lt;0.005,0,X313-Y313)</f>
        <v/>
      </c>
      <c r="AA313">
        <f>AF312</f>
        <v/>
      </c>
      <c r="AB313">
        <f>AA313*Plan!D10/100/12</f>
        <v/>
      </c>
      <c r="AC313">
        <f>MIN(Plan!E10,AA313+AB313)</f>
        <v/>
      </c>
      <c r="AD313">
        <f>AA313+AB313-AC313</f>
        <v/>
      </c>
      <c r="AE313">
        <f>MIN(AD313,MAX(0,$B313-((E$5&lt;AC$5)*F313+(K$5&lt;AC$5)*L313+(Q$5&lt;AC$5)*R313+(W$5&lt;AC$5)*X313+(AI$5&lt;AC$5)*AJ313+(AO$5&lt;AC$5)*AP313+(AU$5&lt;AC$5)*AV313)))</f>
        <v/>
      </c>
      <c r="AF313">
        <f>IF(AD313-AE313&lt;0.005,0,AD313-AE313)</f>
        <v/>
      </c>
      <c r="AG313">
        <f>AL312</f>
        <v/>
      </c>
      <c r="AH313">
        <f>AG313*Plan!D11/100/12</f>
        <v/>
      </c>
      <c r="AI313">
        <f>MIN(Plan!E11,AG313+AH313)</f>
        <v/>
      </c>
      <c r="AJ313">
        <f>AG313+AH313-AI313</f>
        <v/>
      </c>
      <c r="AK313">
        <f>MIN(AJ313,MAX(0,$B313-((E$5&lt;AI$5)*F313+(K$5&lt;AI$5)*L313+(Q$5&lt;AI$5)*R313+(W$5&lt;AI$5)*X313+(AC$5&lt;AI$5)*AD313+(AO$5&lt;AI$5)*AP313+(AU$5&lt;AI$5)*AV313)))</f>
        <v/>
      </c>
      <c r="AL313">
        <f>IF(AJ313-AK313&lt;0.005,0,AJ313-AK313)</f>
        <v/>
      </c>
      <c r="AM313">
        <f>AR312</f>
        <v/>
      </c>
      <c r="AN313">
        <f>AM313*Plan!D12/100/12</f>
        <v/>
      </c>
      <c r="AO313">
        <f>MIN(Plan!E12,AM313+AN313)</f>
        <v/>
      </c>
      <c r="AP313">
        <f>AM313+AN313-AO313</f>
        <v/>
      </c>
      <c r="AQ313">
        <f>MIN(AP313,MAX(0,$B313-((E$5&lt;AO$5)*F313+(K$5&lt;AO$5)*L313+(Q$5&lt;AO$5)*R313+(W$5&lt;AO$5)*X313+(AC$5&lt;AO$5)*AD313+(AI$5&lt;AO$5)*AJ313+(AU$5&lt;AO$5)*AV313)))</f>
        <v/>
      </c>
      <c r="AR313">
        <f>IF(AP313-AQ313&lt;0.005,0,AP313-AQ313)</f>
        <v/>
      </c>
      <c r="AS313">
        <f>AX312</f>
        <v/>
      </c>
      <c r="AT313">
        <f>AS313*Plan!D13/100/12</f>
        <v/>
      </c>
      <c r="AU313">
        <f>MIN(Plan!E13,AS313+AT313)</f>
        <v/>
      </c>
      <c r="AV313">
        <f>AS313+AT313-AU313</f>
        <v/>
      </c>
      <c r="AW313">
        <f>MIN(AV313,MAX(0,$B313-((E$5&lt;AU$5)*F313+(K$5&lt;AU$5)*L313+(Q$5&lt;AU$5)*R313+(W$5&lt;AU$5)*X313+(AC$5&lt;AU$5)*AD313+(AI$5&lt;AU$5)*AJ313+(AO$5&lt;AU$5)*AP313)))</f>
        <v/>
      </c>
      <c r="AX313">
        <f>IF(AV313-AW313&lt;0.005,0,AV313-AW313)</f>
        <v/>
      </c>
      <c r="BC313">
        <f>H313+N313+T313+Z313+AF313+AL313+AR313+AX313</f>
        <v/>
      </c>
    </row>
    <row r="314">
      <c r="A314" t="n">
        <v>308</v>
      </c>
      <c r="B314" s="19">
        <f>MAX(0,$B$3-(E314+K314+Q314+W314+AC314+AI314+AO314+AU314))</f>
        <v/>
      </c>
      <c r="C314">
        <f>H313</f>
        <v/>
      </c>
      <c r="D314">
        <f>C314*Plan!D6/100/12</f>
        <v/>
      </c>
      <c r="E314">
        <f>MIN(Plan!E6,C314+D314)</f>
        <v/>
      </c>
      <c r="F314">
        <f>C314+D314-E314</f>
        <v/>
      </c>
      <c r="G314">
        <f>MIN(F314,MAX(0,$B314-((K$5&lt;E$5)*L314+(Q$5&lt;E$5)*R314+(W$5&lt;E$5)*X314+(AC$5&lt;E$5)*AD314+(AI$5&lt;E$5)*AJ314+(AO$5&lt;E$5)*AP314+(AU$5&lt;E$5)*AV314)))</f>
        <v/>
      </c>
      <c r="H314">
        <f>IF(F314-G314&lt;0.005,0,F314-G314)</f>
        <v/>
      </c>
      <c r="I314">
        <f>N313</f>
        <v/>
      </c>
      <c r="J314">
        <f>I314*Plan!D7/100/12</f>
        <v/>
      </c>
      <c r="K314">
        <f>MIN(Plan!E7,I314+J314)</f>
        <v/>
      </c>
      <c r="L314">
        <f>I314+J314-K314</f>
        <v/>
      </c>
      <c r="M314">
        <f>MIN(L314,MAX(0,$B314-((E$5&lt;K$5)*F314+(Q$5&lt;K$5)*R314+(W$5&lt;K$5)*X314+(AC$5&lt;K$5)*AD314+(AI$5&lt;K$5)*AJ314+(AO$5&lt;K$5)*AP314+(AU$5&lt;K$5)*AV314)))</f>
        <v/>
      </c>
      <c r="N314">
        <f>IF(L314-M314&lt;0.005,0,L314-M314)</f>
        <v/>
      </c>
      <c r="O314">
        <f>T313</f>
        <v/>
      </c>
      <c r="P314">
        <f>O314*Plan!D8/100/12</f>
        <v/>
      </c>
      <c r="Q314">
        <f>MIN(Plan!E8,O314+P314)</f>
        <v/>
      </c>
      <c r="R314">
        <f>O314+P314-Q314</f>
        <v/>
      </c>
      <c r="S314">
        <f>MIN(R314,MAX(0,$B314-((E$5&lt;Q$5)*F314+(K$5&lt;Q$5)*L314+(W$5&lt;Q$5)*X314+(AC$5&lt;Q$5)*AD314+(AI$5&lt;Q$5)*AJ314+(AO$5&lt;Q$5)*AP314+(AU$5&lt;Q$5)*AV314)))</f>
        <v/>
      </c>
      <c r="T314">
        <f>IF(R314-S314&lt;0.005,0,R314-S314)</f>
        <v/>
      </c>
      <c r="U314">
        <f>Z313</f>
        <v/>
      </c>
      <c r="V314">
        <f>U314*Plan!D9/100/12</f>
        <v/>
      </c>
      <c r="W314">
        <f>MIN(Plan!E9,U314+V314)</f>
        <v/>
      </c>
      <c r="X314">
        <f>U314+V314-W314</f>
        <v/>
      </c>
      <c r="Y314">
        <f>MIN(X314,MAX(0,$B314-((E$5&lt;W$5)*F314+(K$5&lt;W$5)*L314+(Q$5&lt;W$5)*R314+(AC$5&lt;W$5)*AD314+(AI$5&lt;W$5)*AJ314+(AO$5&lt;W$5)*AP314+(AU$5&lt;W$5)*AV314)))</f>
        <v/>
      </c>
      <c r="Z314">
        <f>IF(X314-Y314&lt;0.005,0,X314-Y314)</f>
        <v/>
      </c>
      <c r="AA314">
        <f>AF313</f>
        <v/>
      </c>
      <c r="AB314">
        <f>AA314*Plan!D10/100/12</f>
        <v/>
      </c>
      <c r="AC314">
        <f>MIN(Plan!E10,AA314+AB314)</f>
        <v/>
      </c>
      <c r="AD314">
        <f>AA314+AB314-AC314</f>
        <v/>
      </c>
      <c r="AE314">
        <f>MIN(AD314,MAX(0,$B314-((E$5&lt;AC$5)*F314+(K$5&lt;AC$5)*L314+(Q$5&lt;AC$5)*R314+(W$5&lt;AC$5)*X314+(AI$5&lt;AC$5)*AJ314+(AO$5&lt;AC$5)*AP314+(AU$5&lt;AC$5)*AV314)))</f>
        <v/>
      </c>
      <c r="AF314">
        <f>IF(AD314-AE314&lt;0.005,0,AD314-AE314)</f>
        <v/>
      </c>
      <c r="AG314">
        <f>AL313</f>
        <v/>
      </c>
      <c r="AH314">
        <f>AG314*Plan!D11/100/12</f>
        <v/>
      </c>
      <c r="AI314">
        <f>MIN(Plan!E11,AG314+AH314)</f>
        <v/>
      </c>
      <c r="AJ314">
        <f>AG314+AH314-AI314</f>
        <v/>
      </c>
      <c r="AK314">
        <f>MIN(AJ314,MAX(0,$B314-((E$5&lt;AI$5)*F314+(K$5&lt;AI$5)*L314+(Q$5&lt;AI$5)*R314+(W$5&lt;AI$5)*X314+(AC$5&lt;AI$5)*AD314+(AO$5&lt;AI$5)*AP314+(AU$5&lt;AI$5)*AV314)))</f>
        <v/>
      </c>
      <c r="AL314">
        <f>IF(AJ314-AK314&lt;0.005,0,AJ314-AK314)</f>
        <v/>
      </c>
      <c r="AM314">
        <f>AR313</f>
        <v/>
      </c>
      <c r="AN314">
        <f>AM314*Plan!D12/100/12</f>
        <v/>
      </c>
      <c r="AO314">
        <f>MIN(Plan!E12,AM314+AN314)</f>
        <v/>
      </c>
      <c r="AP314">
        <f>AM314+AN314-AO314</f>
        <v/>
      </c>
      <c r="AQ314">
        <f>MIN(AP314,MAX(0,$B314-((E$5&lt;AO$5)*F314+(K$5&lt;AO$5)*L314+(Q$5&lt;AO$5)*R314+(W$5&lt;AO$5)*X314+(AC$5&lt;AO$5)*AD314+(AI$5&lt;AO$5)*AJ314+(AU$5&lt;AO$5)*AV314)))</f>
        <v/>
      </c>
      <c r="AR314">
        <f>IF(AP314-AQ314&lt;0.005,0,AP314-AQ314)</f>
        <v/>
      </c>
      <c r="AS314">
        <f>AX313</f>
        <v/>
      </c>
      <c r="AT314">
        <f>AS314*Plan!D13/100/12</f>
        <v/>
      </c>
      <c r="AU314">
        <f>MIN(Plan!E13,AS314+AT314)</f>
        <v/>
      </c>
      <c r="AV314">
        <f>AS314+AT314-AU314</f>
        <v/>
      </c>
      <c r="AW314">
        <f>MIN(AV314,MAX(0,$B314-((E$5&lt;AU$5)*F314+(K$5&lt;AU$5)*L314+(Q$5&lt;AU$5)*R314+(W$5&lt;AU$5)*X314+(AC$5&lt;AU$5)*AD314+(AI$5&lt;AU$5)*AJ314+(AO$5&lt;AU$5)*AP314)))</f>
        <v/>
      </c>
      <c r="AX314">
        <f>IF(AV314-AW314&lt;0.005,0,AV314-AW314)</f>
        <v/>
      </c>
      <c r="BC314">
        <f>H314+N314+T314+Z314+AF314+AL314+AR314+AX314</f>
        <v/>
      </c>
    </row>
    <row r="315">
      <c r="A315" t="n">
        <v>309</v>
      </c>
      <c r="B315" s="19">
        <f>MAX(0,$B$3-(E315+K315+Q315+W315+AC315+AI315+AO315+AU315))</f>
        <v/>
      </c>
      <c r="C315">
        <f>H314</f>
        <v/>
      </c>
      <c r="D315">
        <f>C315*Plan!D6/100/12</f>
        <v/>
      </c>
      <c r="E315">
        <f>MIN(Plan!E6,C315+D315)</f>
        <v/>
      </c>
      <c r="F315">
        <f>C315+D315-E315</f>
        <v/>
      </c>
      <c r="G315">
        <f>MIN(F315,MAX(0,$B315-((K$5&lt;E$5)*L315+(Q$5&lt;E$5)*R315+(W$5&lt;E$5)*X315+(AC$5&lt;E$5)*AD315+(AI$5&lt;E$5)*AJ315+(AO$5&lt;E$5)*AP315+(AU$5&lt;E$5)*AV315)))</f>
        <v/>
      </c>
      <c r="H315">
        <f>IF(F315-G315&lt;0.005,0,F315-G315)</f>
        <v/>
      </c>
      <c r="I315">
        <f>N314</f>
        <v/>
      </c>
      <c r="J315">
        <f>I315*Plan!D7/100/12</f>
        <v/>
      </c>
      <c r="K315">
        <f>MIN(Plan!E7,I315+J315)</f>
        <v/>
      </c>
      <c r="L315">
        <f>I315+J315-K315</f>
        <v/>
      </c>
      <c r="M315">
        <f>MIN(L315,MAX(0,$B315-((E$5&lt;K$5)*F315+(Q$5&lt;K$5)*R315+(W$5&lt;K$5)*X315+(AC$5&lt;K$5)*AD315+(AI$5&lt;K$5)*AJ315+(AO$5&lt;K$5)*AP315+(AU$5&lt;K$5)*AV315)))</f>
        <v/>
      </c>
      <c r="N315">
        <f>IF(L315-M315&lt;0.005,0,L315-M315)</f>
        <v/>
      </c>
      <c r="O315">
        <f>T314</f>
        <v/>
      </c>
      <c r="P315">
        <f>O315*Plan!D8/100/12</f>
        <v/>
      </c>
      <c r="Q315">
        <f>MIN(Plan!E8,O315+P315)</f>
        <v/>
      </c>
      <c r="R315">
        <f>O315+P315-Q315</f>
        <v/>
      </c>
      <c r="S315">
        <f>MIN(R315,MAX(0,$B315-((E$5&lt;Q$5)*F315+(K$5&lt;Q$5)*L315+(W$5&lt;Q$5)*X315+(AC$5&lt;Q$5)*AD315+(AI$5&lt;Q$5)*AJ315+(AO$5&lt;Q$5)*AP315+(AU$5&lt;Q$5)*AV315)))</f>
        <v/>
      </c>
      <c r="T315">
        <f>IF(R315-S315&lt;0.005,0,R315-S315)</f>
        <v/>
      </c>
      <c r="U315">
        <f>Z314</f>
        <v/>
      </c>
      <c r="V315">
        <f>U315*Plan!D9/100/12</f>
        <v/>
      </c>
      <c r="W315">
        <f>MIN(Plan!E9,U315+V315)</f>
        <v/>
      </c>
      <c r="X315">
        <f>U315+V315-W315</f>
        <v/>
      </c>
      <c r="Y315">
        <f>MIN(X315,MAX(0,$B315-((E$5&lt;W$5)*F315+(K$5&lt;W$5)*L315+(Q$5&lt;W$5)*R315+(AC$5&lt;W$5)*AD315+(AI$5&lt;W$5)*AJ315+(AO$5&lt;W$5)*AP315+(AU$5&lt;W$5)*AV315)))</f>
        <v/>
      </c>
      <c r="Z315">
        <f>IF(X315-Y315&lt;0.005,0,X315-Y315)</f>
        <v/>
      </c>
      <c r="AA315">
        <f>AF314</f>
        <v/>
      </c>
      <c r="AB315">
        <f>AA315*Plan!D10/100/12</f>
        <v/>
      </c>
      <c r="AC315">
        <f>MIN(Plan!E10,AA315+AB315)</f>
        <v/>
      </c>
      <c r="AD315">
        <f>AA315+AB315-AC315</f>
        <v/>
      </c>
      <c r="AE315">
        <f>MIN(AD315,MAX(0,$B315-((E$5&lt;AC$5)*F315+(K$5&lt;AC$5)*L315+(Q$5&lt;AC$5)*R315+(W$5&lt;AC$5)*X315+(AI$5&lt;AC$5)*AJ315+(AO$5&lt;AC$5)*AP315+(AU$5&lt;AC$5)*AV315)))</f>
        <v/>
      </c>
      <c r="AF315">
        <f>IF(AD315-AE315&lt;0.005,0,AD315-AE315)</f>
        <v/>
      </c>
      <c r="AG315">
        <f>AL314</f>
        <v/>
      </c>
      <c r="AH315">
        <f>AG315*Plan!D11/100/12</f>
        <v/>
      </c>
      <c r="AI315">
        <f>MIN(Plan!E11,AG315+AH315)</f>
        <v/>
      </c>
      <c r="AJ315">
        <f>AG315+AH315-AI315</f>
        <v/>
      </c>
      <c r="AK315">
        <f>MIN(AJ315,MAX(0,$B315-((E$5&lt;AI$5)*F315+(K$5&lt;AI$5)*L315+(Q$5&lt;AI$5)*R315+(W$5&lt;AI$5)*X315+(AC$5&lt;AI$5)*AD315+(AO$5&lt;AI$5)*AP315+(AU$5&lt;AI$5)*AV315)))</f>
        <v/>
      </c>
      <c r="AL315">
        <f>IF(AJ315-AK315&lt;0.005,0,AJ315-AK315)</f>
        <v/>
      </c>
      <c r="AM315">
        <f>AR314</f>
        <v/>
      </c>
      <c r="AN315">
        <f>AM315*Plan!D12/100/12</f>
        <v/>
      </c>
      <c r="AO315">
        <f>MIN(Plan!E12,AM315+AN315)</f>
        <v/>
      </c>
      <c r="AP315">
        <f>AM315+AN315-AO315</f>
        <v/>
      </c>
      <c r="AQ315">
        <f>MIN(AP315,MAX(0,$B315-((E$5&lt;AO$5)*F315+(K$5&lt;AO$5)*L315+(Q$5&lt;AO$5)*R315+(W$5&lt;AO$5)*X315+(AC$5&lt;AO$5)*AD315+(AI$5&lt;AO$5)*AJ315+(AU$5&lt;AO$5)*AV315)))</f>
        <v/>
      </c>
      <c r="AR315">
        <f>IF(AP315-AQ315&lt;0.005,0,AP315-AQ315)</f>
        <v/>
      </c>
      <c r="AS315">
        <f>AX314</f>
        <v/>
      </c>
      <c r="AT315">
        <f>AS315*Plan!D13/100/12</f>
        <v/>
      </c>
      <c r="AU315">
        <f>MIN(Plan!E13,AS315+AT315)</f>
        <v/>
      </c>
      <c r="AV315">
        <f>AS315+AT315-AU315</f>
        <v/>
      </c>
      <c r="AW315">
        <f>MIN(AV315,MAX(0,$B315-((E$5&lt;AU$5)*F315+(K$5&lt;AU$5)*L315+(Q$5&lt;AU$5)*R315+(W$5&lt;AU$5)*X315+(AC$5&lt;AU$5)*AD315+(AI$5&lt;AU$5)*AJ315+(AO$5&lt;AU$5)*AP315)))</f>
        <v/>
      </c>
      <c r="AX315">
        <f>IF(AV315-AW315&lt;0.005,0,AV315-AW315)</f>
        <v/>
      </c>
      <c r="BC315">
        <f>H315+N315+T315+Z315+AF315+AL315+AR315+AX315</f>
        <v/>
      </c>
    </row>
    <row r="316">
      <c r="A316" t="n">
        <v>310</v>
      </c>
      <c r="B316" s="19">
        <f>MAX(0,$B$3-(E316+K316+Q316+W316+AC316+AI316+AO316+AU316))</f>
        <v/>
      </c>
      <c r="C316">
        <f>H315</f>
        <v/>
      </c>
      <c r="D316">
        <f>C316*Plan!D6/100/12</f>
        <v/>
      </c>
      <c r="E316">
        <f>MIN(Plan!E6,C316+D316)</f>
        <v/>
      </c>
      <c r="F316">
        <f>C316+D316-E316</f>
        <v/>
      </c>
      <c r="G316">
        <f>MIN(F316,MAX(0,$B316-((K$5&lt;E$5)*L316+(Q$5&lt;E$5)*R316+(W$5&lt;E$5)*X316+(AC$5&lt;E$5)*AD316+(AI$5&lt;E$5)*AJ316+(AO$5&lt;E$5)*AP316+(AU$5&lt;E$5)*AV316)))</f>
        <v/>
      </c>
      <c r="H316">
        <f>IF(F316-G316&lt;0.005,0,F316-G316)</f>
        <v/>
      </c>
      <c r="I316">
        <f>N315</f>
        <v/>
      </c>
      <c r="J316">
        <f>I316*Plan!D7/100/12</f>
        <v/>
      </c>
      <c r="K316">
        <f>MIN(Plan!E7,I316+J316)</f>
        <v/>
      </c>
      <c r="L316">
        <f>I316+J316-K316</f>
        <v/>
      </c>
      <c r="M316">
        <f>MIN(L316,MAX(0,$B316-((E$5&lt;K$5)*F316+(Q$5&lt;K$5)*R316+(W$5&lt;K$5)*X316+(AC$5&lt;K$5)*AD316+(AI$5&lt;K$5)*AJ316+(AO$5&lt;K$5)*AP316+(AU$5&lt;K$5)*AV316)))</f>
        <v/>
      </c>
      <c r="N316">
        <f>IF(L316-M316&lt;0.005,0,L316-M316)</f>
        <v/>
      </c>
      <c r="O316">
        <f>T315</f>
        <v/>
      </c>
      <c r="P316">
        <f>O316*Plan!D8/100/12</f>
        <v/>
      </c>
      <c r="Q316">
        <f>MIN(Plan!E8,O316+P316)</f>
        <v/>
      </c>
      <c r="R316">
        <f>O316+P316-Q316</f>
        <v/>
      </c>
      <c r="S316">
        <f>MIN(R316,MAX(0,$B316-((E$5&lt;Q$5)*F316+(K$5&lt;Q$5)*L316+(W$5&lt;Q$5)*X316+(AC$5&lt;Q$5)*AD316+(AI$5&lt;Q$5)*AJ316+(AO$5&lt;Q$5)*AP316+(AU$5&lt;Q$5)*AV316)))</f>
        <v/>
      </c>
      <c r="T316">
        <f>IF(R316-S316&lt;0.005,0,R316-S316)</f>
        <v/>
      </c>
      <c r="U316">
        <f>Z315</f>
        <v/>
      </c>
      <c r="V316">
        <f>U316*Plan!D9/100/12</f>
        <v/>
      </c>
      <c r="W316">
        <f>MIN(Plan!E9,U316+V316)</f>
        <v/>
      </c>
      <c r="X316">
        <f>U316+V316-W316</f>
        <v/>
      </c>
      <c r="Y316">
        <f>MIN(X316,MAX(0,$B316-((E$5&lt;W$5)*F316+(K$5&lt;W$5)*L316+(Q$5&lt;W$5)*R316+(AC$5&lt;W$5)*AD316+(AI$5&lt;W$5)*AJ316+(AO$5&lt;W$5)*AP316+(AU$5&lt;W$5)*AV316)))</f>
        <v/>
      </c>
      <c r="Z316">
        <f>IF(X316-Y316&lt;0.005,0,X316-Y316)</f>
        <v/>
      </c>
      <c r="AA316">
        <f>AF315</f>
        <v/>
      </c>
      <c r="AB316">
        <f>AA316*Plan!D10/100/12</f>
        <v/>
      </c>
      <c r="AC316">
        <f>MIN(Plan!E10,AA316+AB316)</f>
        <v/>
      </c>
      <c r="AD316">
        <f>AA316+AB316-AC316</f>
        <v/>
      </c>
      <c r="AE316">
        <f>MIN(AD316,MAX(0,$B316-((E$5&lt;AC$5)*F316+(K$5&lt;AC$5)*L316+(Q$5&lt;AC$5)*R316+(W$5&lt;AC$5)*X316+(AI$5&lt;AC$5)*AJ316+(AO$5&lt;AC$5)*AP316+(AU$5&lt;AC$5)*AV316)))</f>
        <v/>
      </c>
      <c r="AF316">
        <f>IF(AD316-AE316&lt;0.005,0,AD316-AE316)</f>
        <v/>
      </c>
      <c r="AG316">
        <f>AL315</f>
        <v/>
      </c>
      <c r="AH316">
        <f>AG316*Plan!D11/100/12</f>
        <v/>
      </c>
      <c r="AI316">
        <f>MIN(Plan!E11,AG316+AH316)</f>
        <v/>
      </c>
      <c r="AJ316">
        <f>AG316+AH316-AI316</f>
        <v/>
      </c>
      <c r="AK316">
        <f>MIN(AJ316,MAX(0,$B316-((E$5&lt;AI$5)*F316+(K$5&lt;AI$5)*L316+(Q$5&lt;AI$5)*R316+(W$5&lt;AI$5)*X316+(AC$5&lt;AI$5)*AD316+(AO$5&lt;AI$5)*AP316+(AU$5&lt;AI$5)*AV316)))</f>
        <v/>
      </c>
      <c r="AL316">
        <f>IF(AJ316-AK316&lt;0.005,0,AJ316-AK316)</f>
        <v/>
      </c>
      <c r="AM316">
        <f>AR315</f>
        <v/>
      </c>
      <c r="AN316">
        <f>AM316*Plan!D12/100/12</f>
        <v/>
      </c>
      <c r="AO316">
        <f>MIN(Plan!E12,AM316+AN316)</f>
        <v/>
      </c>
      <c r="AP316">
        <f>AM316+AN316-AO316</f>
        <v/>
      </c>
      <c r="AQ316">
        <f>MIN(AP316,MAX(0,$B316-((E$5&lt;AO$5)*F316+(K$5&lt;AO$5)*L316+(Q$5&lt;AO$5)*R316+(W$5&lt;AO$5)*X316+(AC$5&lt;AO$5)*AD316+(AI$5&lt;AO$5)*AJ316+(AU$5&lt;AO$5)*AV316)))</f>
        <v/>
      </c>
      <c r="AR316">
        <f>IF(AP316-AQ316&lt;0.005,0,AP316-AQ316)</f>
        <v/>
      </c>
      <c r="AS316">
        <f>AX315</f>
        <v/>
      </c>
      <c r="AT316">
        <f>AS316*Plan!D13/100/12</f>
        <v/>
      </c>
      <c r="AU316">
        <f>MIN(Plan!E13,AS316+AT316)</f>
        <v/>
      </c>
      <c r="AV316">
        <f>AS316+AT316-AU316</f>
        <v/>
      </c>
      <c r="AW316">
        <f>MIN(AV316,MAX(0,$B316-((E$5&lt;AU$5)*F316+(K$5&lt;AU$5)*L316+(Q$5&lt;AU$5)*R316+(W$5&lt;AU$5)*X316+(AC$5&lt;AU$5)*AD316+(AI$5&lt;AU$5)*AJ316+(AO$5&lt;AU$5)*AP316)))</f>
        <v/>
      </c>
      <c r="AX316">
        <f>IF(AV316-AW316&lt;0.005,0,AV316-AW316)</f>
        <v/>
      </c>
      <c r="BC316">
        <f>H316+N316+T316+Z316+AF316+AL316+AR316+AX316</f>
        <v/>
      </c>
    </row>
    <row r="317">
      <c r="A317" t="n">
        <v>311</v>
      </c>
      <c r="B317" s="19">
        <f>MAX(0,$B$3-(E317+K317+Q317+W317+AC317+AI317+AO317+AU317))</f>
        <v/>
      </c>
      <c r="C317">
        <f>H316</f>
        <v/>
      </c>
      <c r="D317">
        <f>C317*Plan!D6/100/12</f>
        <v/>
      </c>
      <c r="E317">
        <f>MIN(Plan!E6,C317+D317)</f>
        <v/>
      </c>
      <c r="F317">
        <f>C317+D317-E317</f>
        <v/>
      </c>
      <c r="G317">
        <f>MIN(F317,MAX(0,$B317-((K$5&lt;E$5)*L317+(Q$5&lt;E$5)*R317+(W$5&lt;E$5)*X317+(AC$5&lt;E$5)*AD317+(AI$5&lt;E$5)*AJ317+(AO$5&lt;E$5)*AP317+(AU$5&lt;E$5)*AV317)))</f>
        <v/>
      </c>
      <c r="H317">
        <f>IF(F317-G317&lt;0.005,0,F317-G317)</f>
        <v/>
      </c>
      <c r="I317">
        <f>N316</f>
        <v/>
      </c>
      <c r="J317">
        <f>I317*Plan!D7/100/12</f>
        <v/>
      </c>
      <c r="K317">
        <f>MIN(Plan!E7,I317+J317)</f>
        <v/>
      </c>
      <c r="L317">
        <f>I317+J317-K317</f>
        <v/>
      </c>
      <c r="M317">
        <f>MIN(L317,MAX(0,$B317-((E$5&lt;K$5)*F317+(Q$5&lt;K$5)*R317+(W$5&lt;K$5)*X317+(AC$5&lt;K$5)*AD317+(AI$5&lt;K$5)*AJ317+(AO$5&lt;K$5)*AP317+(AU$5&lt;K$5)*AV317)))</f>
        <v/>
      </c>
      <c r="N317">
        <f>IF(L317-M317&lt;0.005,0,L317-M317)</f>
        <v/>
      </c>
      <c r="O317">
        <f>T316</f>
        <v/>
      </c>
      <c r="P317">
        <f>O317*Plan!D8/100/12</f>
        <v/>
      </c>
      <c r="Q317">
        <f>MIN(Plan!E8,O317+P317)</f>
        <v/>
      </c>
      <c r="R317">
        <f>O317+P317-Q317</f>
        <v/>
      </c>
      <c r="S317">
        <f>MIN(R317,MAX(0,$B317-((E$5&lt;Q$5)*F317+(K$5&lt;Q$5)*L317+(W$5&lt;Q$5)*X317+(AC$5&lt;Q$5)*AD317+(AI$5&lt;Q$5)*AJ317+(AO$5&lt;Q$5)*AP317+(AU$5&lt;Q$5)*AV317)))</f>
        <v/>
      </c>
      <c r="T317">
        <f>IF(R317-S317&lt;0.005,0,R317-S317)</f>
        <v/>
      </c>
      <c r="U317">
        <f>Z316</f>
        <v/>
      </c>
      <c r="V317">
        <f>U317*Plan!D9/100/12</f>
        <v/>
      </c>
      <c r="W317">
        <f>MIN(Plan!E9,U317+V317)</f>
        <v/>
      </c>
      <c r="X317">
        <f>U317+V317-W317</f>
        <v/>
      </c>
      <c r="Y317">
        <f>MIN(X317,MAX(0,$B317-((E$5&lt;W$5)*F317+(K$5&lt;W$5)*L317+(Q$5&lt;W$5)*R317+(AC$5&lt;W$5)*AD317+(AI$5&lt;W$5)*AJ317+(AO$5&lt;W$5)*AP317+(AU$5&lt;W$5)*AV317)))</f>
        <v/>
      </c>
      <c r="Z317">
        <f>IF(X317-Y317&lt;0.005,0,X317-Y317)</f>
        <v/>
      </c>
      <c r="AA317">
        <f>AF316</f>
        <v/>
      </c>
      <c r="AB317">
        <f>AA317*Plan!D10/100/12</f>
        <v/>
      </c>
      <c r="AC317">
        <f>MIN(Plan!E10,AA317+AB317)</f>
        <v/>
      </c>
      <c r="AD317">
        <f>AA317+AB317-AC317</f>
        <v/>
      </c>
      <c r="AE317">
        <f>MIN(AD317,MAX(0,$B317-((E$5&lt;AC$5)*F317+(K$5&lt;AC$5)*L317+(Q$5&lt;AC$5)*R317+(W$5&lt;AC$5)*X317+(AI$5&lt;AC$5)*AJ317+(AO$5&lt;AC$5)*AP317+(AU$5&lt;AC$5)*AV317)))</f>
        <v/>
      </c>
      <c r="AF317">
        <f>IF(AD317-AE317&lt;0.005,0,AD317-AE317)</f>
        <v/>
      </c>
      <c r="AG317">
        <f>AL316</f>
        <v/>
      </c>
      <c r="AH317">
        <f>AG317*Plan!D11/100/12</f>
        <v/>
      </c>
      <c r="AI317">
        <f>MIN(Plan!E11,AG317+AH317)</f>
        <v/>
      </c>
      <c r="AJ317">
        <f>AG317+AH317-AI317</f>
        <v/>
      </c>
      <c r="AK317">
        <f>MIN(AJ317,MAX(0,$B317-((E$5&lt;AI$5)*F317+(K$5&lt;AI$5)*L317+(Q$5&lt;AI$5)*R317+(W$5&lt;AI$5)*X317+(AC$5&lt;AI$5)*AD317+(AO$5&lt;AI$5)*AP317+(AU$5&lt;AI$5)*AV317)))</f>
        <v/>
      </c>
      <c r="AL317">
        <f>IF(AJ317-AK317&lt;0.005,0,AJ317-AK317)</f>
        <v/>
      </c>
      <c r="AM317">
        <f>AR316</f>
        <v/>
      </c>
      <c r="AN317">
        <f>AM317*Plan!D12/100/12</f>
        <v/>
      </c>
      <c r="AO317">
        <f>MIN(Plan!E12,AM317+AN317)</f>
        <v/>
      </c>
      <c r="AP317">
        <f>AM317+AN317-AO317</f>
        <v/>
      </c>
      <c r="AQ317">
        <f>MIN(AP317,MAX(0,$B317-((E$5&lt;AO$5)*F317+(K$5&lt;AO$5)*L317+(Q$5&lt;AO$5)*R317+(W$5&lt;AO$5)*X317+(AC$5&lt;AO$5)*AD317+(AI$5&lt;AO$5)*AJ317+(AU$5&lt;AO$5)*AV317)))</f>
        <v/>
      </c>
      <c r="AR317">
        <f>IF(AP317-AQ317&lt;0.005,0,AP317-AQ317)</f>
        <v/>
      </c>
      <c r="AS317">
        <f>AX316</f>
        <v/>
      </c>
      <c r="AT317">
        <f>AS317*Plan!D13/100/12</f>
        <v/>
      </c>
      <c r="AU317">
        <f>MIN(Plan!E13,AS317+AT317)</f>
        <v/>
      </c>
      <c r="AV317">
        <f>AS317+AT317-AU317</f>
        <v/>
      </c>
      <c r="AW317">
        <f>MIN(AV317,MAX(0,$B317-((E$5&lt;AU$5)*F317+(K$5&lt;AU$5)*L317+(Q$5&lt;AU$5)*R317+(W$5&lt;AU$5)*X317+(AC$5&lt;AU$5)*AD317+(AI$5&lt;AU$5)*AJ317+(AO$5&lt;AU$5)*AP317)))</f>
        <v/>
      </c>
      <c r="AX317">
        <f>IF(AV317-AW317&lt;0.005,0,AV317-AW317)</f>
        <v/>
      </c>
      <c r="BC317">
        <f>H317+N317+T317+Z317+AF317+AL317+AR317+AX317</f>
        <v/>
      </c>
    </row>
    <row r="318">
      <c r="A318" t="n">
        <v>312</v>
      </c>
      <c r="B318" s="19">
        <f>MAX(0,$B$3-(E318+K318+Q318+W318+AC318+AI318+AO318+AU318))</f>
        <v/>
      </c>
      <c r="C318">
        <f>H317</f>
        <v/>
      </c>
      <c r="D318">
        <f>C318*Plan!D6/100/12</f>
        <v/>
      </c>
      <c r="E318">
        <f>MIN(Plan!E6,C318+D318)</f>
        <v/>
      </c>
      <c r="F318">
        <f>C318+D318-E318</f>
        <v/>
      </c>
      <c r="G318">
        <f>MIN(F318,MAX(0,$B318-((K$5&lt;E$5)*L318+(Q$5&lt;E$5)*R318+(W$5&lt;E$5)*X318+(AC$5&lt;E$5)*AD318+(AI$5&lt;E$5)*AJ318+(AO$5&lt;E$5)*AP318+(AU$5&lt;E$5)*AV318)))</f>
        <v/>
      </c>
      <c r="H318">
        <f>IF(F318-G318&lt;0.005,0,F318-G318)</f>
        <v/>
      </c>
      <c r="I318">
        <f>N317</f>
        <v/>
      </c>
      <c r="J318">
        <f>I318*Plan!D7/100/12</f>
        <v/>
      </c>
      <c r="K318">
        <f>MIN(Plan!E7,I318+J318)</f>
        <v/>
      </c>
      <c r="L318">
        <f>I318+J318-K318</f>
        <v/>
      </c>
      <c r="M318">
        <f>MIN(L318,MAX(0,$B318-((E$5&lt;K$5)*F318+(Q$5&lt;K$5)*R318+(W$5&lt;K$5)*X318+(AC$5&lt;K$5)*AD318+(AI$5&lt;K$5)*AJ318+(AO$5&lt;K$5)*AP318+(AU$5&lt;K$5)*AV318)))</f>
        <v/>
      </c>
      <c r="N318">
        <f>IF(L318-M318&lt;0.005,0,L318-M318)</f>
        <v/>
      </c>
      <c r="O318">
        <f>T317</f>
        <v/>
      </c>
      <c r="P318">
        <f>O318*Plan!D8/100/12</f>
        <v/>
      </c>
      <c r="Q318">
        <f>MIN(Plan!E8,O318+P318)</f>
        <v/>
      </c>
      <c r="R318">
        <f>O318+P318-Q318</f>
        <v/>
      </c>
      <c r="S318">
        <f>MIN(R318,MAX(0,$B318-((E$5&lt;Q$5)*F318+(K$5&lt;Q$5)*L318+(W$5&lt;Q$5)*X318+(AC$5&lt;Q$5)*AD318+(AI$5&lt;Q$5)*AJ318+(AO$5&lt;Q$5)*AP318+(AU$5&lt;Q$5)*AV318)))</f>
        <v/>
      </c>
      <c r="T318">
        <f>IF(R318-S318&lt;0.005,0,R318-S318)</f>
        <v/>
      </c>
      <c r="U318">
        <f>Z317</f>
        <v/>
      </c>
      <c r="V318">
        <f>U318*Plan!D9/100/12</f>
        <v/>
      </c>
      <c r="W318">
        <f>MIN(Plan!E9,U318+V318)</f>
        <v/>
      </c>
      <c r="X318">
        <f>U318+V318-W318</f>
        <v/>
      </c>
      <c r="Y318">
        <f>MIN(X318,MAX(0,$B318-((E$5&lt;W$5)*F318+(K$5&lt;W$5)*L318+(Q$5&lt;W$5)*R318+(AC$5&lt;W$5)*AD318+(AI$5&lt;W$5)*AJ318+(AO$5&lt;W$5)*AP318+(AU$5&lt;W$5)*AV318)))</f>
        <v/>
      </c>
      <c r="Z318">
        <f>IF(X318-Y318&lt;0.005,0,X318-Y318)</f>
        <v/>
      </c>
      <c r="AA318">
        <f>AF317</f>
        <v/>
      </c>
      <c r="AB318">
        <f>AA318*Plan!D10/100/12</f>
        <v/>
      </c>
      <c r="AC318">
        <f>MIN(Plan!E10,AA318+AB318)</f>
        <v/>
      </c>
      <c r="AD318">
        <f>AA318+AB318-AC318</f>
        <v/>
      </c>
      <c r="AE318">
        <f>MIN(AD318,MAX(0,$B318-((E$5&lt;AC$5)*F318+(K$5&lt;AC$5)*L318+(Q$5&lt;AC$5)*R318+(W$5&lt;AC$5)*X318+(AI$5&lt;AC$5)*AJ318+(AO$5&lt;AC$5)*AP318+(AU$5&lt;AC$5)*AV318)))</f>
        <v/>
      </c>
      <c r="AF318">
        <f>IF(AD318-AE318&lt;0.005,0,AD318-AE318)</f>
        <v/>
      </c>
      <c r="AG318">
        <f>AL317</f>
        <v/>
      </c>
      <c r="AH318">
        <f>AG318*Plan!D11/100/12</f>
        <v/>
      </c>
      <c r="AI318">
        <f>MIN(Plan!E11,AG318+AH318)</f>
        <v/>
      </c>
      <c r="AJ318">
        <f>AG318+AH318-AI318</f>
        <v/>
      </c>
      <c r="AK318">
        <f>MIN(AJ318,MAX(0,$B318-((E$5&lt;AI$5)*F318+(K$5&lt;AI$5)*L318+(Q$5&lt;AI$5)*R318+(W$5&lt;AI$5)*X318+(AC$5&lt;AI$5)*AD318+(AO$5&lt;AI$5)*AP318+(AU$5&lt;AI$5)*AV318)))</f>
        <v/>
      </c>
      <c r="AL318">
        <f>IF(AJ318-AK318&lt;0.005,0,AJ318-AK318)</f>
        <v/>
      </c>
      <c r="AM318">
        <f>AR317</f>
        <v/>
      </c>
      <c r="AN318">
        <f>AM318*Plan!D12/100/12</f>
        <v/>
      </c>
      <c r="AO318">
        <f>MIN(Plan!E12,AM318+AN318)</f>
        <v/>
      </c>
      <c r="AP318">
        <f>AM318+AN318-AO318</f>
        <v/>
      </c>
      <c r="AQ318">
        <f>MIN(AP318,MAX(0,$B318-((E$5&lt;AO$5)*F318+(K$5&lt;AO$5)*L318+(Q$5&lt;AO$5)*R318+(W$5&lt;AO$5)*X318+(AC$5&lt;AO$5)*AD318+(AI$5&lt;AO$5)*AJ318+(AU$5&lt;AO$5)*AV318)))</f>
        <v/>
      </c>
      <c r="AR318">
        <f>IF(AP318-AQ318&lt;0.005,0,AP318-AQ318)</f>
        <v/>
      </c>
      <c r="AS318">
        <f>AX317</f>
        <v/>
      </c>
      <c r="AT318">
        <f>AS318*Plan!D13/100/12</f>
        <v/>
      </c>
      <c r="AU318">
        <f>MIN(Plan!E13,AS318+AT318)</f>
        <v/>
      </c>
      <c r="AV318">
        <f>AS318+AT318-AU318</f>
        <v/>
      </c>
      <c r="AW318">
        <f>MIN(AV318,MAX(0,$B318-((E$5&lt;AU$5)*F318+(K$5&lt;AU$5)*L318+(Q$5&lt;AU$5)*R318+(W$5&lt;AU$5)*X318+(AC$5&lt;AU$5)*AD318+(AI$5&lt;AU$5)*AJ318+(AO$5&lt;AU$5)*AP318)))</f>
        <v/>
      </c>
      <c r="AX318">
        <f>IF(AV318-AW318&lt;0.005,0,AV318-AW318)</f>
        <v/>
      </c>
      <c r="BC318">
        <f>H318+N318+T318+Z318+AF318+AL318+AR318+AX318</f>
        <v/>
      </c>
    </row>
    <row r="319">
      <c r="A319" t="n">
        <v>313</v>
      </c>
      <c r="B319" s="19">
        <f>MAX(0,$B$3-(E319+K319+Q319+W319+AC319+AI319+AO319+AU319))</f>
        <v/>
      </c>
      <c r="C319">
        <f>H318</f>
        <v/>
      </c>
      <c r="D319">
        <f>C319*Plan!D6/100/12</f>
        <v/>
      </c>
      <c r="E319">
        <f>MIN(Plan!E6,C319+D319)</f>
        <v/>
      </c>
      <c r="F319">
        <f>C319+D319-E319</f>
        <v/>
      </c>
      <c r="G319">
        <f>MIN(F319,MAX(0,$B319-((K$5&lt;E$5)*L319+(Q$5&lt;E$5)*R319+(W$5&lt;E$5)*X319+(AC$5&lt;E$5)*AD319+(AI$5&lt;E$5)*AJ319+(AO$5&lt;E$5)*AP319+(AU$5&lt;E$5)*AV319)))</f>
        <v/>
      </c>
      <c r="H319">
        <f>IF(F319-G319&lt;0.005,0,F319-G319)</f>
        <v/>
      </c>
      <c r="I319">
        <f>N318</f>
        <v/>
      </c>
      <c r="J319">
        <f>I319*Plan!D7/100/12</f>
        <v/>
      </c>
      <c r="K319">
        <f>MIN(Plan!E7,I319+J319)</f>
        <v/>
      </c>
      <c r="L319">
        <f>I319+J319-K319</f>
        <v/>
      </c>
      <c r="M319">
        <f>MIN(L319,MAX(0,$B319-((E$5&lt;K$5)*F319+(Q$5&lt;K$5)*R319+(W$5&lt;K$5)*X319+(AC$5&lt;K$5)*AD319+(AI$5&lt;K$5)*AJ319+(AO$5&lt;K$5)*AP319+(AU$5&lt;K$5)*AV319)))</f>
        <v/>
      </c>
      <c r="N319">
        <f>IF(L319-M319&lt;0.005,0,L319-M319)</f>
        <v/>
      </c>
      <c r="O319">
        <f>T318</f>
        <v/>
      </c>
      <c r="P319">
        <f>O319*Plan!D8/100/12</f>
        <v/>
      </c>
      <c r="Q319">
        <f>MIN(Plan!E8,O319+P319)</f>
        <v/>
      </c>
      <c r="R319">
        <f>O319+P319-Q319</f>
        <v/>
      </c>
      <c r="S319">
        <f>MIN(R319,MAX(0,$B319-((E$5&lt;Q$5)*F319+(K$5&lt;Q$5)*L319+(W$5&lt;Q$5)*X319+(AC$5&lt;Q$5)*AD319+(AI$5&lt;Q$5)*AJ319+(AO$5&lt;Q$5)*AP319+(AU$5&lt;Q$5)*AV319)))</f>
        <v/>
      </c>
      <c r="T319">
        <f>IF(R319-S319&lt;0.005,0,R319-S319)</f>
        <v/>
      </c>
      <c r="U319">
        <f>Z318</f>
        <v/>
      </c>
      <c r="V319">
        <f>U319*Plan!D9/100/12</f>
        <v/>
      </c>
      <c r="W319">
        <f>MIN(Plan!E9,U319+V319)</f>
        <v/>
      </c>
      <c r="X319">
        <f>U319+V319-W319</f>
        <v/>
      </c>
      <c r="Y319">
        <f>MIN(X319,MAX(0,$B319-((E$5&lt;W$5)*F319+(K$5&lt;W$5)*L319+(Q$5&lt;W$5)*R319+(AC$5&lt;W$5)*AD319+(AI$5&lt;W$5)*AJ319+(AO$5&lt;W$5)*AP319+(AU$5&lt;W$5)*AV319)))</f>
        <v/>
      </c>
      <c r="Z319">
        <f>IF(X319-Y319&lt;0.005,0,X319-Y319)</f>
        <v/>
      </c>
      <c r="AA319">
        <f>AF318</f>
        <v/>
      </c>
      <c r="AB319">
        <f>AA319*Plan!D10/100/12</f>
        <v/>
      </c>
      <c r="AC319">
        <f>MIN(Plan!E10,AA319+AB319)</f>
        <v/>
      </c>
      <c r="AD319">
        <f>AA319+AB319-AC319</f>
        <v/>
      </c>
      <c r="AE319">
        <f>MIN(AD319,MAX(0,$B319-((E$5&lt;AC$5)*F319+(K$5&lt;AC$5)*L319+(Q$5&lt;AC$5)*R319+(W$5&lt;AC$5)*X319+(AI$5&lt;AC$5)*AJ319+(AO$5&lt;AC$5)*AP319+(AU$5&lt;AC$5)*AV319)))</f>
        <v/>
      </c>
      <c r="AF319">
        <f>IF(AD319-AE319&lt;0.005,0,AD319-AE319)</f>
        <v/>
      </c>
      <c r="AG319">
        <f>AL318</f>
        <v/>
      </c>
      <c r="AH319">
        <f>AG319*Plan!D11/100/12</f>
        <v/>
      </c>
      <c r="AI319">
        <f>MIN(Plan!E11,AG319+AH319)</f>
        <v/>
      </c>
      <c r="AJ319">
        <f>AG319+AH319-AI319</f>
        <v/>
      </c>
      <c r="AK319">
        <f>MIN(AJ319,MAX(0,$B319-((E$5&lt;AI$5)*F319+(K$5&lt;AI$5)*L319+(Q$5&lt;AI$5)*R319+(W$5&lt;AI$5)*X319+(AC$5&lt;AI$5)*AD319+(AO$5&lt;AI$5)*AP319+(AU$5&lt;AI$5)*AV319)))</f>
        <v/>
      </c>
      <c r="AL319">
        <f>IF(AJ319-AK319&lt;0.005,0,AJ319-AK319)</f>
        <v/>
      </c>
      <c r="AM319">
        <f>AR318</f>
        <v/>
      </c>
      <c r="AN319">
        <f>AM319*Plan!D12/100/12</f>
        <v/>
      </c>
      <c r="AO319">
        <f>MIN(Plan!E12,AM319+AN319)</f>
        <v/>
      </c>
      <c r="AP319">
        <f>AM319+AN319-AO319</f>
        <v/>
      </c>
      <c r="AQ319">
        <f>MIN(AP319,MAX(0,$B319-((E$5&lt;AO$5)*F319+(K$5&lt;AO$5)*L319+(Q$5&lt;AO$5)*R319+(W$5&lt;AO$5)*X319+(AC$5&lt;AO$5)*AD319+(AI$5&lt;AO$5)*AJ319+(AU$5&lt;AO$5)*AV319)))</f>
        <v/>
      </c>
      <c r="AR319">
        <f>IF(AP319-AQ319&lt;0.005,0,AP319-AQ319)</f>
        <v/>
      </c>
      <c r="AS319">
        <f>AX318</f>
        <v/>
      </c>
      <c r="AT319">
        <f>AS319*Plan!D13/100/12</f>
        <v/>
      </c>
      <c r="AU319">
        <f>MIN(Plan!E13,AS319+AT319)</f>
        <v/>
      </c>
      <c r="AV319">
        <f>AS319+AT319-AU319</f>
        <v/>
      </c>
      <c r="AW319">
        <f>MIN(AV319,MAX(0,$B319-((E$5&lt;AU$5)*F319+(K$5&lt;AU$5)*L319+(Q$5&lt;AU$5)*R319+(W$5&lt;AU$5)*X319+(AC$5&lt;AU$5)*AD319+(AI$5&lt;AU$5)*AJ319+(AO$5&lt;AU$5)*AP319)))</f>
        <v/>
      </c>
      <c r="AX319">
        <f>IF(AV319-AW319&lt;0.005,0,AV319-AW319)</f>
        <v/>
      </c>
      <c r="BC319">
        <f>H319+N319+T319+Z319+AF319+AL319+AR319+AX319</f>
        <v/>
      </c>
    </row>
    <row r="320">
      <c r="A320" t="n">
        <v>314</v>
      </c>
      <c r="B320" s="19">
        <f>MAX(0,$B$3-(E320+K320+Q320+W320+AC320+AI320+AO320+AU320))</f>
        <v/>
      </c>
      <c r="C320">
        <f>H319</f>
        <v/>
      </c>
      <c r="D320">
        <f>C320*Plan!D6/100/12</f>
        <v/>
      </c>
      <c r="E320">
        <f>MIN(Plan!E6,C320+D320)</f>
        <v/>
      </c>
      <c r="F320">
        <f>C320+D320-E320</f>
        <v/>
      </c>
      <c r="G320">
        <f>MIN(F320,MAX(0,$B320-((K$5&lt;E$5)*L320+(Q$5&lt;E$5)*R320+(W$5&lt;E$5)*X320+(AC$5&lt;E$5)*AD320+(AI$5&lt;E$5)*AJ320+(AO$5&lt;E$5)*AP320+(AU$5&lt;E$5)*AV320)))</f>
        <v/>
      </c>
      <c r="H320">
        <f>IF(F320-G320&lt;0.005,0,F320-G320)</f>
        <v/>
      </c>
      <c r="I320">
        <f>N319</f>
        <v/>
      </c>
      <c r="J320">
        <f>I320*Plan!D7/100/12</f>
        <v/>
      </c>
      <c r="K320">
        <f>MIN(Plan!E7,I320+J320)</f>
        <v/>
      </c>
      <c r="L320">
        <f>I320+J320-K320</f>
        <v/>
      </c>
      <c r="M320">
        <f>MIN(L320,MAX(0,$B320-((E$5&lt;K$5)*F320+(Q$5&lt;K$5)*R320+(W$5&lt;K$5)*X320+(AC$5&lt;K$5)*AD320+(AI$5&lt;K$5)*AJ320+(AO$5&lt;K$5)*AP320+(AU$5&lt;K$5)*AV320)))</f>
        <v/>
      </c>
      <c r="N320">
        <f>IF(L320-M320&lt;0.005,0,L320-M320)</f>
        <v/>
      </c>
      <c r="O320">
        <f>T319</f>
        <v/>
      </c>
      <c r="P320">
        <f>O320*Plan!D8/100/12</f>
        <v/>
      </c>
      <c r="Q320">
        <f>MIN(Plan!E8,O320+P320)</f>
        <v/>
      </c>
      <c r="R320">
        <f>O320+P320-Q320</f>
        <v/>
      </c>
      <c r="S320">
        <f>MIN(R320,MAX(0,$B320-((E$5&lt;Q$5)*F320+(K$5&lt;Q$5)*L320+(W$5&lt;Q$5)*X320+(AC$5&lt;Q$5)*AD320+(AI$5&lt;Q$5)*AJ320+(AO$5&lt;Q$5)*AP320+(AU$5&lt;Q$5)*AV320)))</f>
        <v/>
      </c>
      <c r="T320">
        <f>IF(R320-S320&lt;0.005,0,R320-S320)</f>
        <v/>
      </c>
      <c r="U320">
        <f>Z319</f>
        <v/>
      </c>
      <c r="V320">
        <f>U320*Plan!D9/100/12</f>
        <v/>
      </c>
      <c r="W320">
        <f>MIN(Plan!E9,U320+V320)</f>
        <v/>
      </c>
      <c r="X320">
        <f>U320+V320-W320</f>
        <v/>
      </c>
      <c r="Y320">
        <f>MIN(X320,MAX(0,$B320-((E$5&lt;W$5)*F320+(K$5&lt;W$5)*L320+(Q$5&lt;W$5)*R320+(AC$5&lt;W$5)*AD320+(AI$5&lt;W$5)*AJ320+(AO$5&lt;W$5)*AP320+(AU$5&lt;W$5)*AV320)))</f>
        <v/>
      </c>
      <c r="Z320">
        <f>IF(X320-Y320&lt;0.005,0,X320-Y320)</f>
        <v/>
      </c>
      <c r="AA320">
        <f>AF319</f>
        <v/>
      </c>
      <c r="AB320">
        <f>AA320*Plan!D10/100/12</f>
        <v/>
      </c>
      <c r="AC320">
        <f>MIN(Plan!E10,AA320+AB320)</f>
        <v/>
      </c>
      <c r="AD320">
        <f>AA320+AB320-AC320</f>
        <v/>
      </c>
      <c r="AE320">
        <f>MIN(AD320,MAX(0,$B320-((E$5&lt;AC$5)*F320+(K$5&lt;AC$5)*L320+(Q$5&lt;AC$5)*R320+(W$5&lt;AC$5)*X320+(AI$5&lt;AC$5)*AJ320+(AO$5&lt;AC$5)*AP320+(AU$5&lt;AC$5)*AV320)))</f>
        <v/>
      </c>
      <c r="AF320">
        <f>IF(AD320-AE320&lt;0.005,0,AD320-AE320)</f>
        <v/>
      </c>
      <c r="AG320">
        <f>AL319</f>
        <v/>
      </c>
      <c r="AH320">
        <f>AG320*Plan!D11/100/12</f>
        <v/>
      </c>
      <c r="AI320">
        <f>MIN(Plan!E11,AG320+AH320)</f>
        <v/>
      </c>
      <c r="AJ320">
        <f>AG320+AH320-AI320</f>
        <v/>
      </c>
      <c r="AK320">
        <f>MIN(AJ320,MAX(0,$B320-((E$5&lt;AI$5)*F320+(K$5&lt;AI$5)*L320+(Q$5&lt;AI$5)*R320+(W$5&lt;AI$5)*X320+(AC$5&lt;AI$5)*AD320+(AO$5&lt;AI$5)*AP320+(AU$5&lt;AI$5)*AV320)))</f>
        <v/>
      </c>
      <c r="AL320">
        <f>IF(AJ320-AK320&lt;0.005,0,AJ320-AK320)</f>
        <v/>
      </c>
      <c r="AM320">
        <f>AR319</f>
        <v/>
      </c>
      <c r="AN320">
        <f>AM320*Plan!D12/100/12</f>
        <v/>
      </c>
      <c r="AO320">
        <f>MIN(Plan!E12,AM320+AN320)</f>
        <v/>
      </c>
      <c r="AP320">
        <f>AM320+AN320-AO320</f>
        <v/>
      </c>
      <c r="AQ320">
        <f>MIN(AP320,MAX(0,$B320-((E$5&lt;AO$5)*F320+(K$5&lt;AO$5)*L320+(Q$5&lt;AO$5)*R320+(W$5&lt;AO$5)*X320+(AC$5&lt;AO$5)*AD320+(AI$5&lt;AO$5)*AJ320+(AU$5&lt;AO$5)*AV320)))</f>
        <v/>
      </c>
      <c r="AR320">
        <f>IF(AP320-AQ320&lt;0.005,0,AP320-AQ320)</f>
        <v/>
      </c>
      <c r="AS320">
        <f>AX319</f>
        <v/>
      </c>
      <c r="AT320">
        <f>AS320*Plan!D13/100/12</f>
        <v/>
      </c>
      <c r="AU320">
        <f>MIN(Plan!E13,AS320+AT320)</f>
        <v/>
      </c>
      <c r="AV320">
        <f>AS320+AT320-AU320</f>
        <v/>
      </c>
      <c r="AW320">
        <f>MIN(AV320,MAX(0,$B320-((E$5&lt;AU$5)*F320+(K$5&lt;AU$5)*L320+(Q$5&lt;AU$5)*R320+(W$5&lt;AU$5)*X320+(AC$5&lt;AU$5)*AD320+(AI$5&lt;AU$5)*AJ320+(AO$5&lt;AU$5)*AP320)))</f>
        <v/>
      </c>
      <c r="AX320">
        <f>IF(AV320-AW320&lt;0.005,0,AV320-AW320)</f>
        <v/>
      </c>
      <c r="BC320">
        <f>H320+N320+T320+Z320+AF320+AL320+AR320+AX320</f>
        <v/>
      </c>
    </row>
    <row r="321">
      <c r="A321" t="n">
        <v>315</v>
      </c>
      <c r="B321" s="19">
        <f>MAX(0,$B$3-(E321+K321+Q321+W321+AC321+AI321+AO321+AU321))</f>
        <v/>
      </c>
      <c r="C321">
        <f>H320</f>
        <v/>
      </c>
      <c r="D321">
        <f>C321*Plan!D6/100/12</f>
        <v/>
      </c>
      <c r="E321">
        <f>MIN(Plan!E6,C321+D321)</f>
        <v/>
      </c>
      <c r="F321">
        <f>C321+D321-E321</f>
        <v/>
      </c>
      <c r="G321">
        <f>MIN(F321,MAX(0,$B321-((K$5&lt;E$5)*L321+(Q$5&lt;E$5)*R321+(W$5&lt;E$5)*X321+(AC$5&lt;E$5)*AD321+(AI$5&lt;E$5)*AJ321+(AO$5&lt;E$5)*AP321+(AU$5&lt;E$5)*AV321)))</f>
        <v/>
      </c>
      <c r="H321">
        <f>IF(F321-G321&lt;0.005,0,F321-G321)</f>
        <v/>
      </c>
      <c r="I321">
        <f>N320</f>
        <v/>
      </c>
      <c r="J321">
        <f>I321*Plan!D7/100/12</f>
        <v/>
      </c>
      <c r="K321">
        <f>MIN(Plan!E7,I321+J321)</f>
        <v/>
      </c>
      <c r="L321">
        <f>I321+J321-K321</f>
        <v/>
      </c>
      <c r="M321">
        <f>MIN(L321,MAX(0,$B321-((E$5&lt;K$5)*F321+(Q$5&lt;K$5)*R321+(W$5&lt;K$5)*X321+(AC$5&lt;K$5)*AD321+(AI$5&lt;K$5)*AJ321+(AO$5&lt;K$5)*AP321+(AU$5&lt;K$5)*AV321)))</f>
        <v/>
      </c>
      <c r="N321">
        <f>IF(L321-M321&lt;0.005,0,L321-M321)</f>
        <v/>
      </c>
      <c r="O321">
        <f>T320</f>
        <v/>
      </c>
      <c r="P321">
        <f>O321*Plan!D8/100/12</f>
        <v/>
      </c>
      <c r="Q321">
        <f>MIN(Plan!E8,O321+P321)</f>
        <v/>
      </c>
      <c r="R321">
        <f>O321+P321-Q321</f>
        <v/>
      </c>
      <c r="S321">
        <f>MIN(R321,MAX(0,$B321-((E$5&lt;Q$5)*F321+(K$5&lt;Q$5)*L321+(W$5&lt;Q$5)*X321+(AC$5&lt;Q$5)*AD321+(AI$5&lt;Q$5)*AJ321+(AO$5&lt;Q$5)*AP321+(AU$5&lt;Q$5)*AV321)))</f>
        <v/>
      </c>
      <c r="T321">
        <f>IF(R321-S321&lt;0.005,0,R321-S321)</f>
        <v/>
      </c>
      <c r="U321">
        <f>Z320</f>
        <v/>
      </c>
      <c r="V321">
        <f>U321*Plan!D9/100/12</f>
        <v/>
      </c>
      <c r="W321">
        <f>MIN(Plan!E9,U321+V321)</f>
        <v/>
      </c>
      <c r="X321">
        <f>U321+V321-W321</f>
        <v/>
      </c>
      <c r="Y321">
        <f>MIN(X321,MAX(0,$B321-((E$5&lt;W$5)*F321+(K$5&lt;W$5)*L321+(Q$5&lt;W$5)*R321+(AC$5&lt;W$5)*AD321+(AI$5&lt;W$5)*AJ321+(AO$5&lt;W$5)*AP321+(AU$5&lt;W$5)*AV321)))</f>
        <v/>
      </c>
      <c r="Z321">
        <f>IF(X321-Y321&lt;0.005,0,X321-Y321)</f>
        <v/>
      </c>
      <c r="AA321">
        <f>AF320</f>
        <v/>
      </c>
      <c r="AB321">
        <f>AA321*Plan!D10/100/12</f>
        <v/>
      </c>
      <c r="AC321">
        <f>MIN(Plan!E10,AA321+AB321)</f>
        <v/>
      </c>
      <c r="AD321">
        <f>AA321+AB321-AC321</f>
        <v/>
      </c>
      <c r="AE321">
        <f>MIN(AD321,MAX(0,$B321-((E$5&lt;AC$5)*F321+(K$5&lt;AC$5)*L321+(Q$5&lt;AC$5)*R321+(W$5&lt;AC$5)*X321+(AI$5&lt;AC$5)*AJ321+(AO$5&lt;AC$5)*AP321+(AU$5&lt;AC$5)*AV321)))</f>
        <v/>
      </c>
      <c r="AF321">
        <f>IF(AD321-AE321&lt;0.005,0,AD321-AE321)</f>
        <v/>
      </c>
      <c r="AG321">
        <f>AL320</f>
        <v/>
      </c>
      <c r="AH321">
        <f>AG321*Plan!D11/100/12</f>
        <v/>
      </c>
      <c r="AI321">
        <f>MIN(Plan!E11,AG321+AH321)</f>
        <v/>
      </c>
      <c r="AJ321">
        <f>AG321+AH321-AI321</f>
        <v/>
      </c>
      <c r="AK321">
        <f>MIN(AJ321,MAX(0,$B321-((E$5&lt;AI$5)*F321+(K$5&lt;AI$5)*L321+(Q$5&lt;AI$5)*R321+(W$5&lt;AI$5)*X321+(AC$5&lt;AI$5)*AD321+(AO$5&lt;AI$5)*AP321+(AU$5&lt;AI$5)*AV321)))</f>
        <v/>
      </c>
      <c r="AL321">
        <f>IF(AJ321-AK321&lt;0.005,0,AJ321-AK321)</f>
        <v/>
      </c>
      <c r="AM321">
        <f>AR320</f>
        <v/>
      </c>
      <c r="AN321">
        <f>AM321*Plan!D12/100/12</f>
        <v/>
      </c>
      <c r="AO321">
        <f>MIN(Plan!E12,AM321+AN321)</f>
        <v/>
      </c>
      <c r="AP321">
        <f>AM321+AN321-AO321</f>
        <v/>
      </c>
      <c r="AQ321">
        <f>MIN(AP321,MAX(0,$B321-((E$5&lt;AO$5)*F321+(K$5&lt;AO$5)*L321+(Q$5&lt;AO$5)*R321+(W$5&lt;AO$5)*X321+(AC$5&lt;AO$5)*AD321+(AI$5&lt;AO$5)*AJ321+(AU$5&lt;AO$5)*AV321)))</f>
        <v/>
      </c>
      <c r="AR321">
        <f>IF(AP321-AQ321&lt;0.005,0,AP321-AQ321)</f>
        <v/>
      </c>
      <c r="AS321">
        <f>AX320</f>
        <v/>
      </c>
      <c r="AT321">
        <f>AS321*Plan!D13/100/12</f>
        <v/>
      </c>
      <c r="AU321">
        <f>MIN(Plan!E13,AS321+AT321)</f>
        <v/>
      </c>
      <c r="AV321">
        <f>AS321+AT321-AU321</f>
        <v/>
      </c>
      <c r="AW321">
        <f>MIN(AV321,MAX(0,$B321-((E$5&lt;AU$5)*F321+(K$5&lt;AU$5)*L321+(Q$5&lt;AU$5)*R321+(W$5&lt;AU$5)*X321+(AC$5&lt;AU$5)*AD321+(AI$5&lt;AU$5)*AJ321+(AO$5&lt;AU$5)*AP321)))</f>
        <v/>
      </c>
      <c r="AX321">
        <f>IF(AV321-AW321&lt;0.005,0,AV321-AW321)</f>
        <v/>
      </c>
      <c r="BC321">
        <f>H321+N321+T321+Z321+AF321+AL321+AR321+AX321</f>
        <v/>
      </c>
    </row>
    <row r="322">
      <c r="A322" t="n">
        <v>316</v>
      </c>
      <c r="B322" s="19">
        <f>MAX(0,$B$3-(E322+K322+Q322+W322+AC322+AI322+AO322+AU322))</f>
        <v/>
      </c>
      <c r="C322">
        <f>H321</f>
        <v/>
      </c>
      <c r="D322">
        <f>C322*Plan!D6/100/12</f>
        <v/>
      </c>
      <c r="E322">
        <f>MIN(Plan!E6,C322+D322)</f>
        <v/>
      </c>
      <c r="F322">
        <f>C322+D322-E322</f>
        <v/>
      </c>
      <c r="G322">
        <f>MIN(F322,MAX(0,$B322-((K$5&lt;E$5)*L322+(Q$5&lt;E$5)*R322+(W$5&lt;E$5)*X322+(AC$5&lt;E$5)*AD322+(AI$5&lt;E$5)*AJ322+(AO$5&lt;E$5)*AP322+(AU$5&lt;E$5)*AV322)))</f>
        <v/>
      </c>
      <c r="H322">
        <f>IF(F322-G322&lt;0.005,0,F322-G322)</f>
        <v/>
      </c>
      <c r="I322">
        <f>N321</f>
        <v/>
      </c>
      <c r="J322">
        <f>I322*Plan!D7/100/12</f>
        <v/>
      </c>
      <c r="K322">
        <f>MIN(Plan!E7,I322+J322)</f>
        <v/>
      </c>
      <c r="L322">
        <f>I322+J322-K322</f>
        <v/>
      </c>
      <c r="M322">
        <f>MIN(L322,MAX(0,$B322-((E$5&lt;K$5)*F322+(Q$5&lt;K$5)*R322+(W$5&lt;K$5)*X322+(AC$5&lt;K$5)*AD322+(AI$5&lt;K$5)*AJ322+(AO$5&lt;K$5)*AP322+(AU$5&lt;K$5)*AV322)))</f>
        <v/>
      </c>
      <c r="N322">
        <f>IF(L322-M322&lt;0.005,0,L322-M322)</f>
        <v/>
      </c>
      <c r="O322">
        <f>T321</f>
        <v/>
      </c>
      <c r="P322">
        <f>O322*Plan!D8/100/12</f>
        <v/>
      </c>
      <c r="Q322">
        <f>MIN(Plan!E8,O322+P322)</f>
        <v/>
      </c>
      <c r="R322">
        <f>O322+P322-Q322</f>
        <v/>
      </c>
      <c r="S322">
        <f>MIN(R322,MAX(0,$B322-((E$5&lt;Q$5)*F322+(K$5&lt;Q$5)*L322+(W$5&lt;Q$5)*X322+(AC$5&lt;Q$5)*AD322+(AI$5&lt;Q$5)*AJ322+(AO$5&lt;Q$5)*AP322+(AU$5&lt;Q$5)*AV322)))</f>
        <v/>
      </c>
      <c r="T322">
        <f>IF(R322-S322&lt;0.005,0,R322-S322)</f>
        <v/>
      </c>
      <c r="U322">
        <f>Z321</f>
        <v/>
      </c>
      <c r="V322">
        <f>U322*Plan!D9/100/12</f>
        <v/>
      </c>
      <c r="W322">
        <f>MIN(Plan!E9,U322+V322)</f>
        <v/>
      </c>
      <c r="X322">
        <f>U322+V322-W322</f>
        <v/>
      </c>
      <c r="Y322">
        <f>MIN(X322,MAX(0,$B322-((E$5&lt;W$5)*F322+(K$5&lt;W$5)*L322+(Q$5&lt;W$5)*R322+(AC$5&lt;W$5)*AD322+(AI$5&lt;W$5)*AJ322+(AO$5&lt;W$5)*AP322+(AU$5&lt;W$5)*AV322)))</f>
        <v/>
      </c>
      <c r="Z322">
        <f>IF(X322-Y322&lt;0.005,0,X322-Y322)</f>
        <v/>
      </c>
      <c r="AA322">
        <f>AF321</f>
        <v/>
      </c>
      <c r="AB322">
        <f>AA322*Plan!D10/100/12</f>
        <v/>
      </c>
      <c r="AC322">
        <f>MIN(Plan!E10,AA322+AB322)</f>
        <v/>
      </c>
      <c r="AD322">
        <f>AA322+AB322-AC322</f>
        <v/>
      </c>
      <c r="AE322">
        <f>MIN(AD322,MAX(0,$B322-((E$5&lt;AC$5)*F322+(K$5&lt;AC$5)*L322+(Q$5&lt;AC$5)*R322+(W$5&lt;AC$5)*X322+(AI$5&lt;AC$5)*AJ322+(AO$5&lt;AC$5)*AP322+(AU$5&lt;AC$5)*AV322)))</f>
        <v/>
      </c>
      <c r="AF322">
        <f>IF(AD322-AE322&lt;0.005,0,AD322-AE322)</f>
        <v/>
      </c>
      <c r="AG322">
        <f>AL321</f>
        <v/>
      </c>
      <c r="AH322">
        <f>AG322*Plan!D11/100/12</f>
        <v/>
      </c>
      <c r="AI322">
        <f>MIN(Plan!E11,AG322+AH322)</f>
        <v/>
      </c>
      <c r="AJ322">
        <f>AG322+AH322-AI322</f>
        <v/>
      </c>
      <c r="AK322">
        <f>MIN(AJ322,MAX(0,$B322-((E$5&lt;AI$5)*F322+(K$5&lt;AI$5)*L322+(Q$5&lt;AI$5)*R322+(W$5&lt;AI$5)*X322+(AC$5&lt;AI$5)*AD322+(AO$5&lt;AI$5)*AP322+(AU$5&lt;AI$5)*AV322)))</f>
        <v/>
      </c>
      <c r="AL322">
        <f>IF(AJ322-AK322&lt;0.005,0,AJ322-AK322)</f>
        <v/>
      </c>
      <c r="AM322">
        <f>AR321</f>
        <v/>
      </c>
      <c r="AN322">
        <f>AM322*Plan!D12/100/12</f>
        <v/>
      </c>
      <c r="AO322">
        <f>MIN(Plan!E12,AM322+AN322)</f>
        <v/>
      </c>
      <c r="AP322">
        <f>AM322+AN322-AO322</f>
        <v/>
      </c>
      <c r="AQ322">
        <f>MIN(AP322,MAX(0,$B322-((E$5&lt;AO$5)*F322+(K$5&lt;AO$5)*L322+(Q$5&lt;AO$5)*R322+(W$5&lt;AO$5)*X322+(AC$5&lt;AO$5)*AD322+(AI$5&lt;AO$5)*AJ322+(AU$5&lt;AO$5)*AV322)))</f>
        <v/>
      </c>
      <c r="AR322">
        <f>IF(AP322-AQ322&lt;0.005,0,AP322-AQ322)</f>
        <v/>
      </c>
      <c r="AS322">
        <f>AX321</f>
        <v/>
      </c>
      <c r="AT322">
        <f>AS322*Plan!D13/100/12</f>
        <v/>
      </c>
      <c r="AU322">
        <f>MIN(Plan!E13,AS322+AT322)</f>
        <v/>
      </c>
      <c r="AV322">
        <f>AS322+AT322-AU322</f>
        <v/>
      </c>
      <c r="AW322">
        <f>MIN(AV322,MAX(0,$B322-((E$5&lt;AU$5)*F322+(K$5&lt;AU$5)*L322+(Q$5&lt;AU$5)*R322+(W$5&lt;AU$5)*X322+(AC$5&lt;AU$5)*AD322+(AI$5&lt;AU$5)*AJ322+(AO$5&lt;AU$5)*AP322)))</f>
        <v/>
      </c>
      <c r="AX322">
        <f>IF(AV322-AW322&lt;0.005,0,AV322-AW322)</f>
        <v/>
      </c>
      <c r="BC322">
        <f>H322+N322+T322+Z322+AF322+AL322+AR322+AX322</f>
        <v/>
      </c>
    </row>
    <row r="323">
      <c r="A323" t="n">
        <v>317</v>
      </c>
      <c r="B323" s="19">
        <f>MAX(0,$B$3-(E323+K323+Q323+W323+AC323+AI323+AO323+AU323))</f>
        <v/>
      </c>
      <c r="C323">
        <f>H322</f>
        <v/>
      </c>
      <c r="D323">
        <f>C323*Plan!D6/100/12</f>
        <v/>
      </c>
      <c r="E323">
        <f>MIN(Plan!E6,C323+D323)</f>
        <v/>
      </c>
      <c r="F323">
        <f>C323+D323-E323</f>
        <v/>
      </c>
      <c r="G323">
        <f>MIN(F323,MAX(0,$B323-((K$5&lt;E$5)*L323+(Q$5&lt;E$5)*R323+(W$5&lt;E$5)*X323+(AC$5&lt;E$5)*AD323+(AI$5&lt;E$5)*AJ323+(AO$5&lt;E$5)*AP323+(AU$5&lt;E$5)*AV323)))</f>
        <v/>
      </c>
      <c r="H323">
        <f>IF(F323-G323&lt;0.005,0,F323-G323)</f>
        <v/>
      </c>
      <c r="I323">
        <f>N322</f>
        <v/>
      </c>
      <c r="J323">
        <f>I323*Plan!D7/100/12</f>
        <v/>
      </c>
      <c r="K323">
        <f>MIN(Plan!E7,I323+J323)</f>
        <v/>
      </c>
      <c r="L323">
        <f>I323+J323-K323</f>
        <v/>
      </c>
      <c r="M323">
        <f>MIN(L323,MAX(0,$B323-((E$5&lt;K$5)*F323+(Q$5&lt;K$5)*R323+(W$5&lt;K$5)*X323+(AC$5&lt;K$5)*AD323+(AI$5&lt;K$5)*AJ323+(AO$5&lt;K$5)*AP323+(AU$5&lt;K$5)*AV323)))</f>
        <v/>
      </c>
      <c r="N323">
        <f>IF(L323-M323&lt;0.005,0,L323-M323)</f>
        <v/>
      </c>
      <c r="O323">
        <f>T322</f>
        <v/>
      </c>
      <c r="P323">
        <f>O323*Plan!D8/100/12</f>
        <v/>
      </c>
      <c r="Q323">
        <f>MIN(Plan!E8,O323+P323)</f>
        <v/>
      </c>
      <c r="R323">
        <f>O323+P323-Q323</f>
        <v/>
      </c>
      <c r="S323">
        <f>MIN(R323,MAX(0,$B323-((E$5&lt;Q$5)*F323+(K$5&lt;Q$5)*L323+(W$5&lt;Q$5)*X323+(AC$5&lt;Q$5)*AD323+(AI$5&lt;Q$5)*AJ323+(AO$5&lt;Q$5)*AP323+(AU$5&lt;Q$5)*AV323)))</f>
        <v/>
      </c>
      <c r="T323">
        <f>IF(R323-S323&lt;0.005,0,R323-S323)</f>
        <v/>
      </c>
      <c r="U323">
        <f>Z322</f>
        <v/>
      </c>
      <c r="V323">
        <f>U323*Plan!D9/100/12</f>
        <v/>
      </c>
      <c r="W323">
        <f>MIN(Plan!E9,U323+V323)</f>
        <v/>
      </c>
      <c r="X323">
        <f>U323+V323-W323</f>
        <v/>
      </c>
      <c r="Y323">
        <f>MIN(X323,MAX(0,$B323-((E$5&lt;W$5)*F323+(K$5&lt;W$5)*L323+(Q$5&lt;W$5)*R323+(AC$5&lt;W$5)*AD323+(AI$5&lt;W$5)*AJ323+(AO$5&lt;W$5)*AP323+(AU$5&lt;W$5)*AV323)))</f>
        <v/>
      </c>
      <c r="Z323">
        <f>IF(X323-Y323&lt;0.005,0,X323-Y323)</f>
        <v/>
      </c>
      <c r="AA323">
        <f>AF322</f>
        <v/>
      </c>
      <c r="AB323">
        <f>AA323*Plan!D10/100/12</f>
        <v/>
      </c>
      <c r="AC323">
        <f>MIN(Plan!E10,AA323+AB323)</f>
        <v/>
      </c>
      <c r="AD323">
        <f>AA323+AB323-AC323</f>
        <v/>
      </c>
      <c r="AE323">
        <f>MIN(AD323,MAX(0,$B323-((E$5&lt;AC$5)*F323+(K$5&lt;AC$5)*L323+(Q$5&lt;AC$5)*R323+(W$5&lt;AC$5)*X323+(AI$5&lt;AC$5)*AJ323+(AO$5&lt;AC$5)*AP323+(AU$5&lt;AC$5)*AV323)))</f>
        <v/>
      </c>
      <c r="AF323">
        <f>IF(AD323-AE323&lt;0.005,0,AD323-AE323)</f>
        <v/>
      </c>
      <c r="AG323">
        <f>AL322</f>
        <v/>
      </c>
      <c r="AH323">
        <f>AG323*Plan!D11/100/12</f>
        <v/>
      </c>
      <c r="AI323">
        <f>MIN(Plan!E11,AG323+AH323)</f>
        <v/>
      </c>
      <c r="AJ323">
        <f>AG323+AH323-AI323</f>
        <v/>
      </c>
      <c r="AK323">
        <f>MIN(AJ323,MAX(0,$B323-((E$5&lt;AI$5)*F323+(K$5&lt;AI$5)*L323+(Q$5&lt;AI$5)*R323+(W$5&lt;AI$5)*X323+(AC$5&lt;AI$5)*AD323+(AO$5&lt;AI$5)*AP323+(AU$5&lt;AI$5)*AV323)))</f>
        <v/>
      </c>
      <c r="AL323">
        <f>IF(AJ323-AK323&lt;0.005,0,AJ323-AK323)</f>
        <v/>
      </c>
      <c r="AM323">
        <f>AR322</f>
        <v/>
      </c>
      <c r="AN323">
        <f>AM323*Plan!D12/100/12</f>
        <v/>
      </c>
      <c r="AO323">
        <f>MIN(Plan!E12,AM323+AN323)</f>
        <v/>
      </c>
      <c r="AP323">
        <f>AM323+AN323-AO323</f>
        <v/>
      </c>
      <c r="AQ323">
        <f>MIN(AP323,MAX(0,$B323-((E$5&lt;AO$5)*F323+(K$5&lt;AO$5)*L323+(Q$5&lt;AO$5)*R323+(W$5&lt;AO$5)*X323+(AC$5&lt;AO$5)*AD323+(AI$5&lt;AO$5)*AJ323+(AU$5&lt;AO$5)*AV323)))</f>
        <v/>
      </c>
      <c r="AR323">
        <f>IF(AP323-AQ323&lt;0.005,0,AP323-AQ323)</f>
        <v/>
      </c>
      <c r="AS323">
        <f>AX322</f>
        <v/>
      </c>
      <c r="AT323">
        <f>AS323*Plan!D13/100/12</f>
        <v/>
      </c>
      <c r="AU323">
        <f>MIN(Plan!E13,AS323+AT323)</f>
        <v/>
      </c>
      <c r="AV323">
        <f>AS323+AT323-AU323</f>
        <v/>
      </c>
      <c r="AW323">
        <f>MIN(AV323,MAX(0,$B323-((E$5&lt;AU$5)*F323+(K$5&lt;AU$5)*L323+(Q$5&lt;AU$5)*R323+(W$5&lt;AU$5)*X323+(AC$5&lt;AU$5)*AD323+(AI$5&lt;AU$5)*AJ323+(AO$5&lt;AU$5)*AP323)))</f>
        <v/>
      </c>
      <c r="AX323">
        <f>IF(AV323-AW323&lt;0.005,0,AV323-AW323)</f>
        <v/>
      </c>
      <c r="BC323">
        <f>H323+N323+T323+Z323+AF323+AL323+AR323+AX323</f>
        <v/>
      </c>
    </row>
    <row r="324">
      <c r="A324" t="n">
        <v>318</v>
      </c>
      <c r="B324" s="19">
        <f>MAX(0,$B$3-(E324+K324+Q324+W324+AC324+AI324+AO324+AU324))</f>
        <v/>
      </c>
      <c r="C324">
        <f>H323</f>
        <v/>
      </c>
      <c r="D324">
        <f>C324*Plan!D6/100/12</f>
        <v/>
      </c>
      <c r="E324">
        <f>MIN(Plan!E6,C324+D324)</f>
        <v/>
      </c>
      <c r="F324">
        <f>C324+D324-E324</f>
        <v/>
      </c>
      <c r="G324">
        <f>MIN(F324,MAX(0,$B324-((K$5&lt;E$5)*L324+(Q$5&lt;E$5)*R324+(W$5&lt;E$5)*X324+(AC$5&lt;E$5)*AD324+(AI$5&lt;E$5)*AJ324+(AO$5&lt;E$5)*AP324+(AU$5&lt;E$5)*AV324)))</f>
        <v/>
      </c>
      <c r="H324">
        <f>IF(F324-G324&lt;0.005,0,F324-G324)</f>
        <v/>
      </c>
      <c r="I324">
        <f>N323</f>
        <v/>
      </c>
      <c r="J324">
        <f>I324*Plan!D7/100/12</f>
        <v/>
      </c>
      <c r="K324">
        <f>MIN(Plan!E7,I324+J324)</f>
        <v/>
      </c>
      <c r="L324">
        <f>I324+J324-K324</f>
        <v/>
      </c>
      <c r="M324">
        <f>MIN(L324,MAX(0,$B324-((E$5&lt;K$5)*F324+(Q$5&lt;K$5)*R324+(W$5&lt;K$5)*X324+(AC$5&lt;K$5)*AD324+(AI$5&lt;K$5)*AJ324+(AO$5&lt;K$5)*AP324+(AU$5&lt;K$5)*AV324)))</f>
        <v/>
      </c>
      <c r="N324">
        <f>IF(L324-M324&lt;0.005,0,L324-M324)</f>
        <v/>
      </c>
      <c r="O324">
        <f>T323</f>
        <v/>
      </c>
      <c r="P324">
        <f>O324*Plan!D8/100/12</f>
        <v/>
      </c>
      <c r="Q324">
        <f>MIN(Plan!E8,O324+P324)</f>
        <v/>
      </c>
      <c r="R324">
        <f>O324+P324-Q324</f>
        <v/>
      </c>
      <c r="S324">
        <f>MIN(R324,MAX(0,$B324-((E$5&lt;Q$5)*F324+(K$5&lt;Q$5)*L324+(W$5&lt;Q$5)*X324+(AC$5&lt;Q$5)*AD324+(AI$5&lt;Q$5)*AJ324+(AO$5&lt;Q$5)*AP324+(AU$5&lt;Q$5)*AV324)))</f>
        <v/>
      </c>
      <c r="T324">
        <f>IF(R324-S324&lt;0.005,0,R324-S324)</f>
        <v/>
      </c>
      <c r="U324">
        <f>Z323</f>
        <v/>
      </c>
      <c r="V324">
        <f>U324*Plan!D9/100/12</f>
        <v/>
      </c>
      <c r="W324">
        <f>MIN(Plan!E9,U324+V324)</f>
        <v/>
      </c>
      <c r="X324">
        <f>U324+V324-W324</f>
        <v/>
      </c>
      <c r="Y324">
        <f>MIN(X324,MAX(0,$B324-((E$5&lt;W$5)*F324+(K$5&lt;W$5)*L324+(Q$5&lt;W$5)*R324+(AC$5&lt;W$5)*AD324+(AI$5&lt;W$5)*AJ324+(AO$5&lt;W$5)*AP324+(AU$5&lt;W$5)*AV324)))</f>
        <v/>
      </c>
      <c r="Z324">
        <f>IF(X324-Y324&lt;0.005,0,X324-Y324)</f>
        <v/>
      </c>
      <c r="AA324">
        <f>AF323</f>
        <v/>
      </c>
      <c r="AB324">
        <f>AA324*Plan!D10/100/12</f>
        <v/>
      </c>
      <c r="AC324">
        <f>MIN(Plan!E10,AA324+AB324)</f>
        <v/>
      </c>
      <c r="AD324">
        <f>AA324+AB324-AC324</f>
        <v/>
      </c>
      <c r="AE324">
        <f>MIN(AD324,MAX(0,$B324-((E$5&lt;AC$5)*F324+(K$5&lt;AC$5)*L324+(Q$5&lt;AC$5)*R324+(W$5&lt;AC$5)*X324+(AI$5&lt;AC$5)*AJ324+(AO$5&lt;AC$5)*AP324+(AU$5&lt;AC$5)*AV324)))</f>
        <v/>
      </c>
      <c r="AF324">
        <f>IF(AD324-AE324&lt;0.005,0,AD324-AE324)</f>
        <v/>
      </c>
      <c r="AG324">
        <f>AL323</f>
        <v/>
      </c>
      <c r="AH324">
        <f>AG324*Plan!D11/100/12</f>
        <v/>
      </c>
      <c r="AI324">
        <f>MIN(Plan!E11,AG324+AH324)</f>
        <v/>
      </c>
      <c r="AJ324">
        <f>AG324+AH324-AI324</f>
        <v/>
      </c>
      <c r="AK324">
        <f>MIN(AJ324,MAX(0,$B324-((E$5&lt;AI$5)*F324+(K$5&lt;AI$5)*L324+(Q$5&lt;AI$5)*R324+(W$5&lt;AI$5)*X324+(AC$5&lt;AI$5)*AD324+(AO$5&lt;AI$5)*AP324+(AU$5&lt;AI$5)*AV324)))</f>
        <v/>
      </c>
      <c r="AL324">
        <f>IF(AJ324-AK324&lt;0.005,0,AJ324-AK324)</f>
        <v/>
      </c>
      <c r="AM324">
        <f>AR323</f>
        <v/>
      </c>
      <c r="AN324">
        <f>AM324*Plan!D12/100/12</f>
        <v/>
      </c>
      <c r="AO324">
        <f>MIN(Plan!E12,AM324+AN324)</f>
        <v/>
      </c>
      <c r="AP324">
        <f>AM324+AN324-AO324</f>
        <v/>
      </c>
      <c r="AQ324">
        <f>MIN(AP324,MAX(0,$B324-((E$5&lt;AO$5)*F324+(K$5&lt;AO$5)*L324+(Q$5&lt;AO$5)*R324+(W$5&lt;AO$5)*X324+(AC$5&lt;AO$5)*AD324+(AI$5&lt;AO$5)*AJ324+(AU$5&lt;AO$5)*AV324)))</f>
        <v/>
      </c>
      <c r="AR324">
        <f>IF(AP324-AQ324&lt;0.005,0,AP324-AQ324)</f>
        <v/>
      </c>
      <c r="AS324">
        <f>AX323</f>
        <v/>
      </c>
      <c r="AT324">
        <f>AS324*Plan!D13/100/12</f>
        <v/>
      </c>
      <c r="AU324">
        <f>MIN(Plan!E13,AS324+AT324)</f>
        <v/>
      </c>
      <c r="AV324">
        <f>AS324+AT324-AU324</f>
        <v/>
      </c>
      <c r="AW324">
        <f>MIN(AV324,MAX(0,$B324-((E$5&lt;AU$5)*F324+(K$5&lt;AU$5)*L324+(Q$5&lt;AU$5)*R324+(W$5&lt;AU$5)*X324+(AC$5&lt;AU$5)*AD324+(AI$5&lt;AU$5)*AJ324+(AO$5&lt;AU$5)*AP324)))</f>
        <v/>
      </c>
      <c r="AX324">
        <f>IF(AV324-AW324&lt;0.005,0,AV324-AW324)</f>
        <v/>
      </c>
      <c r="BC324">
        <f>H324+N324+T324+Z324+AF324+AL324+AR324+AX324</f>
        <v/>
      </c>
    </row>
    <row r="325">
      <c r="A325" t="n">
        <v>319</v>
      </c>
      <c r="B325" s="19">
        <f>MAX(0,$B$3-(E325+K325+Q325+W325+AC325+AI325+AO325+AU325))</f>
        <v/>
      </c>
      <c r="C325">
        <f>H324</f>
        <v/>
      </c>
      <c r="D325">
        <f>C325*Plan!D6/100/12</f>
        <v/>
      </c>
      <c r="E325">
        <f>MIN(Plan!E6,C325+D325)</f>
        <v/>
      </c>
      <c r="F325">
        <f>C325+D325-E325</f>
        <v/>
      </c>
      <c r="G325">
        <f>MIN(F325,MAX(0,$B325-((K$5&lt;E$5)*L325+(Q$5&lt;E$5)*R325+(W$5&lt;E$5)*X325+(AC$5&lt;E$5)*AD325+(AI$5&lt;E$5)*AJ325+(AO$5&lt;E$5)*AP325+(AU$5&lt;E$5)*AV325)))</f>
        <v/>
      </c>
      <c r="H325">
        <f>IF(F325-G325&lt;0.005,0,F325-G325)</f>
        <v/>
      </c>
      <c r="I325">
        <f>N324</f>
        <v/>
      </c>
      <c r="J325">
        <f>I325*Plan!D7/100/12</f>
        <v/>
      </c>
      <c r="K325">
        <f>MIN(Plan!E7,I325+J325)</f>
        <v/>
      </c>
      <c r="L325">
        <f>I325+J325-K325</f>
        <v/>
      </c>
      <c r="M325">
        <f>MIN(L325,MAX(0,$B325-((E$5&lt;K$5)*F325+(Q$5&lt;K$5)*R325+(W$5&lt;K$5)*X325+(AC$5&lt;K$5)*AD325+(AI$5&lt;K$5)*AJ325+(AO$5&lt;K$5)*AP325+(AU$5&lt;K$5)*AV325)))</f>
        <v/>
      </c>
      <c r="N325">
        <f>IF(L325-M325&lt;0.005,0,L325-M325)</f>
        <v/>
      </c>
      <c r="O325">
        <f>T324</f>
        <v/>
      </c>
      <c r="P325">
        <f>O325*Plan!D8/100/12</f>
        <v/>
      </c>
      <c r="Q325">
        <f>MIN(Plan!E8,O325+P325)</f>
        <v/>
      </c>
      <c r="R325">
        <f>O325+P325-Q325</f>
        <v/>
      </c>
      <c r="S325">
        <f>MIN(R325,MAX(0,$B325-((E$5&lt;Q$5)*F325+(K$5&lt;Q$5)*L325+(W$5&lt;Q$5)*X325+(AC$5&lt;Q$5)*AD325+(AI$5&lt;Q$5)*AJ325+(AO$5&lt;Q$5)*AP325+(AU$5&lt;Q$5)*AV325)))</f>
        <v/>
      </c>
      <c r="T325">
        <f>IF(R325-S325&lt;0.005,0,R325-S325)</f>
        <v/>
      </c>
      <c r="U325">
        <f>Z324</f>
        <v/>
      </c>
      <c r="V325">
        <f>U325*Plan!D9/100/12</f>
        <v/>
      </c>
      <c r="W325">
        <f>MIN(Plan!E9,U325+V325)</f>
        <v/>
      </c>
      <c r="X325">
        <f>U325+V325-W325</f>
        <v/>
      </c>
      <c r="Y325">
        <f>MIN(X325,MAX(0,$B325-((E$5&lt;W$5)*F325+(K$5&lt;W$5)*L325+(Q$5&lt;W$5)*R325+(AC$5&lt;W$5)*AD325+(AI$5&lt;W$5)*AJ325+(AO$5&lt;W$5)*AP325+(AU$5&lt;W$5)*AV325)))</f>
        <v/>
      </c>
      <c r="Z325">
        <f>IF(X325-Y325&lt;0.005,0,X325-Y325)</f>
        <v/>
      </c>
      <c r="AA325">
        <f>AF324</f>
        <v/>
      </c>
      <c r="AB325">
        <f>AA325*Plan!D10/100/12</f>
        <v/>
      </c>
      <c r="AC325">
        <f>MIN(Plan!E10,AA325+AB325)</f>
        <v/>
      </c>
      <c r="AD325">
        <f>AA325+AB325-AC325</f>
        <v/>
      </c>
      <c r="AE325">
        <f>MIN(AD325,MAX(0,$B325-((E$5&lt;AC$5)*F325+(K$5&lt;AC$5)*L325+(Q$5&lt;AC$5)*R325+(W$5&lt;AC$5)*X325+(AI$5&lt;AC$5)*AJ325+(AO$5&lt;AC$5)*AP325+(AU$5&lt;AC$5)*AV325)))</f>
        <v/>
      </c>
      <c r="AF325">
        <f>IF(AD325-AE325&lt;0.005,0,AD325-AE325)</f>
        <v/>
      </c>
      <c r="AG325">
        <f>AL324</f>
        <v/>
      </c>
      <c r="AH325">
        <f>AG325*Plan!D11/100/12</f>
        <v/>
      </c>
      <c r="AI325">
        <f>MIN(Plan!E11,AG325+AH325)</f>
        <v/>
      </c>
      <c r="AJ325">
        <f>AG325+AH325-AI325</f>
        <v/>
      </c>
      <c r="AK325">
        <f>MIN(AJ325,MAX(0,$B325-((E$5&lt;AI$5)*F325+(K$5&lt;AI$5)*L325+(Q$5&lt;AI$5)*R325+(W$5&lt;AI$5)*X325+(AC$5&lt;AI$5)*AD325+(AO$5&lt;AI$5)*AP325+(AU$5&lt;AI$5)*AV325)))</f>
        <v/>
      </c>
      <c r="AL325">
        <f>IF(AJ325-AK325&lt;0.005,0,AJ325-AK325)</f>
        <v/>
      </c>
      <c r="AM325">
        <f>AR324</f>
        <v/>
      </c>
      <c r="AN325">
        <f>AM325*Plan!D12/100/12</f>
        <v/>
      </c>
      <c r="AO325">
        <f>MIN(Plan!E12,AM325+AN325)</f>
        <v/>
      </c>
      <c r="AP325">
        <f>AM325+AN325-AO325</f>
        <v/>
      </c>
      <c r="AQ325">
        <f>MIN(AP325,MAX(0,$B325-((E$5&lt;AO$5)*F325+(K$5&lt;AO$5)*L325+(Q$5&lt;AO$5)*R325+(W$5&lt;AO$5)*X325+(AC$5&lt;AO$5)*AD325+(AI$5&lt;AO$5)*AJ325+(AU$5&lt;AO$5)*AV325)))</f>
        <v/>
      </c>
      <c r="AR325">
        <f>IF(AP325-AQ325&lt;0.005,0,AP325-AQ325)</f>
        <v/>
      </c>
      <c r="AS325">
        <f>AX324</f>
        <v/>
      </c>
      <c r="AT325">
        <f>AS325*Plan!D13/100/12</f>
        <v/>
      </c>
      <c r="AU325">
        <f>MIN(Plan!E13,AS325+AT325)</f>
        <v/>
      </c>
      <c r="AV325">
        <f>AS325+AT325-AU325</f>
        <v/>
      </c>
      <c r="AW325">
        <f>MIN(AV325,MAX(0,$B325-((E$5&lt;AU$5)*F325+(K$5&lt;AU$5)*L325+(Q$5&lt;AU$5)*R325+(W$5&lt;AU$5)*X325+(AC$5&lt;AU$5)*AD325+(AI$5&lt;AU$5)*AJ325+(AO$5&lt;AU$5)*AP325)))</f>
        <v/>
      </c>
      <c r="AX325">
        <f>IF(AV325-AW325&lt;0.005,0,AV325-AW325)</f>
        <v/>
      </c>
      <c r="BC325">
        <f>H325+N325+T325+Z325+AF325+AL325+AR325+AX325</f>
        <v/>
      </c>
    </row>
    <row r="326">
      <c r="A326" t="n">
        <v>320</v>
      </c>
      <c r="B326" s="19">
        <f>MAX(0,$B$3-(E326+K326+Q326+W326+AC326+AI326+AO326+AU326))</f>
        <v/>
      </c>
      <c r="C326">
        <f>H325</f>
        <v/>
      </c>
      <c r="D326">
        <f>C326*Plan!D6/100/12</f>
        <v/>
      </c>
      <c r="E326">
        <f>MIN(Plan!E6,C326+D326)</f>
        <v/>
      </c>
      <c r="F326">
        <f>C326+D326-E326</f>
        <v/>
      </c>
      <c r="G326">
        <f>MIN(F326,MAX(0,$B326-((K$5&lt;E$5)*L326+(Q$5&lt;E$5)*R326+(W$5&lt;E$5)*X326+(AC$5&lt;E$5)*AD326+(AI$5&lt;E$5)*AJ326+(AO$5&lt;E$5)*AP326+(AU$5&lt;E$5)*AV326)))</f>
        <v/>
      </c>
      <c r="H326">
        <f>IF(F326-G326&lt;0.005,0,F326-G326)</f>
        <v/>
      </c>
      <c r="I326">
        <f>N325</f>
        <v/>
      </c>
      <c r="J326">
        <f>I326*Plan!D7/100/12</f>
        <v/>
      </c>
      <c r="K326">
        <f>MIN(Plan!E7,I326+J326)</f>
        <v/>
      </c>
      <c r="L326">
        <f>I326+J326-K326</f>
        <v/>
      </c>
      <c r="M326">
        <f>MIN(L326,MAX(0,$B326-((E$5&lt;K$5)*F326+(Q$5&lt;K$5)*R326+(W$5&lt;K$5)*X326+(AC$5&lt;K$5)*AD326+(AI$5&lt;K$5)*AJ326+(AO$5&lt;K$5)*AP326+(AU$5&lt;K$5)*AV326)))</f>
        <v/>
      </c>
      <c r="N326">
        <f>IF(L326-M326&lt;0.005,0,L326-M326)</f>
        <v/>
      </c>
      <c r="O326">
        <f>T325</f>
        <v/>
      </c>
      <c r="P326">
        <f>O326*Plan!D8/100/12</f>
        <v/>
      </c>
      <c r="Q326">
        <f>MIN(Plan!E8,O326+P326)</f>
        <v/>
      </c>
      <c r="R326">
        <f>O326+P326-Q326</f>
        <v/>
      </c>
      <c r="S326">
        <f>MIN(R326,MAX(0,$B326-((E$5&lt;Q$5)*F326+(K$5&lt;Q$5)*L326+(W$5&lt;Q$5)*X326+(AC$5&lt;Q$5)*AD326+(AI$5&lt;Q$5)*AJ326+(AO$5&lt;Q$5)*AP326+(AU$5&lt;Q$5)*AV326)))</f>
        <v/>
      </c>
      <c r="T326">
        <f>IF(R326-S326&lt;0.005,0,R326-S326)</f>
        <v/>
      </c>
      <c r="U326">
        <f>Z325</f>
        <v/>
      </c>
      <c r="V326">
        <f>U326*Plan!D9/100/12</f>
        <v/>
      </c>
      <c r="W326">
        <f>MIN(Plan!E9,U326+V326)</f>
        <v/>
      </c>
      <c r="X326">
        <f>U326+V326-W326</f>
        <v/>
      </c>
      <c r="Y326">
        <f>MIN(X326,MAX(0,$B326-((E$5&lt;W$5)*F326+(K$5&lt;W$5)*L326+(Q$5&lt;W$5)*R326+(AC$5&lt;W$5)*AD326+(AI$5&lt;W$5)*AJ326+(AO$5&lt;W$5)*AP326+(AU$5&lt;W$5)*AV326)))</f>
        <v/>
      </c>
      <c r="Z326">
        <f>IF(X326-Y326&lt;0.005,0,X326-Y326)</f>
        <v/>
      </c>
      <c r="AA326">
        <f>AF325</f>
        <v/>
      </c>
      <c r="AB326">
        <f>AA326*Plan!D10/100/12</f>
        <v/>
      </c>
      <c r="AC326">
        <f>MIN(Plan!E10,AA326+AB326)</f>
        <v/>
      </c>
      <c r="AD326">
        <f>AA326+AB326-AC326</f>
        <v/>
      </c>
      <c r="AE326">
        <f>MIN(AD326,MAX(0,$B326-((E$5&lt;AC$5)*F326+(K$5&lt;AC$5)*L326+(Q$5&lt;AC$5)*R326+(W$5&lt;AC$5)*X326+(AI$5&lt;AC$5)*AJ326+(AO$5&lt;AC$5)*AP326+(AU$5&lt;AC$5)*AV326)))</f>
        <v/>
      </c>
      <c r="AF326">
        <f>IF(AD326-AE326&lt;0.005,0,AD326-AE326)</f>
        <v/>
      </c>
      <c r="AG326">
        <f>AL325</f>
        <v/>
      </c>
      <c r="AH326">
        <f>AG326*Plan!D11/100/12</f>
        <v/>
      </c>
      <c r="AI326">
        <f>MIN(Plan!E11,AG326+AH326)</f>
        <v/>
      </c>
      <c r="AJ326">
        <f>AG326+AH326-AI326</f>
        <v/>
      </c>
      <c r="AK326">
        <f>MIN(AJ326,MAX(0,$B326-((E$5&lt;AI$5)*F326+(K$5&lt;AI$5)*L326+(Q$5&lt;AI$5)*R326+(W$5&lt;AI$5)*X326+(AC$5&lt;AI$5)*AD326+(AO$5&lt;AI$5)*AP326+(AU$5&lt;AI$5)*AV326)))</f>
        <v/>
      </c>
      <c r="AL326">
        <f>IF(AJ326-AK326&lt;0.005,0,AJ326-AK326)</f>
        <v/>
      </c>
      <c r="AM326">
        <f>AR325</f>
        <v/>
      </c>
      <c r="AN326">
        <f>AM326*Plan!D12/100/12</f>
        <v/>
      </c>
      <c r="AO326">
        <f>MIN(Plan!E12,AM326+AN326)</f>
        <v/>
      </c>
      <c r="AP326">
        <f>AM326+AN326-AO326</f>
        <v/>
      </c>
      <c r="AQ326">
        <f>MIN(AP326,MAX(0,$B326-((E$5&lt;AO$5)*F326+(K$5&lt;AO$5)*L326+(Q$5&lt;AO$5)*R326+(W$5&lt;AO$5)*X326+(AC$5&lt;AO$5)*AD326+(AI$5&lt;AO$5)*AJ326+(AU$5&lt;AO$5)*AV326)))</f>
        <v/>
      </c>
      <c r="AR326">
        <f>IF(AP326-AQ326&lt;0.005,0,AP326-AQ326)</f>
        <v/>
      </c>
      <c r="AS326">
        <f>AX325</f>
        <v/>
      </c>
      <c r="AT326">
        <f>AS326*Plan!D13/100/12</f>
        <v/>
      </c>
      <c r="AU326">
        <f>MIN(Plan!E13,AS326+AT326)</f>
        <v/>
      </c>
      <c r="AV326">
        <f>AS326+AT326-AU326</f>
        <v/>
      </c>
      <c r="AW326">
        <f>MIN(AV326,MAX(0,$B326-((E$5&lt;AU$5)*F326+(K$5&lt;AU$5)*L326+(Q$5&lt;AU$5)*R326+(W$5&lt;AU$5)*X326+(AC$5&lt;AU$5)*AD326+(AI$5&lt;AU$5)*AJ326+(AO$5&lt;AU$5)*AP326)))</f>
        <v/>
      </c>
      <c r="AX326">
        <f>IF(AV326-AW326&lt;0.005,0,AV326-AW326)</f>
        <v/>
      </c>
      <c r="BC326">
        <f>H326+N326+T326+Z326+AF326+AL326+AR326+AX326</f>
        <v/>
      </c>
    </row>
    <row r="327">
      <c r="A327" t="n">
        <v>321</v>
      </c>
      <c r="B327" s="19">
        <f>MAX(0,$B$3-(E327+K327+Q327+W327+AC327+AI327+AO327+AU327))</f>
        <v/>
      </c>
      <c r="C327">
        <f>H326</f>
        <v/>
      </c>
      <c r="D327">
        <f>C327*Plan!D6/100/12</f>
        <v/>
      </c>
      <c r="E327">
        <f>MIN(Plan!E6,C327+D327)</f>
        <v/>
      </c>
      <c r="F327">
        <f>C327+D327-E327</f>
        <v/>
      </c>
      <c r="G327">
        <f>MIN(F327,MAX(0,$B327-((K$5&lt;E$5)*L327+(Q$5&lt;E$5)*R327+(W$5&lt;E$5)*X327+(AC$5&lt;E$5)*AD327+(AI$5&lt;E$5)*AJ327+(AO$5&lt;E$5)*AP327+(AU$5&lt;E$5)*AV327)))</f>
        <v/>
      </c>
      <c r="H327">
        <f>IF(F327-G327&lt;0.005,0,F327-G327)</f>
        <v/>
      </c>
      <c r="I327">
        <f>N326</f>
        <v/>
      </c>
      <c r="J327">
        <f>I327*Plan!D7/100/12</f>
        <v/>
      </c>
      <c r="K327">
        <f>MIN(Plan!E7,I327+J327)</f>
        <v/>
      </c>
      <c r="L327">
        <f>I327+J327-K327</f>
        <v/>
      </c>
      <c r="M327">
        <f>MIN(L327,MAX(0,$B327-((E$5&lt;K$5)*F327+(Q$5&lt;K$5)*R327+(W$5&lt;K$5)*X327+(AC$5&lt;K$5)*AD327+(AI$5&lt;K$5)*AJ327+(AO$5&lt;K$5)*AP327+(AU$5&lt;K$5)*AV327)))</f>
        <v/>
      </c>
      <c r="N327">
        <f>IF(L327-M327&lt;0.005,0,L327-M327)</f>
        <v/>
      </c>
      <c r="O327">
        <f>T326</f>
        <v/>
      </c>
      <c r="P327">
        <f>O327*Plan!D8/100/12</f>
        <v/>
      </c>
      <c r="Q327">
        <f>MIN(Plan!E8,O327+P327)</f>
        <v/>
      </c>
      <c r="R327">
        <f>O327+P327-Q327</f>
        <v/>
      </c>
      <c r="S327">
        <f>MIN(R327,MAX(0,$B327-((E$5&lt;Q$5)*F327+(K$5&lt;Q$5)*L327+(W$5&lt;Q$5)*X327+(AC$5&lt;Q$5)*AD327+(AI$5&lt;Q$5)*AJ327+(AO$5&lt;Q$5)*AP327+(AU$5&lt;Q$5)*AV327)))</f>
        <v/>
      </c>
      <c r="T327">
        <f>IF(R327-S327&lt;0.005,0,R327-S327)</f>
        <v/>
      </c>
      <c r="U327">
        <f>Z326</f>
        <v/>
      </c>
      <c r="V327">
        <f>U327*Plan!D9/100/12</f>
        <v/>
      </c>
      <c r="W327">
        <f>MIN(Plan!E9,U327+V327)</f>
        <v/>
      </c>
      <c r="X327">
        <f>U327+V327-W327</f>
        <v/>
      </c>
      <c r="Y327">
        <f>MIN(X327,MAX(0,$B327-((E$5&lt;W$5)*F327+(K$5&lt;W$5)*L327+(Q$5&lt;W$5)*R327+(AC$5&lt;W$5)*AD327+(AI$5&lt;W$5)*AJ327+(AO$5&lt;W$5)*AP327+(AU$5&lt;W$5)*AV327)))</f>
        <v/>
      </c>
      <c r="Z327">
        <f>IF(X327-Y327&lt;0.005,0,X327-Y327)</f>
        <v/>
      </c>
      <c r="AA327">
        <f>AF326</f>
        <v/>
      </c>
      <c r="AB327">
        <f>AA327*Plan!D10/100/12</f>
        <v/>
      </c>
      <c r="AC327">
        <f>MIN(Plan!E10,AA327+AB327)</f>
        <v/>
      </c>
      <c r="AD327">
        <f>AA327+AB327-AC327</f>
        <v/>
      </c>
      <c r="AE327">
        <f>MIN(AD327,MAX(0,$B327-((E$5&lt;AC$5)*F327+(K$5&lt;AC$5)*L327+(Q$5&lt;AC$5)*R327+(W$5&lt;AC$5)*X327+(AI$5&lt;AC$5)*AJ327+(AO$5&lt;AC$5)*AP327+(AU$5&lt;AC$5)*AV327)))</f>
        <v/>
      </c>
      <c r="AF327">
        <f>IF(AD327-AE327&lt;0.005,0,AD327-AE327)</f>
        <v/>
      </c>
      <c r="AG327">
        <f>AL326</f>
        <v/>
      </c>
      <c r="AH327">
        <f>AG327*Plan!D11/100/12</f>
        <v/>
      </c>
      <c r="AI327">
        <f>MIN(Plan!E11,AG327+AH327)</f>
        <v/>
      </c>
      <c r="AJ327">
        <f>AG327+AH327-AI327</f>
        <v/>
      </c>
      <c r="AK327">
        <f>MIN(AJ327,MAX(0,$B327-((E$5&lt;AI$5)*F327+(K$5&lt;AI$5)*L327+(Q$5&lt;AI$5)*R327+(W$5&lt;AI$5)*X327+(AC$5&lt;AI$5)*AD327+(AO$5&lt;AI$5)*AP327+(AU$5&lt;AI$5)*AV327)))</f>
        <v/>
      </c>
      <c r="AL327">
        <f>IF(AJ327-AK327&lt;0.005,0,AJ327-AK327)</f>
        <v/>
      </c>
      <c r="AM327">
        <f>AR326</f>
        <v/>
      </c>
      <c r="AN327">
        <f>AM327*Plan!D12/100/12</f>
        <v/>
      </c>
      <c r="AO327">
        <f>MIN(Plan!E12,AM327+AN327)</f>
        <v/>
      </c>
      <c r="AP327">
        <f>AM327+AN327-AO327</f>
        <v/>
      </c>
      <c r="AQ327">
        <f>MIN(AP327,MAX(0,$B327-((E$5&lt;AO$5)*F327+(K$5&lt;AO$5)*L327+(Q$5&lt;AO$5)*R327+(W$5&lt;AO$5)*X327+(AC$5&lt;AO$5)*AD327+(AI$5&lt;AO$5)*AJ327+(AU$5&lt;AO$5)*AV327)))</f>
        <v/>
      </c>
      <c r="AR327">
        <f>IF(AP327-AQ327&lt;0.005,0,AP327-AQ327)</f>
        <v/>
      </c>
      <c r="AS327">
        <f>AX326</f>
        <v/>
      </c>
      <c r="AT327">
        <f>AS327*Plan!D13/100/12</f>
        <v/>
      </c>
      <c r="AU327">
        <f>MIN(Plan!E13,AS327+AT327)</f>
        <v/>
      </c>
      <c r="AV327">
        <f>AS327+AT327-AU327</f>
        <v/>
      </c>
      <c r="AW327">
        <f>MIN(AV327,MAX(0,$B327-((E$5&lt;AU$5)*F327+(K$5&lt;AU$5)*L327+(Q$5&lt;AU$5)*R327+(W$5&lt;AU$5)*X327+(AC$5&lt;AU$5)*AD327+(AI$5&lt;AU$5)*AJ327+(AO$5&lt;AU$5)*AP327)))</f>
        <v/>
      </c>
      <c r="AX327">
        <f>IF(AV327-AW327&lt;0.005,0,AV327-AW327)</f>
        <v/>
      </c>
      <c r="BC327">
        <f>H327+N327+T327+Z327+AF327+AL327+AR327+AX327</f>
        <v/>
      </c>
    </row>
    <row r="328">
      <c r="A328" t="n">
        <v>322</v>
      </c>
      <c r="B328" s="19">
        <f>MAX(0,$B$3-(E328+K328+Q328+W328+AC328+AI328+AO328+AU328))</f>
        <v/>
      </c>
      <c r="C328">
        <f>H327</f>
        <v/>
      </c>
      <c r="D328">
        <f>C328*Plan!D6/100/12</f>
        <v/>
      </c>
      <c r="E328">
        <f>MIN(Plan!E6,C328+D328)</f>
        <v/>
      </c>
      <c r="F328">
        <f>C328+D328-E328</f>
        <v/>
      </c>
      <c r="G328">
        <f>MIN(F328,MAX(0,$B328-((K$5&lt;E$5)*L328+(Q$5&lt;E$5)*R328+(W$5&lt;E$5)*X328+(AC$5&lt;E$5)*AD328+(AI$5&lt;E$5)*AJ328+(AO$5&lt;E$5)*AP328+(AU$5&lt;E$5)*AV328)))</f>
        <v/>
      </c>
      <c r="H328">
        <f>IF(F328-G328&lt;0.005,0,F328-G328)</f>
        <v/>
      </c>
      <c r="I328">
        <f>N327</f>
        <v/>
      </c>
      <c r="J328">
        <f>I328*Plan!D7/100/12</f>
        <v/>
      </c>
      <c r="K328">
        <f>MIN(Plan!E7,I328+J328)</f>
        <v/>
      </c>
      <c r="L328">
        <f>I328+J328-K328</f>
        <v/>
      </c>
      <c r="M328">
        <f>MIN(L328,MAX(0,$B328-((E$5&lt;K$5)*F328+(Q$5&lt;K$5)*R328+(W$5&lt;K$5)*X328+(AC$5&lt;K$5)*AD328+(AI$5&lt;K$5)*AJ328+(AO$5&lt;K$5)*AP328+(AU$5&lt;K$5)*AV328)))</f>
        <v/>
      </c>
      <c r="N328">
        <f>IF(L328-M328&lt;0.005,0,L328-M328)</f>
        <v/>
      </c>
      <c r="O328">
        <f>T327</f>
        <v/>
      </c>
      <c r="P328">
        <f>O328*Plan!D8/100/12</f>
        <v/>
      </c>
      <c r="Q328">
        <f>MIN(Plan!E8,O328+P328)</f>
        <v/>
      </c>
      <c r="R328">
        <f>O328+P328-Q328</f>
        <v/>
      </c>
      <c r="S328">
        <f>MIN(R328,MAX(0,$B328-((E$5&lt;Q$5)*F328+(K$5&lt;Q$5)*L328+(W$5&lt;Q$5)*X328+(AC$5&lt;Q$5)*AD328+(AI$5&lt;Q$5)*AJ328+(AO$5&lt;Q$5)*AP328+(AU$5&lt;Q$5)*AV328)))</f>
        <v/>
      </c>
      <c r="T328">
        <f>IF(R328-S328&lt;0.005,0,R328-S328)</f>
        <v/>
      </c>
      <c r="U328">
        <f>Z327</f>
        <v/>
      </c>
      <c r="V328">
        <f>U328*Plan!D9/100/12</f>
        <v/>
      </c>
      <c r="W328">
        <f>MIN(Plan!E9,U328+V328)</f>
        <v/>
      </c>
      <c r="X328">
        <f>U328+V328-W328</f>
        <v/>
      </c>
      <c r="Y328">
        <f>MIN(X328,MAX(0,$B328-((E$5&lt;W$5)*F328+(K$5&lt;W$5)*L328+(Q$5&lt;W$5)*R328+(AC$5&lt;W$5)*AD328+(AI$5&lt;W$5)*AJ328+(AO$5&lt;W$5)*AP328+(AU$5&lt;W$5)*AV328)))</f>
        <v/>
      </c>
      <c r="Z328">
        <f>IF(X328-Y328&lt;0.005,0,X328-Y328)</f>
        <v/>
      </c>
      <c r="AA328">
        <f>AF327</f>
        <v/>
      </c>
      <c r="AB328">
        <f>AA328*Plan!D10/100/12</f>
        <v/>
      </c>
      <c r="AC328">
        <f>MIN(Plan!E10,AA328+AB328)</f>
        <v/>
      </c>
      <c r="AD328">
        <f>AA328+AB328-AC328</f>
        <v/>
      </c>
      <c r="AE328">
        <f>MIN(AD328,MAX(0,$B328-((E$5&lt;AC$5)*F328+(K$5&lt;AC$5)*L328+(Q$5&lt;AC$5)*R328+(W$5&lt;AC$5)*X328+(AI$5&lt;AC$5)*AJ328+(AO$5&lt;AC$5)*AP328+(AU$5&lt;AC$5)*AV328)))</f>
        <v/>
      </c>
      <c r="AF328">
        <f>IF(AD328-AE328&lt;0.005,0,AD328-AE328)</f>
        <v/>
      </c>
      <c r="AG328">
        <f>AL327</f>
        <v/>
      </c>
      <c r="AH328">
        <f>AG328*Plan!D11/100/12</f>
        <v/>
      </c>
      <c r="AI328">
        <f>MIN(Plan!E11,AG328+AH328)</f>
        <v/>
      </c>
      <c r="AJ328">
        <f>AG328+AH328-AI328</f>
        <v/>
      </c>
      <c r="AK328">
        <f>MIN(AJ328,MAX(0,$B328-((E$5&lt;AI$5)*F328+(K$5&lt;AI$5)*L328+(Q$5&lt;AI$5)*R328+(W$5&lt;AI$5)*X328+(AC$5&lt;AI$5)*AD328+(AO$5&lt;AI$5)*AP328+(AU$5&lt;AI$5)*AV328)))</f>
        <v/>
      </c>
      <c r="AL328">
        <f>IF(AJ328-AK328&lt;0.005,0,AJ328-AK328)</f>
        <v/>
      </c>
      <c r="AM328">
        <f>AR327</f>
        <v/>
      </c>
      <c r="AN328">
        <f>AM328*Plan!D12/100/12</f>
        <v/>
      </c>
      <c r="AO328">
        <f>MIN(Plan!E12,AM328+AN328)</f>
        <v/>
      </c>
      <c r="AP328">
        <f>AM328+AN328-AO328</f>
        <v/>
      </c>
      <c r="AQ328">
        <f>MIN(AP328,MAX(0,$B328-((E$5&lt;AO$5)*F328+(K$5&lt;AO$5)*L328+(Q$5&lt;AO$5)*R328+(W$5&lt;AO$5)*X328+(AC$5&lt;AO$5)*AD328+(AI$5&lt;AO$5)*AJ328+(AU$5&lt;AO$5)*AV328)))</f>
        <v/>
      </c>
      <c r="AR328">
        <f>IF(AP328-AQ328&lt;0.005,0,AP328-AQ328)</f>
        <v/>
      </c>
      <c r="AS328">
        <f>AX327</f>
        <v/>
      </c>
      <c r="AT328">
        <f>AS328*Plan!D13/100/12</f>
        <v/>
      </c>
      <c r="AU328">
        <f>MIN(Plan!E13,AS328+AT328)</f>
        <v/>
      </c>
      <c r="AV328">
        <f>AS328+AT328-AU328</f>
        <v/>
      </c>
      <c r="AW328">
        <f>MIN(AV328,MAX(0,$B328-((E$5&lt;AU$5)*F328+(K$5&lt;AU$5)*L328+(Q$5&lt;AU$5)*R328+(W$5&lt;AU$5)*X328+(AC$5&lt;AU$5)*AD328+(AI$5&lt;AU$5)*AJ328+(AO$5&lt;AU$5)*AP328)))</f>
        <v/>
      </c>
      <c r="AX328">
        <f>IF(AV328-AW328&lt;0.005,0,AV328-AW328)</f>
        <v/>
      </c>
      <c r="BC328">
        <f>H328+N328+T328+Z328+AF328+AL328+AR328+AX328</f>
        <v/>
      </c>
    </row>
    <row r="329">
      <c r="A329" t="n">
        <v>323</v>
      </c>
      <c r="B329" s="19">
        <f>MAX(0,$B$3-(E329+K329+Q329+W329+AC329+AI329+AO329+AU329))</f>
        <v/>
      </c>
      <c r="C329">
        <f>H328</f>
        <v/>
      </c>
      <c r="D329">
        <f>C329*Plan!D6/100/12</f>
        <v/>
      </c>
      <c r="E329">
        <f>MIN(Plan!E6,C329+D329)</f>
        <v/>
      </c>
      <c r="F329">
        <f>C329+D329-E329</f>
        <v/>
      </c>
      <c r="G329">
        <f>MIN(F329,MAX(0,$B329-((K$5&lt;E$5)*L329+(Q$5&lt;E$5)*R329+(W$5&lt;E$5)*X329+(AC$5&lt;E$5)*AD329+(AI$5&lt;E$5)*AJ329+(AO$5&lt;E$5)*AP329+(AU$5&lt;E$5)*AV329)))</f>
        <v/>
      </c>
      <c r="H329">
        <f>IF(F329-G329&lt;0.005,0,F329-G329)</f>
        <v/>
      </c>
      <c r="I329">
        <f>N328</f>
        <v/>
      </c>
      <c r="J329">
        <f>I329*Plan!D7/100/12</f>
        <v/>
      </c>
      <c r="K329">
        <f>MIN(Plan!E7,I329+J329)</f>
        <v/>
      </c>
      <c r="L329">
        <f>I329+J329-K329</f>
        <v/>
      </c>
      <c r="M329">
        <f>MIN(L329,MAX(0,$B329-((E$5&lt;K$5)*F329+(Q$5&lt;K$5)*R329+(W$5&lt;K$5)*X329+(AC$5&lt;K$5)*AD329+(AI$5&lt;K$5)*AJ329+(AO$5&lt;K$5)*AP329+(AU$5&lt;K$5)*AV329)))</f>
        <v/>
      </c>
      <c r="N329">
        <f>IF(L329-M329&lt;0.005,0,L329-M329)</f>
        <v/>
      </c>
      <c r="O329">
        <f>T328</f>
        <v/>
      </c>
      <c r="P329">
        <f>O329*Plan!D8/100/12</f>
        <v/>
      </c>
      <c r="Q329">
        <f>MIN(Plan!E8,O329+P329)</f>
        <v/>
      </c>
      <c r="R329">
        <f>O329+P329-Q329</f>
        <v/>
      </c>
      <c r="S329">
        <f>MIN(R329,MAX(0,$B329-((E$5&lt;Q$5)*F329+(K$5&lt;Q$5)*L329+(W$5&lt;Q$5)*X329+(AC$5&lt;Q$5)*AD329+(AI$5&lt;Q$5)*AJ329+(AO$5&lt;Q$5)*AP329+(AU$5&lt;Q$5)*AV329)))</f>
        <v/>
      </c>
      <c r="T329">
        <f>IF(R329-S329&lt;0.005,0,R329-S329)</f>
        <v/>
      </c>
      <c r="U329">
        <f>Z328</f>
        <v/>
      </c>
      <c r="V329">
        <f>U329*Plan!D9/100/12</f>
        <v/>
      </c>
      <c r="W329">
        <f>MIN(Plan!E9,U329+V329)</f>
        <v/>
      </c>
      <c r="X329">
        <f>U329+V329-W329</f>
        <v/>
      </c>
      <c r="Y329">
        <f>MIN(X329,MAX(0,$B329-((E$5&lt;W$5)*F329+(K$5&lt;W$5)*L329+(Q$5&lt;W$5)*R329+(AC$5&lt;W$5)*AD329+(AI$5&lt;W$5)*AJ329+(AO$5&lt;W$5)*AP329+(AU$5&lt;W$5)*AV329)))</f>
        <v/>
      </c>
      <c r="Z329">
        <f>IF(X329-Y329&lt;0.005,0,X329-Y329)</f>
        <v/>
      </c>
      <c r="AA329">
        <f>AF328</f>
        <v/>
      </c>
      <c r="AB329">
        <f>AA329*Plan!D10/100/12</f>
        <v/>
      </c>
      <c r="AC329">
        <f>MIN(Plan!E10,AA329+AB329)</f>
        <v/>
      </c>
      <c r="AD329">
        <f>AA329+AB329-AC329</f>
        <v/>
      </c>
      <c r="AE329">
        <f>MIN(AD329,MAX(0,$B329-((E$5&lt;AC$5)*F329+(K$5&lt;AC$5)*L329+(Q$5&lt;AC$5)*R329+(W$5&lt;AC$5)*X329+(AI$5&lt;AC$5)*AJ329+(AO$5&lt;AC$5)*AP329+(AU$5&lt;AC$5)*AV329)))</f>
        <v/>
      </c>
      <c r="AF329">
        <f>IF(AD329-AE329&lt;0.005,0,AD329-AE329)</f>
        <v/>
      </c>
      <c r="AG329">
        <f>AL328</f>
        <v/>
      </c>
      <c r="AH329">
        <f>AG329*Plan!D11/100/12</f>
        <v/>
      </c>
      <c r="AI329">
        <f>MIN(Plan!E11,AG329+AH329)</f>
        <v/>
      </c>
      <c r="AJ329">
        <f>AG329+AH329-AI329</f>
        <v/>
      </c>
      <c r="AK329">
        <f>MIN(AJ329,MAX(0,$B329-((E$5&lt;AI$5)*F329+(K$5&lt;AI$5)*L329+(Q$5&lt;AI$5)*R329+(W$5&lt;AI$5)*X329+(AC$5&lt;AI$5)*AD329+(AO$5&lt;AI$5)*AP329+(AU$5&lt;AI$5)*AV329)))</f>
        <v/>
      </c>
      <c r="AL329">
        <f>IF(AJ329-AK329&lt;0.005,0,AJ329-AK329)</f>
        <v/>
      </c>
      <c r="AM329">
        <f>AR328</f>
        <v/>
      </c>
      <c r="AN329">
        <f>AM329*Plan!D12/100/12</f>
        <v/>
      </c>
      <c r="AO329">
        <f>MIN(Plan!E12,AM329+AN329)</f>
        <v/>
      </c>
      <c r="AP329">
        <f>AM329+AN329-AO329</f>
        <v/>
      </c>
      <c r="AQ329">
        <f>MIN(AP329,MAX(0,$B329-((E$5&lt;AO$5)*F329+(K$5&lt;AO$5)*L329+(Q$5&lt;AO$5)*R329+(W$5&lt;AO$5)*X329+(AC$5&lt;AO$5)*AD329+(AI$5&lt;AO$5)*AJ329+(AU$5&lt;AO$5)*AV329)))</f>
        <v/>
      </c>
      <c r="AR329">
        <f>IF(AP329-AQ329&lt;0.005,0,AP329-AQ329)</f>
        <v/>
      </c>
      <c r="AS329">
        <f>AX328</f>
        <v/>
      </c>
      <c r="AT329">
        <f>AS329*Plan!D13/100/12</f>
        <v/>
      </c>
      <c r="AU329">
        <f>MIN(Plan!E13,AS329+AT329)</f>
        <v/>
      </c>
      <c r="AV329">
        <f>AS329+AT329-AU329</f>
        <v/>
      </c>
      <c r="AW329">
        <f>MIN(AV329,MAX(0,$B329-((E$5&lt;AU$5)*F329+(K$5&lt;AU$5)*L329+(Q$5&lt;AU$5)*R329+(W$5&lt;AU$5)*X329+(AC$5&lt;AU$5)*AD329+(AI$5&lt;AU$5)*AJ329+(AO$5&lt;AU$5)*AP329)))</f>
        <v/>
      </c>
      <c r="AX329">
        <f>IF(AV329-AW329&lt;0.005,0,AV329-AW329)</f>
        <v/>
      </c>
      <c r="BC329">
        <f>H329+N329+T329+Z329+AF329+AL329+AR329+AX329</f>
        <v/>
      </c>
    </row>
    <row r="330">
      <c r="A330" t="n">
        <v>324</v>
      </c>
      <c r="B330" s="19">
        <f>MAX(0,$B$3-(E330+K330+Q330+W330+AC330+AI330+AO330+AU330))</f>
        <v/>
      </c>
      <c r="C330">
        <f>H329</f>
        <v/>
      </c>
      <c r="D330">
        <f>C330*Plan!D6/100/12</f>
        <v/>
      </c>
      <c r="E330">
        <f>MIN(Plan!E6,C330+D330)</f>
        <v/>
      </c>
      <c r="F330">
        <f>C330+D330-E330</f>
        <v/>
      </c>
      <c r="G330">
        <f>MIN(F330,MAX(0,$B330-((K$5&lt;E$5)*L330+(Q$5&lt;E$5)*R330+(W$5&lt;E$5)*X330+(AC$5&lt;E$5)*AD330+(AI$5&lt;E$5)*AJ330+(AO$5&lt;E$5)*AP330+(AU$5&lt;E$5)*AV330)))</f>
        <v/>
      </c>
      <c r="H330">
        <f>IF(F330-G330&lt;0.005,0,F330-G330)</f>
        <v/>
      </c>
      <c r="I330">
        <f>N329</f>
        <v/>
      </c>
      <c r="J330">
        <f>I330*Plan!D7/100/12</f>
        <v/>
      </c>
      <c r="K330">
        <f>MIN(Plan!E7,I330+J330)</f>
        <v/>
      </c>
      <c r="L330">
        <f>I330+J330-K330</f>
        <v/>
      </c>
      <c r="M330">
        <f>MIN(L330,MAX(0,$B330-((E$5&lt;K$5)*F330+(Q$5&lt;K$5)*R330+(W$5&lt;K$5)*X330+(AC$5&lt;K$5)*AD330+(AI$5&lt;K$5)*AJ330+(AO$5&lt;K$5)*AP330+(AU$5&lt;K$5)*AV330)))</f>
        <v/>
      </c>
      <c r="N330">
        <f>IF(L330-M330&lt;0.005,0,L330-M330)</f>
        <v/>
      </c>
      <c r="O330">
        <f>T329</f>
        <v/>
      </c>
      <c r="P330">
        <f>O330*Plan!D8/100/12</f>
        <v/>
      </c>
      <c r="Q330">
        <f>MIN(Plan!E8,O330+P330)</f>
        <v/>
      </c>
      <c r="R330">
        <f>O330+P330-Q330</f>
        <v/>
      </c>
      <c r="S330">
        <f>MIN(R330,MAX(0,$B330-((E$5&lt;Q$5)*F330+(K$5&lt;Q$5)*L330+(W$5&lt;Q$5)*X330+(AC$5&lt;Q$5)*AD330+(AI$5&lt;Q$5)*AJ330+(AO$5&lt;Q$5)*AP330+(AU$5&lt;Q$5)*AV330)))</f>
        <v/>
      </c>
      <c r="T330">
        <f>IF(R330-S330&lt;0.005,0,R330-S330)</f>
        <v/>
      </c>
      <c r="U330">
        <f>Z329</f>
        <v/>
      </c>
      <c r="V330">
        <f>U330*Plan!D9/100/12</f>
        <v/>
      </c>
      <c r="W330">
        <f>MIN(Plan!E9,U330+V330)</f>
        <v/>
      </c>
      <c r="X330">
        <f>U330+V330-W330</f>
        <v/>
      </c>
      <c r="Y330">
        <f>MIN(X330,MAX(0,$B330-((E$5&lt;W$5)*F330+(K$5&lt;W$5)*L330+(Q$5&lt;W$5)*R330+(AC$5&lt;W$5)*AD330+(AI$5&lt;W$5)*AJ330+(AO$5&lt;W$5)*AP330+(AU$5&lt;W$5)*AV330)))</f>
        <v/>
      </c>
      <c r="Z330">
        <f>IF(X330-Y330&lt;0.005,0,X330-Y330)</f>
        <v/>
      </c>
      <c r="AA330">
        <f>AF329</f>
        <v/>
      </c>
      <c r="AB330">
        <f>AA330*Plan!D10/100/12</f>
        <v/>
      </c>
      <c r="AC330">
        <f>MIN(Plan!E10,AA330+AB330)</f>
        <v/>
      </c>
      <c r="AD330">
        <f>AA330+AB330-AC330</f>
        <v/>
      </c>
      <c r="AE330">
        <f>MIN(AD330,MAX(0,$B330-((E$5&lt;AC$5)*F330+(K$5&lt;AC$5)*L330+(Q$5&lt;AC$5)*R330+(W$5&lt;AC$5)*X330+(AI$5&lt;AC$5)*AJ330+(AO$5&lt;AC$5)*AP330+(AU$5&lt;AC$5)*AV330)))</f>
        <v/>
      </c>
      <c r="AF330">
        <f>IF(AD330-AE330&lt;0.005,0,AD330-AE330)</f>
        <v/>
      </c>
      <c r="AG330">
        <f>AL329</f>
        <v/>
      </c>
      <c r="AH330">
        <f>AG330*Plan!D11/100/12</f>
        <v/>
      </c>
      <c r="AI330">
        <f>MIN(Plan!E11,AG330+AH330)</f>
        <v/>
      </c>
      <c r="AJ330">
        <f>AG330+AH330-AI330</f>
        <v/>
      </c>
      <c r="AK330">
        <f>MIN(AJ330,MAX(0,$B330-((E$5&lt;AI$5)*F330+(K$5&lt;AI$5)*L330+(Q$5&lt;AI$5)*R330+(W$5&lt;AI$5)*X330+(AC$5&lt;AI$5)*AD330+(AO$5&lt;AI$5)*AP330+(AU$5&lt;AI$5)*AV330)))</f>
        <v/>
      </c>
      <c r="AL330">
        <f>IF(AJ330-AK330&lt;0.005,0,AJ330-AK330)</f>
        <v/>
      </c>
      <c r="AM330">
        <f>AR329</f>
        <v/>
      </c>
      <c r="AN330">
        <f>AM330*Plan!D12/100/12</f>
        <v/>
      </c>
      <c r="AO330">
        <f>MIN(Plan!E12,AM330+AN330)</f>
        <v/>
      </c>
      <c r="AP330">
        <f>AM330+AN330-AO330</f>
        <v/>
      </c>
      <c r="AQ330">
        <f>MIN(AP330,MAX(0,$B330-((E$5&lt;AO$5)*F330+(K$5&lt;AO$5)*L330+(Q$5&lt;AO$5)*R330+(W$5&lt;AO$5)*X330+(AC$5&lt;AO$5)*AD330+(AI$5&lt;AO$5)*AJ330+(AU$5&lt;AO$5)*AV330)))</f>
        <v/>
      </c>
      <c r="AR330">
        <f>IF(AP330-AQ330&lt;0.005,0,AP330-AQ330)</f>
        <v/>
      </c>
      <c r="AS330">
        <f>AX329</f>
        <v/>
      </c>
      <c r="AT330">
        <f>AS330*Plan!D13/100/12</f>
        <v/>
      </c>
      <c r="AU330">
        <f>MIN(Plan!E13,AS330+AT330)</f>
        <v/>
      </c>
      <c r="AV330">
        <f>AS330+AT330-AU330</f>
        <v/>
      </c>
      <c r="AW330">
        <f>MIN(AV330,MAX(0,$B330-((E$5&lt;AU$5)*F330+(K$5&lt;AU$5)*L330+(Q$5&lt;AU$5)*R330+(W$5&lt;AU$5)*X330+(AC$5&lt;AU$5)*AD330+(AI$5&lt;AU$5)*AJ330+(AO$5&lt;AU$5)*AP330)))</f>
        <v/>
      </c>
      <c r="AX330">
        <f>IF(AV330-AW330&lt;0.005,0,AV330-AW330)</f>
        <v/>
      </c>
      <c r="BC330">
        <f>H330+N330+T330+Z330+AF330+AL330+AR330+AX330</f>
        <v/>
      </c>
    </row>
    <row r="331">
      <c r="A331" t="n">
        <v>325</v>
      </c>
      <c r="B331" s="19">
        <f>MAX(0,$B$3-(E331+K331+Q331+W331+AC331+AI331+AO331+AU331))</f>
        <v/>
      </c>
      <c r="C331">
        <f>H330</f>
        <v/>
      </c>
      <c r="D331">
        <f>C331*Plan!D6/100/12</f>
        <v/>
      </c>
      <c r="E331">
        <f>MIN(Plan!E6,C331+D331)</f>
        <v/>
      </c>
      <c r="F331">
        <f>C331+D331-E331</f>
        <v/>
      </c>
      <c r="G331">
        <f>MIN(F331,MAX(0,$B331-((K$5&lt;E$5)*L331+(Q$5&lt;E$5)*R331+(W$5&lt;E$5)*X331+(AC$5&lt;E$5)*AD331+(AI$5&lt;E$5)*AJ331+(AO$5&lt;E$5)*AP331+(AU$5&lt;E$5)*AV331)))</f>
        <v/>
      </c>
      <c r="H331">
        <f>IF(F331-G331&lt;0.005,0,F331-G331)</f>
        <v/>
      </c>
      <c r="I331">
        <f>N330</f>
        <v/>
      </c>
      <c r="J331">
        <f>I331*Plan!D7/100/12</f>
        <v/>
      </c>
      <c r="K331">
        <f>MIN(Plan!E7,I331+J331)</f>
        <v/>
      </c>
      <c r="L331">
        <f>I331+J331-K331</f>
        <v/>
      </c>
      <c r="M331">
        <f>MIN(L331,MAX(0,$B331-((E$5&lt;K$5)*F331+(Q$5&lt;K$5)*R331+(W$5&lt;K$5)*X331+(AC$5&lt;K$5)*AD331+(AI$5&lt;K$5)*AJ331+(AO$5&lt;K$5)*AP331+(AU$5&lt;K$5)*AV331)))</f>
        <v/>
      </c>
      <c r="N331">
        <f>IF(L331-M331&lt;0.005,0,L331-M331)</f>
        <v/>
      </c>
      <c r="O331">
        <f>T330</f>
        <v/>
      </c>
      <c r="P331">
        <f>O331*Plan!D8/100/12</f>
        <v/>
      </c>
      <c r="Q331">
        <f>MIN(Plan!E8,O331+P331)</f>
        <v/>
      </c>
      <c r="R331">
        <f>O331+P331-Q331</f>
        <v/>
      </c>
      <c r="S331">
        <f>MIN(R331,MAX(0,$B331-((E$5&lt;Q$5)*F331+(K$5&lt;Q$5)*L331+(W$5&lt;Q$5)*X331+(AC$5&lt;Q$5)*AD331+(AI$5&lt;Q$5)*AJ331+(AO$5&lt;Q$5)*AP331+(AU$5&lt;Q$5)*AV331)))</f>
        <v/>
      </c>
      <c r="T331">
        <f>IF(R331-S331&lt;0.005,0,R331-S331)</f>
        <v/>
      </c>
      <c r="U331">
        <f>Z330</f>
        <v/>
      </c>
      <c r="V331">
        <f>U331*Plan!D9/100/12</f>
        <v/>
      </c>
      <c r="W331">
        <f>MIN(Plan!E9,U331+V331)</f>
        <v/>
      </c>
      <c r="X331">
        <f>U331+V331-W331</f>
        <v/>
      </c>
      <c r="Y331">
        <f>MIN(X331,MAX(0,$B331-((E$5&lt;W$5)*F331+(K$5&lt;W$5)*L331+(Q$5&lt;W$5)*R331+(AC$5&lt;W$5)*AD331+(AI$5&lt;W$5)*AJ331+(AO$5&lt;W$5)*AP331+(AU$5&lt;W$5)*AV331)))</f>
        <v/>
      </c>
      <c r="Z331">
        <f>IF(X331-Y331&lt;0.005,0,X331-Y331)</f>
        <v/>
      </c>
      <c r="AA331">
        <f>AF330</f>
        <v/>
      </c>
      <c r="AB331">
        <f>AA331*Plan!D10/100/12</f>
        <v/>
      </c>
      <c r="AC331">
        <f>MIN(Plan!E10,AA331+AB331)</f>
        <v/>
      </c>
      <c r="AD331">
        <f>AA331+AB331-AC331</f>
        <v/>
      </c>
      <c r="AE331">
        <f>MIN(AD331,MAX(0,$B331-((E$5&lt;AC$5)*F331+(K$5&lt;AC$5)*L331+(Q$5&lt;AC$5)*R331+(W$5&lt;AC$5)*X331+(AI$5&lt;AC$5)*AJ331+(AO$5&lt;AC$5)*AP331+(AU$5&lt;AC$5)*AV331)))</f>
        <v/>
      </c>
      <c r="AF331">
        <f>IF(AD331-AE331&lt;0.005,0,AD331-AE331)</f>
        <v/>
      </c>
      <c r="AG331">
        <f>AL330</f>
        <v/>
      </c>
      <c r="AH331">
        <f>AG331*Plan!D11/100/12</f>
        <v/>
      </c>
      <c r="AI331">
        <f>MIN(Plan!E11,AG331+AH331)</f>
        <v/>
      </c>
      <c r="AJ331">
        <f>AG331+AH331-AI331</f>
        <v/>
      </c>
      <c r="AK331">
        <f>MIN(AJ331,MAX(0,$B331-((E$5&lt;AI$5)*F331+(K$5&lt;AI$5)*L331+(Q$5&lt;AI$5)*R331+(W$5&lt;AI$5)*X331+(AC$5&lt;AI$5)*AD331+(AO$5&lt;AI$5)*AP331+(AU$5&lt;AI$5)*AV331)))</f>
        <v/>
      </c>
      <c r="AL331">
        <f>IF(AJ331-AK331&lt;0.005,0,AJ331-AK331)</f>
        <v/>
      </c>
      <c r="AM331">
        <f>AR330</f>
        <v/>
      </c>
      <c r="AN331">
        <f>AM331*Plan!D12/100/12</f>
        <v/>
      </c>
      <c r="AO331">
        <f>MIN(Plan!E12,AM331+AN331)</f>
        <v/>
      </c>
      <c r="AP331">
        <f>AM331+AN331-AO331</f>
        <v/>
      </c>
      <c r="AQ331">
        <f>MIN(AP331,MAX(0,$B331-((E$5&lt;AO$5)*F331+(K$5&lt;AO$5)*L331+(Q$5&lt;AO$5)*R331+(W$5&lt;AO$5)*X331+(AC$5&lt;AO$5)*AD331+(AI$5&lt;AO$5)*AJ331+(AU$5&lt;AO$5)*AV331)))</f>
        <v/>
      </c>
      <c r="AR331">
        <f>IF(AP331-AQ331&lt;0.005,0,AP331-AQ331)</f>
        <v/>
      </c>
      <c r="AS331">
        <f>AX330</f>
        <v/>
      </c>
      <c r="AT331">
        <f>AS331*Plan!D13/100/12</f>
        <v/>
      </c>
      <c r="AU331">
        <f>MIN(Plan!E13,AS331+AT331)</f>
        <v/>
      </c>
      <c r="AV331">
        <f>AS331+AT331-AU331</f>
        <v/>
      </c>
      <c r="AW331">
        <f>MIN(AV331,MAX(0,$B331-((E$5&lt;AU$5)*F331+(K$5&lt;AU$5)*L331+(Q$5&lt;AU$5)*R331+(W$5&lt;AU$5)*X331+(AC$5&lt;AU$5)*AD331+(AI$5&lt;AU$5)*AJ331+(AO$5&lt;AU$5)*AP331)))</f>
        <v/>
      </c>
      <c r="AX331">
        <f>IF(AV331-AW331&lt;0.005,0,AV331-AW331)</f>
        <v/>
      </c>
      <c r="BC331">
        <f>H331+N331+T331+Z331+AF331+AL331+AR331+AX331</f>
        <v/>
      </c>
    </row>
    <row r="332">
      <c r="A332" t="n">
        <v>326</v>
      </c>
      <c r="B332" s="19">
        <f>MAX(0,$B$3-(E332+K332+Q332+W332+AC332+AI332+AO332+AU332))</f>
        <v/>
      </c>
      <c r="C332">
        <f>H331</f>
        <v/>
      </c>
      <c r="D332">
        <f>C332*Plan!D6/100/12</f>
        <v/>
      </c>
      <c r="E332">
        <f>MIN(Plan!E6,C332+D332)</f>
        <v/>
      </c>
      <c r="F332">
        <f>C332+D332-E332</f>
        <v/>
      </c>
      <c r="G332">
        <f>MIN(F332,MAX(0,$B332-((K$5&lt;E$5)*L332+(Q$5&lt;E$5)*R332+(W$5&lt;E$5)*X332+(AC$5&lt;E$5)*AD332+(AI$5&lt;E$5)*AJ332+(AO$5&lt;E$5)*AP332+(AU$5&lt;E$5)*AV332)))</f>
        <v/>
      </c>
      <c r="H332">
        <f>IF(F332-G332&lt;0.005,0,F332-G332)</f>
        <v/>
      </c>
      <c r="I332">
        <f>N331</f>
        <v/>
      </c>
      <c r="J332">
        <f>I332*Plan!D7/100/12</f>
        <v/>
      </c>
      <c r="K332">
        <f>MIN(Plan!E7,I332+J332)</f>
        <v/>
      </c>
      <c r="L332">
        <f>I332+J332-K332</f>
        <v/>
      </c>
      <c r="M332">
        <f>MIN(L332,MAX(0,$B332-((E$5&lt;K$5)*F332+(Q$5&lt;K$5)*R332+(W$5&lt;K$5)*X332+(AC$5&lt;K$5)*AD332+(AI$5&lt;K$5)*AJ332+(AO$5&lt;K$5)*AP332+(AU$5&lt;K$5)*AV332)))</f>
        <v/>
      </c>
      <c r="N332">
        <f>IF(L332-M332&lt;0.005,0,L332-M332)</f>
        <v/>
      </c>
      <c r="O332">
        <f>T331</f>
        <v/>
      </c>
      <c r="P332">
        <f>O332*Plan!D8/100/12</f>
        <v/>
      </c>
      <c r="Q332">
        <f>MIN(Plan!E8,O332+P332)</f>
        <v/>
      </c>
      <c r="R332">
        <f>O332+P332-Q332</f>
        <v/>
      </c>
      <c r="S332">
        <f>MIN(R332,MAX(0,$B332-((E$5&lt;Q$5)*F332+(K$5&lt;Q$5)*L332+(W$5&lt;Q$5)*X332+(AC$5&lt;Q$5)*AD332+(AI$5&lt;Q$5)*AJ332+(AO$5&lt;Q$5)*AP332+(AU$5&lt;Q$5)*AV332)))</f>
        <v/>
      </c>
      <c r="T332">
        <f>IF(R332-S332&lt;0.005,0,R332-S332)</f>
        <v/>
      </c>
      <c r="U332">
        <f>Z331</f>
        <v/>
      </c>
      <c r="V332">
        <f>U332*Plan!D9/100/12</f>
        <v/>
      </c>
      <c r="W332">
        <f>MIN(Plan!E9,U332+V332)</f>
        <v/>
      </c>
      <c r="X332">
        <f>U332+V332-W332</f>
        <v/>
      </c>
      <c r="Y332">
        <f>MIN(X332,MAX(0,$B332-((E$5&lt;W$5)*F332+(K$5&lt;W$5)*L332+(Q$5&lt;W$5)*R332+(AC$5&lt;W$5)*AD332+(AI$5&lt;W$5)*AJ332+(AO$5&lt;W$5)*AP332+(AU$5&lt;W$5)*AV332)))</f>
        <v/>
      </c>
      <c r="Z332">
        <f>IF(X332-Y332&lt;0.005,0,X332-Y332)</f>
        <v/>
      </c>
      <c r="AA332">
        <f>AF331</f>
        <v/>
      </c>
      <c r="AB332">
        <f>AA332*Plan!D10/100/12</f>
        <v/>
      </c>
      <c r="AC332">
        <f>MIN(Plan!E10,AA332+AB332)</f>
        <v/>
      </c>
      <c r="AD332">
        <f>AA332+AB332-AC332</f>
        <v/>
      </c>
      <c r="AE332">
        <f>MIN(AD332,MAX(0,$B332-((E$5&lt;AC$5)*F332+(K$5&lt;AC$5)*L332+(Q$5&lt;AC$5)*R332+(W$5&lt;AC$5)*X332+(AI$5&lt;AC$5)*AJ332+(AO$5&lt;AC$5)*AP332+(AU$5&lt;AC$5)*AV332)))</f>
        <v/>
      </c>
      <c r="AF332">
        <f>IF(AD332-AE332&lt;0.005,0,AD332-AE332)</f>
        <v/>
      </c>
      <c r="AG332">
        <f>AL331</f>
        <v/>
      </c>
      <c r="AH332">
        <f>AG332*Plan!D11/100/12</f>
        <v/>
      </c>
      <c r="AI332">
        <f>MIN(Plan!E11,AG332+AH332)</f>
        <v/>
      </c>
      <c r="AJ332">
        <f>AG332+AH332-AI332</f>
        <v/>
      </c>
      <c r="AK332">
        <f>MIN(AJ332,MAX(0,$B332-((E$5&lt;AI$5)*F332+(K$5&lt;AI$5)*L332+(Q$5&lt;AI$5)*R332+(W$5&lt;AI$5)*X332+(AC$5&lt;AI$5)*AD332+(AO$5&lt;AI$5)*AP332+(AU$5&lt;AI$5)*AV332)))</f>
        <v/>
      </c>
      <c r="AL332">
        <f>IF(AJ332-AK332&lt;0.005,0,AJ332-AK332)</f>
        <v/>
      </c>
      <c r="AM332">
        <f>AR331</f>
        <v/>
      </c>
      <c r="AN332">
        <f>AM332*Plan!D12/100/12</f>
        <v/>
      </c>
      <c r="AO332">
        <f>MIN(Plan!E12,AM332+AN332)</f>
        <v/>
      </c>
      <c r="AP332">
        <f>AM332+AN332-AO332</f>
        <v/>
      </c>
      <c r="AQ332">
        <f>MIN(AP332,MAX(0,$B332-((E$5&lt;AO$5)*F332+(K$5&lt;AO$5)*L332+(Q$5&lt;AO$5)*R332+(W$5&lt;AO$5)*X332+(AC$5&lt;AO$5)*AD332+(AI$5&lt;AO$5)*AJ332+(AU$5&lt;AO$5)*AV332)))</f>
        <v/>
      </c>
      <c r="AR332">
        <f>IF(AP332-AQ332&lt;0.005,0,AP332-AQ332)</f>
        <v/>
      </c>
      <c r="AS332">
        <f>AX331</f>
        <v/>
      </c>
      <c r="AT332">
        <f>AS332*Plan!D13/100/12</f>
        <v/>
      </c>
      <c r="AU332">
        <f>MIN(Plan!E13,AS332+AT332)</f>
        <v/>
      </c>
      <c r="AV332">
        <f>AS332+AT332-AU332</f>
        <v/>
      </c>
      <c r="AW332">
        <f>MIN(AV332,MAX(0,$B332-((E$5&lt;AU$5)*F332+(K$5&lt;AU$5)*L332+(Q$5&lt;AU$5)*R332+(W$5&lt;AU$5)*X332+(AC$5&lt;AU$5)*AD332+(AI$5&lt;AU$5)*AJ332+(AO$5&lt;AU$5)*AP332)))</f>
        <v/>
      </c>
      <c r="AX332">
        <f>IF(AV332-AW332&lt;0.005,0,AV332-AW332)</f>
        <v/>
      </c>
      <c r="BC332">
        <f>H332+N332+T332+Z332+AF332+AL332+AR332+AX332</f>
        <v/>
      </c>
    </row>
    <row r="333">
      <c r="A333" t="n">
        <v>327</v>
      </c>
      <c r="B333" s="19">
        <f>MAX(0,$B$3-(E333+K333+Q333+W333+AC333+AI333+AO333+AU333))</f>
        <v/>
      </c>
      <c r="C333">
        <f>H332</f>
        <v/>
      </c>
      <c r="D333">
        <f>C333*Plan!D6/100/12</f>
        <v/>
      </c>
      <c r="E333">
        <f>MIN(Plan!E6,C333+D333)</f>
        <v/>
      </c>
      <c r="F333">
        <f>C333+D333-E333</f>
        <v/>
      </c>
      <c r="G333">
        <f>MIN(F333,MAX(0,$B333-((K$5&lt;E$5)*L333+(Q$5&lt;E$5)*R333+(W$5&lt;E$5)*X333+(AC$5&lt;E$5)*AD333+(AI$5&lt;E$5)*AJ333+(AO$5&lt;E$5)*AP333+(AU$5&lt;E$5)*AV333)))</f>
        <v/>
      </c>
      <c r="H333">
        <f>IF(F333-G333&lt;0.005,0,F333-G333)</f>
        <v/>
      </c>
      <c r="I333">
        <f>N332</f>
        <v/>
      </c>
      <c r="J333">
        <f>I333*Plan!D7/100/12</f>
        <v/>
      </c>
      <c r="K333">
        <f>MIN(Plan!E7,I333+J333)</f>
        <v/>
      </c>
      <c r="L333">
        <f>I333+J333-K333</f>
        <v/>
      </c>
      <c r="M333">
        <f>MIN(L333,MAX(0,$B333-((E$5&lt;K$5)*F333+(Q$5&lt;K$5)*R333+(W$5&lt;K$5)*X333+(AC$5&lt;K$5)*AD333+(AI$5&lt;K$5)*AJ333+(AO$5&lt;K$5)*AP333+(AU$5&lt;K$5)*AV333)))</f>
        <v/>
      </c>
      <c r="N333">
        <f>IF(L333-M333&lt;0.005,0,L333-M333)</f>
        <v/>
      </c>
      <c r="O333">
        <f>T332</f>
        <v/>
      </c>
      <c r="P333">
        <f>O333*Plan!D8/100/12</f>
        <v/>
      </c>
      <c r="Q333">
        <f>MIN(Plan!E8,O333+P333)</f>
        <v/>
      </c>
      <c r="R333">
        <f>O333+P333-Q333</f>
        <v/>
      </c>
      <c r="S333">
        <f>MIN(R333,MAX(0,$B333-((E$5&lt;Q$5)*F333+(K$5&lt;Q$5)*L333+(W$5&lt;Q$5)*X333+(AC$5&lt;Q$5)*AD333+(AI$5&lt;Q$5)*AJ333+(AO$5&lt;Q$5)*AP333+(AU$5&lt;Q$5)*AV333)))</f>
        <v/>
      </c>
      <c r="T333">
        <f>IF(R333-S333&lt;0.005,0,R333-S333)</f>
        <v/>
      </c>
      <c r="U333">
        <f>Z332</f>
        <v/>
      </c>
      <c r="V333">
        <f>U333*Plan!D9/100/12</f>
        <v/>
      </c>
      <c r="W333">
        <f>MIN(Plan!E9,U333+V333)</f>
        <v/>
      </c>
      <c r="X333">
        <f>U333+V333-W333</f>
        <v/>
      </c>
      <c r="Y333">
        <f>MIN(X333,MAX(0,$B333-((E$5&lt;W$5)*F333+(K$5&lt;W$5)*L333+(Q$5&lt;W$5)*R333+(AC$5&lt;W$5)*AD333+(AI$5&lt;W$5)*AJ333+(AO$5&lt;W$5)*AP333+(AU$5&lt;W$5)*AV333)))</f>
        <v/>
      </c>
      <c r="Z333">
        <f>IF(X333-Y333&lt;0.005,0,X333-Y333)</f>
        <v/>
      </c>
      <c r="AA333">
        <f>AF332</f>
        <v/>
      </c>
      <c r="AB333">
        <f>AA333*Plan!D10/100/12</f>
        <v/>
      </c>
      <c r="AC333">
        <f>MIN(Plan!E10,AA333+AB333)</f>
        <v/>
      </c>
      <c r="AD333">
        <f>AA333+AB333-AC333</f>
        <v/>
      </c>
      <c r="AE333">
        <f>MIN(AD333,MAX(0,$B333-((E$5&lt;AC$5)*F333+(K$5&lt;AC$5)*L333+(Q$5&lt;AC$5)*R333+(W$5&lt;AC$5)*X333+(AI$5&lt;AC$5)*AJ333+(AO$5&lt;AC$5)*AP333+(AU$5&lt;AC$5)*AV333)))</f>
        <v/>
      </c>
      <c r="AF333">
        <f>IF(AD333-AE333&lt;0.005,0,AD333-AE333)</f>
        <v/>
      </c>
      <c r="AG333">
        <f>AL332</f>
        <v/>
      </c>
      <c r="AH333">
        <f>AG333*Plan!D11/100/12</f>
        <v/>
      </c>
      <c r="AI333">
        <f>MIN(Plan!E11,AG333+AH333)</f>
        <v/>
      </c>
      <c r="AJ333">
        <f>AG333+AH333-AI333</f>
        <v/>
      </c>
      <c r="AK333">
        <f>MIN(AJ333,MAX(0,$B333-((E$5&lt;AI$5)*F333+(K$5&lt;AI$5)*L333+(Q$5&lt;AI$5)*R333+(W$5&lt;AI$5)*X333+(AC$5&lt;AI$5)*AD333+(AO$5&lt;AI$5)*AP333+(AU$5&lt;AI$5)*AV333)))</f>
        <v/>
      </c>
      <c r="AL333">
        <f>IF(AJ333-AK333&lt;0.005,0,AJ333-AK333)</f>
        <v/>
      </c>
      <c r="AM333">
        <f>AR332</f>
        <v/>
      </c>
      <c r="AN333">
        <f>AM333*Plan!D12/100/12</f>
        <v/>
      </c>
      <c r="AO333">
        <f>MIN(Plan!E12,AM333+AN333)</f>
        <v/>
      </c>
      <c r="AP333">
        <f>AM333+AN333-AO333</f>
        <v/>
      </c>
      <c r="AQ333">
        <f>MIN(AP333,MAX(0,$B333-((E$5&lt;AO$5)*F333+(K$5&lt;AO$5)*L333+(Q$5&lt;AO$5)*R333+(W$5&lt;AO$5)*X333+(AC$5&lt;AO$5)*AD333+(AI$5&lt;AO$5)*AJ333+(AU$5&lt;AO$5)*AV333)))</f>
        <v/>
      </c>
      <c r="AR333">
        <f>IF(AP333-AQ333&lt;0.005,0,AP333-AQ333)</f>
        <v/>
      </c>
      <c r="AS333">
        <f>AX332</f>
        <v/>
      </c>
      <c r="AT333">
        <f>AS333*Plan!D13/100/12</f>
        <v/>
      </c>
      <c r="AU333">
        <f>MIN(Plan!E13,AS333+AT333)</f>
        <v/>
      </c>
      <c r="AV333">
        <f>AS333+AT333-AU333</f>
        <v/>
      </c>
      <c r="AW333">
        <f>MIN(AV333,MAX(0,$B333-((E$5&lt;AU$5)*F333+(K$5&lt;AU$5)*L333+(Q$5&lt;AU$5)*R333+(W$5&lt;AU$5)*X333+(AC$5&lt;AU$5)*AD333+(AI$5&lt;AU$5)*AJ333+(AO$5&lt;AU$5)*AP333)))</f>
        <v/>
      </c>
      <c r="AX333">
        <f>IF(AV333-AW333&lt;0.005,0,AV333-AW333)</f>
        <v/>
      </c>
      <c r="BC333">
        <f>H333+N333+T333+Z333+AF333+AL333+AR333+AX333</f>
        <v/>
      </c>
    </row>
    <row r="334">
      <c r="A334" t="n">
        <v>328</v>
      </c>
      <c r="B334" s="19">
        <f>MAX(0,$B$3-(E334+K334+Q334+W334+AC334+AI334+AO334+AU334))</f>
        <v/>
      </c>
      <c r="C334">
        <f>H333</f>
        <v/>
      </c>
      <c r="D334">
        <f>C334*Plan!D6/100/12</f>
        <v/>
      </c>
      <c r="E334">
        <f>MIN(Plan!E6,C334+D334)</f>
        <v/>
      </c>
      <c r="F334">
        <f>C334+D334-E334</f>
        <v/>
      </c>
      <c r="G334">
        <f>MIN(F334,MAX(0,$B334-((K$5&lt;E$5)*L334+(Q$5&lt;E$5)*R334+(W$5&lt;E$5)*X334+(AC$5&lt;E$5)*AD334+(AI$5&lt;E$5)*AJ334+(AO$5&lt;E$5)*AP334+(AU$5&lt;E$5)*AV334)))</f>
        <v/>
      </c>
      <c r="H334">
        <f>IF(F334-G334&lt;0.005,0,F334-G334)</f>
        <v/>
      </c>
      <c r="I334">
        <f>N333</f>
        <v/>
      </c>
      <c r="J334">
        <f>I334*Plan!D7/100/12</f>
        <v/>
      </c>
      <c r="K334">
        <f>MIN(Plan!E7,I334+J334)</f>
        <v/>
      </c>
      <c r="L334">
        <f>I334+J334-K334</f>
        <v/>
      </c>
      <c r="M334">
        <f>MIN(L334,MAX(0,$B334-((E$5&lt;K$5)*F334+(Q$5&lt;K$5)*R334+(W$5&lt;K$5)*X334+(AC$5&lt;K$5)*AD334+(AI$5&lt;K$5)*AJ334+(AO$5&lt;K$5)*AP334+(AU$5&lt;K$5)*AV334)))</f>
        <v/>
      </c>
      <c r="N334">
        <f>IF(L334-M334&lt;0.005,0,L334-M334)</f>
        <v/>
      </c>
      <c r="O334">
        <f>T333</f>
        <v/>
      </c>
      <c r="P334">
        <f>O334*Plan!D8/100/12</f>
        <v/>
      </c>
      <c r="Q334">
        <f>MIN(Plan!E8,O334+P334)</f>
        <v/>
      </c>
      <c r="R334">
        <f>O334+P334-Q334</f>
        <v/>
      </c>
      <c r="S334">
        <f>MIN(R334,MAX(0,$B334-((E$5&lt;Q$5)*F334+(K$5&lt;Q$5)*L334+(W$5&lt;Q$5)*X334+(AC$5&lt;Q$5)*AD334+(AI$5&lt;Q$5)*AJ334+(AO$5&lt;Q$5)*AP334+(AU$5&lt;Q$5)*AV334)))</f>
        <v/>
      </c>
      <c r="T334">
        <f>IF(R334-S334&lt;0.005,0,R334-S334)</f>
        <v/>
      </c>
      <c r="U334">
        <f>Z333</f>
        <v/>
      </c>
      <c r="V334">
        <f>U334*Plan!D9/100/12</f>
        <v/>
      </c>
      <c r="W334">
        <f>MIN(Plan!E9,U334+V334)</f>
        <v/>
      </c>
      <c r="X334">
        <f>U334+V334-W334</f>
        <v/>
      </c>
      <c r="Y334">
        <f>MIN(X334,MAX(0,$B334-((E$5&lt;W$5)*F334+(K$5&lt;W$5)*L334+(Q$5&lt;W$5)*R334+(AC$5&lt;W$5)*AD334+(AI$5&lt;W$5)*AJ334+(AO$5&lt;W$5)*AP334+(AU$5&lt;W$5)*AV334)))</f>
        <v/>
      </c>
      <c r="Z334">
        <f>IF(X334-Y334&lt;0.005,0,X334-Y334)</f>
        <v/>
      </c>
      <c r="AA334">
        <f>AF333</f>
        <v/>
      </c>
      <c r="AB334">
        <f>AA334*Plan!D10/100/12</f>
        <v/>
      </c>
      <c r="AC334">
        <f>MIN(Plan!E10,AA334+AB334)</f>
        <v/>
      </c>
      <c r="AD334">
        <f>AA334+AB334-AC334</f>
        <v/>
      </c>
      <c r="AE334">
        <f>MIN(AD334,MAX(0,$B334-((E$5&lt;AC$5)*F334+(K$5&lt;AC$5)*L334+(Q$5&lt;AC$5)*R334+(W$5&lt;AC$5)*X334+(AI$5&lt;AC$5)*AJ334+(AO$5&lt;AC$5)*AP334+(AU$5&lt;AC$5)*AV334)))</f>
        <v/>
      </c>
      <c r="AF334">
        <f>IF(AD334-AE334&lt;0.005,0,AD334-AE334)</f>
        <v/>
      </c>
      <c r="AG334">
        <f>AL333</f>
        <v/>
      </c>
      <c r="AH334">
        <f>AG334*Plan!D11/100/12</f>
        <v/>
      </c>
      <c r="AI334">
        <f>MIN(Plan!E11,AG334+AH334)</f>
        <v/>
      </c>
      <c r="AJ334">
        <f>AG334+AH334-AI334</f>
        <v/>
      </c>
      <c r="AK334">
        <f>MIN(AJ334,MAX(0,$B334-((E$5&lt;AI$5)*F334+(K$5&lt;AI$5)*L334+(Q$5&lt;AI$5)*R334+(W$5&lt;AI$5)*X334+(AC$5&lt;AI$5)*AD334+(AO$5&lt;AI$5)*AP334+(AU$5&lt;AI$5)*AV334)))</f>
        <v/>
      </c>
      <c r="AL334">
        <f>IF(AJ334-AK334&lt;0.005,0,AJ334-AK334)</f>
        <v/>
      </c>
      <c r="AM334">
        <f>AR333</f>
        <v/>
      </c>
      <c r="AN334">
        <f>AM334*Plan!D12/100/12</f>
        <v/>
      </c>
      <c r="AO334">
        <f>MIN(Plan!E12,AM334+AN334)</f>
        <v/>
      </c>
      <c r="AP334">
        <f>AM334+AN334-AO334</f>
        <v/>
      </c>
      <c r="AQ334">
        <f>MIN(AP334,MAX(0,$B334-((E$5&lt;AO$5)*F334+(K$5&lt;AO$5)*L334+(Q$5&lt;AO$5)*R334+(W$5&lt;AO$5)*X334+(AC$5&lt;AO$5)*AD334+(AI$5&lt;AO$5)*AJ334+(AU$5&lt;AO$5)*AV334)))</f>
        <v/>
      </c>
      <c r="AR334">
        <f>IF(AP334-AQ334&lt;0.005,0,AP334-AQ334)</f>
        <v/>
      </c>
      <c r="AS334">
        <f>AX333</f>
        <v/>
      </c>
      <c r="AT334">
        <f>AS334*Plan!D13/100/12</f>
        <v/>
      </c>
      <c r="AU334">
        <f>MIN(Plan!E13,AS334+AT334)</f>
        <v/>
      </c>
      <c r="AV334">
        <f>AS334+AT334-AU334</f>
        <v/>
      </c>
      <c r="AW334">
        <f>MIN(AV334,MAX(0,$B334-((E$5&lt;AU$5)*F334+(K$5&lt;AU$5)*L334+(Q$5&lt;AU$5)*R334+(W$5&lt;AU$5)*X334+(AC$5&lt;AU$5)*AD334+(AI$5&lt;AU$5)*AJ334+(AO$5&lt;AU$5)*AP334)))</f>
        <v/>
      </c>
      <c r="AX334">
        <f>IF(AV334-AW334&lt;0.005,0,AV334-AW334)</f>
        <v/>
      </c>
      <c r="BC334">
        <f>H334+N334+T334+Z334+AF334+AL334+AR334+AX334</f>
        <v/>
      </c>
    </row>
    <row r="335">
      <c r="A335" t="n">
        <v>329</v>
      </c>
      <c r="B335" s="19">
        <f>MAX(0,$B$3-(E335+K335+Q335+W335+AC335+AI335+AO335+AU335))</f>
        <v/>
      </c>
      <c r="C335">
        <f>H334</f>
        <v/>
      </c>
      <c r="D335">
        <f>C335*Plan!D6/100/12</f>
        <v/>
      </c>
      <c r="E335">
        <f>MIN(Plan!E6,C335+D335)</f>
        <v/>
      </c>
      <c r="F335">
        <f>C335+D335-E335</f>
        <v/>
      </c>
      <c r="G335">
        <f>MIN(F335,MAX(0,$B335-((K$5&lt;E$5)*L335+(Q$5&lt;E$5)*R335+(W$5&lt;E$5)*X335+(AC$5&lt;E$5)*AD335+(AI$5&lt;E$5)*AJ335+(AO$5&lt;E$5)*AP335+(AU$5&lt;E$5)*AV335)))</f>
        <v/>
      </c>
      <c r="H335">
        <f>IF(F335-G335&lt;0.005,0,F335-G335)</f>
        <v/>
      </c>
      <c r="I335">
        <f>N334</f>
        <v/>
      </c>
      <c r="J335">
        <f>I335*Plan!D7/100/12</f>
        <v/>
      </c>
      <c r="K335">
        <f>MIN(Plan!E7,I335+J335)</f>
        <v/>
      </c>
      <c r="L335">
        <f>I335+J335-K335</f>
        <v/>
      </c>
      <c r="M335">
        <f>MIN(L335,MAX(0,$B335-((E$5&lt;K$5)*F335+(Q$5&lt;K$5)*R335+(W$5&lt;K$5)*X335+(AC$5&lt;K$5)*AD335+(AI$5&lt;K$5)*AJ335+(AO$5&lt;K$5)*AP335+(AU$5&lt;K$5)*AV335)))</f>
        <v/>
      </c>
      <c r="N335">
        <f>IF(L335-M335&lt;0.005,0,L335-M335)</f>
        <v/>
      </c>
      <c r="O335">
        <f>T334</f>
        <v/>
      </c>
      <c r="P335">
        <f>O335*Plan!D8/100/12</f>
        <v/>
      </c>
      <c r="Q335">
        <f>MIN(Plan!E8,O335+P335)</f>
        <v/>
      </c>
      <c r="R335">
        <f>O335+P335-Q335</f>
        <v/>
      </c>
      <c r="S335">
        <f>MIN(R335,MAX(0,$B335-((E$5&lt;Q$5)*F335+(K$5&lt;Q$5)*L335+(W$5&lt;Q$5)*X335+(AC$5&lt;Q$5)*AD335+(AI$5&lt;Q$5)*AJ335+(AO$5&lt;Q$5)*AP335+(AU$5&lt;Q$5)*AV335)))</f>
        <v/>
      </c>
      <c r="T335">
        <f>IF(R335-S335&lt;0.005,0,R335-S335)</f>
        <v/>
      </c>
      <c r="U335">
        <f>Z334</f>
        <v/>
      </c>
      <c r="V335">
        <f>U335*Plan!D9/100/12</f>
        <v/>
      </c>
      <c r="W335">
        <f>MIN(Plan!E9,U335+V335)</f>
        <v/>
      </c>
      <c r="X335">
        <f>U335+V335-W335</f>
        <v/>
      </c>
      <c r="Y335">
        <f>MIN(X335,MAX(0,$B335-((E$5&lt;W$5)*F335+(K$5&lt;W$5)*L335+(Q$5&lt;W$5)*R335+(AC$5&lt;W$5)*AD335+(AI$5&lt;W$5)*AJ335+(AO$5&lt;W$5)*AP335+(AU$5&lt;W$5)*AV335)))</f>
        <v/>
      </c>
      <c r="Z335">
        <f>IF(X335-Y335&lt;0.005,0,X335-Y335)</f>
        <v/>
      </c>
      <c r="AA335">
        <f>AF334</f>
        <v/>
      </c>
      <c r="AB335">
        <f>AA335*Plan!D10/100/12</f>
        <v/>
      </c>
      <c r="AC335">
        <f>MIN(Plan!E10,AA335+AB335)</f>
        <v/>
      </c>
      <c r="AD335">
        <f>AA335+AB335-AC335</f>
        <v/>
      </c>
      <c r="AE335">
        <f>MIN(AD335,MAX(0,$B335-((E$5&lt;AC$5)*F335+(K$5&lt;AC$5)*L335+(Q$5&lt;AC$5)*R335+(W$5&lt;AC$5)*X335+(AI$5&lt;AC$5)*AJ335+(AO$5&lt;AC$5)*AP335+(AU$5&lt;AC$5)*AV335)))</f>
        <v/>
      </c>
      <c r="AF335">
        <f>IF(AD335-AE335&lt;0.005,0,AD335-AE335)</f>
        <v/>
      </c>
      <c r="AG335">
        <f>AL334</f>
        <v/>
      </c>
      <c r="AH335">
        <f>AG335*Plan!D11/100/12</f>
        <v/>
      </c>
      <c r="AI335">
        <f>MIN(Plan!E11,AG335+AH335)</f>
        <v/>
      </c>
      <c r="AJ335">
        <f>AG335+AH335-AI335</f>
        <v/>
      </c>
      <c r="AK335">
        <f>MIN(AJ335,MAX(0,$B335-((E$5&lt;AI$5)*F335+(K$5&lt;AI$5)*L335+(Q$5&lt;AI$5)*R335+(W$5&lt;AI$5)*X335+(AC$5&lt;AI$5)*AD335+(AO$5&lt;AI$5)*AP335+(AU$5&lt;AI$5)*AV335)))</f>
        <v/>
      </c>
      <c r="AL335">
        <f>IF(AJ335-AK335&lt;0.005,0,AJ335-AK335)</f>
        <v/>
      </c>
      <c r="AM335">
        <f>AR334</f>
        <v/>
      </c>
      <c r="AN335">
        <f>AM335*Plan!D12/100/12</f>
        <v/>
      </c>
      <c r="AO335">
        <f>MIN(Plan!E12,AM335+AN335)</f>
        <v/>
      </c>
      <c r="AP335">
        <f>AM335+AN335-AO335</f>
        <v/>
      </c>
      <c r="AQ335">
        <f>MIN(AP335,MAX(0,$B335-((E$5&lt;AO$5)*F335+(K$5&lt;AO$5)*L335+(Q$5&lt;AO$5)*R335+(W$5&lt;AO$5)*X335+(AC$5&lt;AO$5)*AD335+(AI$5&lt;AO$5)*AJ335+(AU$5&lt;AO$5)*AV335)))</f>
        <v/>
      </c>
      <c r="AR335">
        <f>IF(AP335-AQ335&lt;0.005,0,AP335-AQ335)</f>
        <v/>
      </c>
      <c r="AS335">
        <f>AX334</f>
        <v/>
      </c>
      <c r="AT335">
        <f>AS335*Plan!D13/100/12</f>
        <v/>
      </c>
      <c r="AU335">
        <f>MIN(Plan!E13,AS335+AT335)</f>
        <v/>
      </c>
      <c r="AV335">
        <f>AS335+AT335-AU335</f>
        <v/>
      </c>
      <c r="AW335">
        <f>MIN(AV335,MAX(0,$B335-((E$5&lt;AU$5)*F335+(K$5&lt;AU$5)*L335+(Q$5&lt;AU$5)*R335+(W$5&lt;AU$5)*X335+(AC$5&lt;AU$5)*AD335+(AI$5&lt;AU$5)*AJ335+(AO$5&lt;AU$5)*AP335)))</f>
        <v/>
      </c>
      <c r="AX335">
        <f>IF(AV335-AW335&lt;0.005,0,AV335-AW335)</f>
        <v/>
      </c>
      <c r="BC335">
        <f>H335+N335+T335+Z335+AF335+AL335+AR335+AX335</f>
        <v/>
      </c>
    </row>
    <row r="336">
      <c r="A336" t="n">
        <v>330</v>
      </c>
      <c r="B336" s="19">
        <f>MAX(0,$B$3-(E336+K336+Q336+W336+AC336+AI336+AO336+AU336))</f>
        <v/>
      </c>
      <c r="C336">
        <f>H335</f>
        <v/>
      </c>
      <c r="D336">
        <f>C336*Plan!D6/100/12</f>
        <v/>
      </c>
      <c r="E336">
        <f>MIN(Plan!E6,C336+D336)</f>
        <v/>
      </c>
      <c r="F336">
        <f>C336+D336-E336</f>
        <v/>
      </c>
      <c r="G336">
        <f>MIN(F336,MAX(0,$B336-((K$5&lt;E$5)*L336+(Q$5&lt;E$5)*R336+(W$5&lt;E$5)*X336+(AC$5&lt;E$5)*AD336+(AI$5&lt;E$5)*AJ336+(AO$5&lt;E$5)*AP336+(AU$5&lt;E$5)*AV336)))</f>
        <v/>
      </c>
      <c r="H336">
        <f>IF(F336-G336&lt;0.005,0,F336-G336)</f>
        <v/>
      </c>
      <c r="I336">
        <f>N335</f>
        <v/>
      </c>
      <c r="J336">
        <f>I336*Plan!D7/100/12</f>
        <v/>
      </c>
      <c r="K336">
        <f>MIN(Plan!E7,I336+J336)</f>
        <v/>
      </c>
      <c r="L336">
        <f>I336+J336-K336</f>
        <v/>
      </c>
      <c r="M336">
        <f>MIN(L336,MAX(0,$B336-((E$5&lt;K$5)*F336+(Q$5&lt;K$5)*R336+(W$5&lt;K$5)*X336+(AC$5&lt;K$5)*AD336+(AI$5&lt;K$5)*AJ336+(AO$5&lt;K$5)*AP336+(AU$5&lt;K$5)*AV336)))</f>
        <v/>
      </c>
      <c r="N336">
        <f>IF(L336-M336&lt;0.005,0,L336-M336)</f>
        <v/>
      </c>
      <c r="O336">
        <f>T335</f>
        <v/>
      </c>
      <c r="P336">
        <f>O336*Plan!D8/100/12</f>
        <v/>
      </c>
      <c r="Q336">
        <f>MIN(Plan!E8,O336+P336)</f>
        <v/>
      </c>
      <c r="R336">
        <f>O336+P336-Q336</f>
        <v/>
      </c>
      <c r="S336">
        <f>MIN(R336,MAX(0,$B336-((E$5&lt;Q$5)*F336+(K$5&lt;Q$5)*L336+(W$5&lt;Q$5)*X336+(AC$5&lt;Q$5)*AD336+(AI$5&lt;Q$5)*AJ336+(AO$5&lt;Q$5)*AP336+(AU$5&lt;Q$5)*AV336)))</f>
        <v/>
      </c>
      <c r="T336">
        <f>IF(R336-S336&lt;0.005,0,R336-S336)</f>
        <v/>
      </c>
      <c r="U336">
        <f>Z335</f>
        <v/>
      </c>
      <c r="V336">
        <f>U336*Plan!D9/100/12</f>
        <v/>
      </c>
      <c r="W336">
        <f>MIN(Plan!E9,U336+V336)</f>
        <v/>
      </c>
      <c r="X336">
        <f>U336+V336-W336</f>
        <v/>
      </c>
      <c r="Y336">
        <f>MIN(X336,MAX(0,$B336-((E$5&lt;W$5)*F336+(K$5&lt;W$5)*L336+(Q$5&lt;W$5)*R336+(AC$5&lt;W$5)*AD336+(AI$5&lt;W$5)*AJ336+(AO$5&lt;W$5)*AP336+(AU$5&lt;W$5)*AV336)))</f>
        <v/>
      </c>
      <c r="Z336">
        <f>IF(X336-Y336&lt;0.005,0,X336-Y336)</f>
        <v/>
      </c>
      <c r="AA336">
        <f>AF335</f>
        <v/>
      </c>
      <c r="AB336">
        <f>AA336*Plan!D10/100/12</f>
        <v/>
      </c>
      <c r="AC336">
        <f>MIN(Plan!E10,AA336+AB336)</f>
        <v/>
      </c>
      <c r="AD336">
        <f>AA336+AB336-AC336</f>
        <v/>
      </c>
      <c r="AE336">
        <f>MIN(AD336,MAX(0,$B336-((E$5&lt;AC$5)*F336+(K$5&lt;AC$5)*L336+(Q$5&lt;AC$5)*R336+(W$5&lt;AC$5)*X336+(AI$5&lt;AC$5)*AJ336+(AO$5&lt;AC$5)*AP336+(AU$5&lt;AC$5)*AV336)))</f>
        <v/>
      </c>
      <c r="AF336">
        <f>IF(AD336-AE336&lt;0.005,0,AD336-AE336)</f>
        <v/>
      </c>
      <c r="AG336">
        <f>AL335</f>
        <v/>
      </c>
      <c r="AH336">
        <f>AG336*Plan!D11/100/12</f>
        <v/>
      </c>
      <c r="AI336">
        <f>MIN(Plan!E11,AG336+AH336)</f>
        <v/>
      </c>
      <c r="AJ336">
        <f>AG336+AH336-AI336</f>
        <v/>
      </c>
      <c r="AK336">
        <f>MIN(AJ336,MAX(0,$B336-((E$5&lt;AI$5)*F336+(K$5&lt;AI$5)*L336+(Q$5&lt;AI$5)*R336+(W$5&lt;AI$5)*X336+(AC$5&lt;AI$5)*AD336+(AO$5&lt;AI$5)*AP336+(AU$5&lt;AI$5)*AV336)))</f>
        <v/>
      </c>
      <c r="AL336">
        <f>IF(AJ336-AK336&lt;0.005,0,AJ336-AK336)</f>
        <v/>
      </c>
      <c r="AM336">
        <f>AR335</f>
        <v/>
      </c>
      <c r="AN336">
        <f>AM336*Plan!D12/100/12</f>
        <v/>
      </c>
      <c r="AO336">
        <f>MIN(Plan!E12,AM336+AN336)</f>
        <v/>
      </c>
      <c r="AP336">
        <f>AM336+AN336-AO336</f>
        <v/>
      </c>
      <c r="AQ336">
        <f>MIN(AP336,MAX(0,$B336-((E$5&lt;AO$5)*F336+(K$5&lt;AO$5)*L336+(Q$5&lt;AO$5)*R336+(W$5&lt;AO$5)*X336+(AC$5&lt;AO$5)*AD336+(AI$5&lt;AO$5)*AJ336+(AU$5&lt;AO$5)*AV336)))</f>
        <v/>
      </c>
      <c r="AR336">
        <f>IF(AP336-AQ336&lt;0.005,0,AP336-AQ336)</f>
        <v/>
      </c>
      <c r="AS336">
        <f>AX335</f>
        <v/>
      </c>
      <c r="AT336">
        <f>AS336*Plan!D13/100/12</f>
        <v/>
      </c>
      <c r="AU336">
        <f>MIN(Plan!E13,AS336+AT336)</f>
        <v/>
      </c>
      <c r="AV336">
        <f>AS336+AT336-AU336</f>
        <v/>
      </c>
      <c r="AW336">
        <f>MIN(AV336,MAX(0,$B336-((E$5&lt;AU$5)*F336+(K$5&lt;AU$5)*L336+(Q$5&lt;AU$5)*R336+(W$5&lt;AU$5)*X336+(AC$5&lt;AU$5)*AD336+(AI$5&lt;AU$5)*AJ336+(AO$5&lt;AU$5)*AP336)))</f>
        <v/>
      </c>
      <c r="AX336">
        <f>IF(AV336-AW336&lt;0.005,0,AV336-AW336)</f>
        <v/>
      </c>
      <c r="BC336">
        <f>H336+N336+T336+Z336+AF336+AL336+AR336+AX336</f>
        <v/>
      </c>
    </row>
    <row r="337">
      <c r="A337" t="n">
        <v>331</v>
      </c>
      <c r="B337" s="19">
        <f>MAX(0,$B$3-(E337+K337+Q337+W337+AC337+AI337+AO337+AU337))</f>
        <v/>
      </c>
      <c r="C337">
        <f>H336</f>
        <v/>
      </c>
      <c r="D337">
        <f>C337*Plan!D6/100/12</f>
        <v/>
      </c>
      <c r="E337">
        <f>MIN(Plan!E6,C337+D337)</f>
        <v/>
      </c>
      <c r="F337">
        <f>C337+D337-E337</f>
        <v/>
      </c>
      <c r="G337">
        <f>MIN(F337,MAX(0,$B337-((K$5&lt;E$5)*L337+(Q$5&lt;E$5)*R337+(W$5&lt;E$5)*X337+(AC$5&lt;E$5)*AD337+(AI$5&lt;E$5)*AJ337+(AO$5&lt;E$5)*AP337+(AU$5&lt;E$5)*AV337)))</f>
        <v/>
      </c>
      <c r="H337">
        <f>IF(F337-G337&lt;0.005,0,F337-G337)</f>
        <v/>
      </c>
      <c r="I337">
        <f>N336</f>
        <v/>
      </c>
      <c r="J337">
        <f>I337*Plan!D7/100/12</f>
        <v/>
      </c>
      <c r="K337">
        <f>MIN(Plan!E7,I337+J337)</f>
        <v/>
      </c>
      <c r="L337">
        <f>I337+J337-K337</f>
        <v/>
      </c>
      <c r="M337">
        <f>MIN(L337,MAX(0,$B337-((E$5&lt;K$5)*F337+(Q$5&lt;K$5)*R337+(W$5&lt;K$5)*X337+(AC$5&lt;K$5)*AD337+(AI$5&lt;K$5)*AJ337+(AO$5&lt;K$5)*AP337+(AU$5&lt;K$5)*AV337)))</f>
        <v/>
      </c>
      <c r="N337">
        <f>IF(L337-M337&lt;0.005,0,L337-M337)</f>
        <v/>
      </c>
      <c r="O337">
        <f>T336</f>
        <v/>
      </c>
      <c r="P337">
        <f>O337*Plan!D8/100/12</f>
        <v/>
      </c>
      <c r="Q337">
        <f>MIN(Plan!E8,O337+P337)</f>
        <v/>
      </c>
      <c r="R337">
        <f>O337+P337-Q337</f>
        <v/>
      </c>
      <c r="S337">
        <f>MIN(R337,MAX(0,$B337-((E$5&lt;Q$5)*F337+(K$5&lt;Q$5)*L337+(W$5&lt;Q$5)*X337+(AC$5&lt;Q$5)*AD337+(AI$5&lt;Q$5)*AJ337+(AO$5&lt;Q$5)*AP337+(AU$5&lt;Q$5)*AV337)))</f>
        <v/>
      </c>
      <c r="T337">
        <f>IF(R337-S337&lt;0.005,0,R337-S337)</f>
        <v/>
      </c>
      <c r="U337">
        <f>Z336</f>
        <v/>
      </c>
      <c r="V337">
        <f>U337*Plan!D9/100/12</f>
        <v/>
      </c>
      <c r="W337">
        <f>MIN(Plan!E9,U337+V337)</f>
        <v/>
      </c>
      <c r="X337">
        <f>U337+V337-W337</f>
        <v/>
      </c>
      <c r="Y337">
        <f>MIN(X337,MAX(0,$B337-((E$5&lt;W$5)*F337+(K$5&lt;W$5)*L337+(Q$5&lt;W$5)*R337+(AC$5&lt;W$5)*AD337+(AI$5&lt;W$5)*AJ337+(AO$5&lt;W$5)*AP337+(AU$5&lt;W$5)*AV337)))</f>
        <v/>
      </c>
      <c r="Z337">
        <f>IF(X337-Y337&lt;0.005,0,X337-Y337)</f>
        <v/>
      </c>
      <c r="AA337">
        <f>AF336</f>
        <v/>
      </c>
      <c r="AB337">
        <f>AA337*Plan!D10/100/12</f>
        <v/>
      </c>
      <c r="AC337">
        <f>MIN(Plan!E10,AA337+AB337)</f>
        <v/>
      </c>
      <c r="AD337">
        <f>AA337+AB337-AC337</f>
        <v/>
      </c>
      <c r="AE337">
        <f>MIN(AD337,MAX(0,$B337-((E$5&lt;AC$5)*F337+(K$5&lt;AC$5)*L337+(Q$5&lt;AC$5)*R337+(W$5&lt;AC$5)*X337+(AI$5&lt;AC$5)*AJ337+(AO$5&lt;AC$5)*AP337+(AU$5&lt;AC$5)*AV337)))</f>
        <v/>
      </c>
      <c r="AF337">
        <f>IF(AD337-AE337&lt;0.005,0,AD337-AE337)</f>
        <v/>
      </c>
      <c r="AG337">
        <f>AL336</f>
        <v/>
      </c>
      <c r="AH337">
        <f>AG337*Plan!D11/100/12</f>
        <v/>
      </c>
      <c r="AI337">
        <f>MIN(Plan!E11,AG337+AH337)</f>
        <v/>
      </c>
      <c r="AJ337">
        <f>AG337+AH337-AI337</f>
        <v/>
      </c>
      <c r="AK337">
        <f>MIN(AJ337,MAX(0,$B337-((E$5&lt;AI$5)*F337+(K$5&lt;AI$5)*L337+(Q$5&lt;AI$5)*R337+(W$5&lt;AI$5)*X337+(AC$5&lt;AI$5)*AD337+(AO$5&lt;AI$5)*AP337+(AU$5&lt;AI$5)*AV337)))</f>
        <v/>
      </c>
      <c r="AL337">
        <f>IF(AJ337-AK337&lt;0.005,0,AJ337-AK337)</f>
        <v/>
      </c>
      <c r="AM337">
        <f>AR336</f>
        <v/>
      </c>
      <c r="AN337">
        <f>AM337*Plan!D12/100/12</f>
        <v/>
      </c>
      <c r="AO337">
        <f>MIN(Plan!E12,AM337+AN337)</f>
        <v/>
      </c>
      <c r="AP337">
        <f>AM337+AN337-AO337</f>
        <v/>
      </c>
      <c r="AQ337">
        <f>MIN(AP337,MAX(0,$B337-((E$5&lt;AO$5)*F337+(K$5&lt;AO$5)*L337+(Q$5&lt;AO$5)*R337+(W$5&lt;AO$5)*X337+(AC$5&lt;AO$5)*AD337+(AI$5&lt;AO$5)*AJ337+(AU$5&lt;AO$5)*AV337)))</f>
        <v/>
      </c>
      <c r="AR337">
        <f>IF(AP337-AQ337&lt;0.005,0,AP337-AQ337)</f>
        <v/>
      </c>
      <c r="AS337">
        <f>AX336</f>
        <v/>
      </c>
      <c r="AT337">
        <f>AS337*Plan!D13/100/12</f>
        <v/>
      </c>
      <c r="AU337">
        <f>MIN(Plan!E13,AS337+AT337)</f>
        <v/>
      </c>
      <c r="AV337">
        <f>AS337+AT337-AU337</f>
        <v/>
      </c>
      <c r="AW337">
        <f>MIN(AV337,MAX(0,$B337-((E$5&lt;AU$5)*F337+(K$5&lt;AU$5)*L337+(Q$5&lt;AU$5)*R337+(W$5&lt;AU$5)*X337+(AC$5&lt;AU$5)*AD337+(AI$5&lt;AU$5)*AJ337+(AO$5&lt;AU$5)*AP337)))</f>
        <v/>
      </c>
      <c r="AX337">
        <f>IF(AV337-AW337&lt;0.005,0,AV337-AW337)</f>
        <v/>
      </c>
      <c r="BC337">
        <f>H337+N337+T337+Z337+AF337+AL337+AR337+AX337</f>
        <v/>
      </c>
    </row>
    <row r="338">
      <c r="A338" t="n">
        <v>332</v>
      </c>
      <c r="B338" s="19">
        <f>MAX(0,$B$3-(E338+K338+Q338+W338+AC338+AI338+AO338+AU338))</f>
        <v/>
      </c>
      <c r="C338">
        <f>H337</f>
        <v/>
      </c>
      <c r="D338">
        <f>C338*Plan!D6/100/12</f>
        <v/>
      </c>
      <c r="E338">
        <f>MIN(Plan!E6,C338+D338)</f>
        <v/>
      </c>
      <c r="F338">
        <f>C338+D338-E338</f>
        <v/>
      </c>
      <c r="G338">
        <f>MIN(F338,MAX(0,$B338-((K$5&lt;E$5)*L338+(Q$5&lt;E$5)*R338+(W$5&lt;E$5)*X338+(AC$5&lt;E$5)*AD338+(AI$5&lt;E$5)*AJ338+(AO$5&lt;E$5)*AP338+(AU$5&lt;E$5)*AV338)))</f>
        <v/>
      </c>
      <c r="H338">
        <f>IF(F338-G338&lt;0.005,0,F338-G338)</f>
        <v/>
      </c>
      <c r="I338">
        <f>N337</f>
        <v/>
      </c>
      <c r="J338">
        <f>I338*Plan!D7/100/12</f>
        <v/>
      </c>
      <c r="K338">
        <f>MIN(Plan!E7,I338+J338)</f>
        <v/>
      </c>
      <c r="L338">
        <f>I338+J338-K338</f>
        <v/>
      </c>
      <c r="M338">
        <f>MIN(L338,MAX(0,$B338-((E$5&lt;K$5)*F338+(Q$5&lt;K$5)*R338+(W$5&lt;K$5)*X338+(AC$5&lt;K$5)*AD338+(AI$5&lt;K$5)*AJ338+(AO$5&lt;K$5)*AP338+(AU$5&lt;K$5)*AV338)))</f>
        <v/>
      </c>
      <c r="N338">
        <f>IF(L338-M338&lt;0.005,0,L338-M338)</f>
        <v/>
      </c>
      <c r="O338">
        <f>T337</f>
        <v/>
      </c>
      <c r="P338">
        <f>O338*Plan!D8/100/12</f>
        <v/>
      </c>
      <c r="Q338">
        <f>MIN(Plan!E8,O338+P338)</f>
        <v/>
      </c>
      <c r="R338">
        <f>O338+P338-Q338</f>
        <v/>
      </c>
      <c r="S338">
        <f>MIN(R338,MAX(0,$B338-((E$5&lt;Q$5)*F338+(K$5&lt;Q$5)*L338+(W$5&lt;Q$5)*X338+(AC$5&lt;Q$5)*AD338+(AI$5&lt;Q$5)*AJ338+(AO$5&lt;Q$5)*AP338+(AU$5&lt;Q$5)*AV338)))</f>
        <v/>
      </c>
      <c r="T338">
        <f>IF(R338-S338&lt;0.005,0,R338-S338)</f>
        <v/>
      </c>
      <c r="U338">
        <f>Z337</f>
        <v/>
      </c>
      <c r="V338">
        <f>U338*Plan!D9/100/12</f>
        <v/>
      </c>
      <c r="W338">
        <f>MIN(Plan!E9,U338+V338)</f>
        <v/>
      </c>
      <c r="X338">
        <f>U338+V338-W338</f>
        <v/>
      </c>
      <c r="Y338">
        <f>MIN(X338,MAX(0,$B338-((E$5&lt;W$5)*F338+(K$5&lt;W$5)*L338+(Q$5&lt;W$5)*R338+(AC$5&lt;W$5)*AD338+(AI$5&lt;W$5)*AJ338+(AO$5&lt;W$5)*AP338+(AU$5&lt;W$5)*AV338)))</f>
        <v/>
      </c>
      <c r="Z338">
        <f>IF(X338-Y338&lt;0.005,0,X338-Y338)</f>
        <v/>
      </c>
      <c r="AA338">
        <f>AF337</f>
        <v/>
      </c>
      <c r="AB338">
        <f>AA338*Plan!D10/100/12</f>
        <v/>
      </c>
      <c r="AC338">
        <f>MIN(Plan!E10,AA338+AB338)</f>
        <v/>
      </c>
      <c r="AD338">
        <f>AA338+AB338-AC338</f>
        <v/>
      </c>
      <c r="AE338">
        <f>MIN(AD338,MAX(0,$B338-((E$5&lt;AC$5)*F338+(K$5&lt;AC$5)*L338+(Q$5&lt;AC$5)*R338+(W$5&lt;AC$5)*X338+(AI$5&lt;AC$5)*AJ338+(AO$5&lt;AC$5)*AP338+(AU$5&lt;AC$5)*AV338)))</f>
        <v/>
      </c>
      <c r="AF338">
        <f>IF(AD338-AE338&lt;0.005,0,AD338-AE338)</f>
        <v/>
      </c>
      <c r="AG338">
        <f>AL337</f>
        <v/>
      </c>
      <c r="AH338">
        <f>AG338*Plan!D11/100/12</f>
        <v/>
      </c>
      <c r="AI338">
        <f>MIN(Plan!E11,AG338+AH338)</f>
        <v/>
      </c>
      <c r="AJ338">
        <f>AG338+AH338-AI338</f>
        <v/>
      </c>
      <c r="AK338">
        <f>MIN(AJ338,MAX(0,$B338-((E$5&lt;AI$5)*F338+(K$5&lt;AI$5)*L338+(Q$5&lt;AI$5)*R338+(W$5&lt;AI$5)*X338+(AC$5&lt;AI$5)*AD338+(AO$5&lt;AI$5)*AP338+(AU$5&lt;AI$5)*AV338)))</f>
        <v/>
      </c>
      <c r="AL338">
        <f>IF(AJ338-AK338&lt;0.005,0,AJ338-AK338)</f>
        <v/>
      </c>
      <c r="AM338">
        <f>AR337</f>
        <v/>
      </c>
      <c r="AN338">
        <f>AM338*Plan!D12/100/12</f>
        <v/>
      </c>
      <c r="AO338">
        <f>MIN(Plan!E12,AM338+AN338)</f>
        <v/>
      </c>
      <c r="AP338">
        <f>AM338+AN338-AO338</f>
        <v/>
      </c>
      <c r="AQ338">
        <f>MIN(AP338,MAX(0,$B338-((E$5&lt;AO$5)*F338+(K$5&lt;AO$5)*L338+(Q$5&lt;AO$5)*R338+(W$5&lt;AO$5)*X338+(AC$5&lt;AO$5)*AD338+(AI$5&lt;AO$5)*AJ338+(AU$5&lt;AO$5)*AV338)))</f>
        <v/>
      </c>
      <c r="AR338">
        <f>IF(AP338-AQ338&lt;0.005,0,AP338-AQ338)</f>
        <v/>
      </c>
      <c r="AS338">
        <f>AX337</f>
        <v/>
      </c>
      <c r="AT338">
        <f>AS338*Plan!D13/100/12</f>
        <v/>
      </c>
      <c r="AU338">
        <f>MIN(Plan!E13,AS338+AT338)</f>
        <v/>
      </c>
      <c r="AV338">
        <f>AS338+AT338-AU338</f>
        <v/>
      </c>
      <c r="AW338">
        <f>MIN(AV338,MAX(0,$B338-((E$5&lt;AU$5)*F338+(K$5&lt;AU$5)*L338+(Q$5&lt;AU$5)*R338+(W$5&lt;AU$5)*X338+(AC$5&lt;AU$5)*AD338+(AI$5&lt;AU$5)*AJ338+(AO$5&lt;AU$5)*AP338)))</f>
        <v/>
      </c>
      <c r="AX338">
        <f>IF(AV338-AW338&lt;0.005,0,AV338-AW338)</f>
        <v/>
      </c>
      <c r="BC338">
        <f>H338+N338+T338+Z338+AF338+AL338+AR338+AX338</f>
        <v/>
      </c>
    </row>
    <row r="339">
      <c r="A339" t="n">
        <v>333</v>
      </c>
      <c r="B339" s="19">
        <f>MAX(0,$B$3-(E339+K339+Q339+W339+AC339+AI339+AO339+AU339))</f>
        <v/>
      </c>
      <c r="C339">
        <f>H338</f>
        <v/>
      </c>
      <c r="D339">
        <f>C339*Plan!D6/100/12</f>
        <v/>
      </c>
      <c r="E339">
        <f>MIN(Plan!E6,C339+D339)</f>
        <v/>
      </c>
      <c r="F339">
        <f>C339+D339-E339</f>
        <v/>
      </c>
      <c r="G339">
        <f>MIN(F339,MAX(0,$B339-((K$5&lt;E$5)*L339+(Q$5&lt;E$5)*R339+(W$5&lt;E$5)*X339+(AC$5&lt;E$5)*AD339+(AI$5&lt;E$5)*AJ339+(AO$5&lt;E$5)*AP339+(AU$5&lt;E$5)*AV339)))</f>
        <v/>
      </c>
      <c r="H339">
        <f>IF(F339-G339&lt;0.005,0,F339-G339)</f>
        <v/>
      </c>
      <c r="I339">
        <f>N338</f>
        <v/>
      </c>
      <c r="J339">
        <f>I339*Plan!D7/100/12</f>
        <v/>
      </c>
      <c r="K339">
        <f>MIN(Plan!E7,I339+J339)</f>
        <v/>
      </c>
      <c r="L339">
        <f>I339+J339-K339</f>
        <v/>
      </c>
      <c r="M339">
        <f>MIN(L339,MAX(0,$B339-((E$5&lt;K$5)*F339+(Q$5&lt;K$5)*R339+(W$5&lt;K$5)*X339+(AC$5&lt;K$5)*AD339+(AI$5&lt;K$5)*AJ339+(AO$5&lt;K$5)*AP339+(AU$5&lt;K$5)*AV339)))</f>
        <v/>
      </c>
      <c r="N339">
        <f>IF(L339-M339&lt;0.005,0,L339-M339)</f>
        <v/>
      </c>
      <c r="O339">
        <f>T338</f>
        <v/>
      </c>
      <c r="P339">
        <f>O339*Plan!D8/100/12</f>
        <v/>
      </c>
      <c r="Q339">
        <f>MIN(Plan!E8,O339+P339)</f>
        <v/>
      </c>
      <c r="R339">
        <f>O339+P339-Q339</f>
        <v/>
      </c>
      <c r="S339">
        <f>MIN(R339,MAX(0,$B339-((E$5&lt;Q$5)*F339+(K$5&lt;Q$5)*L339+(W$5&lt;Q$5)*X339+(AC$5&lt;Q$5)*AD339+(AI$5&lt;Q$5)*AJ339+(AO$5&lt;Q$5)*AP339+(AU$5&lt;Q$5)*AV339)))</f>
        <v/>
      </c>
      <c r="T339">
        <f>IF(R339-S339&lt;0.005,0,R339-S339)</f>
        <v/>
      </c>
      <c r="U339">
        <f>Z338</f>
        <v/>
      </c>
      <c r="V339">
        <f>U339*Plan!D9/100/12</f>
        <v/>
      </c>
      <c r="W339">
        <f>MIN(Plan!E9,U339+V339)</f>
        <v/>
      </c>
      <c r="X339">
        <f>U339+V339-W339</f>
        <v/>
      </c>
      <c r="Y339">
        <f>MIN(X339,MAX(0,$B339-((E$5&lt;W$5)*F339+(K$5&lt;W$5)*L339+(Q$5&lt;W$5)*R339+(AC$5&lt;W$5)*AD339+(AI$5&lt;W$5)*AJ339+(AO$5&lt;W$5)*AP339+(AU$5&lt;W$5)*AV339)))</f>
        <v/>
      </c>
      <c r="Z339">
        <f>IF(X339-Y339&lt;0.005,0,X339-Y339)</f>
        <v/>
      </c>
      <c r="AA339">
        <f>AF338</f>
        <v/>
      </c>
      <c r="AB339">
        <f>AA339*Plan!D10/100/12</f>
        <v/>
      </c>
      <c r="AC339">
        <f>MIN(Plan!E10,AA339+AB339)</f>
        <v/>
      </c>
      <c r="AD339">
        <f>AA339+AB339-AC339</f>
        <v/>
      </c>
      <c r="AE339">
        <f>MIN(AD339,MAX(0,$B339-((E$5&lt;AC$5)*F339+(K$5&lt;AC$5)*L339+(Q$5&lt;AC$5)*R339+(W$5&lt;AC$5)*X339+(AI$5&lt;AC$5)*AJ339+(AO$5&lt;AC$5)*AP339+(AU$5&lt;AC$5)*AV339)))</f>
        <v/>
      </c>
      <c r="AF339">
        <f>IF(AD339-AE339&lt;0.005,0,AD339-AE339)</f>
        <v/>
      </c>
      <c r="AG339">
        <f>AL338</f>
        <v/>
      </c>
      <c r="AH339">
        <f>AG339*Plan!D11/100/12</f>
        <v/>
      </c>
      <c r="AI339">
        <f>MIN(Plan!E11,AG339+AH339)</f>
        <v/>
      </c>
      <c r="AJ339">
        <f>AG339+AH339-AI339</f>
        <v/>
      </c>
      <c r="AK339">
        <f>MIN(AJ339,MAX(0,$B339-((E$5&lt;AI$5)*F339+(K$5&lt;AI$5)*L339+(Q$5&lt;AI$5)*R339+(W$5&lt;AI$5)*X339+(AC$5&lt;AI$5)*AD339+(AO$5&lt;AI$5)*AP339+(AU$5&lt;AI$5)*AV339)))</f>
        <v/>
      </c>
      <c r="AL339">
        <f>IF(AJ339-AK339&lt;0.005,0,AJ339-AK339)</f>
        <v/>
      </c>
      <c r="AM339">
        <f>AR338</f>
        <v/>
      </c>
      <c r="AN339">
        <f>AM339*Plan!D12/100/12</f>
        <v/>
      </c>
      <c r="AO339">
        <f>MIN(Plan!E12,AM339+AN339)</f>
        <v/>
      </c>
      <c r="AP339">
        <f>AM339+AN339-AO339</f>
        <v/>
      </c>
      <c r="AQ339">
        <f>MIN(AP339,MAX(0,$B339-((E$5&lt;AO$5)*F339+(K$5&lt;AO$5)*L339+(Q$5&lt;AO$5)*R339+(W$5&lt;AO$5)*X339+(AC$5&lt;AO$5)*AD339+(AI$5&lt;AO$5)*AJ339+(AU$5&lt;AO$5)*AV339)))</f>
        <v/>
      </c>
      <c r="AR339">
        <f>IF(AP339-AQ339&lt;0.005,0,AP339-AQ339)</f>
        <v/>
      </c>
      <c r="AS339">
        <f>AX338</f>
        <v/>
      </c>
      <c r="AT339">
        <f>AS339*Plan!D13/100/12</f>
        <v/>
      </c>
      <c r="AU339">
        <f>MIN(Plan!E13,AS339+AT339)</f>
        <v/>
      </c>
      <c r="AV339">
        <f>AS339+AT339-AU339</f>
        <v/>
      </c>
      <c r="AW339">
        <f>MIN(AV339,MAX(0,$B339-((E$5&lt;AU$5)*F339+(K$5&lt;AU$5)*L339+(Q$5&lt;AU$5)*R339+(W$5&lt;AU$5)*X339+(AC$5&lt;AU$5)*AD339+(AI$5&lt;AU$5)*AJ339+(AO$5&lt;AU$5)*AP339)))</f>
        <v/>
      </c>
      <c r="AX339">
        <f>IF(AV339-AW339&lt;0.005,0,AV339-AW339)</f>
        <v/>
      </c>
      <c r="BC339">
        <f>H339+N339+T339+Z339+AF339+AL339+AR339+AX339</f>
        <v/>
      </c>
    </row>
    <row r="340">
      <c r="A340" t="n">
        <v>334</v>
      </c>
      <c r="B340" s="19">
        <f>MAX(0,$B$3-(E340+K340+Q340+W340+AC340+AI340+AO340+AU340))</f>
        <v/>
      </c>
      <c r="C340">
        <f>H339</f>
        <v/>
      </c>
      <c r="D340">
        <f>C340*Plan!D6/100/12</f>
        <v/>
      </c>
      <c r="E340">
        <f>MIN(Plan!E6,C340+D340)</f>
        <v/>
      </c>
      <c r="F340">
        <f>C340+D340-E340</f>
        <v/>
      </c>
      <c r="G340">
        <f>MIN(F340,MAX(0,$B340-((K$5&lt;E$5)*L340+(Q$5&lt;E$5)*R340+(W$5&lt;E$5)*X340+(AC$5&lt;E$5)*AD340+(AI$5&lt;E$5)*AJ340+(AO$5&lt;E$5)*AP340+(AU$5&lt;E$5)*AV340)))</f>
        <v/>
      </c>
      <c r="H340">
        <f>IF(F340-G340&lt;0.005,0,F340-G340)</f>
        <v/>
      </c>
      <c r="I340">
        <f>N339</f>
        <v/>
      </c>
      <c r="J340">
        <f>I340*Plan!D7/100/12</f>
        <v/>
      </c>
      <c r="K340">
        <f>MIN(Plan!E7,I340+J340)</f>
        <v/>
      </c>
      <c r="L340">
        <f>I340+J340-K340</f>
        <v/>
      </c>
      <c r="M340">
        <f>MIN(L340,MAX(0,$B340-((E$5&lt;K$5)*F340+(Q$5&lt;K$5)*R340+(W$5&lt;K$5)*X340+(AC$5&lt;K$5)*AD340+(AI$5&lt;K$5)*AJ340+(AO$5&lt;K$5)*AP340+(AU$5&lt;K$5)*AV340)))</f>
        <v/>
      </c>
      <c r="N340">
        <f>IF(L340-M340&lt;0.005,0,L340-M340)</f>
        <v/>
      </c>
      <c r="O340">
        <f>T339</f>
        <v/>
      </c>
      <c r="P340">
        <f>O340*Plan!D8/100/12</f>
        <v/>
      </c>
      <c r="Q340">
        <f>MIN(Plan!E8,O340+P340)</f>
        <v/>
      </c>
      <c r="R340">
        <f>O340+P340-Q340</f>
        <v/>
      </c>
      <c r="S340">
        <f>MIN(R340,MAX(0,$B340-((E$5&lt;Q$5)*F340+(K$5&lt;Q$5)*L340+(W$5&lt;Q$5)*X340+(AC$5&lt;Q$5)*AD340+(AI$5&lt;Q$5)*AJ340+(AO$5&lt;Q$5)*AP340+(AU$5&lt;Q$5)*AV340)))</f>
        <v/>
      </c>
      <c r="T340">
        <f>IF(R340-S340&lt;0.005,0,R340-S340)</f>
        <v/>
      </c>
      <c r="U340">
        <f>Z339</f>
        <v/>
      </c>
      <c r="V340">
        <f>U340*Plan!D9/100/12</f>
        <v/>
      </c>
      <c r="W340">
        <f>MIN(Plan!E9,U340+V340)</f>
        <v/>
      </c>
      <c r="X340">
        <f>U340+V340-W340</f>
        <v/>
      </c>
      <c r="Y340">
        <f>MIN(X340,MAX(0,$B340-((E$5&lt;W$5)*F340+(K$5&lt;W$5)*L340+(Q$5&lt;W$5)*R340+(AC$5&lt;W$5)*AD340+(AI$5&lt;W$5)*AJ340+(AO$5&lt;W$5)*AP340+(AU$5&lt;W$5)*AV340)))</f>
        <v/>
      </c>
      <c r="Z340">
        <f>IF(X340-Y340&lt;0.005,0,X340-Y340)</f>
        <v/>
      </c>
      <c r="AA340">
        <f>AF339</f>
        <v/>
      </c>
      <c r="AB340">
        <f>AA340*Plan!D10/100/12</f>
        <v/>
      </c>
      <c r="AC340">
        <f>MIN(Plan!E10,AA340+AB340)</f>
        <v/>
      </c>
      <c r="AD340">
        <f>AA340+AB340-AC340</f>
        <v/>
      </c>
      <c r="AE340">
        <f>MIN(AD340,MAX(0,$B340-((E$5&lt;AC$5)*F340+(K$5&lt;AC$5)*L340+(Q$5&lt;AC$5)*R340+(W$5&lt;AC$5)*X340+(AI$5&lt;AC$5)*AJ340+(AO$5&lt;AC$5)*AP340+(AU$5&lt;AC$5)*AV340)))</f>
        <v/>
      </c>
      <c r="AF340">
        <f>IF(AD340-AE340&lt;0.005,0,AD340-AE340)</f>
        <v/>
      </c>
      <c r="AG340">
        <f>AL339</f>
        <v/>
      </c>
      <c r="AH340">
        <f>AG340*Plan!D11/100/12</f>
        <v/>
      </c>
      <c r="AI340">
        <f>MIN(Plan!E11,AG340+AH340)</f>
        <v/>
      </c>
      <c r="AJ340">
        <f>AG340+AH340-AI340</f>
        <v/>
      </c>
      <c r="AK340">
        <f>MIN(AJ340,MAX(0,$B340-((E$5&lt;AI$5)*F340+(K$5&lt;AI$5)*L340+(Q$5&lt;AI$5)*R340+(W$5&lt;AI$5)*X340+(AC$5&lt;AI$5)*AD340+(AO$5&lt;AI$5)*AP340+(AU$5&lt;AI$5)*AV340)))</f>
        <v/>
      </c>
      <c r="AL340">
        <f>IF(AJ340-AK340&lt;0.005,0,AJ340-AK340)</f>
        <v/>
      </c>
      <c r="AM340">
        <f>AR339</f>
        <v/>
      </c>
      <c r="AN340">
        <f>AM340*Plan!D12/100/12</f>
        <v/>
      </c>
      <c r="AO340">
        <f>MIN(Plan!E12,AM340+AN340)</f>
        <v/>
      </c>
      <c r="AP340">
        <f>AM340+AN340-AO340</f>
        <v/>
      </c>
      <c r="AQ340">
        <f>MIN(AP340,MAX(0,$B340-((E$5&lt;AO$5)*F340+(K$5&lt;AO$5)*L340+(Q$5&lt;AO$5)*R340+(W$5&lt;AO$5)*X340+(AC$5&lt;AO$5)*AD340+(AI$5&lt;AO$5)*AJ340+(AU$5&lt;AO$5)*AV340)))</f>
        <v/>
      </c>
      <c r="AR340">
        <f>IF(AP340-AQ340&lt;0.005,0,AP340-AQ340)</f>
        <v/>
      </c>
      <c r="AS340">
        <f>AX339</f>
        <v/>
      </c>
      <c r="AT340">
        <f>AS340*Plan!D13/100/12</f>
        <v/>
      </c>
      <c r="AU340">
        <f>MIN(Plan!E13,AS340+AT340)</f>
        <v/>
      </c>
      <c r="AV340">
        <f>AS340+AT340-AU340</f>
        <v/>
      </c>
      <c r="AW340">
        <f>MIN(AV340,MAX(0,$B340-((E$5&lt;AU$5)*F340+(K$5&lt;AU$5)*L340+(Q$5&lt;AU$5)*R340+(W$5&lt;AU$5)*X340+(AC$5&lt;AU$5)*AD340+(AI$5&lt;AU$5)*AJ340+(AO$5&lt;AU$5)*AP340)))</f>
        <v/>
      </c>
      <c r="AX340">
        <f>IF(AV340-AW340&lt;0.005,0,AV340-AW340)</f>
        <v/>
      </c>
      <c r="BC340">
        <f>H340+N340+T340+Z340+AF340+AL340+AR340+AX340</f>
        <v/>
      </c>
    </row>
    <row r="341">
      <c r="A341" t="n">
        <v>335</v>
      </c>
      <c r="B341" s="19">
        <f>MAX(0,$B$3-(E341+K341+Q341+W341+AC341+AI341+AO341+AU341))</f>
        <v/>
      </c>
      <c r="C341">
        <f>H340</f>
        <v/>
      </c>
      <c r="D341">
        <f>C341*Plan!D6/100/12</f>
        <v/>
      </c>
      <c r="E341">
        <f>MIN(Plan!E6,C341+D341)</f>
        <v/>
      </c>
      <c r="F341">
        <f>C341+D341-E341</f>
        <v/>
      </c>
      <c r="G341">
        <f>MIN(F341,MAX(0,$B341-((K$5&lt;E$5)*L341+(Q$5&lt;E$5)*R341+(W$5&lt;E$5)*X341+(AC$5&lt;E$5)*AD341+(AI$5&lt;E$5)*AJ341+(AO$5&lt;E$5)*AP341+(AU$5&lt;E$5)*AV341)))</f>
        <v/>
      </c>
      <c r="H341">
        <f>IF(F341-G341&lt;0.005,0,F341-G341)</f>
        <v/>
      </c>
      <c r="I341">
        <f>N340</f>
        <v/>
      </c>
      <c r="J341">
        <f>I341*Plan!D7/100/12</f>
        <v/>
      </c>
      <c r="K341">
        <f>MIN(Plan!E7,I341+J341)</f>
        <v/>
      </c>
      <c r="L341">
        <f>I341+J341-K341</f>
        <v/>
      </c>
      <c r="M341">
        <f>MIN(L341,MAX(0,$B341-((E$5&lt;K$5)*F341+(Q$5&lt;K$5)*R341+(W$5&lt;K$5)*X341+(AC$5&lt;K$5)*AD341+(AI$5&lt;K$5)*AJ341+(AO$5&lt;K$5)*AP341+(AU$5&lt;K$5)*AV341)))</f>
        <v/>
      </c>
      <c r="N341">
        <f>IF(L341-M341&lt;0.005,0,L341-M341)</f>
        <v/>
      </c>
      <c r="O341">
        <f>T340</f>
        <v/>
      </c>
      <c r="P341">
        <f>O341*Plan!D8/100/12</f>
        <v/>
      </c>
      <c r="Q341">
        <f>MIN(Plan!E8,O341+P341)</f>
        <v/>
      </c>
      <c r="R341">
        <f>O341+P341-Q341</f>
        <v/>
      </c>
      <c r="S341">
        <f>MIN(R341,MAX(0,$B341-((E$5&lt;Q$5)*F341+(K$5&lt;Q$5)*L341+(W$5&lt;Q$5)*X341+(AC$5&lt;Q$5)*AD341+(AI$5&lt;Q$5)*AJ341+(AO$5&lt;Q$5)*AP341+(AU$5&lt;Q$5)*AV341)))</f>
        <v/>
      </c>
      <c r="T341">
        <f>IF(R341-S341&lt;0.005,0,R341-S341)</f>
        <v/>
      </c>
      <c r="U341">
        <f>Z340</f>
        <v/>
      </c>
      <c r="V341">
        <f>U341*Plan!D9/100/12</f>
        <v/>
      </c>
      <c r="W341">
        <f>MIN(Plan!E9,U341+V341)</f>
        <v/>
      </c>
      <c r="X341">
        <f>U341+V341-W341</f>
        <v/>
      </c>
      <c r="Y341">
        <f>MIN(X341,MAX(0,$B341-((E$5&lt;W$5)*F341+(K$5&lt;W$5)*L341+(Q$5&lt;W$5)*R341+(AC$5&lt;W$5)*AD341+(AI$5&lt;W$5)*AJ341+(AO$5&lt;W$5)*AP341+(AU$5&lt;W$5)*AV341)))</f>
        <v/>
      </c>
      <c r="Z341">
        <f>IF(X341-Y341&lt;0.005,0,X341-Y341)</f>
        <v/>
      </c>
      <c r="AA341">
        <f>AF340</f>
        <v/>
      </c>
      <c r="AB341">
        <f>AA341*Plan!D10/100/12</f>
        <v/>
      </c>
      <c r="AC341">
        <f>MIN(Plan!E10,AA341+AB341)</f>
        <v/>
      </c>
      <c r="AD341">
        <f>AA341+AB341-AC341</f>
        <v/>
      </c>
      <c r="AE341">
        <f>MIN(AD341,MAX(0,$B341-((E$5&lt;AC$5)*F341+(K$5&lt;AC$5)*L341+(Q$5&lt;AC$5)*R341+(W$5&lt;AC$5)*X341+(AI$5&lt;AC$5)*AJ341+(AO$5&lt;AC$5)*AP341+(AU$5&lt;AC$5)*AV341)))</f>
        <v/>
      </c>
      <c r="AF341">
        <f>IF(AD341-AE341&lt;0.005,0,AD341-AE341)</f>
        <v/>
      </c>
      <c r="AG341">
        <f>AL340</f>
        <v/>
      </c>
      <c r="AH341">
        <f>AG341*Plan!D11/100/12</f>
        <v/>
      </c>
      <c r="AI341">
        <f>MIN(Plan!E11,AG341+AH341)</f>
        <v/>
      </c>
      <c r="AJ341">
        <f>AG341+AH341-AI341</f>
        <v/>
      </c>
      <c r="AK341">
        <f>MIN(AJ341,MAX(0,$B341-((E$5&lt;AI$5)*F341+(K$5&lt;AI$5)*L341+(Q$5&lt;AI$5)*R341+(W$5&lt;AI$5)*X341+(AC$5&lt;AI$5)*AD341+(AO$5&lt;AI$5)*AP341+(AU$5&lt;AI$5)*AV341)))</f>
        <v/>
      </c>
      <c r="AL341">
        <f>IF(AJ341-AK341&lt;0.005,0,AJ341-AK341)</f>
        <v/>
      </c>
      <c r="AM341">
        <f>AR340</f>
        <v/>
      </c>
      <c r="AN341">
        <f>AM341*Plan!D12/100/12</f>
        <v/>
      </c>
      <c r="AO341">
        <f>MIN(Plan!E12,AM341+AN341)</f>
        <v/>
      </c>
      <c r="AP341">
        <f>AM341+AN341-AO341</f>
        <v/>
      </c>
      <c r="AQ341">
        <f>MIN(AP341,MAX(0,$B341-((E$5&lt;AO$5)*F341+(K$5&lt;AO$5)*L341+(Q$5&lt;AO$5)*R341+(W$5&lt;AO$5)*X341+(AC$5&lt;AO$5)*AD341+(AI$5&lt;AO$5)*AJ341+(AU$5&lt;AO$5)*AV341)))</f>
        <v/>
      </c>
      <c r="AR341">
        <f>IF(AP341-AQ341&lt;0.005,0,AP341-AQ341)</f>
        <v/>
      </c>
      <c r="AS341">
        <f>AX340</f>
        <v/>
      </c>
      <c r="AT341">
        <f>AS341*Plan!D13/100/12</f>
        <v/>
      </c>
      <c r="AU341">
        <f>MIN(Plan!E13,AS341+AT341)</f>
        <v/>
      </c>
      <c r="AV341">
        <f>AS341+AT341-AU341</f>
        <v/>
      </c>
      <c r="AW341">
        <f>MIN(AV341,MAX(0,$B341-((E$5&lt;AU$5)*F341+(K$5&lt;AU$5)*L341+(Q$5&lt;AU$5)*R341+(W$5&lt;AU$5)*X341+(AC$5&lt;AU$5)*AD341+(AI$5&lt;AU$5)*AJ341+(AO$5&lt;AU$5)*AP341)))</f>
        <v/>
      </c>
      <c r="AX341">
        <f>IF(AV341-AW341&lt;0.005,0,AV341-AW341)</f>
        <v/>
      </c>
      <c r="BC341">
        <f>H341+N341+T341+Z341+AF341+AL341+AR341+AX341</f>
        <v/>
      </c>
    </row>
    <row r="342">
      <c r="A342" t="n">
        <v>336</v>
      </c>
      <c r="B342" s="19">
        <f>MAX(0,$B$3-(E342+K342+Q342+W342+AC342+AI342+AO342+AU342))</f>
        <v/>
      </c>
      <c r="C342">
        <f>H341</f>
        <v/>
      </c>
      <c r="D342">
        <f>C342*Plan!D6/100/12</f>
        <v/>
      </c>
      <c r="E342">
        <f>MIN(Plan!E6,C342+D342)</f>
        <v/>
      </c>
      <c r="F342">
        <f>C342+D342-E342</f>
        <v/>
      </c>
      <c r="G342">
        <f>MIN(F342,MAX(0,$B342-((K$5&lt;E$5)*L342+(Q$5&lt;E$5)*R342+(W$5&lt;E$5)*X342+(AC$5&lt;E$5)*AD342+(AI$5&lt;E$5)*AJ342+(AO$5&lt;E$5)*AP342+(AU$5&lt;E$5)*AV342)))</f>
        <v/>
      </c>
      <c r="H342">
        <f>IF(F342-G342&lt;0.005,0,F342-G342)</f>
        <v/>
      </c>
      <c r="I342">
        <f>N341</f>
        <v/>
      </c>
      <c r="J342">
        <f>I342*Plan!D7/100/12</f>
        <v/>
      </c>
      <c r="K342">
        <f>MIN(Plan!E7,I342+J342)</f>
        <v/>
      </c>
      <c r="L342">
        <f>I342+J342-K342</f>
        <v/>
      </c>
      <c r="M342">
        <f>MIN(L342,MAX(0,$B342-((E$5&lt;K$5)*F342+(Q$5&lt;K$5)*R342+(W$5&lt;K$5)*X342+(AC$5&lt;K$5)*AD342+(AI$5&lt;K$5)*AJ342+(AO$5&lt;K$5)*AP342+(AU$5&lt;K$5)*AV342)))</f>
        <v/>
      </c>
      <c r="N342">
        <f>IF(L342-M342&lt;0.005,0,L342-M342)</f>
        <v/>
      </c>
      <c r="O342">
        <f>T341</f>
        <v/>
      </c>
      <c r="P342">
        <f>O342*Plan!D8/100/12</f>
        <v/>
      </c>
      <c r="Q342">
        <f>MIN(Plan!E8,O342+P342)</f>
        <v/>
      </c>
      <c r="R342">
        <f>O342+P342-Q342</f>
        <v/>
      </c>
      <c r="S342">
        <f>MIN(R342,MAX(0,$B342-((E$5&lt;Q$5)*F342+(K$5&lt;Q$5)*L342+(W$5&lt;Q$5)*X342+(AC$5&lt;Q$5)*AD342+(AI$5&lt;Q$5)*AJ342+(AO$5&lt;Q$5)*AP342+(AU$5&lt;Q$5)*AV342)))</f>
        <v/>
      </c>
      <c r="T342">
        <f>IF(R342-S342&lt;0.005,0,R342-S342)</f>
        <v/>
      </c>
      <c r="U342">
        <f>Z341</f>
        <v/>
      </c>
      <c r="V342">
        <f>U342*Plan!D9/100/12</f>
        <v/>
      </c>
      <c r="W342">
        <f>MIN(Plan!E9,U342+V342)</f>
        <v/>
      </c>
      <c r="X342">
        <f>U342+V342-W342</f>
        <v/>
      </c>
      <c r="Y342">
        <f>MIN(X342,MAX(0,$B342-((E$5&lt;W$5)*F342+(K$5&lt;W$5)*L342+(Q$5&lt;W$5)*R342+(AC$5&lt;W$5)*AD342+(AI$5&lt;W$5)*AJ342+(AO$5&lt;W$5)*AP342+(AU$5&lt;W$5)*AV342)))</f>
        <v/>
      </c>
      <c r="Z342">
        <f>IF(X342-Y342&lt;0.005,0,X342-Y342)</f>
        <v/>
      </c>
      <c r="AA342">
        <f>AF341</f>
        <v/>
      </c>
      <c r="AB342">
        <f>AA342*Plan!D10/100/12</f>
        <v/>
      </c>
      <c r="AC342">
        <f>MIN(Plan!E10,AA342+AB342)</f>
        <v/>
      </c>
      <c r="AD342">
        <f>AA342+AB342-AC342</f>
        <v/>
      </c>
      <c r="AE342">
        <f>MIN(AD342,MAX(0,$B342-((E$5&lt;AC$5)*F342+(K$5&lt;AC$5)*L342+(Q$5&lt;AC$5)*R342+(W$5&lt;AC$5)*X342+(AI$5&lt;AC$5)*AJ342+(AO$5&lt;AC$5)*AP342+(AU$5&lt;AC$5)*AV342)))</f>
        <v/>
      </c>
      <c r="AF342">
        <f>IF(AD342-AE342&lt;0.005,0,AD342-AE342)</f>
        <v/>
      </c>
      <c r="AG342">
        <f>AL341</f>
        <v/>
      </c>
      <c r="AH342">
        <f>AG342*Plan!D11/100/12</f>
        <v/>
      </c>
      <c r="AI342">
        <f>MIN(Plan!E11,AG342+AH342)</f>
        <v/>
      </c>
      <c r="AJ342">
        <f>AG342+AH342-AI342</f>
        <v/>
      </c>
      <c r="AK342">
        <f>MIN(AJ342,MAX(0,$B342-((E$5&lt;AI$5)*F342+(K$5&lt;AI$5)*L342+(Q$5&lt;AI$5)*R342+(W$5&lt;AI$5)*X342+(AC$5&lt;AI$5)*AD342+(AO$5&lt;AI$5)*AP342+(AU$5&lt;AI$5)*AV342)))</f>
        <v/>
      </c>
      <c r="AL342">
        <f>IF(AJ342-AK342&lt;0.005,0,AJ342-AK342)</f>
        <v/>
      </c>
      <c r="AM342">
        <f>AR341</f>
        <v/>
      </c>
      <c r="AN342">
        <f>AM342*Plan!D12/100/12</f>
        <v/>
      </c>
      <c r="AO342">
        <f>MIN(Plan!E12,AM342+AN342)</f>
        <v/>
      </c>
      <c r="AP342">
        <f>AM342+AN342-AO342</f>
        <v/>
      </c>
      <c r="AQ342">
        <f>MIN(AP342,MAX(0,$B342-((E$5&lt;AO$5)*F342+(K$5&lt;AO$5)*L342+(Q$5&lt;AO$5)*R342+(W$5&lt;AO$5)*X342+(AC$5&lt;AO$5)*AD342+(AI$5&lt;AO$5)*AJ342+(AU$5&lt;AO$5)*AV342)))</f>
        <v/>
      </c>
      <c r="AR342">
        <f>IF(AP342-AQ342&lt;0.005,0,AP342-AQ342)</f>
        <v/>
      </c>
      <c r="AS342">
        <f>AX341</f>
        <v/>
      </c>
      <c r="AT342">
        <f>AS342*Plan!D13/100/12</f>
        <v/>
      </c>
      <c r="AU342">
        <f>MIN(Plan!E13,AS342+AT342)</f>
        <v/>
      </c>
      <c r="AV342">
        <f>AS342+AT342-AU342</f>
        <v/>
      </c>
      <c r="AW342">
        <f>MIN(AV342,MAX(0,$B342-((E$5&lt;AU$5)*F342+(K$5&lt;AU$5)*L342+(Q$5&lt;AU$5)*R342+(W$5&lt;AU$5)*X342+(AC$5&lt;AU$5)*AD342+(AI$5&lt;AU$5)*AJ342+(AO$5&lt;AU$5)*AP342)))</f>
        <v/>
      </c>
      <c r="AX342">
        <f>IF(AV342-AW342&lt;0.005,0,AV342-AW342)</f>
        <v/>
      </c>
      <c r="BC342">
        <f>H342+N342+T342+Z342+AF342+AL342+AR342+AX342</f>
        <v/>
      </c>
    </row>
    <row r="343">
      <c r="A343" t="n">
        <v>337</v>
      </c>
      <c r="B343" s="19">
        <f>MAX(0,$B$3-(E343+K343+Q343+W343+AC343+AI343+AO343+AU343))</f>
        <v/>
      </c>
      <c r="C343">
        <f>H342</f>
        <v/>
      </c>
      <c r="D343">
        <f>C343*Plan!D6/100/12</f>
        <v/>
      </c>
      <c r="E343">
        <f>MIN(Plan!E6,C343+D343)</f>
        <v/>
      </c>
      <c r="F343">
        <f>C343+D343-E343</f>
        <v/>
      </c>
      <c r="G343">
        <f>MIN(F343,MAX(0,$B343-((K$5&lt;E$5)*L343+(Q$5&lt;E$5)*R343+(W$5&lt;E$5)*X343+(AC$5&lt;E$5)*AD343+(AI$5&lt;E$5)*AJ343+(AO$5&lt;E$5)*AP343+(AU$5&lt;E$5)*AV343)))</f>
        <v/>
      </c>
      <c r="H343">
        <f>IF(F343-G343&lt;0.005,0,F343-G343)</f>
        <v/>
      </c>
      <c r="I343">
        <f>N342</f>
        <v/>
      </c>
      <c r="J343">
        <f>I343*Plan!D7/100/12</f>
        <v/>
      </c>
      <c r="K343">
        <f>MIN(Plan!E7,I343+J343)</f>
        <v/>
      </c>
      <c r="L343">
        <f>I343+J343-K343</f>
        <v/>
      </c>
      <c r="M343">
        <f>MIN(L343,MAX(0,$B343-((E$5&lt;K$5)*F343+(Q$5&lt;K$5)*R343+(W$5&lt;K$5)*X343+(AC$5&lt;K$5)*AD343+(AI$5&lt;K$5)*AJ343+(AO$5&lt;K$5)*AP343+(AU$5&lt;K$5)*AV343)))</f>
        <v/>
      </c>
      <c r="N343">
        <f>IF(L343-M343&lt;0.005,0,L343-M343)</f>
        <v/>
      </c>
      <c r="O343">
        <f>T342</f>
        <v/>
      </c>
      <c r="P343">
        <f>O343*Plan!D8/100/12</f>
        <v/>
      </c>
      <c r="Q343">
        <f>MIN(Plan!E8,O343+P343)</f>
        <v/>
      </c>
      <c r="R343">
        <f>O343+P343-Q343</f>
        <v/>
      </c>
      <c r="S343">
        <f>MIN(R343,MAX(0,$B343-((E$5&lt;Q$5)*F343+(K$5&lt;Q$5)*L343+(W$5&lt;Q$5)*X343+(AC$5&lt;Q$5)*AD343+(AI$5&lt;Q$5)*AJ343+(AO$5&lt;Q$5)*AP343+(AU$5&lt;Q$5)*AV343)))</f>
        <v/>
      </c>
      <c r="T343">
        <f>IF(R343-S343&lt;0.005,0,R343-S343)</f>
        <v/>
      </c>
      <c r="U343">
        <f>Z342</f>
        <v/>
      </c>
      <c r="V343">
        <f>U343*Plan!D9/100/12</f>
        <v/>
      </c>
      <c r="W343">
        <f>MIN(Plan!E9,U343+V343)</f>
        <v/>
      </c>
      <c r="X343">
        <f>U343+V343-W343</f>
        <v/>
      </c>
      <c r="Y343">
        <f>MIN(X343,MAX(0,$B343-((E$5&lt;W$5)*F343+(K$5&lt;W$5)*L343+(Q$5&lt;W$5)*R343+(AC$5&lt;W$5)*AD343+(AI$5&lt;W$5)*AJ343+(AO$5&lt;W$5)*AP343+(AU$5&lt;W$5)*AV343)))</f>
        <v/>
      </c>
      <c r="Z343">
        <f>IF(X343-Y343&lt;0.005,0,X343-Y343)</f>
        <v/>
      </c>
      <c r="AA343">
        <f>AF342</f>
        <v/>
      </c>
      <c r="AB343">
        <f>AA343*Plan!D10/100/12</f>
        <v/>
      </c>
      <c r="AC343">
        <f>MIN(Plan!E10,AA343+AB343)</f>
        <v/>
      </c>
      <c r="AD343">
        <f>AA343+AB343-AC343</f>
        <v/>
      </c>
      <c r="AE343">
        <f>MIN(AD343,MAX(0,$B343-((E$5&lt;AC$5)*F343+(K$5&lt;AC$5)*L343+(Q$5&lt;AC$5)*R343+(W$5&lt;AC$5)*X343+(AI$5&lt;AC$5)*AJ343+(AO$5&lt;AC$5)*AP343+(AU$5&lt;AC$5)*AV343)))</f>
        <v/>
      </c>
      <c r="AF343">
        <f>IF(AD343-AE343&lt;0.005,0,AD343-AE343)</f>
        <v/>
      </c>
      <c r="AG343">
        <f>AL342</f>
        <v/>
      </c>
      <c r="AH343">
        <f>AG343*Plan!D11/100/12</f>
        <v/>
      </c>
      <c r="AI343">
        <f>MIN(Plan!E11,AG343+AH343)</f>
        <v/>
      </c>
      <c r="AJ343">
        <f>AG343+AH343-AI343</f>
        <v/>
      </c>
      <c r="AK343">
        <f>MIN(AJ343,MAX(0,$B343-((E$5&lt;AI$5)*F343+(K$5&lt;AI$5)*L343+(Q$5&lt;AI$5)*R343+(W$5&lt;AI$5)*X343+(AC$5&lt;AI$5)*AD343+(AO$5&lt;AI$5)*AP343+(AU$5&lt;AI$5)*AV343)))</f>
        <v/>
      </c>
      <c r="AL343">
        <f>IF(AJ343-AK343&lt;0.005,0,AJ343-AK343)</f>
        <v/>
      </c>
      <c r="AM343">
        <f>AR342</f>
        <v/>
      </c>
      <c r="AN343">
        <f>AM343*Plan!D12/100/12</f>
        <v/>
      </c>
      <c r="AO343">
        <f>MIN(Plan!E12,AM343+AN343)</f>
        <v/>
      </c>
      <c r="AP343">
        <f>AM343+AN343-AO343</f>
        <v/>
      </c>
      <c r="AQ343">
        <f>MIN(AP343,MAX(0,$B343-((E$5&lt;AO$5)*F343+(K$5&lt;AO$5)*L343+(Q$5&lt;AO$5)*R343+(W$5&lt;AO$5)*X343+(AC$5&lt;AO$5)*AD343+(AI$5&lt;AO$5)*AJ343+(AU$5&lt;AO$5)*AV343)))</f>
        <v/>
      </c>
      <c r="AR343">
        <f>IF(AP343-AQ343&lt;0.005,0,AP343-AQ343)</f>
        <v/>
      </c>
      <c r="AS343">
        <f>AX342</f>
        <v/>
      </c>
      <c r="AT343">
        <f>AS343*Plan!D13/100/12</f>
        <v/>
      </c>
      <c r="AU343">
        <f>MIN(Plan!E13,AS343+AT343)</f>
        <v/>
      </c>
      <c r="AV343">
        <f>AS343+AT343-AU343</f>
        <v/>
      </c>
      <c r="AW343">
        <f>MIN(AV343,MAX(0,$B343-((E$5&lt;AU$5)*F343+(K$5&lt;AU$5)*L343+(Q$5&lt;AU$5)*R343+(W$5&lt;AU$5)*X343+(AC$5&lt;AU$5)*AD343+(AI$5&lt;AU$5)*AJ343+(AO$5&lt;AU$5)*AP343)))</f>
        <v/>
      </c>
      <c r="AX343">
        <f>IF(AV343-AW343&lt;0.005,0,AV343-AW343)</f>
        <v/>
      </c>
      <c r="BC343">
        <f>H343+N343+T343+Z343+AF343+AL343+AR343+AX343</f>
        <v/>
      </c>
    </row>
    <row r="344">
      <c r="A344" t="n">
        <v>338</v>
      </c>
      <c r="B344" s="19">
        <f>MAX(0,$B$3-(E344+K344+Q344+W344+AC344+AI344+AO344+AU344))</f>
        <v/>
      </c>
      <c r="C344">
        <f>H343</f>
        <v/>
      </c>
      <c r="D344">
        <f>C344*Plan!D6/100/12</f>
        <v/>
      </c>
      <c r="E344">
        <f>MIN(Plan!E6,C344+D344)</f>
        <v/>
      </c>
      <c r="F344">
        <f>C344+D344-E344</f>
        <v/>
      </c>
      <c r="G344">
        <f>MIN(F344,MAX(0,$B344-((K$5&lt;E$5)*L344+(Q$5&lt;E$5)*R344+(W$5&lt;E$5)*X344+(AC$5&lt;E$5)*AD344+(AI$5&lt;E$5)*AJ344+(AO$5&lt;E$5)*AP344+(AU$5&lt;E$5)*AV344)))</f>
        <v/>
      </c>
      <c r="H344">
        <f>IF(F344-G344&lt;0.005,0,F344-G344)</f>
        <v/>
      </c>
      <c r="I344">
        <f>N343</f>
        <v/>
      </c>
      <c r="J344">
        <f>I344*Plan!D7/100/12</f>
        <v/>
      </c>
      <c r="K344">
        <f>MIN(Plan!E7,I344+J344)</f>
        <v/>
      </c>
      <c r="L344">
        <f>I344+J344-K344</f>
        <v/>
      </c>
      <c r="M344">
        <f>MIN(L344,MAX(0,$B344-((E$5&lt;K$5)*F344+(Q$5&lt;K$5)*R344+(W$5&lt;K$5)*X344+(AC$5&lt;K$5)*AD344+(AI$5&lt;K$5)*AJ344+(AO$5&lt;K$5)*AP344+(AU$5&lt;K$5)*AV344)))</f>
        <v/>
      </c>
      <c r="N344">
        <f>IF(L344-M344&lt;0.005,0,L344-M344)</f>
        <v/>
      </c>
      <c r="O344">
        <f>T343</f>
        <v/>
      </c>
      <c r="P344">
        <f>O344*Plan!D8/100/12</f>
        <v/>
      </c>
      <c r="Q344">
        <f>MIN(Plan!E8,O344+P344)</f>
        <v/>
      </c>
      <c r="R344">
        <f>O344+P344-Q344</f>
        <v/>
      </c>
      <c r="S344">
        <f>MIN(R344,MAX(0,$B344-((E$5&lt;Q$5)*F344+(K$5&lt;Q$5)*L344+(W$5&lt;Q$5)*X344+(AC$5&lt;Q$5)*AD344+(AI$5&lt;Q$5)*AJ344+(AO$5&lt;Q$5)*AP344+(AU$5&lt;Q$5)*AV344)))</f>
        <v/>
      </c>
      <c r="T344">
        <f>IF(R344-S344&lt;0.005,0,R344-S344)</f>
        <v/>
      </c>
      <c r="U344">
        <f>Z343</f>
        <v/>
      </c>
      <c r="V344">
        <f>U344*Plan!D9/100/12</f>
        <v/>
      </c>
      <c r="W344">
        <f>MIN(Plan!E9,U344+V344)</f>
        <v/>
      </c>
      <c r="X344">
        <f>U344+V344-W344</f>
        <v/>
      </c>
      <c r="Y344">
        <f>MIN(X344,MAX(0,$B344-((E$5&lt;W$5)*F344+(K$5&lt;W$5)*L344+(Q$5&lt;W$5)*R344+(AC$5&lt;W$5)*AD344+(AI$5&lt;W$5)*AJ344+(AO$5&lt;W$5)*AP344+(AU$5&lt;W$5)*AV344)))</f>
        <v/>
      </c>
      <c r="Z344">
        <f>IF(X344-Y344&lt;0.005,0,X344-Y344)</f>
        <v/>
      </c>
      <c r="AA344">
        <f>AF343</f>
        <v/>
      </c>
      <c r="AB344">
        <f>AA344*Plan!D10/100/12</f>
        <v/>
      </c>
      <c r="AC344">
        <f>MIN(Plan!E10,AA344+AB344)</f>
        <v/>
      </c>
      <c r="AD344">
        <f>AA344+AB344-AC344</f>
        <v/>
      </c>
      <c r="AE344">
        <f>MIN(AD344,MAX(0,$B344-((E$5&lt;AC$5)*F344+(K$5&lt;AC$5)*L344+(Q$5&lt;AC$5)*R344+(W$5&lt;AC$5)*X344+(AI$5&lt;AC$5)*AJ344+(AO$5&lt;AC$5)*AP344+(AU$5&lt;AC$5)*AV344)))</f>
        <v/>
      </c>
      <c r="AF344">
        <f>IF(AD344-AE344&lt;0.005,0,AD344-AE344)</f>
        <v/>
      </c>
      <c r="AG344">
        <f>AL343</f>
        <v/>
      </c>
      <c r="AH344">
        <f>AG344*Plan!D11/100/12</f>
        <v/>
      </c>
      <c r="AI344">
        <f>MIN(Plan!E11,AG344+AH344)</f>
        <v/>
      </c>
      <c r="AJ344">
        <f>AG344+AH344-AI344</f>
        <v/>
      </c>
      <c r="AK344">
        <f>MIN(AJ344,MAX(0,$B344-((E$5&lt;AI$5)*F344+(K$5&lt;AI$5)*L344+(Q$5&lt;AI$5)*R344+(W$5&lt;AI$5)*X344+(AC$5&lt;AI$5)*AD344+(AO$5&lt;AI$5)*AP344+(AU$5&lt;AI$5)*AV344)))</f>
        <v/>
      </c>
      <c r="AL344">
        <f>IF(AJ344-AK344&lt;0.005,0,AJ344-AK344)</f>
        <v/>
      </c>
      <c r="AM344">
        <f>AR343</f>
        <v/>
      </c>
      <c r="AN344">
        <f>AM344*Plan!D12/100/12</f>
        <v/>
      </c>
      <c r="AO344">
        <f>MIN(Plan!E12,AM344+AN344)</f>
        <v/>
      </c>
      <c r="AP344">
        <f>AM344+AN344-AO344</f>
        <v/>
      </c>
      <c r="AQ344">
        <f>MIN(AP344,MAX(0,$B344-((E$5&lt;AO$5)*F344+(K$5&lt;AO$5)*L344+(Q$5&lt;AO$5)*R344+(W$5&lt;AO$5)*X344+(AC$5&lt;AO$5)*AD344+(AI$5&lt;AO$5)*AJ344+(AU$5&lt;AO$5)*AV344)))</f>
        <v/>
      </c>
      <c r="AR344">
        <f>IF(AP344-AQ344&lt;0.005,0,AP344-AQ344)</f>
        <v/>
      </c>
      <c r="AS344">
        <f>AX343</f>
        <v/>
      </c>
      <c r="AT344">
        <f>AS344*Plan!D13/100/12</f>
        <v/>
      </c>
      <c r="AU344">
        <f>MIN(Plan!E13,AS344+AT344)</f>
        <v/>
      </c>
      <c r="AV344">
        <f>AS344+AT344-AU344</f>
        <v/>
      </c>
      <c r="AW344">
        <f>MIN(AV344,MAX(0,$B344-((E$5&lt;AU$5)*F344+(K$5&lt;AU$5)*L344+(Q$5&lt;AU$5)*R344+(W$5&lt;AU$5)*X344+(AC$5&lt;AU$5)*AD344+(AI$5&lt;AU$5)*AJ344+(AO$5&lt;AU$5)*AP344)))</f>
        <v/>
      </c>
      <c r="AX344">
        <f>IF(AV344-AW344&lt;0.005,0,AV344-AW344)</f>
        <v/>
      </c>
      <c r="BC344">
        <f>H344+N344+T344+Z344+AF344+AL344+AR344+AX344</f>
        <v/>
      </c>
    </row>
    <row r="345">
      <c r="A345" t="n">
        <v>339</v>
      </c>
      <c r="B345" s="19">
        <f>MAX(0,$B$3-(E345+K345+Q345+W345+AC345+AI345+AO345+AU345))</f>
        <v/>
      </c>
      <c r="C345">
        <f>H344</f>
        <v/>
      </c>
      <c r="D345">
        <f>C345*Plan!D6/100/12</f>
        <v/>
      </c>
      <c r="E345">
        <f>MIN(Plan!E6,C345+D345)</f>
        <v/>
      </c>
      <c r="F345">
        <f>C345+D345-E345</f>
        <v/>
      </c>
      <c r="G345">
        <f>MIN(F345,MAX(0,$B345-((K$5&lt;E$5)*L345+(Q$5&lt;E$5)*R345+(W$5&lt;E$5)*X345+(AC$5&lt;E$5)*AD345+(AI$5&lt;E$5)*AJ345+(AO$5&lt;E$5)*AP345+(AU$5&lt;E$5)*AV345)))</f>
        <v/>
      </c>
      <c r="H345">
        <f>IF(F345-G345&lt;0.005,0,F345-G345)</f>
        <v/>
      </c>
      <c r="I345">
        <f>N344</f>
        <v/>
      </c>
      <c r="J345">
        <f>I345*Plan!D7/100/12</f>
        <v/>
      </c>
      <c r="K345">
        <f>MIN(Plan!E7,I345+J345)</f>
        <v/>
      </c>
      <c r="L345">
        <f>I345+J345-K345</f>
        <v/>
      </c>
      <c r="M345">
        <f>MIN(L345,MAX(0,$B345-((E$5&lt;K$5)*F345+(Q$5&lt;K$5)*R345+(W$5&lt;K$5)*X345+(AC$5&lt;K$5)*AD345+(AI$5&lt;K$5)*AJ345+(AO$5&lt;K$5)*AP345+(AU$5&lt;K$5)*AV345)))</f>
        <v/>
      </c>
      <c r="N345">
        <f>IF(L345-M345&lt;0.005,0,L345-M345)</f>
        <v/>
      </c>
      <c r="O345">
        <f>T344</f>
        <v/>
      </c>
      <c r="P345">
        <f>O345*Plan!D8/100/12</f>
        <v/>
      </c>
      <c r="Q345">
        <f>MIN(Plan!E8,O345+P345)</f>
        <v/>
      </c>
      <c r="R345">
        <f>O345+P345-Q345</f>
        <v/>
      </c>
      <c r="S345">
        <f>MIN(R345,MAX(0,$B345-((E$5&lt;Q$5)*F345+(K$5&lt;Q$5)*L345+(W$5&lt;Q$5)*X345+(AC$5&lt;Q$5)*AD345+(AI$5&lt;Q$5)*AJ345+(AO$5&lt;Q$5)*AP345+(AU$5&lt;Q$5)*AV345)))</f>
        <v/>
      </c>
      <c r="T345">
        <f>IF(R345-S345&lt;0.005,0,R345-S345)</f>
        <v/>
      </c>
      <c r="U345">
        <f>Z344</f>
        <v/>
      </c>
      <c r="V345">
        <f>U345*Plan!D9/100/12</f>
        <v/>
      </c>
      <c r="W345">
        <f>MIN(Plan!E9,U345+V345)</f>
        <v/>
      </c>
      <c r="X345">
        <f>U345+V345-W345</f>
        <v/>
      </c>
      <c r="Y345">
        <f>MIN(X345,MAX(0,$B345-((E$5&lt;W$5)*F345+(K$5&lt;W$5)*L345+(Q$5&lt;W$5)*R345+(AC$5&lt;W$5)*AD345+(AI$5&lt;W$5)*AJ345+(AO$5&lt;W$5)*AP345+(AU$5&lt;W$5)*AV345)))</f>
        <v/>
      </c>
      <c r="Z345">
        <f>IF(X345-Y345&lt;0.005,0,X345-Y345)</f>
        <v/>
      </c>
      <c r="AA345">
        <f>AF344</f>
        <v/>
      </c>
      <c r="AB345">
        <f>AA345*Plan!D10/100/12</f>
        <v/>
      </c>
      <c r="AC345">
        <f>MIN(Plan!E10,AA345+AB345)</f>
        <v/>
      </c>
      <c r="AD345">
        <f>AA345+AB345-AC345</f>
        <v/>
      </c>
      <c r="AE345">
        <f>MIN(AD345,MAX(0,$B345-((E$5&lt;AC$5)*F345+(K$5&lt;AC$5)*L345+(Q$5&lt;AC$5)*R345+(W$5&lt;AC$5)*X345+(AI$5&lt;AC$5)*AJ345+(AO$5&lt;AC$5)*AP345+(AU$5&lt;AC$5)*AV345)))</f>
        <v/>
      </c>
      <c r="AF345">
        <f>IF(AD345-AE345&lt;0.005,0,AD345-AE345)</f>
        <v/>
      </c>
      <c r="AG345">
        <f>AL344</f>
        <v/>
      </c>
      <c r="AH345">
        <f>AG345*Plan!D11/100/12</f>
        <v/>
      </c>
      <c r="AI345">
        <f>MIN(Plan!E11,AG345+AH345)</f>
        <v/>
      </c>
      <c r="AJ345">
        <f>AG345+AH345-AI345</f>
        <v/>
      </c>
      <c r="AK345">
        <f>MIN(AJ345,MAX(0,$B345-((E$5&lt;AI$5)*F345+(K$5&lt;AI$5)*L345+(Q$5&lt;AI$5)*R345+(W$5&lt;AI$5)*X345+(AC$5&lt;AI$5)*AD345+(AO$5&lt;AI$5)*AP345+(AU$5&lt;AI$5)*AV345)))</f>
        <v/>
      </c>
      <c r="AL345">
        <f>IF(AJ345-AK345&lt;0.005,0,AJ345-AK345)</f>
        <v/>
      </c>
      <c r="AM345">
        <f>AR344</f>
        <v/>
      </c>
      <c r="AN345">
        <f>AM345*Plan!D12/100/12</f>
        <v/>
      </c>
      <c r="AO345">
        <f>MIN(Plan!E12,AM345+AN345)</f>
        <v/>
      </c>
      <c r="AP345">
        <f>AM345+AN345-AO345</f>
        <v/>
      </c>
      <c r="AQ345">
        <f>MIN(AP345,MAX(0,$B345-((E$5&lt;AO$5)*F345+(K$5&lt;AO$5)*L345+(Q$5&lt;AO$5)*R345+(W$5&lt;AO$5)*X345+(AC$5&lt;AO$5)*AD345+(AI$5&lt;AO$5)*AJ345+(AU$5&lt;AO$5)*AV345)))</f>
        <v/>
      </c>
      <c r="AR345">
        <f>IF(AP345-AQ345&lt;0.005,0,AP345-AQ345)</f>
        <v/>
      </c>
      <c r="AS345">
        <f>AX344</f>
        <v/>
      </c>
      <c r="AT345">
        <f>AS345*Plan!D13/100/12</f>
        <v/>
      </c>
      <c r="AU345">
        <f>MIN(Plan!E13,AS345+AT345)</f>
        <v/>
      </c>
      <c r="AV345">
        <f>AS345+AT345-AU345</f>
        <v/>
      </c>
      <c r="AW345">
        <f>MIN(AV345,MAX(0,$B345-((E$5&lt;AU$5)*F345+(K$5&lt;AU$5)*L345+(Q$5&lt;AU$5)*R345+(W$5&lt;AU$5)*X345+(AC$5&lt;AU$5)*AD345+(AI$5&lt;AU$5)*AJ345+(AO$5&lt;AU$5)*AP345)))</f>
        <v/>
      </c>
      <c r="AX345">
        <f>IF(AV345-AW345&lt;0.005,0,AV345-AW345)</f>
        <v/>
      </c>
      <c r="BC345">
        <f>H345+N345+T345+Z345+AF345+AL345+AR345+AX345</f>
        <v/>
      </c>
    </row>
    <row r="346">
      <c r="A346" t="n">
        <v>340</v>
      </c>
      <c r="B346" s="19">
        <f>MAX(0,$B$3-(E346+K346+Q346+W346+AC346+AI346+AO346+AU346))</f>
        <v/>
      </c>
      <c r="C346">
        <f>H345</f>
        <v/>
      </c>
      <c r="D346">
        <f>C346*Plan!D6/100/12</f>
        <v/>
      </c>
      <c r="E346">
        <f>MIN(Plan!E6,C346+D346)</f>
        <v/>
      </c>
      <c r="F346">
        <f>C346+D346-E346</f>
        <v/>
      </c>
      <c r="G346">
        <f>MIN(F346,MAX(0,$B346-((K$5&lt;E$5)*L346+(Q$5&lt;E$5)*R346+(W$5&lt;E$5)*X346+(AC$5&lt;E$5)*AD346+(AI$5&lt;E$5)*AJ346+(AO$5&lt;E$5)*AP346+(AU$5&lt;E$5)*AV346)))</f>
        <v/>
      </c>
      <c r="H346">
        <f>IF(F346-G346&lt;0.005,0,F346-G346)</f>
        <v/>
      </c>
      <c r="I346">
        <f>N345</f>
        <v/>
      </c>
      <c r="J346">
        <f>I346*Plan!D7/100/12</f>
        <v/>
      </c>
      <c r="K346">
        <f>MIN(Plan!E7,I346+J346)</f>
        <v/>
      </c>
      <c r="L346">
        <f>I346+J346-K346</f>
        <v/>
      </c>
      <c r="M346">
        <f>MIN(L346,MAX(0,$B346-((E$5&lt;K$5)*F346+(Q$5&lt;K$5)*R346+(W$5&lt;K$5)*X346+(AC$5&lt;K$5)*AD346+(AI$5&lt;K$5)*AJ346+(AO$5&lt;K$5)*AP346+(AU$5&lt;K$5)*AV346)))</f>
        <v/>
      </c>
      <c r="N346">
        <f>IF(L346-M346&lt;0.005,0,L346-M346)</f>
        <v/>
      </c>
      <c r="O346">
        <f>T345</f>
        <v/>
      </c>
      <c r="P346">
        <f>O346*Plan!D8/100/12</f>
        <v/>
      </c>
      <c r="Q346">
        <f>MIN(Plan!E8,O346+P346)</f>
        <v/>
      </c>
      <c r="R346">
        <f>O346+P346-Q346</f>
        <v/>
      </c>
      <c r="S346">
        <f>MIN(R346,MAX(0,$B346-((E$5&lt;Q$5)*F346+(K$5&lt;Q$5)*L346+(W$5&lt;Q$5)*X346+(AC$5&lt;Q$5)*AD346+(AI$5&lt;Q$5)*AJ346+(AO$5&lt;Q$5)*AP346+(AU$5&lt;Q$5)*AV346)))</f>
        <v/>
      </c>
      <c r="T346">
        <f>IF(R346-S346&lt;0.005,0,R346-S346)</f>
        <v/>
      </c>
      <c r="U346">
        <f>Z345</f>
        <v/>
      </c>
      <c r="V346">
        <f>U346*Plan!D9/100/12</f>
        <v/>
      </c>
      <c r="W346">
        <f>MIN(Plan!E9,U346+V346)</f>
        <v/>
      </c>
      <c r="X346">
        <f>U346+V346-W346</f>
        <v/>
      </c>
      <c r="Y346">
        <f>MIN(X346,MAX(0,$B346-((E$5&lt;W$5)*F346+(K$5&lt;W$5)*L346+(Q$5&lt;W$5)*R346+(AC$5&lt;W$5)*AD346+(AI$5&lt;W$5)*AJ346+(AO$5&lt;W$5)*AP346+(AU$5&lt;W$5)*AV346)))</f>
        <v/>
      </c>
      <c r="Z346">
        <f>IF(X346-Y346&lt;0.005,0,X346-Y346)</f>
        <v/>
      </c>
      <c r="AA346">
        <f>AF345</f>
        <v/>
      </c>
      <c r="AB346">
        <f>AA346*Plan!D10/100/12</f>
        <v/>
      </c>
      <c r="AC346">
        <f>MIN(Plan!E10,AA346+AB346)</f>
        <v/>
      </c>
      <c r="AD346">
        <f>AA346+AB346-AC346</f>
        <v/>
      </c>
      <c r="AE346">
        <f>MIN(AD346,MAX(0,$B346-((E$5&lt;AC$5)*F346+(K$5&lt;AC$5)*L346+(Q$5&lt;AC$5)*R346+(W$5&lt;AC$5)*X346+(AI$5&lt;AC$5)*AJ346+(AO$5&lt;AC$5)*AP346+(AU$5&lt;AC$5)*AV346)))</f>
        <v/>
      </c>
      <c r="AF346">
        <f>IF(AD346-AE346&lt;0.005,0,AD346-AE346)</f>
        <v/>
      </c>
      <c r="AG346">
        <f>AL345</f>
        <v/>
      </c>
      <c r="AH346">
        <f>AG346*Plan!D11/100/12</f>
        <v/>
      </c>
      <c r="AI346">
        <f>MIN(Plan!E11,AG346+AH346)</f>
        <v/>
      </c>
      <c r="AJ346">
        <f>AG346+AH346-AI346</f>
        <v/>
      </c>
      <c r="AK346">
        <f>MIN(AJ346,MAX(0,$B346-((E$5&lt;AI$5)*F346+(K$5&lt;AI$5)*L346+(Q$5&lt;AI$5)*R346+(W$5&lt;AI$5)*X346+(AC$5&lt;AI$5)*AD346+(AO$5&lt;AI$5)*AP346+(AU$5&lt;AI$5)*AV346)))</f>
        <v/>
      </c>
      <c r="AL346">
        <f>IF(AJ346-AK346&lt;0.005,0,AJ346-AK346)</f>
        <v/>
      </c>
      <c r="AM346">
        <f>AR345</f>
        <v/>
      </c>
      <c r="AN346">
        <f>AM346*Plan!D12/100/12</f>
        <v/>
      </c>
      <c r="AO346">
        <f>MIN(Plan!E12,AM346+AN346)</f>
        <v/>
      </c>
      <c r="AP346">
        <f>AM346+AN346-AO346</f>
        <v/>
      </c>
      <c r="AQ346">
        <f>MIN(AP346,MAX(0,$B346-((E$5&lt;AO$5)*F346+(K$5&lt;AO$5)*L346+(Q$5&lt;AO$5)*R346+(W$5&lt;AO$5)*X346+(AC$5&lt;AO$5)*AD346+(AI$5&lt;AO$5)*AJ346+(AU$5&lt;AO$5)*AV346)))</f>
        <v/>
      </c>
      <c r="AR346">
        <f>IF(AP346-AQ346&lt;0.005,0,AP346-AQ346)</f>
        <v/>
      </c>
      <c r="AS346">
        <f>AX345</f>
        <v/>
      </c>
      <c r="AT346">
        <f>AS346*Plan!D13/100/12</f>
        <v/>
      </c>
      <c r="AU346">
        <f>MIN(Plan!E13,AS346+AT346)</f>
        <v/>
      </c>
      <c r="AV346">
        <f>AS346+AT346-AU346</f>
        <v/>
      </c>
      <c r="AW346">
        <f>MIN(AV346,MAX(0,$B346-((E$5&lt;AU$5)*F346+(K$5&lt;AU$5)*L346+(Q$5&lt;AU$5)*R346+(W$5&lt;AU$5)*X346+(AC$5&lt;AU$5)*AD346+(AI$5&lt;AU$5)*AJ346+(AO$5&lt;AU$5)*AP346)))</f>
        <v/>
      </c>
      <c r="AX346">
        <f>IF(AV346-AW346&lt;0.005,0,AV346-AW346)</f>
        <v/>
      </c>
      <c r="BC346">
        <f>H346+N346+T346+Z346+AF346+AL346+AR346+AX346</f>
        <v/>
      </c>
    </row>
    <row r="347">
      <c r="A347" t="n">
        <v>341</v>
      </c>
      <c r="B347" s="19">
        <f>MAX(0,$B$3-(E347+K347+Q347+W347+AC347+AI347+AO347+AU347))</f>
        <v/>
      </c>
      <c r="C347">
        <f>H346</f>
        <v/>
      </c>
      <c r="D347">
        <f>C347*Plan!D6/100/12</f>
        <v/>
      </c>
      <c r="E347">
        <f>MIN(Plan!E6,C347+D347)</f>
        <v/>
      </c>
      <c r="F347">
        <f>C347+D347-E347</f>
        <v/>
      </c>
      <c r="G347">
        <f>MIN(F347,MAX(0,$B347-((K$5&lt;E$5)*L347+(Q$5&lt;E$5)*R347+(W$5&lt;E$5)*X347+(AC$5&lt;E$5)*AD347+(AI$5&lt;E$5)*AJ347+(AO$5&lt;E$5)*AP347+(AU$5&lt;E$5)*AV347)))</f>
        <v/>
      </c>
      <c r="H347">
        <f>IF(F347-G347&lt;0.005,0,F347-G347)</f>
        <v/>
      </c>
      <c r="I347">
        <f>N346</f>
        <v/>
      </c>
      <c r="J347">
        <f>I347*Plan!D7/100/12</f>
        <v/>
      </c>
      <c r="K347">
        <f>MIN(Plan!E7,I347+J347)</f>
        <v/>
      </c>
      <c r="L347">
        <f>I347+J347-K347</f>
        <v/>
      </c>
      <c r="M347">
        <f>MIN(L347,MAX(0,$B347-((E$5&lt;K$5)*F347+(Q$5&lt;K$5)*R347+(W$5&lt;K$5)*X347+(AC$5&lt;K$5)*AD347+(AI$5&lt;K$5)*AJ347+(AO$5&lt;K$5)*AP347+(AU$5&lt;K$5)*AV347)))</f>
        <v/>
      </c>
      <c r="N347">
        <f>IF(L347-M347&lt;0.005,0,L347-M347)</f>
        <v/>
      </c>
      <c r="O347">
        <f>T346</f>
        <v/>
      </c>
      <c r="P347">
        <f>O347*Plan!D8/100/12</f>
        <v/>
      </c>
      <c r="Q347">
        <f>MIN(Plan!E8,O347+P347)</f>
        <v/>
      </c>
      <c r="R347">
        <f>O347+P347-Q347</f>
        <v/>
      </c>
      <c r="S347">
        <f>MIN(R347,MAX(0,$B347-((E$5&lt;Q$5)*F347+(K$5&lt;Q$5)*L347+(W$5&lt;Q$5)*X347+(AC$5&lt;Q$5)*AD347+(AI$5&lt;Q$5)*AJ347+(AO$5&lt;Q$5)*AP347+(AU$5&lt;Q$5)*AV347)))</f>
        <v/>
      </c>
      <c r="T347">
        <f>IF(R347-S347&lt;0.005,0,R347-S347)</f>
        <v/>
      </c>
      <c r="U347">
        <f>Z346</f>
        <v/>
      </c>
      <c r="V347">
        <f>U347*Plan!D9/100/12</f>
        <v/>
      </c>
      <c r="W347">
        <f>MIN(Plan!E9,U347+V347)</f>
        <v/>
      </c>
      <c r="X347">
        <f>U347+V347-W347</f>
        <v/>
      </c>
      <c r="Y347">
        <f>MIN(X347,MAX(0,$B347-((E$5&lt;W$5)*F347+(K$5&lt;W$5)*L347+(Q$5&lt;W$5)*R347+(AC$5&lt;W$5)*AD347+(AI$5&lt;W$5)*AJ347+(AO$5&lt;W$5)*AP347+(AU$5&lt;W$5)*AV347)))</f>
        <v/>
      </c>
      <c r="Z347">
        <f>IF(X347-Y347&lt;0.005,0,X347-Y347)</f>
        <v/>
      </c>
      <c r="AA347">
        <f>AF346</f>
        <v/>
      </c>
      <c r="AB347">
        <f>AA347*Plan!D10/100/12</f>
        <v/>
      </c>
      <c r="AC347">
        <f>MIN(Plan!E10,AA347+AB347)</f>
        <v/>
      </c>
      <c r="AD347">
        <f>AA347+AB347-AC347</f>
        <v/>
      </c>
      <c r="AE347">
        <f>MIN(AD347,MAX(0,$B347-((E$5&lt;AC$5)*F347+(K$5&lt;AC$5)*L347+(Q$5&lt;AC$5)*R347+(W$5&lt;AC$5)*X347+(AI$5&lt;AC$5)*AJ347+(AO$5&lt;AC$5)*AP347+(AU$5&lt;AC$5)*AV347)))</f>
        <v/>
      </c>
      <c r="AF347">
        <f>IF(AD347-AE347&lt;0.005,0,AD347-AE347)</f>
        <v/>
      </c>
      <c r="AG347">
        <f>AL346</f>
        <v/>
      </c>
      <c r="AH347">
        <f>AG347*Plan!D11/100/12</f>
        <v/>
      </c>
      <c r="AI347">
        <f>MIN(Plan!E11,AG347+AH347)</f>
        <v/>
      </c>
      <c r="AJ347">
        <f>AG347+AH347-AI347</f>
        <v/>
      </c>
      <c r="AK347">
        <f>MIN(AJ347,MAX(0,$B347-((E$5&lt;AI$5)*F347+(K$5&lt;AI$5)*L347+(Q$5&lt;AI$5)*R347+(W$5&lt;AI$5)*X347+(AC$5&lt;AI$5)*AD347+(AO$5&lt;AI$5)*AP347+(AU$5&lt;AI$5)*AV347)))</f>
        <v/>
      </c>
      <c r="AL347">
        <f>IF(AJ347-AK347&lt;0.005,0,AJ347-AK347)</f>
        <v/>
      </c>
      <c r="AM347">
        <f>AR346</f>
        <v/>
      </c>
      <c r="AN347">
        <f>AM347*Plan!D12/100/12</f>
        <v/>
      </c>
      <c r="AO347">
        <f>MIN(Plan!E12,AM347+AN347)</f>
        <v/>
      </c>
      <c r="AP347">
        <f>AM347+AN347-AO347</f>
        <v/>
      </c>
      <c r="AQ347">
        <f>MIN(AP347,MAX(0,$B347-((E$5&lt;AO$5)*F347+(K$5&lt;AO$5)*L347+(Q$5&lt;AO$5)*R347+(W$5&lt;AO$5)*X347+(AC$5&lt;AO$5)*AD347+(AI$5&lt;AO$5)*AJ347+(AU$5&lt;AO$5)*AV347)))</f>
        <v/>
      </c>
      <c r="AR347">
        <f>IF(AP347-AQ347&lt;0.005,0,AP347-AQ347)</f>
        <v/>
      </c>
      <c r="AS347">
        <f>AX346</f>
        <v/>
      </c>
      <c r="AT347">
        <f>AS347*Plan!D13/100/12</f>
        <v/>
      </c>
      <c r="AU347">
        <f>MIN(Plan!E13,AS347+AT347)</f>
        <v/>
      </c>
      <c r="AV347">
        <f>AS347+AT347-AU347</f>
        <v/>
      </c>
      <c r="AW347">
        <f>MIN(AV347,MAX(0,$B347-((E$5&lt;AU$5)*F347+(K$5&lt;AU$5)*L347+(Q$5&lt;AU$5)*R347+(W$5&lt;AU$5)*X347+(AC$5&lt;AU$5)*AD347+(AI$5&lt;AU$5)*AJ347+(AO$5&lt;AU$5)*AP347)))</f>
        <v/>
      </c>
      <c r="AX347">
        <f>IF(AV347-AW347&lt;0.005,0,AV347-AW347)</f>
        <v/>
      </c>
      <c r="BC347">
        <f>H347+N347+T347+Z347+AF347+AL347+AR347+AX347</f>
        <v/>
      </c>
    </row>
    <row r="348">
      <c r="A348" t="n">
        <v>342</v>
      </c>
      <c r="B348" s="19">
        <f>MAX(0,$B$3-(E348+K348+Q348+W348+AC348+AI348+AO348+AU348))</f>
        <v/>
      </c>
      <c r="C348">
        <f>H347</f>
        <v/>
      </c>
      <c r="D348">
        <f>C348*Plan!D6/100/12</f>
        <v/>
      </c>
      <c r="E348">
        <f>MIN(Plan!E6,C348+D348)</f>
        <v/>
      </c>
      <c r="F348">
        <f>C348+D348-E348</f>
        <v/>
      </c>
      <c r="G348">
        <f>MIN(F348,MAX(0,$B348-((K$5&lt;E$5)*L348+(Q$5&lt;E$5)*R348+(W$5&lt;E$5)*X348+(AC$5&lt;E$5)*AD348+(AI$5&lt;E$5)*AJ348+(AO$5&lt;E$5)*AP348+(AU$5&lt;E$5)*AV348)))</f>
        <v/>
      </c>
      <c r="H348">
        <f>IF(F348-G348&lt;0.005,0,F348-G348)</f>
        <v/>
      </c>
      <c r="I348">
        <f>N347</f>
        <v/>
      </c>
      <c r="J348">
        <f>I348*Plan!D7/100/12</f>
        <v/>
      </c>
      <c r="K348">
        <f>MIN(Plan!E7,I348+J348)</f>
        <v/>
      </c>
      <c r="L348">
        <f>I348+J348-K348</f>
        <v/>
      </c>
      <c r="M348">
        <f>MIN(L348,MAX(0,$B348-((E$5&lt;K$5)*F348+(Q$5&lt;K$5)*R348+(W$5&lt;K$5)*X348+(AC$5&lt;K$5)*AD348+(AI$5&lt;K$5)*AJ348+(AO$5&lt;K$5)*AP348+(AU$5&lt;K$5)*AV348)))</f>
        <v/>
      </c>
      <c r="N348">
        <f>IF(L348-M348&lt;0.005,0,L348-M348)</f>
        <v/>
      </c>
      <c r="O348">
        <f>T347</f>
        <v/>
      </c>
      <c r="P348">
        <f>O348*Plan!D8/100/12</f>
        <v/>
      </c>
      <c r="Q348">
        <f>MIN(Plan!E8,O348+P348)</f>
        <v/>
      </c>
      <c r="R348">
        <f>O348+P348-Q348</f>
        <v/>
      </c>
      <c r="S348">
        <f>MIN(R348,MAX(0,$B348-((E$5&lt;Q$5)*F348+(K$5&lt;Q$5)*L348+(W$5&lt;Q$5)*X348+(AC$5&lt;Q$5)*AD348+(AI$5&lt;Q$5)*AJ348+(AO$5&lt;Q$5)*AP348+(AU$5&lt;Q$5)*AV348)))</f>
        <v/>
      </c>
      <c r="T348">
        <f>IF(R348-S348&lt;0.005,0,R348-S348)</f>
        <v/>
      </c>
      <c r="U348">
        <f>Z347</f>
        <v/>
      </c>
      <c r="V348">
        <f>U348*Plan!D9/100/12</f>
        <v/>
      </c>
      <c r="W348">
        <f>MIN(Plan!E9,U348+V348)</f>
        <v/>
      </c>
      <c r="X348">
        <f>U348+V348-W348</f>
        <v/>
      </c>
      <c r="Y348">
        <f>MIN(X348,MAX(0,$B348-((E$5&lt;W$5)*F348+(K$5&lt;W$5)*L348+(Q$5&lt;W$5)*R348+(AC$5&lt;W$5)*AD348+(AI$5&lt;W$5)*AJ348+(AO$5&lt;W$5)*AP348+(AU$5&lt;W$5)*AV348)))</f>
        <v/>
      </c>
      <c r="Z348">
        <f>IF(X348-Y348&lt;0.005,0,X348-Y348)</f>
        <v/>
      </c>
      <c r="AA348">
        <f>AF347</f>
        <v/>
      </c>
      <c r="AB348">
        <f>AA348*Plan!D10/100/12</f>
        <v/>
      </c>
      <c r="AC348">
        <f>MIN(Plan!E10,AA348+AB348)</f>
        <v/>
      </c>
      <c r="AD348">
        <f>AA348+AB348-AC348</f>
        <v/>
      </c>
      <c r="AE348">
        <f>MIN(AD348,MAX(0,$B348-((E$5&lt;AC$5)*F348+(K$5&lt;AC$5)*L348+(Q$5&lt;AC$5)*R348+(W$5&lt;AC$5)*X348+(AI$5&lt;AC$5)*AJ348+(AO$5&lt;AC$5)*AP348+(AU$5&lt;AC$5)*AV348)))</f>
        <v/>
      </c>
      <c r="AF348">
        <f>IF(AD348-AE348&lt;0.005,0,AD348-AE348)</f>
        <v/>
      </c>
      <c r="AG348">
        <f>AL347</f>
        <v/>
      </c>
      <c r="AH348">
        <f>AG348*Plan!D11/100/12</f>
        <v/>
      </c>
      <c r="AI348">
        <f>MIN(Plan!E11,AG348+AH348)</f>
        <v/>
      </c>
      <c r="AJ348">
        <f>AG348+AH348-AI348</f>
        <v/>
      </c>
      <c r="AK348">
        <f>MIN(AJ348,MAX(0,$B348-((E$5&lt;AI$5)*F348+(K$5&lt;AI$5)*L348+(Q$5&lt;AI$5)*R348+(W$5&lt;AI$5)*X348+(AC$5&lt;AI$5)*AD348+(AO$5&lt;AI$5)*AP348+(AU$5&lt;AI$5)*AV348)))</f>
        <v/>
      </c>
      <c r="AL348">
        <f>IF(AJ348-AK348&lt;0.005,0,AJ348-AK348)</f>
        <v/>
      </c>
      <c r="AM348">
        <f>AR347</f>
        <v/>
      </c>
      <c r="AN348">
        <f>AM348*Plan!D12/100/12</f>
        <v/>
      </c>
      <c r="AO348">
        <f>MIN(Plan!E12,AM348+AN348)</f>
        <v/>
      </c>
      <c r="AP348">
        <f>AM348+AN348-AO348</f>
        <v/>
      </c>
      <c r="AQ348">
        <f>MIN(AP348,MAX(0,$B348-((E$5&lt;AO$5)*F348+(K$5&lt;AO$5)*L348+(Q$5&lt;AO$5)*R348+(W$5&lt;AO$5)*X348+(AC$5&lt;AO$5)*AD348+(AI$5&lt;AO$5)*AJ348+(AU$5&lt;AO$5)*AV348)))</f>
        <v/>
      </c>
      <c r="AR348">
        <f>IF(AP348-AQ348&lt;0.005,0,AP348-AQ348)</f>
        <v/>
      </c>
      <c r="AS348">
        <f>AX347</f>
        <v/>
      </c>
      <c r="AT348">
        <f>AS348*Plan!D13/100/12</f>
        <v/>
      </c>
      <c r="AU348">
        <f>MIN(Plan!E13,AS348+AT348)</f>
        <v/>
      </c>
      <c r="AV348">
        <f>AS348+AT348-AU348</f>
        <v/>
      </c>
      <c r="AW348">
        <f>MIN(AV348,MAX(0,$B348-((E$5&lt;AU$5)*F348+(K$5&lt;AU$5)*L348+(Q$5&lt;AU$5)*R348+(W$5&lt;AU$5)*X348+(AC$5&lt;AU$5)*AD348+(AI$5&lt;AU$5)*AJ348+(AO$5&lt;AU$5)*AP348)))</f>
        <v/>
      </c>
      <c r="AX348">
        <f>IF(AV348-AW348&lt;0.005,0,AV348-AW348)</f>
        <v/>
      </c>
      <c r="BC348">
        <f>H348+N348+T348+Z348+AF348+AL348+AR348+AX348</f>
        <v/>
      </c>
    </row>
    <row r="349">
      <c r="A349" t="n">
        <v>343</v>
      </c>
      <c r="B349" s="19">
        <f>MAX(0,$B$3-(E349+K349+Q349+W349+AC349+AI349+AO349+AU349))</f>
        <v/>
      </c>
      <c r="C349">
        <f>H348</f>
        <v/>
      </c>
      <c r="D349">
        <f>C349*Plan!D6/100/12</f>
        <v/>
      </c>
      <c r="E349">
        <f>MIN(Plan!E6,C349+D349)</f>
        <v/>
      </c>
      <c r="F349">
        <f>C349+D349-E349</f>
        <v/>
      </c>
      <c r="G349">
        <f>MIN(F349,MAX(0,$B349-((K$5&lt;E$5)*L349+(Q$5&lt;E$5)*R349+(W$5&lt;E$5)*X349+(AC$5&lt;E$5)*AD349+(AI$5&lt;E$5)*AJ349+(AO$5&lt;E$5)*AP349+(AU$5&lt;E$5)*AV349)))</f>
        <v/>
      </c>
      <c r="H349">
        <f>IF(F349-G349&lt;0.005,0,F349-G349)</f>
        <v/>
      </c>
      <c r="I349">
        <f>N348</f>
        <v/>
      </c>
      <c r="J349">
        <f>I349*Plan!D7/100/12</f>
        <v/>
      </c>
      <c r="K349">
        <f>MIN(Plan!E7,I349+J349)</f>
        <v/>
      </c>
      <c r="L349">
        <f>I349+J349-K349</f>
        <v/>
      </c>
      <c r="M349">
        <f>MIN(L349,MAX(0,$B349-((E$5&lt;K$5)*F349+(Q$5&lt;K$5)*R349+(W$5&lt;K$5)*X349+(AC$5&lt;K$5)*AD349+(AI$5&lt;K$5)*AJ349+(AO$5&lt;K$5)*AP349+(AU$5&lt;K$5)*AV349)))</f>
        <v/>
      </c>
      <c r="N349">
        <f>IF(L349-M349&lt;0.005,0,L349-M349)</f>
        <v/>
      </c>
      <c r="O349">
        <f>T348</f>
        <v/>
      </c>
      <c r="P349">
        <f>O349*Plan!D8/100/12</f>
        <v/>
      </c>
      <c r="Q349">
        <f>MIN(Plan!E8,O349+P349)</f>
        <v/>
      </c>
      <c r="R349">
        <f>O349+P349-Q349</f>
        <v/>
      </c>
      <c r="S349">
        <f>MIN(R349,MAX(0,$B349-((E$5&lt;Q$5)*F349+(K$5&lt;Q$5)*L349+(W$5&lt;Q$5)*X349+(AC$5&lt;Q$5)*AD349+(AI$5&lt;Q$5)*AJ349+(AO$5&lt;Q$5)*AP349+(AU$5&lt;Q$5)*AV349)))</f>
        <v/>
      </c>
      <c r="T349">
        <f>IF(R349-S349&lt;0.005,0,R349-S349)</f>
        <v/>
      </c>
      <c r="U349">
        <f>Z348</f>
        <v/>
      </c>
      <c r="V349">
        <f>U349*Plan!D9/100/12</f>
        <v/>
      </c>
      <c r="W349">
        <f>MIN(Plan!E9,U349+V349)</f>
        <v/>
      </c>
      <c r="X349">
        <f>U349+V349-W349</f>
        <v/>
      </c>
      <c r="Y349">
        <f>MIN(X349,MAX(0,$B349-((E$5&lt;W$5)*F349+(K$5&lt;W$5)*L349+(Q$5&lt;W$5)*R349+(AC$5&lt;W$5)*AD349+(AI$5&lt;W$5)*AJ349+(AO$5&lt;W$5)*AP349+(AU$5&lt;W$5)*AV349)))</f>
        <v/>
      </c>
      <c r="Z349">
        <f>IF(X349-Y349&lt;0.005,0,X349-Y349)</f>
        <v/>
      </c>
      <c r="AA349">
        <f>AF348</f>
        <v/>
      </c>
      <c r="AB349">
        <f>AA349*Plan!D10/100/12</f>
        <v/>
      </c>
      <c r="AC349">
        <f>MIN(Plan!E10,AA349+AB349)</f>
        <v/>
      </c>
      <c r="AD349">
        <f>AA349+AB349-AC349</f>
        <v/>
      </c>
      <c r="AE349">
        <f>MIN(AD349,MAX(0,$B349-((E$5&lt;AC$5)*F349+(K$5&lt;AC$5)*L349+(Q$5&lt;AC$5)*R349+(W$5&lt;AC$5)*X349+(AI$5&lt;AC$5)*AJ349+(AO$5&lt;AC$5)*AP349+(AU$5&lt;AC$5)*AV349)))</f>
        <v/>
      </c>
      <c r="AF349">
        <f>IF(AD349-AE349&lt;0.005,0,AD349-AE349)</f>
        <v/>
      </c>
      <c r="AG349">
        <f>AL348</f>
        <v/>
      </c>
      <c r="AH349">
        <f>AG349*Plan!D11/100/12</f>
        <v/>
      </c>
      <c r="AI349">
        <f>MIN(Plan!E11,AG349+AH349)</f>
        <v/>
      </c>
      <c r="AJ349">
        <f>AG349+AH349-AI349</f>
        <v/>
      </c>
      <c r="AK349">
        <f>MIN(AJ349,MAX(0,$B349-((E$5&lt;AI$5)*F349+(K$5&lt;AI$5)*L349+(Q$5&lt;AI$5)*R349+(W$5&lt;AI$5)*X349+(AC$5&lt;AI$5)*AD349+(AO$5&lt;AI$5)*AP349+(AU$5&lt;AI$5)*AV349)))</f>
        <v/>
      </c>
      <c r="AL349">
        <f>IF(AJ349-AK349&lt;0.005,0,AJ349-AK349)</f>
        <v/>
      </c>
      <c r="AM349">
        <f>AR348</f>
        <v/>
      </c>
      <c r="AN349">
        <f>AM349*Plan!D12/100/12</f>
        <v/>
      </c>
      <c r="AO349">
        <f>MIN(Plan!E12,AM349+AN349)</f>
        <v/>
      </c>
      <c r="AP349">
        <f>AM349+AN349-AO349</f>
        <v/>
      </c>
      <c r="AQ349">
        <f>MIN(AP349,MAX(0,$B349-((E$5&lt;AO$5)*F349+(K$5&lt;AO$5)*L349+(Q$5&lt;AO$5)*R349+(W$5&lt;AO$5)*X349+(AC$5&lt;AO$5)*AD349+(AI$5&lt;AO$5)*AJ349+(AU$5&lt;AO$5)*AV349)))</f>
        <v/>
      </c>
      <c r="AR349">
        <f>IF(AP349-AQ349&lt;0.005,0,AP349-AQ349)</f>
        <v/>
      </c>
      <c r="AS349">
        <f>AX348</f>
        <v/>
      </c>
      <c r="AT349">
        <f>AS349*Plan!D13/100/12</f>
        <v/>
      </c>
      <c r="AU349">
        <f>MIN(Plan!E13,AS349+AT349)</f>
        <v/>
      </c>
      <c r="AV349">
        <f>AS349+AT349-AU349</f>
        <v/>
      </c>
      <c r="AW349">
        <f>MIN(AV349,MAX(0,$B349-((E$5&lt;AU$5)*F349+(K$5&lt;AU$5)*L349+(Q$5&lt;AU$5)*R349+(W$5&lt;AU$5)*X349+(AC$5&lt;AU$5)*AD349+(AI$5&lt;AU$5)*AJ349+(AO$5&lt;AU$5)*AP349)))</f>
        <v/>
      </c>
      <c r="AX349">
        <f>IF(AV349-AW349&lt;0.005,0,AV349-AW349)</f>
        <v/>
      </c>
      <c r="BC349">
        <f>H349+N349+T349+Z349+AF349+AL349+AR349+AX349</f>
        <v/>
      </c>
    </row>
    <row r="350">
      <c r="A350" t="n">
        <v>344</v>
      </c>
      <c r="B350" s="19">
        <f>MAX(0,$B$3-(E350+K350+Q350+W350+AC350+AI350+AO350+AU350))</f>
        <v/>
      </c>
      <c r="C350">
        <f>H349</f>
        <v/>
      </c>
      <c r="D350">
        <f>C350*Plan!D6/100/12</f>
        <v/>
      </c>
      <c r="E350">
        <f>MIN(Plan!E6,C350+D350)</f>
        <v/>
      </c>
      <c r="F350">
        <f>C350+D350-E350</f>
        <v/>
      </c>
      <c r="G350">
        <f>MIN(F350,MAX(0,$B350-((K$5&lt;E$5)*L350+(Q$5&lt;E$5)*R350+(W$5&lt;E$5)*X350+(AC$5&lt;E$5)*AD350+(AI$5&lt;E$5)*AJ350+(AO$5&lt;E$5)*AP350+(AU$5&lt;E$5)*AV350)))</f>
        <v/>
      </c>
      <c r="H350">
        <f>IF(F350-G350&lt;0.005,0,F350-G350)</f>
        <v/>
      </c>
      <c r="I350">
        <f>N349</f>
        <v/>
      </c>
      <c r="J350">
        <f>I350*Plan!D7/100/12</f>
        <v/>
      </c>
      <c r="K350">
        <f>MIN(Plan!E7,I350+J350)</f>
        <v/>
      </c>
      <c r="L350">
        <f>I350+J350-K350</f>
        <v/>
      </c>
      <c r="M350">
        <f>MIN(L350,MAX(0,$B350-((E$5&lt;K$5)*F350+(Q$5&lt;K$5)*R350+(W$5&lt;K$5)*X350+(AC$5&lt;K$5)*AD350+(AI$5&lt;K$5)*AJ350+(AO$5&lt;K$5)*AP350+(AU$5&lt;K$5)*AV350)))</f>
        <v/>
      </c>
      <c r="N350">
        <f>IF(L350-M350&lt;0.005,0,L350-M350)</f>
        <v/>
      </c>
      <c r="O350">
        <f>T349</f>
        <v/>
      </c>
      <c r="P350">
        <f>O350*Plan!D8/100/12</f>
        <v/>
      </c>
      <c r="Q350">
        <f>MIN(Plan!E8,O350+P350)</f>
        <v/>
      </c>
      <c r="R350">
        <f>O350+P350-Q350</f>
        <v/>
      </c>
      <c r="S350">
        <f>MIN(R350,MAX(0,$B350-((E$5&lt;Q$5)*F350+(K$5&lt;Q$5)*L350+(W$5&lt;Q$5)*X350+(AC$5&lt;Q$5)*AD350+(AI$5&lt;Q$5)*AJ350+(AO$5&lt;Q$5)*AP350+(AU$5&lt;Q$5)*AV350)))</f>
        <v/>
      </c>
      <c r="T350">
        <f>IF(R350-S350&lt;0.005,0,R350-S350)</f>
        <v/>
      </c>
      <c r="U350">
        <f>Z349</f>
        <v/>
      </c>
      <c r="V350">
        <f>U350*Plan!D9/100/12</f>
        <v/>
      </c>
      <c r="W350">
        <f>MIN(Plan!E9,U350+V350)</f>
        <v/>
      </c>
      <c r="X350">
        <f>U350+V350-W350</f>
        <v/>
      </c>
      <c r="Y350">
        <f>MIN(X350,MAX(0,$B350-((E$5&lt;W$5)*F350+(K$5&lt;W$5)*L350+(Q$5&lt;W$5)*R350+(AC$5&lt;W$5)*AD350+(AI$5&lt;W$5)*AJ350+(AO$5&lt;W$5)*AP350+(AU$5&lt;W$5)*AV350)))</f>
        <v/>
      </c>
      <c r="Z350">
        <f>IF(X350-Y350&lt;0.005,0,X350-Y350)</f>
        <v/>
      </c>
      <c r="AA350">
        <f>AF349</f>
        <v/>
      </c>
      <c r="AB350">
        <f>AA350*Plan!D10/100/12</f>
        <v/>
      </c>
      <c r="AC350">
        <f>MIN(Plan!E10,AA350+AB350)</f>
        <v/>
      </c>
      <c r="AD350">
        <f>AA350+AB350-AC350</f>
        <v/>
      </c>
      <c r="AE350">
        <f>MIN(AD350,MAX(0,$B350-((E$5&lt;AC$5)*F350+(K$5&lt;AC$5)*L350+(Q$5&lt;AC$5)*R350+(W$5&lt;AC$5)*X350+(AI$5&lt;AC$5)*AJ350+(AO$5&lt;AC$5)*AP350+(AU$5&lt;AC$5)*AV350)))</f>
        <v/>
      </c>
      <c r="AF350">
        <f>IF(AD350-AE350&lt;0.005,0,AD350-AE350)</f>
        <v/>
      </c>
      <c r="AG350">
        <f>AL349</f>
        <v/>
      </c>
      <c r="AH350">
        <f>AG350*Plan!D11/100/12</f>
        <v/>
      </c>
      <c r="AI350">
        <f>MIN(Plan!E11,AG350+AH350)</f>
        <v/>
      </c>
      <c r="AJ350">
        <f>AG350+AH350-AI350</f>
        <v/>
      </c>
      <c r="AK350">
        <f>MIN(AJ350,MAX(0,$B350-((E$5&lt;AI$5)*F350+(K$5&lt;AI$5)*L350+(Q$5&lt;AI$5)*R350+(W$5&lt;AI$5)*X350+(AC$5&lt;AI$5)*AD350+(AO$5&lt;AI$5)*AP350+(AU$5&lt;AI$5)*AV350)))</f>
        <v/>
      </c>
      <c r="AL350">
        <f>IF(AJ350-AK350&lt;0.005,0,AJ350-AK350)</f>
        <v/>
      </c>
      <c r="AM350">
        <f>AR349</f>
        <v/>
      </c>
      <c r="AN350">
        <f>AM350*Plan!D12/100/12</f>
        <v/>
      </c>
      <c r="AO350">
        <f>MIN(Plan!E12,AM350+AN350)</f>
        <v/>
      </c>
      <c r="AP350">
        <f>AM350+AN350-AO350</f>
        <v/>
      </c>
      <c r="AQ350">
        <f>MIN(AP350,MAX(0,$B350-((E$5&lt;AO$5)*F350+(K$5&lt;AO$5)*L350+(Q$5&lt;AO$5)*R350+(W$5&lt;AO$5)*X350+(AC$5&lt;AO$5)*AD350+(AI$5&lt;AO$5)*AJ350+(AU$5&lt;AO$5)*AV350)))</f>
        <v/>
      </c>
      <c r="AR350">
        <f>IF(AP350-AQ350&lt;0.005,0,AP350-AQ350)</f>
        <v/>
      </c>
      <c r="AS350">
        <f>AX349</f>
        <v/>
      </c>
      <c r="AT350">
        <f>AS350*Plan!D13/100/12</f>
        <v/>
      </c>
      <c r="AU350">
        <f>MIN(Plan!E13,AS350+AT350)</f>
        <v/>
      </c>
      <c r="AV350">
        <f>AS350+AT350-AU350</f>
        <v/>
      </c>
      <c r="AW350">
        <f>MIN(AV350,MAX(0,$B350-((E$5&lt;AU$5)*F350+(K$5&lt;AU$5)*L350+(Q$5&lt;AU$5)*R350+(W$5&lt;AU$5)*X350+(AC$5&lt;AU$5)*AD350+(AI$5&lt;AU$5)*AJ350+(AO$5&lt;AU$5)*AP350)))</f>
        <v/>
      </c>
      <c r="AX350">
        <f>IF(AV350-AW350&lt;0.005,0,AV350-AW350)</f>
        <v/>
      </c>
      <c r="BC350">
        <f>H350+N350+T350+Z350+AF350+AL350+AR350+AX350</f>
        <v/>
      </c>
    </row>
    <row r="351">
      <c r="A351" t="n">
        <v>345</v>
      </c>
      <c r="B351" s="19">
        <f>MAX(0,$B$3-(E351+K351+Q351+W351+AC351+AI351+AO351+AU351))</f>
        <v/>
      </c>
      <c r="C351">
        <f>H350</f>
        <v/>
      </c>
      <c r="D351">
        <f>C351*Plan!D6/100/12</f>
        <v/>
      </c>
      <c r="E351">
        <f>MIN(Plan!E6,C351+D351)</f>
        <v/>
      </c>
      <c r="F351">
        <f>C351+D351-E351</f>
        <v/>
      </c>
      <c r="G351">
        <f>MIN(F351,MAX(0,$B351-((K$5&lt;E$5)*L351+(Q$5&lt;E$5)*R351+(W$5&lt;E$5)*X351+(AC$5&lt;E$5)*AD351+(AI$5&lt;E$5)*AJ351+(AO$5&lt;E$5)*AP351+(AU$5&lt;E$5)*AV351)))</f>
        <v/>
      </c>
      <c r="H351">
        <f>IF(F351-G351&lt;0.005,0,F351-G351)</f>
        <v/>
      </c>
      <c r="I351">
        <f>N350</f>
        <v/>
      </c>
      <c r="J351">
        <f>I351*Plan!D7/100/12</f>
        <v/>
      </c>
      <c r="K351">
        <f>MIN(Plan!E7,I351+J351)</f>
        <v/>
      </c>
      <c r="L351">
        <f>I351+J351-K351</f>
        <v/>
      </c>
      <c r="M351">
        <f>MIN(L351,MAX(0,$B351-((E$5&lt;K$5)*F351+(Q$5&lt;K$5)*R351+(W$5&lt;K$5)*X351+(AC$5&lt;K$5)*AD351+(AI$5&lt;K$5)*AJ351+(AO$5&lt;K$5)*AP351+(AU$5&lt;K$5)*AV351)))</f>
        <v/>
      </c>
      <c r="N351">
        <f>IF(L351-M351&lt;0.005,0,L351-M351)</f>
        <v/>
      </c>
      <c r="O351">
        <f>T350</f>
        <v/>
      </c>
      <c r="P351">
        <f>O351*Plan!D8/100/12</f>
        <v/>
      </c>
      <c r="Q351">
        <f>MIN(Plan!E8,O351+P351)</f>
        <v/>
      </c>
      <c r="R351">
        <f>O351+P351-Q351</f>
        <v/>
      </c>
      <c r="S351">
        <f>MIN(R351,MAX(0,$B351-((E$5&lt;Q$5)*F351+(K$5&lt;Q$5)*L351+(W$5&lt;Q$5)*X351+(AC$5&lt;Q$5)*AD351+(AI$5&lt;Q$5)*AJ351+(AO$5&lt;Q$5)*AP351+(AU$5&lt;Q$5)*AV351)))</f>
        <v/>
      </c>
      <c r="T351">
        <f>IF(R351-S351&lt;0.005,0,R351-S351)</f>
        <v/>
      </c>
      <c r="U351">
        <f>Z350</f>
        <v/>
      </c>
      <c r="V351">
        <f>U351*Plan!D9/100/12</f>
        <v/>
      </c>
      <c r="W351">
        <f>MIN(Plan!E9,U351+V351)</f>
        <v/>
      </c>
      <c r="X351">
        <f>U351+V351-W351</f>
        <v/>
      </c>
      <c r="Y351">
        <f>MIN(X351,MAX(0,$B351-((E$5&lt;W$5)*F351+(K$5&lt;W$5)*L351+(Q$5&lt;W$5)*R351+(AC$5&lt;W$5)*AD351+(AI$5&lt;W$5)*AJ351+(AO$5&lt;W$5)*AP351+(AU$5&lt;W$5)*AV351)))</f>
        <v/>
      </c>
      <c r="Z351">
        <f>IF(X351-Y351&lt;0.005,0,X351-Y351)</f>
        <v/>
      </c>
      <c r="AA351">
        <f>AF350</f>
        <v/>
      </c>
      <c r="AB351">
        <f>AA351*Plan!D10/100/12</f>
        <v/>
      </c>
      <c r="AC351">
        <f>MIN(Plan!E10,AA351+AB351)</f>
        <v/>
      </c>
      <c r="AD351">
        <f>AA351+AB351-AC351</f>
        <v/>
      </c>
      <c r="AE351">
        <f>MIN(AD351,MAX(0,$B351-((E$5&lt;AC$5)*F351+(K$5&lt;AC$5)*L351+(Q$5&lt;AC$5)*R351+(W$5&lt;AC$5)*X351+(AI$5&lt;AC$5)*AJ351+(AO$5&lt;AC$5)*AP351+(AU$5&lt;AC$5)*AV351)))</f>
        <v/>
      </c>
      <c r="AF351">
        <f>IF(AD351-AE351&lt;0.005,0,AD351-AE351)</f>
        <v/>
      </c>
      <c r="AG351">
        <f>AL350</f>
        <v/>
      </c>
      <c r="AH351">
        <f>AG351*Plan!D11/100/12</f>
        <v/>
      </c>
      <c r="AI351">
        <f>MIN(Plan!E11,AG351+AH351)</f>
        <v/>
      </c>
      <c r="AJ351">
        <f>AG351+AH351-AI351</f>
        <v/>
      </c>
      <c r="AK351">
        <f>MIN(AJ351,MAX(0,$B351-((E$5&lt;AI$5)*F351+(K$5&lt;AI$5)*L351+(Q$5&lt;AI$5)*R351+(W$5&lt;AI$5)*X351+(AC$5&lt;AI$5)*AD351+(AO$5&lt;AI$5)*AP351+(AU$5&lt;AI$5)*AV351)))</f>
        <v/>
      </c>
      <c r="AL351">
        <f>IF(AJ351-AK351&lt;0.005,0,AJ351-AK351)</f>
        <v/>
      </c>
      <c r="AM351">
        <f>AR350</f>
        <v/>
      </c>
      <c r="AN351">
        <f>AM351*Plan!D12/100/12</f>
        <v/>
      </c>
      <c r="AO351">
        <f>MIN(Plan!E12,AM351+AN351)</f>
        <v/>
      </c>
      <c r="AP351">
        <f>AM351+AN351-AO351</f>
        <v/>
      </c>
      <c r="AQ351">
        <f>MIN(AP351,MAX(0,$B351-((E$5&lt;AO$5)*F351+(K$5&lt;AO$5)*L351+(Q$5&lt;AO$5)*R351+(W$5&lt;AO$5)*X351+(AC$5&lt;AO$5)*AD351+(AI$5&lt;AO$5)*AJ351+(AU$5&lt;AO$5)*AV351)))</f>
        <v/>
      </c>
      <c r="AR351">
        <f>IF(AP351-AQ351&lt;0.005,0,AP351-AQ351)</f>
        <v/>
      </c>
      <c r="AS351">
        <f>AX350</f>
        <v/>
      </c>
      <c r="AT351">
        <f>AS351*Plan!D13/100/12</f>
        <v/>
      </c>
      <c r="AU351">
        <f>MIN(Plan!E13,AS351+AT351)</f>
        <v/>
      </c>
      <c r="AV351">
        <f>AS351+AT351-AU351</f>
        <v/>
      </c>
      <c r="AW351">
        <f>MIN(AV351,MAX(0,$B351-((E$5&lt;AU$5)*F351+(K$5&lt;AU$5)*L351+(Q$5&lt;AU$5)*R351+(W$5&lt;AU$5)*X351+(AC$5&lt;AU$5)*AD351+(AI$5&lt;AU$5)*AJ351+(AO$5&lt;AU$5)*AP351)))</f>
        <v/>
      </c>
      <c r="AX351">
        <f>IF(AV351-AW351&lt;0.005,0,AV351-AW351)</f>
        <v/>
      </c>
      <c r="BC351">
        <f>H351+N351+T351+Z351+AF351+AL351+AR351+AX351</f>
        <v/>
      </c>
    </row>
    <row r="352">
      <c r="A352" t="n">
        <v>346</v>
      </c>
      <c r="B352" s="19">
        <f>MAX(0,$B$3-(E352+K352+Q352+W352+AC352+AI352+AO352+AU352))</f>
        <v/>
      </c>
      <c r="C352">
        <f>H351</f>
        <v/>
      </c>
      <c r="D352">
        <f>C352*Plan!D6/100/12</f>
        <v/>
      </c>
      <c r="E352">
        <f>MIN(Plan!E6,C352+D352)</f>
        <v/>
      </c>
      <c r="F352">
        <f>C352+D352-E352</f>
        <v/>
      </c>
      <c r="G352">
        <f>MIN(F352,MAX(0,$B352-((K$5&lt;E$5)*L352+(Q$5&lt;E$5)*R352+(W$5&lt;E$5)*X352+(AC$5&lt;E$5)*AD352+(AI$5&lt;E$5)*AJ352+(AO$5&lt;E$5)*AP352+(AU$5&lt;E$5)*AV352)))</f>
        <v/>
      </c>
      <c r="H352">
        <f>IF(F352-G352&lt;0.005,0,F352-G352)</f>
        <v/>
      </c>
      <c r="I352">
        <f>N351</f>
        <v/>
      </c>
      <c r="J352">
        <f>I352*Plan!D7/100/12</f>
        <v/>
      </c>
      <c r="K352">
        <f>MIN(Plan!E7,I352+J352)</f>
        <v/>
      </c>
      <c r="L352">
        <f>I352+J352-K352</f>
        <v/>
      </c>
      <c r="M352">
        <f>MIN(L352,MAX(0,$B352-((E$5&lt;K$5)*F352+(Q$5&lt;K$5)*R352+(W$5&lt;K$5)*X352+(AC$5&lt;K$5)*AD352+(AI$5&lt;K$5)*AJ352+(AO$5&lt;K$5)*AP352+(AU$5&lt;K$5)*AV352)))</f>
        <v/>
      </c>
      <c r="N352">
        <f>IF(L352-M352&lt;0.005,0,L352-M352)</f>
        <v/>
      </c>
      <c r="O352">
        <f>T351</f>
        <v/>
      </c>
      <c r="P352">
        <f>O352*Plan!D8/100/12</f>
        <v/>
      </c>
      <c r="Q352">
        <f>MIN(Plan!E8,O352+P352)</f>
        <v/>
      </c>
      <c r="R352">
        <f>O352+P352-Q352</f>
        <v/>
      </c>
      <c r="S352">
        <f>MIN(R352,MAX(0,$B352-((E$5&lt;Q$5)*F352+(K$5&lt;Q$5)*L352+(W$5&lt;Q$5)*X352+(AC$5&lt;Q$5)*AD352+(AI$5&lt;Q$5)*AJ352+(AO$5&lt;Q$5)*AP352+(AU$5&lt;Q$5)*AV352)))</f>
        <v/>
      </c>
      <c r="T352">
        <f>IF(R352-S352&lt;0.005,0,R352-S352)</f>
        <v/>
      </c>
      <c r="U352">
        <f>Z351</f>
        <v/>
      </c>
      <c r="V352">
        <f>U352*Plan!D9/100/12</f>
        <v/>
      </c>
      <c r="W352">
        <f>MIN(Plan!E9,U352+V352)</f>
        <v/>
      </c>
      <c r="X352">
        <f>U352+V352-W352</f>
        <v/>
      </c>
      <c r="Y352">
        <f>MIN(X352,MAX(0,$B352-((E$5&lt;W$5)*F352+(K$5&lt;W$5)*L352+(Q$5&lt;W$5)*R352+(AC$5&lt;W$5)*AD352+(AI$5&lt;W$5)*AJ352+(AO$5&lt;W$5)*AP352+(AU$5&lt;W$5)*AV352)))</f>
        <v/>
      </c>
      <c r="Z352">
        <f>IF(X352-Y352&lt;0.005,0,X352-Y352)</f>
        <v/>
      </c>
      <c r="AA352">
        <f>AF351</f>
        <v/>
      </c>
      <c r="AB352">
        <f>AA352*Plan!D10/100/12</f>
        <v/>
      </c>
      <c r="AC352">
        <f>MIN(Plan!E10,AA352+AB352)</f>
        <v/>
      </c>
      <c r="AD352">
        <f>AA352+AB352-AC352</f>
        <v/>
      </c>
      <c r="AE352">
        <f>MIN(AD352,MAX(0,$B352-((E$5&lt;AC$5)*F352+(K$5&lt;AC$5)*L352+(Q$5&lt;AC$5)*R352+(W$5&lt;AC$5)*X352+(AI$5&lt;AC$5)*AJ352+(AO$5&lt;AC$5)*AP352+(AU$5&lt;AC$5)*AV352)))</f>
        <v/>
      </c>
      <c r="AF352">
        <f>IF(AD352-AE352&lt;0.005,0,AD352-AE352)</f>
        <v/>
      </c>
      <c r="AG352">
        <f>AL351</f>
        <v/>
      </c>
      <c r="AH352">
        <f>AG352*Plan!D11/100/12</f>
        <v/>
      </c>
      <c r="AI352">
        <f>MIN(Plan!E11,AG352+AH352)</f>
        <v/>
      </c>
      <c r="AJ352">
        <f>AG352+AH352-AI352</f>
        <v/>
      </c>
      <c r="AK352">
        <f>MIN(AJ352,MAX(0,$B352-((E$5&lt;AI$5)*F352+(K$5&lt;AI$5)*L352+(Q$5&lt;AI$5)*R352+(W$5&lt;AI$5)*X352+(AC$5&lt;AI$5)*AD352+(AO$5&lt;AI$5)*AP352+(AU$5&lt;AI$5)*AV352)))</f>
        <v/>
      </c>
      <c r="AL352">
        <f>IF(AJ352-AK352&lt;0.005,0,AJ352-AK352)</f>
        <v/>
      </c>
      <c r="AM352">
        <f>AR351</f>
        <v/>
      </c>
      <c r="AN352">
        <f>AM352*Plan!D12/100/12</f>
        <v/>
      </c>
      <c r="AO352">
        <f>MIN(Plan!E12,AM352+AN352)</f>
        <v/>
      </c>
      <c r="AP352">
        <f>AM352+AN352-AO352</f>
        <v/>
      </c>
      <c r="AQ352">
        <f>MIN(AP352,MAX(0,$B352-((E$5&lt;AO$5)*F352+(K$5&lt;AO$5)*L352+(Q$5&lt;AO$5)*R352+(W$5&lt;AO$5)*X352+(AC$5&lt;AO$5)*AD352+(AI$5&lt;AO$5)*AJ352+(AU$5&lt;AO$5)*AV352)))</f>
        <v/>
      </c>
      <c r="AR352">
        <f>IF(AP352-AQ352&lt;0.005,0,AP352-AQ352)</f>
        <v/>
      </c>
      <c r="AS352">
        <f>AX351</f>
        <v/>
      </c>
      <c r="AT352">
        <f>AS352*Plan!D13/100/12</f>
        <v/>
      </c>
      <c r="AU352">
        <f>MIN(Plan!E13,AS352+AT352)</f>
        <v/>
      </c>
      <c r="AV352">
        <f>AS352+AT352-AU352</f>
        <v/>
      </c>
      <c r="AW352">
        <f>MIN(AV352,MAX(0,$B352-((E$5&lt;AU$5)*F352+(K$5&lt;AU$5)*L352+(Q$5&lt;AU$5)*R352+(W$5&lt;AU$5)*X352+(AC$5&lt;AU$5)*AD352+(AI$5&lt;AU$5)*AJ352+(AO$5&lt;AU$5)*AP352)))</f>
        <v/>
      </c>
      <c r="AX352">
        <f>IF(AV352-AW352&lt;0.005,0,AV352-AW352)</f>
        <v/>
      </c>
      <c r="BC352">
        <f>H352+N352+T352+Z352+AF352+AL352+AR352+AX352</f>
        <v/>
      </c>
    </row>
    <row r="353">
      <c r="A353" t="n">
        <v>347</v>
      </c>
      <c r="B353" s="19">
        <f>MAX(0,$B$3-(E353+K353+Q353+W353+AC353+AI353+AO353+AU353))</f>
        <v/>
      </c>
      <c r="C353">
        <f>H352</f>
        <v/>
      </c>
      <c r="D353">
        <f>C353*Plan!D6/100/12</f>
        <v/>
      </c>
      <c r="E353">
        <f>MIN(Plan!E6,C353+D353)</f>
        <v/>
      </c>
      <c r="F353">
        <f>C353+D353-E353</f>
        <v/>
      </c>
      <c r="G353">
        <f>MIN(F353,MAX(0,$B353-((K$5&lt;E$5)*L353+(Q$5&lt;E$5)*R353+(W$5&lt;E$5)*X353+(AC$5&lt;E$5)*AD353+(AI$5&lt;E$5)*AJ353+(AO$5&lt;E$5)*AP353+(AU$5&lt;E$5)*AV353)))</f>
        <v/>
      </c>
      <c r="H353">
        <f>IF(F353-G353&lt;0.005,0,F353-G353)</f>
        <v/>
      </c>
      <c r="I353">
        <f>N352</f>
        <v/>
      </c>
      <c r="J353">
        <f>I353*Plan!D7/100/12</f>
        <v/>
      </c>
      <c r="K353">
        <f>MIN(Plan!E7,I353+J353)</f>
        <v/>
      </c>
      <c r="L353">
        <f>I353+J353-K353</f>
        <v/>
      </c>
      <c r="M353">
        <f>MIN(L353,MAX(0,$B353-((E$5&lt;K$5)*F353+(Q$5&lt;K$5)*R353+(W$5&lt;K$5)*X353+(AC$5&lt;K$5)*AD353+(AI$5&lt;K$5)*AJ353+(AO$5&lt;K$5)*AP353+(AU$5&lt;K$5)*AV353)))</f>
        <v/>
      </c>
      <c r="N353">
        <f>IF(L353-M353&lt;0.005,0,L353-M353)</f>
        <v/>
      </c>
      <c r="O353">
        <f>T352</f>
        <v/>
      </c>
      <c r="P353">
        <f>O353*Plan!D8/100/12</f>
        <v/>
      </c>
      <c r="Q353">
        <f>MIN(Plan!E8,O353+P353)</f>
        <v/>
      </c>
      <c r="R353">
        <f>O353+P353-Q353</f>
        <v/>
      </c>
      <c r="S353">
        <f>MIN(R353,MAX(0,$B353-((E$5&lt;Q$5)*F353+(K$5&lt;Q$5)*L353+(W$5&lt;Q$5)*X353+(AC$5&lt;Q$5)*AD353+(AI$5&lt;Q$5)*AJ353+(AO$5&lt;Q$5)*AP353+(AU$5&lt;Q$5)*AV353)))</f>
        <v/>
      </c>
      <c r="T353">
        <f>IF(R353-S353&lt;0.005,0,R353-S353)</f>
        <v/>
      </c>
      <c r="U353">
        <f>Z352</f>
        <v/>
      </c>
      <c r="V353">
        <f>U353*Plan!D9/100/12</f>
        <v/>
      </c>
      <c r="W353">
        <f>MIN(Plan!E9,U353+V353)</f>
        <v/>
      </c>
      <c r="X353">
        <f>U353+V353-W353</f>
        <v/>
      </c>
      <c r="Y353">
        <f>MIN(X353,MAX(0,$B353-((E$5&lt;W$5)*F353+(K$5&lt;W$5)*L353+(Q$5&lt;W$5)*R353+(AC$5&lt;W$5)*AD353+(AI$5&lt;W$5)*AJ353+(AO$5&lt;W$5)*AP353+(AU$5&lt;W$5)*AV353)))</f>
        <v/>
      </c>
      <c r="Z353">
        <f>IF(X353-Y353&lt;0.005,0,X353-Y353)</f>
        <v/>
      </c>
      <c r="AA353">
        <f>AF352</f>
        <v/>
      </c>
      <c r="AB353">
        <f>AA353*Plan!D10/100/12</f>
        <v/>
      </c>
      <c r="AC353">
        <f>MIN(Plan!E10,AA353+AB353)</f>
        <v/>
      </c>
      <c r="AD353">
        <f>AA353+AB353-AC353</f>
        <v/>
      </c>
      <c r="AE353">
        <f>MIN(AD353,MAX(0,$B353-((E$5&lt;AC$5)*F353+(K$5&lt;AC$5)*L353+(Q$5&lt;AC$5)*R353+(W$5&lt;AC$5)*X353+(AI$5&lt;AC$5)*AJ353+(AO$5&lt;AC$5)*AP353+(AU$5&lt;AC$5)*AV353)))</f>
        <v/>
      </c>
      <c r="AF353">
        <f>IF(AD353-AE353&lt;0.005,0,AD353-AE353)</f>
        <v/>
      </c>
      <c r="AG353">
        <f>AL352</f>
        <v/>
      </c>
      <c r="AH353">
        <f>AG353*Plan!D11/100/12</f>
        <v/>
      </c>
      <c r="AI353">
        <f>MIN(Plan!E11,AG353+AH353)</f>
        <v/>
      </c>
      <c r="AJ353">
        <f>AG353+AH353-AI353</f>
        <v/>
      </c>
      <c r="AK353">
        <f>MIN(AJ353,MAX(0,$B353-((E$5&lt;AI$5)*F353+(K$5&lt;AI$5)*L353+(Q$5&lt;AI$5)*R353+(W$5&lt;AI$5)*X353+(AC$5&lt;AI$5)*AD353+(AO$5&lt;AI$5)*AP353+(AU$5&lt;AI$5)*AV353)))</f>
        <v/>
      </c>
      <c r="AL353">
        <f>IF(AJ353-AK353&lt;0.005,0,AJ353-AK353)</f>
        <v/>
      </c>
      <c r="AM353">
        <f>AR352</f>
        <v/>
      </c>
      <c r="AN353">
        <f>AM353*Plan!D12/100/12</f>
        <v/>
      </c>
      <c r="AO353">
        <f>MIN(Plan!E12,AM353+AN353)</f>
        <v/>
      </c>
      <c r="AP353">
        <f>AM353+AN353-AO353</f>
        <v/>
      </c>
      <c r="AQ353">
        <f>MIN(AP353,MAX(0,$B353-((E$5&lt;AO$5)*F353+(K$5&lt;AO$5)*L353+(Q$5&lt;AO$5)*R353+(W$5&lt;AO$5)*X353+(AC$5&lt;AO$5)*AD353+(AI$5&lt;AO$5)*AJ353+(AU$5&lt;AO$5)*AV353)))</f>
        <v/>
      </c>
      <c r="AR353">
        <f>IF(AP353-AQ353&lt;0.005,0,AP353-AQ353)</f>
        <v/>
      </c>
      <c r="AS353">
        <f>AX352</f>
        <v/>
      </c>
      <c r="AT353">
        <f>AS353*Plan!D13/100/12</f>
        <v/>
      </c>
      <c r="AU353">
        <f>MIN(Plan!E13,AS353+AT353)</f>
        <v/>
      </c>
      <c r="AV353">
        <f>AS353+AT353-AU353</f>
        <v/>
      </c>
      <c r="AW353">
        <f>MIN(AV353,MAX(0,$B353-((E$5&lt;AU$5)*F353+(K$5&lt;AU$5)*L353+(Q$5&lt;AU$5)*R353+(W$5&lt;AU$5)*X353+(AC$5&lt;AU$5)*AD353+(AI$5&lt;AU$5)*AJ353+(AO$5&lt;AU$5)*AP353)))</f>
        <v/>
      </c>
      <c r="AX353">
        <f>IF(AV353-AW353&lt;0.005,0,AV353-AW353)</f>
        <v/>
      </c>
      <c r="BC353">
        <f>H353+N353+T353+Z353+AF353+AL353+AR353+AX353</f>
        <v/>
      </c>
    </row>
    <row r="354">
      <c r="A354" t="n">
        <v>348</v>
      </c>
      <c r="B354" s="19">
        <f>MAX(0,$B$3-(E354+K354+Q354+W354+AC354+AI354+AO354+AU354))</f>
        <v/>
      </c>
      <c r="C354">
        <f>H353</f>
        <v/>
      </c>
      <c r="D354">
        <f>C354*Plan!D6/100/12</f>
        <v/>
      </c>
      <c r="E354">
        <f>MIN(Plan!E6,C354+D354)</f>
        <v/>
      </c>
      <c r="F354">
        <f>C354+D354-E354</f>
        <v/>
      </c>
      <c r="G354">
        <f>MIN(F354,MAX(0,$B354-((K$5&lt;E$5)*L354+(Q$5&lt;E$5)*R354+(W$5&lt;E$5)*X354+(AC$5&lt;E$5)*AD354+(AI$5&lt;E$5)*AJ354+(AO$5&lt;E$5)*AP354+(AU$5&lt;E$5)*AV354)))</f>
        <v/>
      </c>
      <c r="H354">
        <f>IF(F354-G354&lt;0.005,0,F354-G354)</f>
        <v/>
      </c>
      <c r="I354">
        <f>N353</f>
        <v/>
      </c>
      <c r="J354">
        <f>I354*Plan!D7/100/12</f>
        <v/>
      </c>
      <c r="K354">
        <f>MIN(Plan!E7,I354+J354)</f>
        <v/>
      </c>
      <c r="L354">
        <f>I354+J354-K354</f>
        <v/>
      </c>
      <c r="M354">
        <f>MIN(L354,MAX(0,$B354-((E$5&lt;K$5)*F354+(Q$5&lt;K$5)*R354+(W$5&lt;K$5)*X354+(AC$5&lt;K$5)*AD354+(AI$5&lt;K$5)*AJ354+(AO$5&lt;K$5)*AP354+(AU$5&lt;K$5)*AV354)))</f>
        <v/>
      </c>
      <c r="N354">
        <f>IF(L354-M354&lt;0.005,0,L354-M354)</f>
        <v/>
      </c>
      <c r="O354">
        <f>T353</f>
        <v/>
      </c>
      <c r="P354">
        <f>O354*Plan!D8/100/12</f>
        <v/>
      </c>
      <c r="Q354">
        <f>MIN(Plan!E8,O354+P354)</f>
        <v/>
      </c>
      <c r="R354">
        <f>O354+P354-Q354</f>
        <v/>
      </c>
      <c r="S354">
        <f>MIN(R354,MAX(0,$B354-((E$5&lt;Q$5)*F354+(K$5&lt;Q$5)*L354+(W$5&lt;Q$5)*X354+(AC$5&lt;Q$5)*AD354+(AI$5&lt;Q$5)*AJ354+(AO$5&lt;Q$5)*AP354+(AU$5&lt;Q$5)*AV354)))</f>
        <v/>
      </c>
      <c r="T354">
        <f>IF(R354-S354&lt;0.005,0,R354-S354)</f>
        <v/>
      </c>
      <c r="U354">
        <f>Z353</f>
        <v/>
      </c>
      <c r="V354">
        <f>U354*Plan!D9/100/12</f>
        <v/>
      </c>
      <c r="W354">
        <f>MIN(Plan!E9,U354+V354)</f>
        <v/>
      </c>
      <c r="X354">
        <f>U354+V354-W354</f>
        <v/>
      </c>
      <c r="Y354">
        <f>MIN(X354,MAX(0,$B354-((E$5&lt;W$5)*F354+(K$5&lt;W$5)*L354+(Q$5&lt;W$5)*R354+(AC$5&lt;W$5)*AD354+(AI$5&lt;W$5)*AJ354+(AO$5&lt;W$5)*AP354+(AU$5&lt;W$5)*AV354)))</f>
        <v/>
      </c>
      <c r="Z354">
        <f>IF(X354-Y354&lt;0.005,0,X354-Y354)</f>
        <v/>
      </c>
      <c r="AA354">
        <f>AF353</f>
        <v/>
      </c>
      <c r="AB354">
        <f>AA354*Plan!D10/100/12</f>
        <v/>
      </c>
      <c r="AC354">
        <f>MIN(Plan!E10,AA354+AB354)</f>
        <v/>
      </c>
      <c r="AD354">
        <f>AA354+AB354-AC354</f>
        <v/>
      </c>
      <c r="AE354">
        <f>MIN(AD354,MAX(0,$B354-((E$5&lt;AC$5)*F354+(K$5&lt;AC$5)*L354+(Q$5&lt;AC$5)*R354+(W$5&lt;AC$5)*X354+(AI$5&lt;AC$5)*AJ354+(AO$5&lt;AC$5)*AP354+(AU$5&lt;AC$5)*AV354)))</f>
        <v/>
      </c>
      <c r="AF354">
        <f>IF(AD354-AE354&lt;0.005,0,AD354-AE354)</f>
        <v/>
      </c>
      <c r="AG354">
        <f>AL353</f>
        <v/>
      </c>
      <c r="AH354">
        <f>AG354*Plan!D11/100/12</f>
        <v/>
      </c>
      <c r="AI354">
        <f>MIN(Plan!E11,AG354+AH354)</f>
        <v/>
      </c>
      <c r="AJ354">
        <f>AG354+AH354-AI354</f>
        <v/>
      </c>
      <c r="AK354">
        <f>MIN(AJ354,MAX(0,$B354-((E$5&lt;AI$5)*F354+(K$5&lt;AI$5)*L354+(Q$5&lt;AI$5)*R354+(W$5&lt;AI$5)*X354+(AC$5&lt;AI$5)*AD354+(AO$5&lt;AI$5)*AP354+(AU$5&lt;AI$5)*AV354)))</f>
        <v/>
      </c>
      <c r="AL354">
        <f>IF(AJ354-AK354&lt;0.005,0,AJ354-AK354)</f>
        <v/>
      </c>
      <c r="AM354">
        <f>AR353</f>
        <v/>
      </c>
      <c r="AN354">
        <f>AM354*Plan!D12/100/12</f>
        <v/>
      </c>
      <c r="AO354">
        <f>MIN(Plan!E12,AM354+AN354)</f>
        <v/>
      </c>
      <c r="AP354">
        <f>AM354+AN354-AO354</f>
        <v/>
      </c>
      <c r="AQ354">
        <f>MIN(AP354,MAX(0,$B354-((E$5&lt;AO$5)*F354+(K$5&lt;AO$5)*L354+(Q$5&lt;AO$5)*R354+(W$5&lt;AO$5)*X354+(AC$5&lt;AO$5)*AD354+(AI$5&lt;AO$5)*AJ354+(AU$5&lt;AO$5)*AV354)))</f>
        <v/>
      </c>
      <c r="AR354">
        <f>IF(AP354-AQ354&lt;0.005,0,AP354-AQ354)</f>
        <v/>
      </c>
      <c r="AS354">
        <f>AX353</f>
        <v/>
      </c>
      <c r="AT354">
        <f>AS354*Plan!D13/100/12</f>
        <v/>
      </c>
      <c r="AU354">
        <f>MIN(Plan!E13,AS354+AT354)</f>
        <v/>
      </c>
      <c r="AV354">
        <f>AS354+AT354-AU354</f>
        <v/>
      </c>
      <c r="AW354">
        <f>MIN(AV354,MAX(0,$B354-((E$5&lt;AU$5)*F354+(K$5&lt;AU$5)*L354+(Q$5&lt;AU$5)*R354+(W$5&lt;AU$5)*X354+(AC$5&lt;AU$5)*AD354+(AI$5&lt;AU$5)*AJ354+(AO$5&lt;AU$5)*AP354)))</f>
        <v/>
      </c>
      <c r="AX354">
        <f>IF(AV354-AW354&lt;0.005,0,AV354-AW354)</f>
        <v/>
      </c>
      <c r="BC354">
        <f>H354+N354+T354+Z354+AF354+AL354+AR354+AX354</f>
        <v/>
      </c>
    </row>
    <row r="355">
      <c r="A355" t="n">
        <v>349</v>
      </c>
      <c r="B355" s="19">
        <f>MAX(0,$B$3-(E355+K355+Q355+W355+AC355+AI355+AO355+AU355))</f>
        <v/>
      </c>
      <c r="C355">
        <f>H354</f>
        <v/>
      </c>
      <c r="D355">
        <f>C355*Plan!D6/100/12</f>
        <v/>
      </c>
      <c r="E355">
        <f>MIN(Plan!E6,C355+D355)</f>
        <v/>
      </c>
      <c r="F355">
        <f>C355+D355-E355</f>
        <v/>
      </c>
      <c r="G355">
        <f>MIN(F355,MAX(0,$B355-((K$5&lt;E$5)*L355+(Q$5&lt;E$5)*R355+(W$5&lt;E$5)*X355+(AC$5&lt;E$5)*AD355+(AI$5&lt;E$5)*AJ355+(AO$5&lt;E$5)*AP355+(AU$5&lt;E$5)*AV355)))</f>
        <v/>
      </c>
      <c r="H355">
        <f>IF(F355-G355&lt;0.005,0,F355-G355)</f>
        <v/>
      </c>
      <c r="I355">
        <f>N354</f>
        <v/>
      </c>
      <c r="J355">
        <f>I355*Plan!D7/100/12</f>
        <v/>
      </c>
      <c r="K355">
        <f>MIN(Plan!E7,I355+J355)</f>
        <v/>
      </c>
      <c r="L355">
        <f>I355+J355-K355</f>
        <v/>
      </c>
      <c r="M355">
        <f>MIN(L355,MAX(0,$B355-((E$5&lt;K$5)*F355+(Q$5&lt;K$5)*R355+(W$5&lt;K$5)*X355+(AC$5&lt;K$5)*AD355+(AI$5&lt;K$5)*AJ355+(AO$5&lt;K$5)*AP355+(AU$5&lt;K$5)*AV355)))</f>
        <v/>
      </c>
      <c r="N355">
        <f>IF(L355-M355&lt;0.005,0,L355-M355)</f>
        <v/>
      </c>
      <c r="O355">
        <f>T354</f>
        <v/>
      </c>
      <c r="P355">
        <f>O355*Plan!D8/100/12</f>
        <v/>
      </c>
      <c r="Q355">
        <f>MIN(Plan!E8,O355+P355)</f>
        <v/>
      </c>
      <c r="R355">
        <f>O355+P355-Q355</f>
        <v/>
      </c>
      <c r="S355">
        <f>MIN(R355,MAX(0,$B355-((E$5&lt;Q$5)*F355+(K$5&lt;Q$5)*L355+(W$5&lt;Q$5)*X355+(AC$5&lt;Q$5)*AD355+(AI$5&lt;Q$5)*AJ355+(AO$5&lt;Q$5)*AP355+(AU$5&lt;Q$5)*AV355)))</f>
        <v/>
      </c>
      <c r="T355">
        <f>IF(R355-S355&lt;0.005,0,R355-S355)</f>
        <v/>
      </c>
      <c r="U355">
        <f>Z354</f>
        <v/>
      </c>
      <c r="V355">
        <f>U355*Plan!D9/100/12</f>
        <v/>
      </c>
      <c r="W355">
        <f>MIN(Plan!E9,U355+V355)</f>
        <v/>
      </c>
      <c r="X355">
        <f>U355+V355-W355</f>
        <v/>
      </c>
      <c r="Y355">
        <f>MIN(X355,MAX(0,$B355-((E$5&lt;W$5)*F355+(K$5&lt;W$5)*L355+(Q$5&lt;W$5)*R355+(AC$5&lt;W$5)*AD355+(AI$5&lt;W$5)*AJ355+(AO$5&lt;W$5)*AP355+(AU$5&lt;W$5)*AV355)))</f>
        <v/>
      </c>
      <c r="Z355">
        <f>IF(X355-Y355&lt;0.005,0,X355-Y355)</f>
        <v/>
      </c>
      <c r="AA355">
        <f>AF354</f>
        <v/>
      </c>
      <c r="AB355">
        <f>AA355*Plan!D10/100/12</f>
        <v/>
      </c>
      <c r="AC355">
        <f>MIN(Plan!E10,AA355+AB355)</f>
        <v/>
      </c>
      <c r="AD355">
        <f>AA355+AB355-AC355</f>
        <v/>
      </c>
      <c r="AE355">
        <f>MIN(AD355,MAX(0,$B355-((E$5&lt;AC$5)*F355+(K$5&lt;AC$5)*L355+(Q$5&lt;AC$5)*R355+(W$5&lt;AC$5)*X355+(AI$5&lt;AC$5)*AJ355+(AO$5&lt;AC$5)*AP355+(AU$5&lt;AC$5)*AV355)))</f>
        <v/>
      </c>
      <c r="AF355">
        <f>IF(AD355-AE355&lt;0.005,0,AD355-AE355)</f>
        <v/>
      </c>
      <c r="AG355">
        <f>AL354</f>
        <v/>
      </c>
      <c r="AH355">
        <f>AG355*Plan!D11/100/12</f>
        <v/>
      </c>
      <c r="AI355">
        <f>MIN(Plan!E11,AG355+AH355)</f>
        <v/>
      </c>
      <c r="AJ355">
        <f>AG355+AH355-AI355</f>
        <v/>
      </c>
      <c r="AK355">
        <f>MIN(AJ355,MAX(0,$B355-((E$5&lt;AI$5)*F355+(K$5&lt;AI$5)*L355+(Q$5&lt;AI$5)*R355+(W$5&lt;AI$5)*X355+(AC$5&lt;AI$5)*AD355+(AO$5&lt;AI$5)*AP355+(AU$5&lt;AI$5)*AV355)))</f>
        <v/>
      </c>
      <c r="AL355">
        <f>IF(AJ355-AK355&lt;0.005,0,AJ355-AK355)</f>
        <v/>
      </c>
      <c r="AM355">
        <f>AR354</f>
        <v/>
      </c>
      <c r="AN355">
        <f>AM355*Plan!D12/100/12</f>
        <v/>
      </c>
      <c r="AO355">
        <f>MIN(Plan!E12,AM355+AN355)</f>
        <v/>
      </c>
      <c r="AP355">
        <f>AM355+AN355-AO355</f>
        <v/>
      </c>
      <c r="AQ355">
        <f>MIN(AP355,MAX(0,$B355-((E$5&lt;AO$5)*F355+(K$5&lt;AO$5)*L355+(Q$5&lt;AO$5)*R355+(W$5&lt;AO$5)*X355+(AC$5&lt;AO$5)*AD355+(AI$5&lt;AO$5)*AJ355+(AU$5&lt;AO$5)*AV355)))</f>
        <v/>
      </c>
      <c r="AR355">
        <f>IF(AP355-AQ355&lt;0.005,0,AP355-AQ355)</f>
        <v/>
      </c>
      <c r="AS355">
        <f>AX354</f>
        <v/>
      </c>
      <c r="AT355">
        <f>AS355*Plan!D13/100/12</f>
        <v/>
      </c>
      <c r="AU355">
        <f>MIN(Plan!E13,AS355+AT355)</f>
        <v/>
      </c>
      <c r="AV355">
        <f>AS355+AT355-AU355</f>
        <v/>
      </c>
      <c r="AW355">
        <f>MIN(AV355,MAX(0,$B355-((E$5&lt;AU$5)*F355+(K$5&lt;AU$5)*L355+(Q$5&lt;AU$5)*R355+(W$5&lt;AU$5)*X355+(AC$5&lt;AU$5)*AD355+(AI$5&lt;AU$5)*AJ355+(AO$5&lt;AU$5)*AP355)))</f>
        <v/>
      </c>
      <c r="AX355">
        <f>IF(AV355-AW355&lt;0.005,0,AV355-AW355)</f>
        <v/>
      </c>
      <c r="BC355">
        <f>H355+N355+T355+Z355+AF355+AL355+AR355+AX355</f>
        <v/>
      </c>
    </row>
    <row r="356">
      <c r="A356" t="n">
        <v>350</v>
      </c>
      <c r="B356" s="19">
        <f>MAX(0,$B$3-(E356+K356+Q356+W356+AC356+AI356+AO356+AU356))</f>
        <v/>
      </c>
      <c r="C356">
        <f>H355</f>
        <v/>
      </c>
      <c r="D356">
        <f>C356*Plan!D6/100/12</f>
        <v/>
      </c>
      <c r="E356">
        <f>MIN(Plan!E6,C356+D356)</f>
        <v/>
      </c>
      <c r="F356">
        <f>C356+D356-E356</f>
        <v/>
      </c>
      <c r="G356">
        <f>MIN(F356,MAX(0,$B356-((K$5&lt;E$5)*L356+(Q$5&lt;E$5)*R356+(W$5&lt;E$5)*X356+(AC$5&lt;E$5)*AD356+(AI$5&lt;E$5)*AJ356+(AO$5&lt;E$5)*AP356+(AU$5&lt;E$5)*AV356)))</f>
        <v/>
      </c>
      <c r="H356">
        <f>IF(F356-G356&lt;0.005,0,F356-G356)</f>
        <v/>
      </c>
      <c r="I356">
        <f>N355</f>
        <v/>
      </c>
      <c r="J356">
        <f>I356*Plan!D7/100/12</f>
        <v/>
      </c>
      <c r="K356">
        <f>MIN(Plan!E7,I356+J356)</f>
        <v/>
      </c>
      <c r="L356">
        <f>I356+J356-K356</f>
        <v/>
      </c>
      <c r="M356">
        <f>MIN(L356,MAX(0,$B356-((E$5&lt;K$5)*F356+(Q$5&lt;K$5)*R356+(W$5&lt;K$5)*X356+(AC$5&lt;K$5)*AD356+(AI$5&lt;K$5)*AJ356+(AO$5&lt;K$5)*AP356+(AU$5&lt;K$5)*AV356)))</f>
        <v/>
      </c>
      <c r="N356">
        <f>IF(L356-M356&lt;0.005,0,L356-M356)</f>
        <v/>
      </c>
      <c r="O356">
        <f>T355</f>
        <v/>
      </c>
      <c r="P356">
        <f>O356*Plan!D8/100/12</f>
        <v/>
      </c>
      <c r="Q356">
        <f>MIN(Plan!E8,O356+P356)</f>
        <v/>
      </c>
      <c r="R356">
        <f>O356+P356-Q356</f>
        <v/>
      </c>
      <c r="S356">
        <f>MIN(R356,MAX(0,$B356-((E$5&lt;Q$5)*F356+(K$5&lt;Q$5)*L356+(W$5&lt;Q$5)*X356+(AC$5&lt;Q$5)*AD356+(AI$5&lt;Q$5)*AJ356+(AO$5&lt;Q$5)*AP356+(AU$5&lt;Q$5)*AV356)))</f>
        <v/>
      </c>
      <c r="T356">
        <f>IF(R356-S356&lt;0.005,0,R356-S356)</f>
        <v/>
      </c>
      <c r="U356">
        <f>Z355</f>
        <v/>
      </c>
      <c r="V356">
        <f>U356*Plan!D9/100/12</f>
        <v/>
      </c>
      <c r="W356">
        <f>MIN(Plan!E9,U356+V356)</f>
        <v/>
      </c>
      <c r="X356">
        <f>U356+V356-W356</f>
        <v/>
      </c>
      <c r="Y356">
        <f>MIN(X356,MAX(0,$B356-((E$5&lt;W$5)*F356+(K$5&lt;W$5)*L356+(Q$5&lt;W$5)*R356+(AC$5&lt;W$5)*AD356+(AI$5&lt;W$5)*AJ356+(AO$5&lt;W$5)*AP356+(AU$5&lt;W$5)*AV356)))</f>
        <v/>
      </c>
      <c r="Z356">
        <f>IF(X356-Y356&lt;0.005,0,X356-Y356)</f>
        <v/>
      </c>
      <c r="AA356">
        <f>AF355</f>
        <v/>
      </c>
      <c r="AB356">
        <f>AA356*Plan!D10/100/12</f>
        <v/>
      </c>
      <c r="AC356">
        <f>MIN(Plan!E10,AA356+AB356)</f>
        <v/>
      </c>
      <c r="AD356">
        <f>AA356+AB356-AC356</f>
        <v/>
      </c>
      <c r="AE356">
        <f>MIN(AD356,MAX(0,$B356-((E$5&lt;AC$5)*F356+(K$5&lt;AC$5)*L356+(Q$5&lt;AC$5)*R356+(W$5&lt;AC$5)*X356+(AI$5&lt;AC$5)*AJ356+(AO$5&lt;AC$5)*AP356+(AU$5&lt;AC$5)*AV356)))</f>
        <v/>
      </c>
      <c r="AF356">
        <f>IF(AD356-AE356&lt;0.005,0,AD356-AE356)</f>
        <v/>
      </c>
      <c r="AG356">
        <f>AL355</f>
        <v/>
      </c>
      <c r="AH356">
        <f>AG356*Plan!D11/100/12</f>
        <v/>
      </c>
      <c r="AI356">
        <f>MIN(Plan!E11,AG356+AH356)</f>
        <v/>
      </c>
      <c r="AJ356">
        <f>AG356+AH356-AI356</f>
        <v/>
      </c>
      <c r="AK356">
        <f>MIN(AJ356,MAX(0,$B356-((E$5&lt;AI$5)*F356+(K$5&lt;AI$5)*L356+(Q$5&lt;AI$5)*R356+(W$5&lt;AI$5)*X356+(AC$5&lt;AI$5)*AD356+(AO$5&lt;AI$5)*AP356+(AU$5&lt;AI$5)*AV356)))</f>
        <v/>
      </c>
      <c r="AL356">
        <f>IF(AJ356-AK356&lt;0.005,0,AJ356-AK356)</f>
        <v/>
      </c>
      <c r="AM356">
        <f>AR355</f>
        <v/>
      </c>
      <c r="AN356">
        <f>AM356*Plan!D12/100/12</f>
        <v/>
      </c>
      <c r="AO356">
        <f>MIN(Plan!E12,AM356+AN356)</f>
        <v/>
      </c>
      <c r="AP356">
        <f>AM356+AN356-AO356</f>
        <v/>
      </c>
      <c r="AQ356">
        <f>MIN(AP356,MAX(0,$B356-((E$5&lt;AO$5)*F356+(K$5&lt;AO$5)*L356+(Q$5&lt;AO$5)*R356+(W$5&lt;AO$5)*X356+(AC$5&lt;AO$5)*AD356+(AI$5&lt;AO$5)*AJ356+(AU$5&lt;AO$5)*AV356)))</f>
        <v/>
      </c>
      <c r="AR356">
        <f>IF(AP356-AQ356&lt;0.005,0,AP356-AQ356)</f>
        <v/>
      </c>
      <c r="AS356">
        <f>AX355</f>
        <v/>
      </c>
      <c r="AT356">
        <f>AS356*Plan!D13/100/12</f>
        <v/>
      </c>
      <c r="AU356">
        <f>MIN(Plan!E13,AS356+AT356)</f>
        <v/>
      </c>
      <c r="AV356">
        <f>AS356+AT356-AU356</f>
        <v/>
      </c>
      <c r="AW356">
        <f>MIN(AV356,MAX(0,$B356-((E$5&lt;AU$5)*F356+(K$5&lt;AU$5)*L356+(Q$5&lt;AU$5)*R356+(W$5&lt;AU$5)*X356+(AC$5&lt;AU$5)*AD356+(AI$5&lt;AU$5)*AJ356+(AO$5&lt;AU$5)*AP356)))</f>
        <v/>
      </c>
      <c r="AX356">
        <f>IF(AV356-AW356&lt;0.005,0,AV356-AW356)</f>
        <v/>
      </c>
      <c r="BC356">
        <f>H356+N356+T356+Z356+AF356+AL356+AR356+AX356</f>
        <v/>
      </c>
    </row>
    <row r="357">
      <c r="A357" t="n">
        <v>351</v>
      </c>
      <c r="B357" s="19">
        <f>MAX(0,$B$3-(E357+K357+Q357+W357+AC357+AI357+AO357+AU357))</f>
        <v/>
      </c>
      <c r="C357">
        <f>H356</f>
        <v/>
      </c>
      <c r="D357">
        <f>C357*Plan!D6/100/12</f>
        <v/>
      </c>
      <c r="E357">
        <f>MIN(Plan!E6,C357+D357)</f>
        <v/>
      </c>
      <c r="F357">
        <f>C357+D357-E357</f>
        <v/>
      </c>
      <c r="G357">
        <f>MIN(F357,MAX(0,$B357-((K$5&lt;E$5)*L357+(Q$5&lt;E$5)*R357+(W$5&lt;E$5)*X357+(AC$5&lt;E$5)*AD357+(AI$5&lt;E$5)*AJ357+(AO$5&lt;E$5)*AP357+(AU$5&lt;E$5)*AV357)))</f>
        <v/>
      </c>
      <c r="H357">
        <f>IF(F357-G357&lt;0.005,0,F357-G357)</f>
        <v/>
      </c>
      <c r="I357">
        <f>N356</f>
        <v/>
      </c>
      <c r="J357">
        <f>I357*Plan!D7/100/12</f>
        <v/>
      </c>
      <c r="K357">
        <f>MIN(Plan!E7,I357+J357)</f>
        <v/>
      </c>
      <c r="L357">
        <f>I357+J357-K357</f>
        <v/>
      </c>
      <c r="M357">
        <f>MIN(L357,MAX(0,$B357-((E$5&lt;K$5)*F357+(Q$5&lt;K$5)*R357+(W$5&lt;K$5)*X357+(AC$5&lt;K$5)*AD357+(AI$5&lt;K$5)*AJ357+(AO$5&lt;K$5)*AP357+(AU$5&lt;K$5)*AV357)))</f>
        <v/>
      </c>
      <c r="N357">
        <f>IF(L357-M357&lt;0.005,0,L357-M357)</f>
        <v/>
      </c>
      <c r="O357">
        <f>T356</f>
        <v/>
      </c>
      <c r="P357">
        <f>O357*Plan!D8/100/12</f>
        <v/>
      </c>
      <c r="Q357">
        <f>MIN(Plan!E8,O357+P357)</f>
        <v/>
      </c>
      <c r="R357">
        <f>O357+P357-Q357</f>
        <v/>
      </c>
      <c r="S357">
        <f>MIN(R357,MAX(0,$B357-((E$5&lt;Q$5)*F357+(K$5&lt;Q$5)*L357+(W$5&lt;Q$5)*X357+(AC$5&lt;Q$5)*AD357+(AI$5&lt;Q$5)*AJ357+(AO$5&lt;Q$5)*AP357+(AU$5&lt;Q$5)*AV357)))</f>
        <v/>
      </c>
      <c r="T357">
        <f>IF(R357-S357&lt;0.005,0,R357-S357)</f>
        <v/>
      </c>
      <c r="U357">
        <f>Z356</f>
        <v/>
      </c>
      <c r="V357">
        <f>U357*Plan!D9/100/12</f>
        <v/>
      </c>
      <c r="W357">
        <f>MIN(Plan!E9,U357+V357)</f>
        <v/>
      </c>
      <c r="X357">
        <f>U357+V357-W357</f>
        <v/>
      </c>
      <c r="Y357">
        <f>MIN(X357,MAX(0,$B357-((E$5&lt;W$5)*F357+(K$5&lt;W$5)*L357+(Q$5&lt;W$5)*R357+(AC$5&lt;W$5)*AD357+(AI$5&lt;W$5)*AJ357+(AO$5&lt;W$5)*AP357+(AU$5&lt;W$5)*AV357)))</f>
        <v/>
      </c>
      <c r="Z357">
        <f>IF(X357-Y357&lt;0.005,0,X357-Y357)</f>
        <v/>
      </c>
      <c r="AA357">
        <f>AF356</f>
        <v/>
      </c>
      <c r="AB357">
        <f>AA357*Plan!D10/100/12</f>
        <v/>
      </c>
      <c r="AC357">
        <f>MIN(Plan!E10,AA357+AB357)</f>
        <v/>
      </c>
      <c r="AD357">
        <f>AA357+AB357-AC357</f>
        <v/>
      </c>
      <c r="AE357">
        <f>MIN(AD357,MAX(0,$B357-((E$5&lt;AC$5)*F357+(K$5&lt;AC$5)*L357+(Q$5&lt;AC$5)*R357+(W$5&lt;AC$5)*X357+(AI$5&lt;AC$5)*AJ357+(AO$5&lt;AC$5)*AP357+(AU$5&lt;AC$5)*AV357)))</f>
        <v/>
      </c>
      <c r="AF357">
        <f>IF(AD357-AE357&lt;0.005,0,AD357-AE357)</f>
        <v/>
      </c>
      <c r="AG357">
        <f>AL356</f>
        <v/>
      </c>
      <c r="AH357">
        <f>AG357*Plan!D11/100/12</f>
        <v/>
      </c>
      <c r="AI357">
        <f>MIN(Plan!E11,AG357+AH357)</f>
        <v/>
      </c>
      <c r="AJ357">
        <f>AG357+AH357-AI357</f>
        <v/>
      </c>
      <c r="AK357">
        <f>MIN(AJ357,MAX(0,$B357-((E$5&lt;AI$5)*F357+(K$5&lt;AI$5)*L357+(Q$5&lt;AI$5)*R357+(W$5&lt;AI$5)*X357+(AC$5&lt;AI$5)*AD357+(AO$5&lt;AI$5)*AP357+(AU$5&lt;AI$5)*AV357)))</f>
        <v/>
      </c>
      <c r="AL357">
        <f>IF(AJ357-AK357&lt;0.005,0,AJ357-AK357)</f>
        <v/>
      </c>
      <c r="AM357">
        <f>AR356</f>
        <v/>
      </c>
      <c r="AN357">
        <f>AM357*Plan!D12/100/12</f>
        <v/>
      </c>
      <c r="AO357">
        <f>MIN(Plan!E12,AM357+AN357)</f>
        <v/>
      </c>
      <c r="AP357">
        <f>AM357+AN357-AO357</f>
        <v/>
      </c>
      <c r="AQ357">
        <f>MIN(AP357,MAX(0,$B357-((E$5&lt;AO$5)*F357+(K$5&lt;AO$5)*L357+(Q$5&lt;AO$5)*R357+(W$5&lt;AO$5)*X357+(AC$5&lt;AO$5)*AD357+(AI$5&lt;AO$5)*AJ357+(AU$5&lt;AO$5)*AV357)))</f>
        <v/>
      </c>
      <c r="AR357">
        <f>IF(AP357-AQ357&lt;0.005,0,AP357-AQ357)</f>
        <v/>
      </c>
      <c r="AS357">
        <f>AX356</f>
        <v/>
      </c>
      <c r="AT357">
        <f>AS357*Plan!D13/100/12</f>
        <v/>
      </c>
      <c r="AU357">
        <f>MIN(Plan!E13,AS357+AT357)</f>
        <v/>
      </c>
      <c r="AV357">
        <f>AS357+AT357-AU357</f>
        <v/>
      </c>
      <c r="AW357">
        <f>MIN(AV357,MAX(0,$B357-((E$5&lt;AU$5)*F357+(K$5&lt;AU$5)*L357+(Q$5&lt;AU$5)*R357+(W$5&lt;AU$5)*X357+(AC$5&lt;AU$5)*AD357+(AI$5&lt;AU$5)*AJ357+(AO$5&lt;AU$5)*AP357)))</f>
        <v/>
      </c>
      <c r="AX357">
        <f>IF(AV357-AW357&lt;0.005,0,AV357-AW357)</f>
        <v/>
      </c>
      <c r="BC357">
        <f>H357+N357+T357+Z357+AF357+AL357+AR357+AX357</f>
        <v/>
      </c>
    </row>
    <row r="358">
      <c r="A358" t="n">
        <v>352</v>
      </c>
      <c r="B358" s="19">
        <f>MAX(0,$B$3-(E358+K358+Q358+W358+AC358+AI358+AO358+AU358))</f>
        <v/>
      </c>
      <c r="C358">
        <f>H357</f>
        <v/>
      </c>
      <c r="D358">
        <f>C358*Plan!D6/100/12</f>
        <v/>
      </c>
      <c r="E358">
        <f>MIN(Plan!E6,C358+D358)</f>
        <v/>
      </c>
      <c r="F358">
        <f>C358+D358-E358</f>
        <v/>
      </c>
      <c r="G358">
        <f>MIN(F358,MAX(0,$B358-((K$5&lt;E$5)*L358+(Q$5&lt;E$5)*R358+(W$5&lt;E$5)*X358+(AC$5&lt;E$5)*AD358+(AI$5&lt;E$5)*AJ358+(AO$5&lt;E$5)*AP358+(AU$5&lt;E$5)*AV358)))</f>
        <v/>
      </c>
      <c r="H358">
        <f>IF(F358-G358&lt;0.005,0,F358-G358)</f>
        <v/>
      </c>
      <c r="I358">
        <f>N357</f>
        <v/>
      </c>
      <c r="J358">
        <f>I358*Plan!D7/100/12</f>
        <v/>
      </c>
      <c r="K358">
        <f>MIN(Plan!E7,I358+J358)</f>
        <v/>
      </c>
      <c r="L358">
        <f>I358+J358-K358</f>
        <v/>
      </c>
      <c r="M358">
        <f>MIN(L358,MAX(0,$B358-((E$5&lt;K$5)*F358+(Q$5&lt;K$5)*R358+(W$5&lt;K$5)*X358+(AC$5&lt;K$5)*AD358+(AI$5&lt;K$5)*AJ358+(AO$5&lt;K$5)*AP358+(AU$5&lt;K$5)*AV358)))</f>
        <v/>
      </c>
      <c r="N358">
        <f>IF(L358-M358&lt;0.005,0,L358-M358)</f>
        <v/>
      </c>
      <c r="O358">
        <f>T357</f>
        <v/>
      </c>
      <c r="P358">
        <f>O358*Plan!D8/100/12</f>
        <v/>
      </c>
      <c r="Q358">
        <f>MIN(Plan!E8,O358+P358)</f>
        <v/>
      </c>
      <c r="R358">
        <f>O358+P358-Q358</f>
        <v/>
      </c>
      <c r="S358">
        <f>MIN(R358,MAX(0,$B358-((E$5&lt;Q$5)*F358+(K$5&lt;Q$5)*L358+(W$5&lt;Q$5)*X358+(AC$5&lt;Q$5)*AD358+(AI$5&lt;Q$5)*AJ358+(AO$5&lt;Q$5)*AP358+(AU$5&lt;Q$5)*AV358)))</f>
        <v/>
      </c>
      <c r="T358">
        <f>IF(R358-S358&lt;0.005,0,R358-S358)</f>
        <v/>
      </c>
      <c r="U358">
        <f>Z357</f>
        <v/>
      </c>
      <c r="V358">
        <f>U358*Plan!D9/100/12</f>
        <v/>
      </c>
      <c r="W358">
        <f>MIN(Plan!E9,U358+V358)</f>
        <v/>
      </c>
      <c r="X358">
        <f>U358+V358-W358</f>
        <v/>
      </c>
      <c r="Y358">
        <f>MIN(X358,MAX(0,$B358-((E$5&lt;W$5)*F358+(K$5&lt;W$5)*L358+(Q$5&lt;W$5)*R358+(AC$5&lt;W$5)*AD358+(AI$5&lt;W$5)*AJ358+(AO$5&lt;W$5)*AP358+(AU$5&lt;W$5)*AV358)))</f>
        <v/>
      </c>
      <c r="Z358">
        <f>IF(X358-Y358&lt;0.005,0,X358-Y358)</f>
        <v/>
      </c>
      <c r="AA358">
        <f>AF357</f>
        <v/>
      </c>
      <c r="AB358">
        <f>AA358*Plan!D10/100/12</f>
        <v/>
      </c>
      <c r="AC358">
        <f>MIN(Plan!E10,AA358+AB358)</f>
        <v/>
      </c>
      <c r="AD358">
        <f>AA358+AB358-AC358</f>
        <v/>
      </c>
      <c r="AE358">
        <f>MIN(AD358,MAX(0,$B358-((E$5&lt;AC$5)*F358+(K$5&lt;AC$5)*L358+(Q$5&lt;AC$5)*R358+(W$5&lt;AC$5)*X358+(AI$5&lt;AC$5)*AJ358+(AO$5&lt;AC$5)*AP358+(AU$5&lt;AC$5)*AV358)))</f>
        <v/>
      </c>
      <c r="AF358">
        <f>IF(AD358-AE358&lt;0.005,0,AD358-AE358)</f>
        <v/>
      </c>
      <c r="AG358">
        <f>AL357</f>
        <v/>
      </c>
      <c r="AH358">
        <f>AG358*Plan!D11/100/12</f>
        <v/>
      </c>
      <c r="AI358">
        <f>MIN(Plan!E11,AG358+AH358)</f>
        <v/>
      </c>
      <c r="AJ358">
        <f>AG358+AH358-AI358</f>
        <v/>
      </c>
      <c r="AK358">
        <f>MIN(AJ358,MAX(0,$B358-((E$5&lt;AI$5)*F358+(K$5&lt;AI$5)*L358+(Q$5&lt;AI$5)*R358+(W$5&lt;AI$5)*X358+(AC$5&lt;AI$5)*AD358+(AO$5&lt;AI$5)*AP358+(AU$5&lt;AI$5)*AV358)))</f>
        <v/>
      </c>
      <c r="AL358">
        <f>IF(AJ358-AK358&lt;0.005,0,AJ358-AK358)</f>
        <v/>
      </c>
      <c r="AM358">
        <f>AR357</f>
        <v/>
      </c>
      <c r="AN358">
        <f>AM358*Plan!D12/100/12</f>
        <v/>
      </c>
      <c r="AO358">
        <f>MIN(Plan!E12,AM358+AN358)</f>
        <v/>
      </c>
      <c r="AP358">
        <f>AM358+AN358-AO358</f>
        <v/>
      </c>
      <c r="AQ358">
        <f>MIN(AP358,MAX(0,$B358-((E$5&lt;AO$5)*F358+(K$5&lt;AO$5)*L358+(Q$5&lt;AO$5)*R358+(W$5&lt;AO$5)*X358+(AC$5&lt;AO$5)*AD358+(AI$5&lt;AO$5)*AJ358+(AU$5&lt;AO$5)*AV358)))</f>
        <v/>
      </c>
      <c r="AR358">
        <f>IF(AP358-AQ358&lt;0.005,0,AP358-AQ358)</f>
        <v/>
      </c>
      <c r="AS358">
        <f>AX357</f>
        <v/>
      </c>
      <c r="AT358">
        <f>AS358*Plan!D13/100/12</f>
        <v/>
      </c>
      <c r="AU358">
        <f>MIN(Plan!E13,AS358+AT358)</f>
        <v/>
      </c>
      <c r="AV358">
        <f>AS358+AT358-AU358</f>
        <v/>
      </c>
      <c r="AW358">
        <f>MIN(AV358,MAX(0,$B358-((E$5&lt;AU$5)*F358+(K$5&lt;AU$5)*L358+(Q$5&lt;AU$5)*R358+(W$5&lt;AU$5)*X358+(AC$5&lt;AU$5)*AD358+(AI$5&lt;AU$5)*AJ358+(AO$5&lt;AU$5)*AP358)))</f>
        <v/>
      </c>
      <c r="AX358">
        <f>IF(AV358-AW358&lt;0.005,0,AV358-AW358)</f>
        <v/>
      </c>
      <c r="BC358">
        <f>H358+N358+T358+Z358+AF358+AL358+AR358+AX358</f>
        <v/>
      </c>
    </row>
    <row r="359">
      <c r="A359" t="n">
        <v>353</v>
      </c>
      <c r="B359" s="19">
        <f>MAX(0,$B$3-(E359+K359+Q359+W359+AC359+AI359+AO359+AU359))</f>
        <v/>
      </c>
      <c r="C359">
        <f>H358</f>
        <v/>
      </c>
      <c r="D359">
        <f>C359*Plan!D6/100/12</f>
        <v/>
      </c>
      <c r="E359">
        <f>MIN(Plan!E6,C359+D359)</f>
        <v/>
      </c>
      <c r="F359">
        <f>C359+D359-E359</f>
        <v/>
      </c>
      <c r="G359">
        <f>MIN(F359,MAX(0,$B359-((K$5&lt;E$5)*L359+(Q$5&lt;E$5)*R359+(W$5&lt;E$5)*X359+(AC$5&lt;E$5)*AD359+(AI$5&lt;E$5)*AJ359+(AO$5&lt;E$5)*AP359+(AU$5&lt;E$5)*AV359)))</f>
        <v/>
      </c>
      <c r="H359">
        <f>IF(F359-G359&lt;0.005,0,F359-G359)</f>
        <v/>
      </c>
      <c r="I359">
        <f>N358</f>
        <v/>
      </c>
      <c r="J359">
        <f>I359*Plan!D7/100/12</f>
        <v/>
      </c>
      <c r="K359">
        <f>MIN(Plan!E7,I359+J359)</f>
        <v/>
      </c>
      <c r="L359">
        <f>I359+J359-K359</f>
        <v/>
      </c>
      <c r="M359">
        <f>MIN(L359,MAX(0,$B359-((E$5&lt;K$5)*F359+(Q$5&lt;K$5)*R359+(W$5&lt;K$5)*X359+(AC$5&lt;K$5)*AD359+(AI$5&lt;K$5)*AJ359+(AO$5&lt;K$5)*AP359+(AU$5&lt;K$5)*AV359)))</f>
        <v/>
      </c>
      <c r="N359">
        <f>IF(L359-M359&lt;0.005,0,L359-M359)</f>
        <v/>
      </c>
      <c r="O359">
        <f>T358</f>
        <v/>
      </c>
      <c r="P359">
        <f>O359*Plan!D8/100/12</f>
        <v/>
      </c>
      <c r="Q359">
        <f>MIN(Plan!E8,O359+P359)</f>
        <v/>
      </c>
      <c r="R359">
        <f>O359+P359-Q359</f>
        <v/>
      </c>
      <c r="S359">
        <f>MIN(R359,MAX(0,$B359-((E$5&lt;Q$5)*F359+(K$5&lt;Q$5)*L359+(W$5&lt;Q$5)*X359+(AC$5&lt;Q$5)*AD359+(AI$5&lt;Q$5)*AJ359+(AO$5&lt;Q$5)*AP359+(AU$5&lt;Q$5)*AV359)))</f>
        <v/>
      </c>
      <c r="T359">
        <f>IF(R359-S359&lt;0.005,0,R359-S359)</f>
        <v/>
      </c>
      <c r="U359">
        <f>Z358</f>
        <v/>
      </c>
      <c r="V359">
        <f>U359*Plan!D9/100/12</f>
        <v/>
      </c>
      <c r="W359">
        <f>MIN(Plan!E9,U359+V359)</f>
        <v/>
      </c>
      <c r="X359">
        <f>U359+V359-W359</f>
        <v/>
      </c>
      <c r="Y359">
        <f>MIN(X359,MAX(0,$B359-((E$5&lt;W$5)*F359+(K$5&lt;W$5)*L359+(Q$5&lt;W$5)*R359+(AC$5&lt;W$5)*AD359+(AI$5&lt;W$5)*AJ359+(AO$5&lt;W$5)*AP359+(AU$5&lt;W$5)*AV359)))</f>
        <v/>
      </c>
      <c r="Z359">
        <f>IF(X359-Y359&lt;0.005,0,X359-Y359)</f>
        <v/>
      </c>
      <c r="AA359">
        <f>AF358</f>
        <v/>
      </c>
      <c r="AB359">
        <f>AA359*Plan!D10/100/12</f>
        <v/>
      </c>
      <c r="AC359">
        <f>MIN(Plan!E10,AA359+AB359)</f>
        <v/>
      </c>
      <c r="AD359">
        <f>AA359+AB359-AC359</f>
        <v/>
      </c>
      <c r="AE359">
        <f>MIN(AD359,MAX(0,$B359-((E$5&lt;AC$5)*F359+(K$5&lt;AC$5)*L359+(Q$5&lt;AC$5)*R359+(W$5&lt;AC$5)*X359+(AI$5&lt;AC$5)*AJ359+(AO$5&lt;AC$5)*AP359+(AU$5&lt;AC$5)*AV359)))</f>
        <v/>
      </c>
      <c r="AF359">
        <f>IF(AD359-AE359&lt;0.005,0,AD359-AE359)</f>
        <v/>
      </c>
      <c r="AG359">
        <f>AL358</f>
        <v/>
      </c>
      <c r="AH359">
        <f>AG359*Plan!D11/100/12</f>
        <v/>
      </c>
      <c r="AI359">
        <f>MIN(Plan!E11,AG359+AH359)</f>
        <v/>
      </c>
      <c r="AJ359">
        <f>AG359+AH359-AI359</f>
        <v/>
      </c>
      <c r="AK359">
        <f>MIN(AJ359,MAX(0,$B359-((E$5&lt;AI$5)*F359+(K$5&lt;AI$5)*L359+(Q$5&lt;AI$5)*R359+(W$5&lt;AI$5)*X359+(AC$5&lt;AI$5)*AD359+(AO$5&lt;AI$5)*AP359+(AU$5&lt;AI$5)*AV359)))</f>
        <v/>
      </c>
      <c r="AL359">
        <f>IF(AJ359-AK359&lt;0.005,0,AJ359-AK359)</f>
        <v/>
      </c>
      <c r="AM359">
        <f>AR358</f>
        <v/>
      </c>
      <c r="AN359">
        <f>AM359*Plan!D12/100/12</f>
        <v/>
      </c>
      <c r="AO359">
        <f>MIN(Plan!E12,AM359+AN359)</f>
        <v/>
      </c>
      <c r="AP359">
        <f>AM359+AN359-AO359</f>
        <v/>
      </c>
      <c r="AQ359">
        <f>MIN(AP359,MAX(0,$B359-((E$5&lt;AO$5)*F359+(K$5&lt;AO$5)*L359+(Q$5&lt;AO$5)*R359+(W$5&lt;AO$5)*X359+(AC$5&lt;AO$5)*AD359+(AI$5&lt;AO$5)*AJ359+(AU$5&lt;AO$5)*AV359)))</f>
        <v/>
      </c>
      <c r="AR359">
        <f>IF(AP359-AQ359&lt;0.005,0,AP359-AQ359)</f>
        <v/>
      </c>
      <c r="AS359">
        <f>AX358</f>
        <v/>
      </c>
      <c r="AT359">
        <f>AS359*Plan!D13/100/12</f>
        <v/>
      </c>
      <c r="AU359">
        <f>MIN(Plan!E13,AS359+AT359)</f>
        <v/>
      </c>
      <c r="AV359">
        <f>AS359+AT359-AU359</f>
        <v/>
      </c>
      <c r="AW359">
        <f>MIN(AV359,MAX(0,$B359-((E$5&lt;AU$5)*F359+(K$5&lt;AU$5)*L359+(Q$5&lt;AU$5)*R359+(W$5&lt;AU$5)*X359+(AC$5&lt;AU$5)*AD359+(AI$5&lt;AU$5)*AJ359+(AO$5&lt;AU$5)*AP359)))</f>
        <v/>
      </c>
      <c r="AX359">
        <f>IF(AV359-AW359&lt;0.005,0,AV359-AW359)</f>
        <v/>
      </c>
      <c r="BC359">
        <f>H359+N359+T359+Z359+AF359+AL359+AR359+AX359</f>
        <v/>
      </c>
    </row>
    <row r="360">
      <c r="A360" t="n">
        <v>354</v>
      </c>
      <c r="B360" s="19">
        <f>MAX(0,$B$3-(E360+K360+Q360+W360+AC360+AI360+AO360+AU360))</f>
        <v/>
      </c>
      <c r="C360">
        <f>H359</f>
        <v/>
      </c>
      <c r="D360">
        <f>C360*Plan!D6/100/12</f>
        <v/>
      </c>
      <c r="E360">
        <f>MIN(Plan!E6,C360+D360)</f>
        <v/>
      </c>
      <c r="F360">
        <f>C360+D360-E360</f>
        <v/>
      </c>
      <c r="G360">
        <f>MIN(F360,MAX(0,$B360-((K$5&lt;E$5)*L360+(Q$5&lt;E$5)*R360+(W$5&lt;E$5)*X360+(AC$5&lt;E$5)*AD360+(AI$5&lt;E$5)*AJ360+(AO$5&lt;E$5)*AP360+(AU$5&lt;E$5)*AV360)))</f>
        <v/>
      </c>
      <c r="H360">
        <f>IF(F360-G360&lt;0.005,0,F360-G360)</f>
        <v/>
      </c>
      <c r="I360">
        <f>N359</f>
        <v/>
      </c>
      <c r="J360">
        <f>I360*Plan!D7/100/12</f>
        <v/>
      </c>
      <c r="K360">
        <f>MIN(Plan!E7,I360+J360)</f>
        <v/>
      </c>
      <c r="L360">
        <f>I360+J360-K360</f>
        <v/>
      </c>
      <c r="M360">
        <f>MIN(L360,MAX(0,$B360-((E$5&lt;K$5)*F360+(Q$5&lt;K$5)*R360+(W$5&lt;K$5)*X360+(AC$5&lt;K$5)*AD360+(AI$5&lt;K$5)*AJ360+(AO$5&lt;K$5)*AP360+(AU$5&lt;K$5)*AV360)))</f>
        <v/>
      </c>
      <c r="N360">
        <f>IF(L360-M360&lt;0.005,0,L360-M360)</f>
        <v/>
      </c>
      <c r="O360">
        <f>T359</f>
        <v/>
      </c>
      <c r="P360">
        <f>O360*Plan!D8/100/12</f>
        <v/>
      </c>
      <c r="Q360">
        <f>MIN(Plan!E8,O360+P360)</f>
        <v/>
      </c>
      <c r="R360">
        <f>O360+P360-Q360</f>
        <v/>
      </c>
      <c r="S360">
        <f>MIN(R360,MAX(0,$B360-((E$5&lt;Q$5)*F360+(K$5&lt;Q$5)*L360+(W$5&lt;Q$5)*X360+(AC$5&lt;Q$5)*AD360+(AI$5&lt;Q$5)*AJ360+(AO$5&lt;Q$5)*AP360+(AU$5&lt;Q$5)*AV360)))</f>
        <v/>
      </c>
      <c r="T360">
        <f>IF(R360-S360&lt;0.005,0,R360-S360)</f>
        <v/>
      </c>
      <c r="U360">
        <f>Z359</f>
        <v/>
      </c>
      <c r="V360">
        <f>U360*Plan!D9/100/12</f>
        <v/>
      </c>
      <c r="W360">
        <f>MIN(Plan!E9,U360+V360)</f>
        <v/>
      </c>
      <c r="X360">
        <f>U360+V360-W360</f>
        <v/>
      </c>
      <c r="Y360">
        <f>MIN(X360,MAX(0,$B360-((E$5&lt;W$5)*F360+(K$5&lt;W$5)*L360+(Q$5&lt;W$5)*R360+(AC$5&lt;W$5)*AD360+(AI$5&lt;W$5)*AJ360+(AO$5&lt;W$5)*AP360+(AU$5&lt;W$5)*AV360)))</f>
        <v/>
      </c>
      <c r="Z360">
        <f>IF(X360-Y360&lt;0.005,0,X360-Y360)</f>
        <v/>
      </c>
      <c r="AA360">
        <f>AF359</f>
        <v/>
      </c>
      <c r="AB360">
        <f>AA360*Plan!D10/100/12</f>
        <v/>
      </c>
      <c r="AC360">
        <f>MIN(Plan!E10,AA360+AB360)</f>
        <v/>
      </c>
      <c r="AD360">
        <f>AA360+AB360-AC360</f>
        <v/>
      </c>
      <c r="AE360">
        <f>MIN(AD360,MAX(0,$B360-((E$5&lt;AC$5)*F360+(K$5&lt;AC$5)*L360+(Q$5&lt;AC$5)*R360+(W$5&lt;AC$5)*X360+(AI$5&lt;AC$5)*AJ360+(AO$5&lt;AC$5)*AP360+(AU$5&lt;AC$5)*AV360)))</f>
        <v/>
      </c>
      <c r="AF360">
        <f>IF(AD360-AE360&lt;0.005,0,AD360-AE360)</f>
        <v/>
      </c>
      <c r="AG360">
        <f>AL359</f>
        <v/>
      </c>
      <c r="AH360">
        <f>AG360*Plan!D11/100/12</f>
        <v/>
      </c>
      <c r="AI360">
        <f>MIN(Plan!E11,AG360+AH360)</f>
        <v/>
      </c>
      <c r="AJ360">
        <f>AG360+AH360-AI360</f>
        <v/>
      </c>
      <c r="AK360">
        <f>MIN(AJ360,MAX(0,$B360-((E$5&lt;AI$5)*F360+(K$5&lt;AI$5)*L360+(Q$5&lt;AI$5)*R360+(W$5&lt;AI$5)*X360+(AC$5&lt;AI$5)*AD360+(AO$5&lt;AI$5)*AP360+(AU$5&lt;AI$5)*AV360)))</f>
        <v/>
      </c>
      <c r="AL360">
        <f>IF(AJ360-AK360&lt;0.005,0,AJ360-AK360)</f>
        <v/>
      </c>
      <c r="AM360">
        <f>AR359</f>
        <v/>
      </c>
      <c r="AN360">
        <f>AM360*Plan!D12/100/12</f>
        <v/>
      </c>
      <c r="AO360">
        <f>MIN(Plan!E12,AM360+AN360)</f>
        <v/>
      </c>
      <c r="AP360">
        <f>AM360+AN360-AO360</f>
        <v/>
      </c>
      <c r="AQ360">
        <f>MIN(AP360,MAX(0,$B360-((E$5&lt;AO$5)*F360+(K$5&lt;AO$5)*L360+(Q$5&lt;AO$5)*R360+(W$5&lt;AO$5)*X360+(AC$5&lt;AO$5)*AD360+(AI$5&lt;AO$5)*AJ360+(AU$5&lt;AO$5)*AV360)))</f>
        <v/>
      </c>
      <c r="AR360">
        <f>IF(AP360-AQ360&lt;0.005,0,AP360-AQ360)</f>
        <v/>
      </c>
      <c r="AS360">
        <f>AX359</f>
        <v/>
      </c>
      <c r="AT360">
        <f>AS360*Plan!D13/100/12</f>
        <v/>
      </c>
      <c r="AU360">
        <f>MIN(Plan!E13,AS360+AT360)</f>
        <v/>
      </c>
      <c r="AV360">
        <f>AS360+AT360-AU360</f>
        <v/>
      </c>
      <c r="AW360">
        <f>MIN(AV360,MAX(0,$B360-((E$5&lt;AU$5)*F360+(K$5&lt;AU$5)*L360+(Q$5&lt;AU$5)*R360+(W$5&lt;AU$5)*X360+(AC$5&lt;AU$5)*AD360+(AI$5&lt;AU$5)*AJ360+(AO$5&lt;AU$5)*AP360)))</f>
        <v/>
      </c>
      <c r="AX360">
        <f>IF(AV360-AW360&lt;0.005,0,AV360-AW360)</f>
        <v/>
      </c>
      <c r="BC360">
        <f>H360+N360+T360+Z360+AF360+AL360+AR360+AX360</f>
        <v/>
      </c>
    </row>
    <row r="361">
      <c r="A361" t="n">
        <v>355</v>
      </c>
      <c r="B361" s="19">
        <f>MAX(0,$B$3-(E361+K361+Q361+W361+AC361+AI361+AO361+AU361))</f>
        <v/>
      </c>
      <c r="C361">
        <f>H360</f>
        <v/>
      </c>
      <c r="D361">
        <f>C361*Plan!D6/100/12</f>
        <v/>
      </c>
      <c r="E361">
        <f>MIN(Plan!E6,C361+D361)</f>
        <v/>
      </c>
      <c r="F361">
        <f>C361+D361-E361</f>
        <v/>
      </c>
      <c r="G361">
        <f>MIN(F361,MAX(0,$B361-((K$5&lt;E$5)*L361+(Q$5&lt;E$5)*R361+(W$5&lt;E$5)*X361+(AC$5&lt;E$5)*AD361+(AI$5&lt;E$5)*AJ361+(AO$5&lt;E$5)*AP361+(AU$5&lt;E$5)*AV361)))</f>
        <v/>
      </c>
      <c r="H361">
        <f>IF(F361-G361&lt;0.005,0,F361-G361)</f>
        <v/>
      </c>
      <c r="I361">
        <f>N360</f>
        <v/>
      </c>
      <c r="J361">
        <f>I361*Plan!D7/100/12</f>
        <v/>
      </c>
      <c r="K361">
        <f>MIN(Plan!E7,I361+J361)</f>
        <v/>
      </c>
      <c r="L361">
        <f>I361+J361-K361</f>
        <v/>
      </c>
      <c r="M361">
        <f>MIN(L361,MAX(0,$B361-((E$5&lt;K$5)*F361+(Q$5&lt;K$5)*R361+(W$5&lt;K$5)*X361+(AC$5&lt;K$5)*AD361+(AI$5&lt;K$5)*AJ361+(AO$5&lt;K$5)*AP361+(AU$5&lt;K$5)*AV361)))</f>
        <v/>
      </c>
      <c r="N361">
        <f>IF(L361-M361&lt;0.005,0,L361-M361)</f>
        <v/>
      </c>
      <c r="O361">
        <f>T360</f>
        <v/>
      </c>
      <c r="P361">
        <f>O361*Plan!D8/100/12</f>
        <v/>
      </c>
      <c r="Q361">
        <f>MIN(Plan!E8,O361+P361)</f>
        <v/>
      </c>
      <c r="R361">
        <f>O361+P361-Q361</f>
        <v/>
      </c>
      <c r="S361">
        <f>MIN(R361,MAX(0,$B361-((E$5&lt;Q$5)*F361+(K$5&lt;Q$5)*L361+(W$5&lt;Q$5)*X361+(AC$5&lt;Q$5)*AD361+(AI$5&lt;Q$5)*AJ361+(AO$5&lt;Q$5)*AP361+(AU$5&lt;Q$5)*AV361)))</f>
        <v/>
      </c>
      <c r="T361">
        <f>IF(R361-S361&lt;0.005,0,R361-S361)</f>
        <v/>
      </c>
      <c r="U361">
        <f>Z360</f>
        <v/>
      </c>
      <c r="V361">
        <f>U361*Plan!D9/100/12</f>
        <v/>
      </c>
      <c r="W361">
        <f>MIN(Plan!E9,U361+V361)</f>
        <v/>
      </c>
      <c r="X361">
        <f>U361+V361-W361</f>
        <v/>
      </c>
      <c r="Y361">
        <f>MIN(X361,MAX(0,$B361-((E$5&lt;W$5)*F361+(K$5&lt;W$5)*L361+(Q$5&lt;W$5)*R361+(AC$5&lt;W$5)*AD361+(AI$5&lt;W$5)*AJ361+(AO$5&lt;W$5)*AP361+(AU$5&lt;W$5)*AV361)))</f>
        <v/>
      </c>
      <c r="Z361">
        <f>IF(X361-Y361&lt;0.005,0,X361-Y361)</f>
        <v/>
      </c>
      <c r="AA361">
        <f>AF360</f>
        <v/>
      </c>
      <c r="AB361">
        <f>AA361*Plan!D10/100/12</f>
        <v/>
      </c>
      <c r="AC361">
        <f>MIN(Plan!E10,AA361+AB361)</f>
        <v/>
      </c>
      <c r="AD361">
        <f>AA361+AB361-AC361</f>
        <v/>
      </c>
      <c r="AE361">
        <f>MIN(AD361,MAX(0,$B361-((E$5&lt;AC$5)*F361+(K$5&lt;AC$5)*L361+(Q$5&lt;AC$5)*R361+(W$5&lt;AC$5)*X361+(AI$5&lt;AC$5)*AJ361+(AO$5&lt;AC$5)*AP361+(AU$5&lt;AC$5)*AV361)))</f>
        <v/>
      </c>
      <c r="AF361">
        <f>IF(AD361-AE361&lt;0.005,0,AD361-AE361)</f>
        <v/>
      </c>
      <c r="AG361">
        <f>AL360</f>
        <v/>
      </c>
      <c r="AH361">
        <f>AG361*Plan!D11/100/12</f>
        <v/>
      </c>
      <c r="AI361">
        <f>MIN(Plan!E11,AG361+AH361)</f>
        <v/>
      </c>
      <c r="AJ361">
        <f>AG361+AH361-AI361</f>
        <v/>
      </c>
      <c r="AK361">
        <f>MIN(AJ361,MAX(0,$B361-((E$5&lt;AI$5)*F361+(K$5&lt;AI$5)*L361+(Q$5&lt;AI$5)*R361+(W$5&lt;AI$5)*X361+(AC$5&lt;AI$5)*AD361+(AO$5&lt;AI$5)*AP361+(AU$5&lt;AI$5)*AV361)))</f>
        <v/>
      </c>
      <c r="AL361">
        <f>IF(AJ361-AK361&lt;0.005,0,AJ361-AK361)</f>
        <v/>
      </c>
      <c r="AM361">
        <f>AR360</f>
        <v/>
      </c>
      <c r="AN361">
        <f>AM361*Plan!D12/100/12</f>
        <v/>
      </c>
      <c r="AO361">
        <f>MIN(Plan!E12,AM361+AN361)</f>
        <v/>
      </c>
      <c r="AP361">
        <f>AM361+AN361-AO361</f>
        <v/>
      </c>
      <c r="AQ361">
        <f>MIN(AP361,MAX(0,$B361-((E$5&lt;AO$5)*F361+(K$5&lt;AO$5)*L361+(Q$5&lt;AO$5)*R361+(W$5&lt;AO$5)*X361+(AC$5&lt;AO$5)*AD361+(AI$5&lt;AO$5)*AJ361+(AU$5&lt;AO$5)*AV361)))</f>
        <v/>
      </c>
      <c r="AR361">
        <f>IF(AP361-AQ361&lt;0.005,0,AP361-AQ361)</f>
        <v/>
      </c>
      <c r="AS361">
        <f>AX360</f>
        <v/>
      </c>
      <c r="AT361">
        <f>AS361*Plan!D13/100/12</f>
        <v/>
      </c>
      <c r="AU361">
        <f>MIN(Plan!E13,AS361+AT361)</f>
        <v/>
      </c>
      <c r="AV361">
        <f>AS361+AT361-AU361</f>
        <v/>
      </c>
      <c r="AW361">
        <f>MIN(AV361,MAX(0,$B361-((E$5&lt;AU$5)*F361+(K$5&lt;AU$5)*L361+(Q$5&lt;AU$5)*R361+(W$5&lt;AU$5)*X361+(AC$5&lt;AU$5)*AD361+(AI$5&lt;AU$5)*AJ361+(AO$5&lt;AU$5)*AP361)))</f>
        <v/>
      </c>
      <c r="AX361">
        <f>IF(AV361-AW361&lt;0.005,0,AV361-AW361)</f>
        <v/>
      </c>
      <c r="BC361">
        <f>H361+N361+T361+Z361+AF361+AL361+AR361+AX361</f>
        <v/>
      </c>
    </row>
    <row r="362">
      <c r="A362" t="n">
        <v>356</v>
      </c>
      <c r="B362" s="19">
        <f>MAX(0,$B$3-(E362+K362+Q362+W362+AC362+AI362+AO362+AU362))</f>
        <v/>
      </c>
      <c r="C362">
        <f>H361</f>
        <v/>
      </c>
      <c r="D362">
        <f>C362*Plan!D6/100/12</f>
        <v/>
      </c>
      <c r="E362">
        <f>MIN(Plan!E6,C362+D362)</f>
        <v/>
      </c>
      <c r="F362">
        <f>C362+D362-E362</f>
        <v/>
      </c>
      <c r="G362">
        <f>MIN(F362,MAX(0,$B362-((K$5&lt;E$5)*L362+(Q$5&lt;E$5)*R362+(W$5&lt;E$5)*X362+(AC$5&lt;E$5)*AD362+(AI$5&lt;E$5)*AJ362+(AO$5&lt;E$5)*AP362+(AU$5&lt;E$5)*AV362)))</f>
        <v/>
      </c>
      <c r="H362">
        <f>IF(F362-G362&lt;0.005,0,F362-G362)</f>
        <v/>
      </c>
      <c r="I362">
        <f>N361</f>
        <v/>
      </c>
      <c r="J362">
        <f>I362*Plan!D7/100/12</f>
        <v/>
      </c>
      <c r="K362">
        <f>MIN(Plan!E7,I362+J362)</f>
        <v/>
      </c>
      <c r="L362">
        <f>I362+J362-K362</f>
        <v/>
      </c>
      <c r="M362">
        <f>MIN(L362,MAX(0,$B362-((E$5&lt;K$5)*F362+(Q$5&lt;K$5)*R362+(W$5&lt;K$5)*X362+(AC$5&lt;K$5)*AD362+(AI$5&lt;K$5)*AJ362+(AO$5&lt;K$5)*AP362+(AU$5&lt;K$5)*AV362)))</f>
        <v/>
      </c>
      <c r="N362">
        <f>IF(L362-M362&lt;0.005,0,L362-M362)</f>
        <v/>
      </c>
      <c r="O362">
        <f>T361</f>
        <v/>
      </c>
      <c r="P362">
        <f>O362*Plan!D8/100/12</f>
        <v/>
      </c>
      <c r="Q362">
        <f>MIN(Plan!E8,O362+P362)</f>
        <v/>
      </c>
      <c r="R362">
        <f>O362+P362-Q362</f>
        <v/>
      </c>
      <c r="S362">
        <f>MIN(R362,MAX(0,$B362-((E$5&lt;Q$5)*F362+(K$5&lt;Q$5)*L362+(W$5&lt;Q$5)*X362+(AC$5&lt;Q$5)*AD362+(AI$5&lt;Q$5)*AJ362+(AO$5&lt;Q$5)*AP362+(AU$5&lt;Q$5)*AV362)))</f>
        <v/>
      </c>
      <c r="T362">
        <f>IF(R362-S362&lt;0.005,0,R362-S362)</f>
        <v/>
      </c>
      <c r="U362">
        <f>Z361</f>
        <v/>
      </c>
      <c r="V362">
        <f>U362*Plan!D9/100/12</f>
        <v/>
      </c>
      <c r="W362">
        <f>MIN(Plan!E9,U362+V362)</f>
        <v/>
      </c>
      <c r="X362">
        <f>U362+V362-W362</f>
        <v/>
      </c>
      <c r="Y362">
        <f>MIN(X362,MAX(0,$B362-((E$5&lt;W$5)*F362+(K$5&lt;W$5)*L362+(Q$5&lt;W$5)*R362+(AC$5&lt;W$5)*AD362+(AI$5&lt;W$5)*AJ362+(AO$5&lt;W$5)*AP362+(AU$5&lt;W$5)*AV362)))</f>
        <v/>
      </c>
      <c r="Z362">
        <f>IF(X362-Y362&lt;0.005,0,X362-Y362)</f>
        <v/>
      </c>
      <c r="AA362">
        <f>AF361</f>
        <v/>
      </c>
      <c r="AB362">
        <f>AA362*Plan!D10/100/12</f>
        <v/>
      </c>
      <c r="AC362">
        <f>MIN(Plan!E10,AA362+AB362)</f>
        <v/>
      </c>
      <c r="AD362">
        <f>AA362+AB362-AC362</f>
        <v/>
      </c>
      <c r="AE362">
        <f>MIN(AD362,MAX(0,$B362-((E$5&lt;AC$5)*F362+(K$5&lt;AC$5)*L362+(Q$5&lt;AC$5)*R362+(W$5&lt;AC$5)*X362+(AI$5&lt;AC$5)*AJ362+(AO$5&lt;AC$5)*AP362+(AU$5&lt;AC$5)*AV362)))</f>
        <v/>
      </c>
      <c r="AF362">
        <f>IF(AD362-AE362&lt;0.005,0,AD362-AE362)</f>
        <v/>
      </c>
      <c r="AG362">
        <f>AL361</f>
        <v/>
      </c>
      <c r="AH362">
        <f>AG362*Plan!D11/100/12</f>
        <v/>
      </c>
      <c r="AI362">
        <f>MIN(Plan!E11,AG362+AH362)</f>
        <v/>
      </c>
      <c r="AJ362">
        <f>AG362+AH362-AI362</f>
        <v/>
      </c>
      <c r="AK362">
        <f>MIN(AJ362,MAX(0,$B362-((E$5&lt;AI$5)*F362+(K$5&lt;AI$5)*L362+(Q$5&lt;AI$5)*R362+(W$5&lt;AI$5)*X362+(AC$5&lt;AI$5)*AD362+(AO$5&lt;AI$5)*AP362+(AU$5&lt;AI$5)*AV362)))</f>
        <v/>
      </c>
      <c r="AL362">
        <f>IF(AJ362-AK362&lt;0.005,0,AJ362-AK362)</f>
        <v/>
      </c>
      <c r="AM362">
        <f>AR361</f>
        <v/>
      </c>
      <c r="AN362">
        <f>AM362*Plan!D12/100/12</f>
        <v/>
      </c>
      <c r="AO362">
        <f>MIN(Plan!E12,AM362+AN362)</f>
        <v/>
      </c>
      <c r="AP362">
        <f>AM362+AN362-AO362</f>
        <v/>
      </c>
      <c r="AQ362">
        <f>MIN(AP362,MAX(0,$B362-((E$5&lt;AO$5)*F362+(K$5&lt;AO$5)*L362+(Q$5&lt;AO$5)*R362+(W$5&lt;AO$5)*X362+(AC$5&lt;AO$5)*AD362+(AI$5&lt;AO$5)*AJ362+(AU$5&lt;AO$5)*AV362)))</f>
        <v/>
      </c>
      <c r="AR362">
        <f>IF(AP362-AQ362&lt;0.005,0,AP362-AQ362)</f>
        <v/>
      </c>
      <c r="AS362">
        <f>AX361</f>
        <v/>
      </c>
      <c r="AT362">
        <f>AS362*Plan!D13/100/12</f>
        <v/>
      </c>
      <c r="AU362">
        <f>MIN(Plan!E13,AS362+AT362)</f>
        <v/>
      </c>
      <c r="AV362">
        <f>AS362+AT362-AU362</f>
        <v/>
      </c>
      <c r="AW362">
        <f>MIN(AV362,MAX(0,$B362-((E$5&lt;AU$5)*F362+(K$5&lt;AU$5)*L362+(Q$5&lt;AU$5)*R362+(W$5&lt;AU$5)*X362+(AC$5&lt;AU$5)*AD362+(AI$5&lt;AU$5)*AJ362+(AO$5&lt;AU$5)*AP362)))</f>
        <v/>
      </c>
      <c r="AX362">
        <f>IF(AV362-AW362&lt;0.005,0,AV362-AW362)</f>
        <v/>
      </c>
      <c r="BC362">
        <f>H362+N362+T362+Z362+AF362+AL362+AR362+AX362</f>
        <v/>
      </c>
    </row>
    <row r="363">
      <c r="A363" t="n">
        <v>357</v>
      </c>
      <c r="B363" s="19">
        <f>MAX(0,$B$3-(E363+K363+Q363+W363+AC363+AI363+AO363+AU363))</f>
        <v/>
      </c>
      <c r="C363">
        <f>H362</f>
        <v/>
      </c>
      <c r="D363">
        <f>C363*Plan!D6/100/12</f>
        <v/>
      </c>
      <c r="E363">
        <f>MIN(Plan!E6,C363+D363)</f>
        <v/>
      </c>
      <c r="F363">
        <f>C363+D363-E363</f>
        <v/>
      </c>
      <c r="G363">
        <f>MIN(F363,MAX(0,$B363-((K$5&lt;E$5)*L363+(Q$5&lt;E$5)*R363+(W$5&lt;E$5)*X363+(AC$5&lt;E$5)*AD363+(AI$5&lt;E$5)*AJ363+(AO$5&lt;E$5)*AP363+(AU$5&lt;E$5)*AV363)))</f>
        <v/>
      </c>
      <c r="H363">
        <f>IF(F363-G363&lt;0.005,0,F363-G363)</f>
        <v/>
      </c>
      <c r="I363">
        <f>N362</f>
        <v/>
      </c>
      <c r="J363">
        <f>I363*Plan!D7/100/12</f>
        <v/>
      </c>
      <c r="K363">
        <f>MIN(Plan!E7,I363+J363)</f>
        <v/>
      </c>
      <c r="L363">
        <f>I363+J363-K363</f>
        <v/>
      </c>
      <c r="M363">
        <f>MIN(L363,MAX(0,$B363-((E$5&lt;K$5)*F363+(Q$5&lt;K$5)*R363+(W$5&lt;K$5)*X363+(AC$5&lt;K$5)*AD363+(AI$5&lt;K$5)*AJ363+(AO$5&lt;K$5)*AP363+(AU$5&lt;K$5)*AV363)))</f>
        <v/>
      </c>
      <c r="N363">
        <f>IF(L363-M363&lt;0.005,0,L363-M363)</f>
        <v/>
      </c>
      <c r="O363">
        <f>T362</f>
        <v/>
      </c>
      <c r="P363">
        <f>O363*Plan!D8/100/12</f>
        <v/>
      </c>
      <c r="Q363">
        <f>MIN(Plan!E8,O363+P363)</f>
        <v/>
      </c>
      <c r="R363">
        <f>O363+P363-Q363</f>
        <v/>
      </c>
      <c r="S363">
        <f>MIN(R363,MAX(0,$B363-((E$5&lt;Q$5)*F363+(K$5&lt;Q$5)*L363+(W$5&lt;Q$5)*X363+(AC$5&lt;Q$5)*AD363+(AI$5&lt;Q$5)*AJ363+(AO$5&lt;Q$5)*AP363+(AU$5&lt;Q$5)*AV363)))</f>
        <v/>
      </c>
      <c r="T363">
        <f>IF(R363-S363&lt;0.005,0,R363-S363)</f>
        <v/>
      </c>
      <c r="U363">
        <f>Z362</f>
        <v/>
      </c>
      <c r="V363">
        <f>U363*Plan!D9/100/12</f>
        <v/>
      </c>
      <c r="W363">
        <f>MIN(Plan!E9,U363+V363)</f>
        <v/>
      </c>
      <c r="X363">
        <f>U363+V363-W363</f>
        <v/>
      </c>
      <c r="Y363">
        <f>MIN(X363,MAX(0,$B363-((E$5&lt;W$5)*F363+(K$5&lt;W$5)*L363+(Q$5&lt;W$5)*R363+(AC$5&lt;W$5)*AD363+(AI$5&lt;W$5)*AJ363+(AO$5&lt;W$5)*AP363+(AU$5&lt;W$5)*AV363)))</f>
        <v/>
      </c>
      <c r="Z363">
        <f>IF(X363-Y363&lt;0.005,0,X363-Y363)</f>
        <v/>
      </c>
      <c r="AA363">
        <f>AF362</f>
        <v/>
      </c>
      <c r="AB363">
        <f>AA363*Plan!D10/100/12</f>
        <v/>
      </c>
      <c r="AC363">
        <f>MIN(Plan!E10,AA363+AB363)</f>
        <v/>
      </c>
      <c r="AD363">
        <f>AA363+AB363-AC363</f>
        <v/>
      </c>
      <c r="AE363">
        <f>MIN(AD363,MAX(0,$B363-((E$5&lt;AC$5)*F363+(K$5&lt;AC$5)*L363+(Q$5&lt;AC$5)*R363+(W$5&lt;AC$5)*X363+(AI$5&lt;AC$5)*AJ363+(AO$5&lt;AC$5)*AP363+(AU$5&lt;AC$5)*AV363)))</f>
        <v/>
      </c>
      <c r="AF363">
        <f>IF(AD363-AE363&lt;0.005,0,AD363-AE363)</f>
        <v/>
      </c>
      <c r="AG363">
        <f>AL362</f>
        <v/>
      </c>
      <c r="AH363">
        <f>AG363*Plan!D11/100/12</f>
        <v/>
      </c>
      <c r="AI363">
        <f>MIN(Plan!E11,AG363+AH363)</f>
        <v/>
      </c>
      <c r="AJ363">
        <f>AG363+AH363-AI363</f>
        <v/>
      </c>
      <c r="AK363">
        <f>MIN(AJ363,MAX(0,$B363-((E$5&lt;AI$5)*F363+(K$5&lt;AI$5)*L363+(Q$5&lt;AI$5)*R363+(W$5&lt;AI$5)*X363+(AC$5&lt;AI$5)*AD363+(AO$5&lt;AI$5)*AP363+(AU$5&lt;AI$5)*AV363)))</f>
        <v/>
      </c>
      <c r="AL363">
        <f>IF(AJ363-AK363&lt;0.005,0,AJ363-AK363)</f>
        <v/>
      </c>
      <c r="AM363">
        <f>AR362</f>
        <v/>
      </c>
      <c r="AN363">
        <f>AM363*Plan!D12/100/12</f>
        <v/>
      </c>
      <c r="AO363">
        <f>MIN(Plan!E12,AM363+AN363)</f>
        <v/>
      </c>
      <c r="AP363">
        <f>AM363+AN363-AO363</f>
        <v/>
      </c>
      <c r="AQ363">
        <f>MIN(AP363,MAX(0,$B363-((E$5&lt;AO$5)*F363+(K$5&lt;AO$5)*L363+(Q$5&lt;AO$5)*R363+(W$5&lt;AO$5)*X363+(AC$5&lt;AO$5)*AD363+(AI$5&lt;AO$5)*AJ363+(AU$5&lt;AO$5)*AV363)))</f>
        <v/>
      </c>
      <c r="AR363">
        <f>IF(AP363-AQ363&lt;0.005,0,AP363-AQ363)</f>
        <v/>
      </c>
      <c r="AS363">
        <f>AX362</f>
        <v/>
      </c>
      <c r="AT363">
        <f>AS363*Plan!D13/100/12</f>
        <v/>
      </c>
      <c r="AU363">
        <f>MIN(Plan!E13,AS363+AT363)</f>
        <v/>
      </c>
      <c r="AV363">
        <f>AS363+AT363-AU363</f>
        <v/>
      </c>
      <c r="AW363">
        <f>MIN(AV363,MAX(0,$B363-((E$5&lt;AU$5)*F363+(K$5&lt;AU$5)*L363+(Q$5&lt;AU$5)*R363+(W$5&lt;AU$5)*X363+(AC$5&lt;AU$5)*AD363+(AI$5&lt;AU$5)*AJ363+(AO$5&lt;AU$5)*AP363)))</f>
        <v/>
      </c>
      <c r="AX363">
        <f>IF(AV363-AW363&lt;0.005,0,AV363-AW363)</f>
        <v/>
      </c>
      <c r="BC363">
        <f>H363+N363+T363+Z363+AF363+AL363+AR363+AX363</f>
        <v/>
      </c>
    </row>
    <row r="364">
      <c r="A364" t="n">
        <v>358</v>
      </c>
      <c r="B364" s="19">
        <f>MAX(0,$B$3-(E364+K364+Q364+W364+AC364+AI364+AO364+AU364))</f>
        <v/>
      </c>
      <c r="C364">
        <f>H363</f>
        <v/>
      </c>
      <c r="D364">
        <f>C364*Plan!D6/100/12</f>
        <v/>
      </c>
      <c r="E364">
        <f>MIN(Plan!E6,C364+D364)</f>
        <v/>
      </c>
      <c r="F364">
        <f>C364+D364-E364</f>
        <v/>
      </c>
      <c r="G364">
        <f>MIN(F364,MAX(0,$B364-((K$5&lt;E$5)*L364+(Q$5&lt;E$5)*R364+(W$5&lt;E$5)*X364+(AC$5&lt;E$5)*AD364+(AI$5&lt;E$5)*AJ364+(AO$5&lt;E$5)*AP364+(AU$5&lt;E$5)*AV364)))</f>
        <v/>
      </c>
      <c r="H364">
        <f>IF(F364-G364&lt;0.005,0,F364-G364)</f>
        <v/>
      </c>
      <c r="I364">
        <f>N363</f>
        <v/>
      </c>
      <c r="J364">
        <f>I364*Plan!D7/100/12</f>
        <v/>
      </c>
      <c r="K364">
        <f>MIN(Plan!E7,I364+J364)</f>
        <v/>
      </c>
      <c r="L364">
        <f>I364+J364-K364</f>
        <v/>
      </c>
      <c r="M364">
        <f>MIN(L364,MAX(0,$B364-((E$5&lt;K$5)*F364+(Q$5&lt;K$5)*R364+(W$5&lt;K$5)*X364+(AC$5&lt;K$5)*AD364+(AI$5&lt;K$5)*AJ364+(AO$5&lt;K$5)*AP364+(AU$5&lt;K$5)*AV364)))</f>
        <v/>
      </c>
      <c r="N364">
        <f>IF(L364-M364&lt;0.005,0,L364-M364)</f>
        <v/>
      </c>
      <c r="O364">
        <f>T363</f>
        <v/>
      </c>
      <c r="P364">
        <f>O364*Plan!D8/100/12</f>
        <v/>
      </c>
      <c r="Q364">
        <f>MIN(Plan!E8,O364+P364)</f>
        <v/>
      </c>
      <c r="R364">
        <f>O364+P364-Q364</f>
        <v/>
      </c>
      <c r="S364">
        <f>MIN(R364,MAX(0,$B364-((E$5&lt;Q$5)*F364+(K$5&lt;Q$5)*L364+(W$5&lt;Q$5)*X364+(AC$5&lt;Q$5)*AD364+(AI$5&lt;Q$5)*AJ364+(AO$5&lt;Q$5)*AP364+(AU$5&lt;Q$5)*AV364)))</f>
        <v/>
      </c>
      <c r="T364">
        <f>IF(R364-S364&lt;0.005,0,R364-S364)</f>
        <v/>
      </c>
      <c r="U364">
        <f>Z363</f>
        <v/>
      </c>
      <c r="V364">
        <f>U364*Plan!D9/100/12</f>
        <v/>
      </c>
      <c r="W364">
        <f>MIN(Plan!E9,U364+V364)</f>
        <v/>
      </c>
      <c r="X364">
        <f>U364+V364-W364</f>
        <v/>
      </c>
      <c r="Y364">
        <f>MIN(X364,MAX(0,$B364-((E$5&lt;W$5)*F364+(K$5&lt;W$5)*L364+(Q$5&lt;W$5)*R364+(AC$5&lt;W$5)*AD364+(AI$5&lt;W$5)*AJ364+(AO$5&lt;W$5)*AP364+(AU$5&lt;W$5)*AV364)))</f>
        <v/>
      </c>
      <c r="Z364">
        <f>IF(X364-Y364&lt;0.005,0,X364-Y364)</f>
        <v/>
      </c>
      <c r="AA364">
        <f>AF363</f>
        <v/>
      </c>
      <c r="AB364">
        <f>AA364*Plan!D10/100/12</f>
        <v/>
      </c>
      <c r="AC364">
        <f>MIN(Plan!E10,AA364+AB364)</f>
        <v/>
      </c>
      <c r="AD364">
        <f>AA364+AB364-AC364</f>
        <v/>
      </c>
      <c r="AE364">
        <f>MIN(AD364,MAX(0,$B364-((E$5&lt;AC$5)*F364+(K$5&lt;AC$5)*L364+(Q$5&lt;AC$5)*R364+(W$5&lt;AC$5)*X364+(AI$5&lt;AC$5)*AJ364+(AO$5&lt;AC$5)*AP364+(AU$5&lt;AC$5)*AV364)))</f>
        <v/>
      </c>
      <c r="AF364">
        <f>IF(AD364-AE364&lt;0.005,0,AD364-AE364)</f>
        <v/>
      </c>
      <c r="AG364">
        <f>AL363</f>
        <v/>
      </c>
      <c r="AH364">
        <f>AG364*Plan!D11/100/12</f>
        <v/>
      </c>
      <c r="AI364">
        <f>MIN(Plan!E11,AG364+AH364)</f>
        <v/>
      </c>
      <c r="AJ364">
        <f>AG364+AH364-AI364</f>
        <v/>
      </c>
      <c r="AK364">
        <f>MIN(AJ364,MAX(0,$B364-((E$5&lt;AI$5)*F364+(K$5&lt;AI$5)*L364+(Q$5&lt;AI$5)*R364+(W$5&lt;AI$5)*X364+(AC$5&lt;AI$5)*AD364+(AO$5&lt;AI$5)*AP364+(AU$5&lt;AI$5)*AV364)))</f>
        <v/>
      </c>
      <c r="AL364">
        <f>IF(AJ364-AK364&lt;0.005,0,AJ364-AK364)</f>
        <v/>
      </c>
      <c r="AM364">
        <f>AR363</f>
        <v/>
      </c>
      <c r="AN364">
        <f>AM364*Plan!D12/100/12</f>
        <v/>
      </c>
      <c r="AO364">
        <f>MIN(Plan!E12,AM364+AN364)</f>
        <v/>
      </c>
      <c r="AP364">
        <f>AM364+AN364-AO364</f>
        <v/>
      </c>
      <c r="AQ364">
        <f>MIN(AP364,MAX(0,$B364-((E$5&lt;AO$5)*F364+(K$5&lt;AO$5)*L364+(Q$5&lt;AO$5)*R364+(W$5&lt;AO$5)*X364+(AC$5&lt;AO$5)*AD364+(AI$5&lt;AO$5)*AJ364+(AU$5&lt;AO$5)*AV364)))</f>
        <v/>
      </c>
      <c r="AR364">
        <f>IF(AP364-AQ364&lt;0.005,0,AP364-AQ364)</f>
        <v/>
      </c>
      <c r="AS364">
        <f>AX363</f>
        <v/>
      </c>
      <c r="AT364">
        <f>AS364*Plan!D13/100/12</f>
        <v/>
      </c>
      <c r="AU364">
        <f>MIN(Plan!E13,AS364+AT364)</f>
        <v/>
      </c>
      <c r="AV364">
        <f>AS364+AT364-AU364</f>
        <v/>
      </c>
      <c r="AW364">
        <f>MIN(AV364,MAX(0,$B364-((E$5&lt;AU$5)*F364+(K$5&lt;AU$5)*L364+(Q$5&lt;AU$5)*R364+(W$5&lt;AU$5)*X364+(AC$5&lt;AU$5)*AD364+(AI$5&lt;AU$5)*AJ364+(AO$5&lt;AU$5)*AP364)))</f>
        <v/>
      </c>
      <c r="AX364">
        <f>IF(AV364-AW364&lt;0.005,0,AV364-AW364)</f>
        <v/>
      </c>
      <c r="BC364">
        <f>H364+N364+T364+Z364+AF364+AL364+AR364+AX364</f>
        <v/>
      </c>
    </row>
    <row r="365">
      <c r="A365" t="n">
        <v>359</v>
      </c>
      <c r="B365" s="19">
        <f>MAX(0,$B$3-(E365+K365+Q365+W365+AC365+AI365+AO365+AU365))</f>
        <v/>
      </c>
      <c r="C365">
        <f>H364</f>
        <v/>
      </c>
      <c r="D365">
        <f>C365*Plan!D6/100/12</f>
        <v/>
      </c>
      <c r="E365">
        <f>MIN(Plan!E6,C365+D365)</f>
        <v/>
      </c>
      <c r="F365">
        <f>C365+D365-E365</f>
        <v/>
      </c>
      <c r="G365">
        <f>MIN(F365,MAX(0,$B365-((K$5&lt;E$5)*L365+(Q$5&lt;E$5)*R365+(W$5&lt;E$5)*X365+(AC$5&lt;E$5)*AD365+(AI$5&lt;E$5)*AJ365+(AO$5&lt;E$5)*AP365+(AU$5&lt;E$5)*AV365)))</f>
        <v/>
      </c>
      <c r="H365">
        <f>IF(F365-G365&lt;0.005,0,F365-G365)</f>
        <v/>
      </c>
      <c r="I365">
        <f>N364</f>
        <v/>
      </c>
      <c r="J365">
        <f>I365*Plan!D7/100/12</f>
        <v/>
      </c>
      <c r="K365">
        <f>MIN(Plan!E7,I365+J365)</f>
        <v/>
      </c>
      <c r="L365">
        <f>I365+J365-K365</f>
        <v/>
      </c>
      <c r="M365">
        <f>MIN(L365,MAX(0,$B365-((E$5&lt;K$5)*F365+(Q$5&lt;K$5)*R365+(W$5&lt;K$5)*X365+(AC$5&lt;K$5)*AD365+(AI$5&lt;K$5)*AJ365+(AO$5&lt;K$5)*AP365+(AU$5&lt;K$5)*AV365)))</f>
        <v/>
      </c>
      <c r="N365">
        <f>IF(L365-M365&lt;0.005,0,L365-M365)</f>
        <v/>
      </c>
      <c r="O365">
        <f>T364</f>
        <v/>
      </c>
      <c r="P365">
        <f>O365*Plan!D8/100/12</f>
        <v/>
      </c>
      <c r="Q365">
        <f>MIN(Plan!E8,O365+P365)</f>
        <v/>
      </c>
      <c r="R365">
        <f>O365+P365-Q365</f>
        <v/>
      </c>
      <c r="S365">
        <f>MIN(R365,MAX(0,$B365-((E$5&lt;Q$5)*F365+(K$5&lt;Q$5)*L365+(W$5&lt;Q$5)*X365+(AC$5&lt;Q$5)*AD365+(AI$5&lt;Q$5)*AJ365+(AO$5&lt;Q$5)*AP365+(AU$5&lt;Q$5)*AV365)))</f>
        <v/>
      </c>
      <c r="T365">
        <f>IF(R365-S365&lt;0.005,0,R365-S365)</f>
        <v/>
      </c>
      <c r="U365">
        <f>Z364</f>
        <v/>
      </c>
      <c r="V365">
        <f>U365*Plan!D9/100/12</f>
        <v/>
      </c>
      <c r="W365">
        <f>MIN(Plan!E9,U365+V365)</f>
        <v/>
      </c>
      <c r="X365">
        <f>U365+V365-W365</f>
        <v/>
      </c>
      <c r="Y365">
        <f>MIN(X365,MAX(0,$B365-((E$5&lt;W$5)*F365+(K$5&lt;W$5)*L365+(Q$5&lt;W$5)*R365+(AC$5&lt;W$5)*AD365+(AI$5&lt;W$5)*AJ365+(AO$5&lt;W$5)*AP365+(AU$5&lt;W$5)*AV365)))</f>
        <v/>
      </c>
      <c r="Z365">
        <f>IF(X365-Y365&lt;0.005,0,X365-Y365)</f>
        <v/>
      </c>
      <c r="AA365">
        <f>AF364</f>
        <v/>
      </c>
      <c r="AB365">
        <f>AA365*Plan!D10/100/12</f>
        <v/>
      </c>
      <c r="AC365">
        <f>MIN(Plan!E10,AA365+AB365)</f>
        <v/>
      </c>
      <c r="AD365">
        <f>AA365+AB365-AC365</f>
        <v/>
      </c>
      <c r="AE365">
        <f>MIN(AD365,MAX(0,$B365-((E$5&lt;AC$5)*F365+(K$5&lt;AC$5)*L365+(Q$5&lt;AC$5)*R365+(W$5&lt;AC$5)*X365+(AI$5&lt;AC$5)*AJ365+(AO$5&lt;AC$5)*AP365+(AU$5&lt;AC$5)*AV365)))</f>
        <v/>
      </c>
      <c r="AF365">
        <f>IF(AD365-AE365&lt;0.005,0,AD365-AE365)</f>
        <v/>
      </c>
      <c r="AG365">
        <f>AL364</f>
        <v/>
      </c>
      <c r="AH365">
        <f>AG365*Plan!D11/100/12</f>
        <v/>
      </c>
      <c r="AI365">
        <f>MIN(Plan!E11,AG365+AH365)</f>
        <v/>
      </c>
      <c r="AJ365">
        <f>AG365+AH365-AI365</f>
        <v/>
      </c>
      <c r="AK365">
        <f>MIN(AJ365,MAX(0,$B365-((E$5&lt;AI$5)*F365+(K$5&lt;AI$5)*L365+(Q$5&lt;AI$5)*R365+(W$5&lt;AI$5)*X365+(AC$5&lt;AI$5)*AD365+(AO$5&lt;AI$5)*AP365+(AU$5&lt;AI$5)*AV365)))</f>
        <v/>
      </c>
      <c r="AL365">
        <f>IF(AJ365-AK365&lt;0.005,0,AJ365-AK365)</f>
        <v/>
      </c>
      <c r="AM365">
        <f>AR364</f>
        <v/>
      </c>
      <c r="AN365">
        <f>AM365*Plan!D12/100/12</f>
        <v/>
      </c>
      <c r="AO365">
        <f>MIN(Plan!E12,AM365+AN365)</f>
        <v/>
      </c>
      <c r="AP365">
        <f>AM365+AN365-AO365</f>
        <v/>
      </c>
      <c r="AQ365">
        <f>MIN(AP365,MAX(0,$B365-((E$5&lt;AO$5)*F365+(K$5&lt;AO$5)*L365+(Q$5&lt;AO$5)*R365+(W$5&lt;AO$5)*X365+(AC$5&lt;AO$5)*AD365+(AI$5&lt;AO$5)*AJ365+(AU$5&lt;AO$5)*AV365)))</f>
        <v/>
      </c>
      <c r="AR365">
        <f>IF(AP365-AQ365&lt;0.005,0,AP365-AQ365)</f>
        <v/>
      </c>
      <c r="AS365">
        <f>AX364</f>
        <v/>
      </c>
      <c r="AT365">
        <f>AS365*Plan!D13/100/12</f>
        <v/>
      </c>
      <c r="AU365">
        <f>MIN(Plan!E13,AS365+AT365)</f>
        <v/>
      </c>
      <c r="AV365">
        <f>AS365+AT365-AU365</f>
        <v/>
      </c>
      <c r="AW365">
        <f>MIN(AV365,MAX(0,$B365-((E$5&lt;AU$5)*F365+(K$5&lt;AU$5)*L365+(Q$5&lt;AU$5)*R365+(W$5&lt;AU$5)*X365+(AC$5&lt;AU$5)*AD365+(AI$5&lt;AU$5)*AJ365+(AO$5&lt;AU$5)*AP365)))</f>
        <v/>
      </c>
      <c r="AX365">
        <f>IF(AV365-AW365&lt;0.005,0,AV365-AW365)</f>
        <v/>
      </c>
      <c r="BC365">
        <f>H365+N365+T365+Z365+AF365+AL365+AR365+AX365</f>
        <v/>
      </c>
    </row>
    <row r="366">
      <c r="A366" t="n">
        <v>360</v>
      </c>
      <c r="B366" s="19">
        <f>MAX(0,$B$3-(E366+K366+Q366+W366+AC366+AI366+AO366+AU366))</f>
        <v/>
      </c>
      <c r="C366">
        <f>H365</f>
        <v/>
      </c>
      <c r="D366">
        <f>C366*Plan!D6/100/12</f>
        <v/>
      </c>
      <c r="E366">
        <f>MIN(Plan!E6,C366+D366)</f>
        <v/>
      </c>
      <c r="F366">
        <f>C366+D366-E366</f>
        <v/>
      </c>
      <c r="G366">
        <f>MIN(F366,MAX(0,$B366-((K$5&lt;E$5)*L366+(Q$5&lt;E$5)*R366+(W$5&lt;E$5)*X366+(AC$5&lt;E$5)*AD366+(AI$5&lt;E$5)*AJ366+(AO$5&lt;E$5)*AP366+(AU$5&lt;E$5)*AV366)))</f>
        <v/>
      </c>
      <c r="H366">
        <f>IF(F366-G366&lt;0.005,0,F366-G366)</f>
        <v/>
      </c>
      <c r="I366">
        <f>N365</f>
        <v/>
      </c>
      <c r="J366">
        <f>I366*Plan!D7/100/12</f>
        <v/>
      </c>
      <c r="K366">
        <f>MIN(Plan!E7,I366+J366)</f>
        <v/>
      </c>
      <c r="L366">
        <f>I366+J366-K366</f>
        <v/>
      </c>
      <c r="M366">
        <f>MIN(L366,MAX(0,$B366-((E$5&lt;K$5)*F366+(Q$5&lt;K$5)*R366+(W$5&lt;K$5)*X366+(AC$5&lt;K$5)*AD366+(AI$5&lt;K$5)*AJ366+(AO$5&lt;K$5)*AP366+(AU$5&lt;K$5)*AV366)))</f>
        <v/>
      </c>
      <c r="N366">
        <f>IF(L366-M366&lt;0.005,0,L366-M366)</f>
        <v/>
      </c>
      <c r="O366">
        <f>T365</f>
        <v/>
      </c>
      <c r="P366">
        <f>O366*Plan!D8/100/12</f>
        <v/>
      </c>
      <c r="Q366">
        <f>MIN(Plan!E8,O366+P366)</f>
        <v/>
      </c>
      <c r="R366">
        <f>O366+P366-Q366</f>
        <v/>
      </c>
      <c r="S366">
        <f>MIN(R366,MAX(0,$B366-((E$5&lt;Q$5)*F366+(K$5&lt;Q$5)*L366+(W$5&lt;Q$5)*X366+(AC$5&lt;Q$5)*AD366+(AI$5&lt;Q$5)*AJ366+(AO$5&lt;Q$5)*AP366+(AU$5&lt;Q$5)*AV366)))</f>
        <v/>
      </c>
      <c r="T366">
        <f>IF(R366-S366&lt;0.005,0,R366-S366)</f>
        <v/>
      </c>
      <c r="U366">
        <f>Z365</f>
        <v/>
      </c>
      <c r="V366">
        <f>U366*Plan!D9/100/12</f>
        <v/>
      </c>
      <c r="W366">
        <f>MIN(Plan!E9,U366+V366)</f>
        <v/>
      </c>
      <c r="X366">
        <f>U366+V366-W366</f>
        <v/>
      </c>
      <c r="Y366">
        <f>MIN(X366,MAX(0,$B366-((E$5&lt;W$5)*F366+(K$5&lt;W$5)*L366+(Q$5&lt;W$5)*R366+(AC$5&lt;W$5)*AD366+(AI$5&lt;W$5)*AJ366+(AO$5&lt;W$5)*AP366+(AU$5&lt;W$5)*AV366)))</f>
        <v/>
      </c>
      <c r="Z366">
        <f>IF(X366-Y366&lt;0.005,0,X366-Y366)</f>
        <v/>
      </c>
      <c r="AA366">
        <f>AF365</f>
        <v/>
      </c>
      <c r="AB366">
        <f>AA366*Plan!D10/100/12</f>
        <v/>
      </c>
      <c r="AC366">
        <f>MIN(Plan!E10,AA366+AB366)</f>
        <v/>
      </c>
      <c r="AD366">
        <f>AA366+AB366-AC366</f>
        <v/>
      </c>
      <c r="AE366">
        <f>MIN(AD366,MAX(0,$B366-((E$5&lt;AC$5)*F366+(K$5&lt;AC$5)*L366+(Q$5&lt;AC$5)*R366+(W$5&lt;AC$5)*X366+(AI$5&lt;AC$5)*AJ366+(AO$5&lt;AC$5)*AP366+(AU$5&lt;AC$5)*AV366)))</f>
        <v/>
      </c>
      <c r="AF366">
        <f>IF(AD366-AE366&lt;0.005,0,AD366-AE366)</f>
        <v/>
      </c>
      <c r="AG366">
        <f>AL365</f>
        <v/>
      </c>
      <c r="AH366">
        <f>AG366*Plan!D11/100/12</f>
        <v/>
      </c>
      <c r="AI366">
        <f>MIN(Plan!E11,AG366+AH366)</f>
        <v/>
      </c>
      <c r="AJ366">
        <f>AG366+AH366-AI366</f>
        <v/>
      </c>
      <c r="AK366">
        <f>MIN(AJ366,MAX(0,$B366-((E$5&lt;AI$5)*F366+(K$5&lt;AI$5)*L366+(Q$5&lt;AI$5)*R366+(W$5&lt;AI$5)*X366+(AC$5&lt;AI$5)*AD366+(AO$5&lt;AI$5)*AP366+(AU$5&lt;AI$5)*AV366)))</f>
        <v/>
      </c>
      <c r="AL366">
        <f>IF(AJ366-AK366&lt;0.005,0,AJ366-AK366)</f>
        <v/>
      </c>
      <c r="AM366">
        <f>AR365</f>
        <v/>
      </c>
      <c r="AN366">
        <f>AM366*Plan!D12/100/12</f>
        <v/>
      </c>
      <c r="AO366">
        <f>MIN(Plan!E12,AM366+AN366)</f>
        <v/>
      </c>
      <c r="AP366">
        <f>AM366+AN366-AO366</f>
        <v/>
      </c>
      <c r="AQ366">
        <f>MIN(AP366,MAX(0,$B366-((E$5&lt;AO$5)*F366+(K$5&lt;AO$5)*L366+(Q$5&lt;AO$5)*R366+(W$5&lt;AO$5)*X366+(AC$5&lt;AO$5)*AD366+(AI$5&lt;AO$5)*AJ366+(AU$5&lt;AO$5)*AV366)))</f>
        <v/>
      </c>
      <c r="AR366">
        <f>IF(AP366-AQ366&lt;0.005,0,AP366-AQ366)</f>
        <v/>
      </c>
      <c r="AS366">
        <f>AX365</f>
        <v/>
      </c>
      <c r="AT366">
        <f>AS366*Plan!D13/100/12</f>
        <v/>
      </c>
      <c r="AU366">
        <f>MIN(Plan!E13,AS366+AT366)</f>
        <v/>
      </c>
      <c r="AV366">
        <f>AS366+AT366-AU366</f>
        <v/>
      </c>
      <c r="AW366">
        <f>MIN(AV366,MAX(0,$B366-((E$5&lt;AU$5)*F366+(K$5&lt;AU$5)*L366+(Q$5&lt;AU$5)*R366+(W$5&lt;AU$5)*X366+(AC$5&lt;AU$5)*AD366+(AI$5&lt;AU$5)*AJ366+(AO$5&lt;AU$5)*AP366)))</f>
        <v/>
      </c>
      <c r="AX366">
        <f>IF(AV366-AW366&lt;0.005,0,AV366-AW366)</f>
        <v/>
      </c>
      <c r="BC366">
        <f>H366+N366+T366+Z366+AF366+AL366+AR366+AX366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366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Methode</t>
        </is>
      </c>
      <c r="B1">
        <f>IF(Plan!$C$17="Lawine","Schneeball","Lawine")</f>
        <v/>
      </c>
      <c r="AZ1" t="inlineStr">
        <is>
          <t>Zinsen total</t>
        </is>
      </c>
      <c r="BA1" s="19">
        <f>SUM(D7:D366)+SUM(J7:J366)+SUM(P7:P366)+SUM(V7:V366)+SUM(AB7:AB366)+SUM(AH7:AH366)+SUM(AN7:AN366)+SUM(AT7:AT366)</f>
        <v/>
      </c>
    </row>
    <row r="2">
      <c r="A2" t="inlineStr">
        <is>
          <t>Extra pro Monat</t>
        </is>
      </c>
      <c r="B2">
        <f>Plan!$C$16</f>
        <v/>
      </c>
      <c r="AZ2" t="inlineStr">
        <is>
          <t>Schuldenfrei nach Monaten</t>
        </is>
      </c>
      <c r="BA2">
        <f>IFERROR(MATCH(0,BC7:BC366,0),"über 30 Jahre")</f>
        <v/>
      </c>
    </row>
    <row r="3">
      <c r="A3" t="inlineStr">
        <is>
          <t>Budget pro Monat</t>
        </is>
      </c>
      <c r="B3" s="20">
        <f>SUMPRODUCT((Plan!$C$6:$C$13&gt;0)*Plan!$E$6:$E$13)+B2</f>
        <v/>
      </c>
      <c r="C3" t="inlineStr">
        <is>
          <t>frei ab Monat</t>
        </is>
      </c>
      <c r="D3">
        <f>IF(Plan!C6&lt;=0,"",IFERROR(MATCH(0,H7:H366,0),"über 30 J."))</f>
        <v/>
      </c>
      <c r="I3" t="inlineStr">
        <is>
          <t>frei ab Monat</t>
        </is>
      </c>
      <c r="J3">
        <f>IF(Plan!C7&lt;=0,"",IFERROR(MATCH(0,N7:N366,0),"über 30 J."))</f>
        <v/>
      </c>
      <c r="O3" t="inlineStr">
        <is>
          <t>frei ab Monat</t>
        </is>
      </c>
      <c r="P3">
        <f>IF(Plan!C8&lt;=0,"",IFERROR(MATCH(0,T7:T366,0),"über 30 J."))</f>
        <v/>
      </c>
      <c r="U3" t="inlineStr">
        <is>
          <t>frei ab Monat</t>
        </is>
      </c>
      <c r="V3">
        <f>IF(Plan!C9&lt;=0,"",IFERROR(MATCH(0,Z7:Z366,0),"über 30 J."))</f>
        <v/>
      </c>
      <c r="AA3" t="inlineStr">
        <is>
          <t>frei ab Monat</t>
        </is>
      </c>
      <c r="AB3">
        <f>IF(Plan!C10&lt;=0,"",IFERROR(MATCH(0,AF7:AF366,0),"über 30 J."))</f>
        <v/>
      </c>
      <c r="AG3" t="inlineStr">
        <is>
          <t>frei ab Monat</t>
        </is>
      </c>
      <c r="AH3">
        <f>IF(Plan!C11&lt;=0,"",IFERROR(MATCH(0,AL7:AL366,0),"über 30 J."))</f>
        <v/>
      </c>
      <c r="AM3" t="inlineStr">
        <is>
          <t>frei ab Monat</t>
        </is>
      </c>
      <c r="AN3">
        <f>IF(Plan!C12&lt;=0,"",IFERROR(MATCH(0,AR7:AR366,0),"über 30 J."))</f>
        <v/>
      </c>
      <c r="AS3" t="inlineStr">
        <is>
          <t>frei ab Monat</t>
        </is>
      </c>
      <c r="AT3">
        <f>IF(Plan!C13&lt;=0,"",IFERROR(MATCH(0,AX7:AX366,0),"über 30 J."))</f>
        <v/>
      </c>
    </row>
    <row r="4">
      <c r="C4" s="17">
        <f>Plan!B6</f>
        <v/>
      </c>
      <c r="I4" s="17">
        <f>Plan!B7</f>
        <v/>
      </c>
      <c r="O4" s="17">
        <f>Plan!B8</f>
        <v/>
      </c>
      <c r="U4" s="17">
        <f>Plan!B9</f>
        <v/>
      </c>
      <c r="AA4" s="17">
        <f>Plan!B10</f>
        <v/>
      </c>
      <c r="AG4" s="17">
        <f>Plan!B11</f>
        <v/>
      </c>
      <c r="AM4" s="17">
        <f>Plan!B12</f>
        <v/>
      </c>
      <c r="AS4" s="17">
        <f>Plan!B13</f>
        <v/>
      </c>
    </row>
    <row r="5">
      <c r="C5">
        <f>IF(Plan!C6&lt;=0,-1E+15,IF($B$1="Lawine",Plan!D6*1E+9-Plan!C6,-Plan!C6*1000+Plan!D6))</f>
        <v/>
      </c>
      <c r="D5" t="inlineStr">
        <is>
          <t>Rang</t>
        </is>
      </c>
      <c r="E5">
        <f>1+(C$5&gt;C$5)+(I$5&gt;C$5)+(O$5&gt;C$5)+(U$5&gt;C$5)+(AA$5&gt;C$5)+(AG$5&gt;C$5)+(AM$5&gt;C$5)+(AS$5&gt;C$5)+0</f>
        <v/>
      </c>
      <c r="I5">
        <f>IF(Plan!C7&lt;=0,-1E+15,IF($B$1="Lawine",Plan!D7*1E+9-Plan!C7,-Plan!C7*1000+Plan!D7))</f>
        <v/>
      </c>
      <c r="J5" t="inlineStr">
        <is>
          <t>Rang</t>
        </is>
      </c>
      <c r="K5">
        <f>1+(C$5&gt;I$5)+(I$5&gt;I$5)+(O$5&gt;I$5)+(U$5&gt;I$5)+(AA$5&gt;I$5)+(AG$5&gt;I$5)+(AM$5&gt;I$5)+(AS$5&gt;I$5)+(C$5=I$5)</f>
        <v/>
      </c>
      <c r="O5">
        <f>IF(Plan!C8&lt;=0,-1E+15,IF($B$1="Lawine",Plan!D8*1E+9-Plan!C8,-Plan!C8*1000+Plan!D8))</f>
        <v/>
      </c>
      <c r="P5" t="inlineStr">
        <is>
          <t>Rang</t>
        </is>
      </c>
      <c r="Q5">
        <f>1+(C$5&gt;O$5)+(I$5&gt;O$5)+(O$5&gt;O$5)+(U$5&gt;O$5)+(AA$5&gt;O$5)+(AG$5&gt;O$5)+(AM$5&gt;O$5)+(AS$5&gt;O$5)+(C$5=O$5)+(I$5=O$5)</f>
        <v/>
      </c>
      <c r="U5">
        <f>IF(Plan!C9&lt;=0,-1E+15,IF($B$1="Lawine",Plan!D9*1E+9-Plan!C9,-Plan!C9*1000+Plan!D9))</f>
        <v/>
      </c>
      <c r="V5" t="inlineStr">
        <is>
          <t>Rang</t>
        </is>
      </c>
      <c r="W5">
        <f>1+(C$5&gt;U$5)+(I$5&gt;U$5)+(O$5&gt;U$5)+(U$5&gt;U$5)+(AA$5&gt;U$5)+(AG$5&gt;U$5)+(AM$5&gt;U$5)+(AS$5&gt;U$5)+(C$5=U$5)+(I$5=U$5)+(O$5=U$5)</f>
        <v/>
      </c>
      <c r="AA5">
        <f>IF(Plan!C10&lt;=0,-1E+15,IF($B$1="Lawine",Plan!D10*1E+9-Plan!C10,-Plan!C10*1000+Plan!D10))</f>
        <v/>
      </c>
      <c r="AB5" t="inlineStr">
        <is>
          <t>Rang</t>
        </is>
      </c>
      <c r="AC5">
        <f>1+(C$5&gt;AA$5)+(I$5&gt;AA$5)+(O$5&gt;AA$5)+(U$5&gt;AA$5)+(AA$5&gt;AA$5)+(AG$5&gt;AA$5)+(AM$5&gt;AA$5)+(AS$5&gt;AA$5)+(C$5=AA$5)+(I$5=AA$5)+(O$5=AA$5)+(U$5=AA$5)</f>
        <v/>
      </c>
      <c r="AG5">
        <f>IF(Plan!C11&lt;=0,-1E+15,IF($B$1="Lawine",Plan!D11*1E+9-Plan!C11,-Plan!C11*1000+Plan!D11))</f>
        <v/>
      </c>
      <c r="AH5" t="inlineStr">
        <is>
          <t>Rang</t>
        </is>
      </c>
      <c r="AI5">
        <f>1+(C$5&gt;AG$5)+(I$5&gt;AG$5)+(O$5&gt;AG$5)+(U$5&gt;AG$5)+(AA$5&gt;AG$5)+(AG$5&gt;AG$5)+(AM$5&gt;AG$5)+(AS$5&gt;AG$5)+(C$5=AG$5)+(I$5=AG$5)+(O$5=AG$5)+(U$5=AG$5)+(AA$5=AG$5)</f>
        <v/>
      </c>
      <c r="AM5">
        <f>IF(Plan!C12&lt;=0,-1E+15,IF($B$1="Lawine",Plan!D12*1E+9-Plan!C12,-Plan!C12*1000+Plan!D12))</f>
        <v/>
      </c>
      <c r="AN5" t="inlineStr">
        <is>
          <t>Rang</t>
        </is>
      </c>
      <c r="AO5">
        <f>1+(C$5&gt;AM$5)+(I$5&gt;AM$5)+(O$5&gt;AM$5)+(U$5&gt;AM$5)+(AA$5&gt;AM$5)+(AG$5&gt;AM$5)+(AM$5&gt;AM$5)+(AS$5&gt;AM$5)+(C$5=AM$5)+(I$5=AM$5)+(O$5=AM$5)+(U$5=AM$5)+(AA$5=AM$5)+(AG$5=AM$5)</f>
        <v/>
      </c>
      <c r="AS5">
        <f>IF(Plan!C13&lt;=0,-1E+15,IF($B$1="Lawine",Plan!D13*1E+9-Plan!C13,-Plan!C13*1000+Plan!D13))</f>
        <v/>
      </c>
      <c r="AT5" t="inlineStr">
        <is>
          <t>Rang</t>
        </is>
      </c>
      <c r="AU5">
        <f>1+(C$5&gt;AS$5)+(I$5&gt;AS$5)+(O$5&gt;AS$5)+(U$5&gt;AS$5)+(AA$5&gt;AS$5)+(AG$5&gt;AS$5)+(AM$5&gt;AS$5)+(AS$5&gt;AS$5)+(C$5=AS$5)+(I$5=AS$5)+(O$5=AS$5)+(U$5=AS$5)+(AA$5=AS$5)+(AG$5=AS$5)+(AM$5=AS$5)</f>
        <v/>
      </c>
    </row>
    <row r="6">
      <c r="A6" s="3" t="inlineStr">
        <is>
          <t>Monat</t>
        </is>
      </c>
      <c r="B6" s="3" t="inlineStr">
        <is>
          <t>frei für Extra</t>
        </is>
      </c>
      <c r="C6" s="3" t="inlineStr">
        <is>
          <t>Start</t>
        </is>
      </c>
      <c r="D6" s="3" t="inlineStr">
        <is>
          <t>Zins</t>
        </is>
      </c>
      <c r="E6" s="3" t="inlineStr">
        <is>
          <t>Mindestrate</t>
        </is>
      </c>
      <c r="F6" s="3" t="inlineStr">
        <is>
          <t>Rest</t>
        </is>
      </c>
      <c r="G6" s="3" t="inlineStr">
        <is>
          <t>Extra</t>
        </is>
      </c>
      <c r="H6" s="3" t="inlineStr">
        <is>
          <t>Ende</t>
        </is>
      </c>
      <c r="I6" s="3" t="inlineStr">
        <is>
          <t>Start</t>
        </is>
      </c>
      <c r="J6" s="3" t="inlineStr">
        <is>
          <t>Zins</t>
        </is>
      </c>
      <c r="K6" s="3" t="inlineStr">
        <is>
          <t>Mindestrate</t>
        </is>
      </c>
      <c r="L6" s="3" t="inlineStr">
        <is>
          <t>Rest</t>
        </is>
      </c>
      <c r="M6" s="3" t="inlineStr">
        <is>
          <t>Extra</t>
        </is>
      </c>
      <c r="N6" s="3" t="inlineStr">
        <is>
          <t>Ende</t>
        </is>
      </c>
      <c r="O6" s="3" t="inlineStr">
        <is>
          <t>Start</t>
        </is>
      </c>
      <c r="P6" s="3" t="inlineStr">
        <is>
          <t>Zins</t>
        </is>
      </c>
      <c r="Q6" s="3" t="inlineStr">
        <is>
          <t>Mindestrate</t>
        </is>
      </c>
      <c r="R6" s="3" t="inlineStr">
        <is>
          <t>Rest</t>
        </is>
      </c>
      <c r="S6" s="3" t="inlineStr">
        <is>
          <t>Extra</t>
        </is>
      </c>
      <c r="T6" s="3" t="inlineStr">
        <is>
          <t>Ende</t>
        </is>
      </c>
      <c r="U6" s="3" t="inlineStr">
        <is>
          <t>Start</t>
        </is>
      </c>
      <c r="V6" s="3" t="inlineStr">
        <is>
          <t>Zins</t>
        </is>
      </c>
      <c r="W6" s="3" t="inlineStr">
        <is>
          <t>Mindestrate</t>
        </is>
      </c>
      <c r="X6" s="3" t="inlineStr">
        <is>
          <t>Rest</t>
        </is>
      </c>
      <c r="Y6" s="3" t="inlineStr">
        <is>
          <t>Extra</t>
        </is>
      </c>
      <c r="Z6" s="3" t="inlineStr">
        <is>
          <t>Ende</t>
        </is>
      </c>
      <c r="AA6" s="3" t="inlineStr">
        <is>
          <t>Start</t>
        </is>
      </c>
      <c r="AB6" s="3" t="inlineStr">
        <is>
          <t>Zins</t>
        </is>
      </c>
      <c r="AC6" s="3" t="inlineStr">
        <is>
          <t>Mindestrate</t>
        </is>
      </c>
      <c r="AD6" s="3" t="inlineStr">
        <is>
          <t>Rest</t>
        </is>
      </c>
      <c r="AE6" s="3" t="inlineStr">
        <is>
          <t>Extra</t>
        </is>
      </c>
      <c r="AF6" s="3" t="inlineStr">
        <is>
          <t>Ende</t>
        </is>
      </c>
      <c r="AG6" s="3" t="inlineStr">
        <is>
          <t>Start</t>
        </is>
      </c>
      <c r="AH6" s="3" t="inlineStr">
        <is>
          <t>Zins</t>
        </is>
      </c>
      <c r="AI6" s="3" t="inlineStr">
        <is>
          <t>Mindestrate</t>
        </is>
      </c>
      <c r="AJ6" s="3" t="inlineStr">
        <is>
          <t>Rest</t>
        </is>
      </c>
      <c r="AK6" s="3" t="inlineStr">
        <is>
          <t>Extra</t>
        </is>
      </c>
      <c r="AL6" s="3" t="inlineStr">
        <is>
          <t>Ende</t>
        </is>
      </c>
      <c r="AM6" s="3" t="inlineStr">
        <is>
          <t>Start</t>
        </is>
      </c>
      <c r="AN6" s="3" t="inlineStr">
        <is>
          <t>Zins</t>
        </is>
      </c>
      <c r="AO6" s="3" t="inlineStr">
        <is>
          <t>Mindestrate</t>
        </is>
      </c>
      <c r="AP6" s="3" t="inlineStr">
        <is>
          <t>Rest</t>
        </is>
      </c>
      <c r="AQ6" s="3" t="inlineStr">
        <is>
          <t>Extra</t>
        </is>
      </c>
      <c r="AR6" s="3" t="inlineStr">
        <is>
          <t>Ende</t>
        </is>
      </c>
      <c r="AS6" s="3" t="inlineStr">
        <is>
          <t>Start</t>
        </is>
      </c>
      <c r="AT6" s="3" t="inlineStr">
        <is>
          <t>Zins</t>
        </is>
      </c>
      <c r="AU6" s="3" t="inlineStr">
        <is>
          <t>Mindestrate</t>
        </is>
      </c>
      <c r="AV6" s="3" t="inlineStr">
        <is>
          <t>Rest</t>
        </is>
      </c>
      <c r="AW6" s="3" t="inlineStr">
        <is>
          <t>Extra</t>
        </is>
      </c>
      <c r="AX6" s="3" t="inlineStr">
        <is>
          <t>Ende</t>
        </is>
      </c>
      <c r="BC6" s="17" t="inlineStr">
        <is>
          <t>offen total</t>
        </is>
      </c>
    </row>
    <row r="7">
      <c r="A7" t="n">
        <v>1</v>
      </c>
      <c r="B7" s="19">
        <f>MAX(0,$B$3-(E7+K7+Q7+W7+AC7+AI7+AO7+AU7))</f>
        <v/>
      </c>
      <c r="C7">
        <f>MAX(0,Plan!C6)</f>
        <v/>
      </c>
      <c r="D7">
        <f>C7*Plan!D6/100/12</f>
        <v/>
      </c>
      <c r="E7">
        <f>MIN(Plan!E6,C7+D7)</f>
        <v/>
      </c>
      <c r="F7">
        <f>C7+D7-E7</f>
        <v/>
      </c>
      <c r="G7">
        <f>MIN(F7,MAX(0,$B7-((K$5&lt;E$5)*L7+(Q$5&lt;E$5)*R7+(W$5&lt;E$5)*X7+(AC$5&lt;E$5)*AD7+(AI$5&lt;E$5)*AJ7+(AO$5&lt;E$5)*AP7+(AU$5&lt;E$5)*AV7)))</f>
        <v/>
      </c>
      <c r="H7">
        <f>IF(F7-G7&lt;0.005,0,F7-G7)</f>
        <v/>
      </c>
      <c r="I7">
        <f>MAX(0,Plan!C7)</f>
        <v/>
      </c>
      <c r="J7">
        <f>I7*Plan!D7/100/12</f>
        <v/>
      </c>
      <c r="K7">
        <f>MIN(Plan!E7,I7+J7)</f>
        <v/>
      </c>
      <c r="L7">
        <f>I7+J7-K7</f>
        <v/>
      </c>
      <c r="M7">
        <f>MIN(L7,MAX(0,$B7-((E$5&lt;K$5)*F7+(Q$5&lt;K$5)*R7+(W$5&lt;K$5)*X7+(AC$5&lt;K$5)*AD7+(AI$5&lt;K$5)*AJ7+(AO$5&lt;K$5)*AP7+(AU$5&lt;K$5)*AV7)))</f>
        <v/>
      </c>
      <c r="N7">
        <f>IF(L7-M7&lt;0.005,0,L7-M7)</f>
        <v/>
      </c>
      <c r="O7">
        <f>MAX(0,Plan!C8)</f>
        <v/>
      </c>
      <c r="P7">
        <f>O7*Plan!D8/100/12</f>
        <v/>
      </c>
      <c r="Q7">
        <f>MIN(Plan!E8,O7+P7)</f>
        <v/>
      </c>
      <c r="R7">
        <f>O7+P7-Q7</f>
        <v/>
      </c>
      <c r="S7">
        <f>MIN(R7,MAX(0,$B7-((E$5&lt;Q$5)*F7+(K$5&lt;Q$5)*L7+(W$5&lt;Q$5)*X7+(AC$5&lt;Q$5)*AD7+(AI$5&lt;Q$5)*AJ7+(AO$5&lt;Q$5)*AP7+(AU$5&lt;Q$5)*AV7)))</f>
        <v/>
      </c>
      <c r="T7">
        <f>IF(R7-S7&lt;0.005,0,R7-S7)</f>
        <v/>
      </c>
      <c r="U7">
        <f>MAX(0,Plan!C9)</f>
        <v/>
      </c>
      <c r="V7">
        <f>U7*Plan!D9/100/12</f>
        <v/>
      </c>
      <c r="W7">
        <f>MIN(Plan!E9,U7+V7)</f>
        <v/>
      </c>
      <c r="X7">
        <f>U7+V7-W7</f>
        <v/>
      </c>
      <c r="Y7">
        <f>MIN(X7,MAX(0,$B7-((E$5&lt;W$5)*F7+(K$5&lt;W$5)*L7+(Q$5&lt;W$5)*R7+(AC$5&lt;W$5)*AD7+(AI$5&lt;W$5)*AJ7+(AO$5&lt;W$5)*AP7+(AU$5&lt;W$5)*AV7)))</f>
        <v/>
      </c>
      <c r="Z7">
        <f>IF(X7-Y7&lt;0.005,0,X7-Y7)</f>
        <v/>
      </c>
      <c r="AA7">
        <f>MAX(0,Plan!C10)</f>
        <v/>
      </c>
      <c r="AB7">
        <f>AA7*Plan!D10/100/12</f>
        <v/>
      </c>
      <c r="AC7">
        <f>MIN(Plan!E10,AA7+AB7)</f>
        <v/>
      </c>
      <c r="AD7">
        <f>AA7+AB7-AC7</f>
        <v/>
      </c>
      <c r="AE7">
        <f>MIN(AD7,MAX(0,$B7-((E$5&lt;AC$5)*F7+(K$5&lt;AC$5)*L7+(Q$5&lt;AC$5)*R7+(W$5&lt;AC$5)*X7+(AI$5&lt;AC$5)*AJ7+(AO$5&lt;AC$5)*AP7+(AU$5&lt;AC$5)*AV7)))</f>
        <v/>
      </c>
      <c r="AF7">
        <f>IF(AD7-AE7&lt;0.005,0,AD7-AE7)</f>
        <v/>
      </c>
      <c r="AG7">
        <f>MAX(0,Plan!C11)</f>
        <v/>
      </c>
      <c r="AH7">
        <f>AG7*Plan!D11/100/12</f>
        <v/>
      </c>
      <c r="AI7">
        <f>MIN(Plan!E11,AG7+AH7)</f>
        <v/>
      </c>
      <c r="AJ7">
        <f>AG7+AH7-AI7</f>
        <v/>
      </c>
      <c r="AK7">
        <f>MIN(AJ7,MAX(0,$B7-((E$5&lt;AI$5)*F7+(K$5&lt;AI$5)*L7+(Q$5&lt;AI$5)*R7+(W$5&lt;AI$5)*X7+(AC$5&lt;AI$5)*AD7+(AO$5&lt;AI$5)*AP7+(AU$5&lt;AI$5)*AV7)))</f>
        <v/>
      </c>
      <c r="AL7">
        <f>IF(AJ7-AK7&lt;0.005,0,AJ7-AK7)</f>
        <v/>
      </c>
      <c r="AM7">
        <f>MAX(0,Plan!C12)</f>
        <v/>
      </c>
      <c r="AN7">
        <f>AM7*Plan!D12/100/12</f>
        <v/>
      </c>
      <c r="AO7">
        <f>MIN(Plan!E12,AM7+AN7)</f>
        <v/>
      </c>
      <c r="AP7">
        <f>AM7+AN7-AO7</f>
        <v/>
      </c>
      <c r="AQ7">
        <f>MIN(AP7,MAX(0,$B7-((E$5&lt;AO$5)*F7+(K$5&lt;AO$5)*L7+(Q$5&lt;AO$5)*R7+(W$5&lt;AO$5)*X7+(AC$5&lt;AO$5)*AD7+(AI$5&lt;AO$5)*AJ7+(AU$5&lt;AO$5)*AV7)))</f>
        <v/>
      </c>
      <c r="AR7">
        <f>IF(AP7-AQ7&lt;0.005,0,AP7-AQ7)</f>
        <v/>
      </c>
      <c r="AS7">
        <f>MAX(0,Plan!C13)</f>
        <v/>
      </c>
      <c r="AT7">
        <f>AS7*Plan!D13/100/12</f>
        <v/>
      </c>
      <c r="AU7">
        <f>MIN(Plan!E13,AS7+AT7)</f>
        <v/>
      </c>
      <c r="AV7">
        <f>AS7+AT7-AU7</f>
        <v/>
      </c>
      <c r="AW7">
        <f>MIN(AV7,MAX(0,$B7-((E$5&lt;AU$5)*F7+(K$5&lt;AU$5)*L7+(Q$5&lt;AU$5)*R7+(W$5&lt;AU$5)*X7+(AC$5&lt;AU$5)*AD7+(AI$5&lt;AU$5)*AJ7+(AO$5&lt;AU$5)*AP7)))</f>
        <v/>
      </c>
      <c r="AX7">
        <f>IF(AV7-AW7&lt;0.005,0,AV7-AW7)</f>
        <v/>
      </c>
      <c r="BC7">
        <f>H7+N7+T7+Z7+AF7+AL7+AR7+AX7</f>
        <v/>
      </c>
    </row>
    <row r="8">
      <c r="A8" t="n">
        <v>2</v>
      </c>
      <c r="B8" s="19">
        <f>MAX(0,$B$3-(E8+K8+Q8+W8+AC8+AI8+AO8+AU8))</f>
        <v/>
      </c>
      <c r="C8">
        <f>H7</f>
        <v/>
      </c>
      <c r="D8">
        <f>C8*Plan!D6/100/12</f>
        <v/>
      </c>
      <c r="E8">
        <f>MIN(Plan!E6,C8+D8)</f>
        <v/>
      </c>
      <c r="F8">
        <f>C8+D8-E8</f>
        <v/>
      </c>
      <c r="G8">
        <f>MIN(F8,MAX(0,$B8-((K$5&lt;E$5)*L8+(Q$5&lt;E$5)*R8+(W$5&lt;E$5)*X8+(AC$5&lt;E$5)*AD8+(AI$5&lt;E$5)*AJ8+(AO$5&lt;E$5)*AP8+(AU$5&lt;E$5)*AV8)))</f>
        <v/>
      </c>
      <c r="H8">
        <f>IF(F8-G8&lt;0.005,0,F8-G8)</f>
        <v/>
      </c>
      <c r="I8">
        <f>N7</f>
        <v/>
      </c>
      <c r="J8">
        <f>I8*Plan!D7/100/12</f>
        <v/>
      </c>
      <c r="K8">
        <f>MIN(Plan!E7,I8+J8)</f>
        <v/>
      </c>
      <c r="L8">
        <f>I8+J8-K8</f>
        <v/>
      </c>
      <c r="M8">
        <f>MIN(L8,MAX(0,$B8-((E$5&lt;K$5)*F8+(Q$5&lt;K$5)*R8+(W$5&lt;K$5)*X8+(AC$5&lt;K$5)*AD8+(AI$5&lt;K$5)*AJ8+(AO$5&lt;K$5)*AP8+(AU$5&lt;K$5)*AV8)))</f>
        <v/>
      </c>
      <c r="N8">
        <f>IF(L8-M8&lt;0.005,0,L8-M8)</f>
        <v/>
      </c>
      <c r="O8">
        <f>T7</f>
        <v/>
      </c>
      <c r="P8">
        <f>O8*Plan!D8/100/12</f>
        <v/>
      </c>
      <c r="Q8">
        <f>MIN(Plan!E8,O8+P8)</f>
        <v/>
      </c>
      <c r="R8">
        <f>O8+P8-Q8</f>
        <v/>
      </c>
      <c r="S8">
        <f>MIN(R8,MAX(0,$B8-((E$5&lt;Q$5)*F8+(K$5&lt;Q$5)*L8+(W$5&lt;Q$5)*X8+(AC$5&lt;Q$5)*AD8+(AI$5&lt;Q$5)*AJ8+(AO$5&lt;Q$5)*AP8+(AU$5&lt;Q$5)*AV8)))</f>
        <v/>
      </c>
      <c r="T8">
        <f>IF(R8-S8&lt;0.005,0,R8-S8)</f>
        <v/>
      </c>
      <c r="U8">
        <f>Z7</f>
        <v/>
      </c>
      <c r="V8">
        <f>U8*Plan!D9/100/12</f>
        <v/>
      </c>
      <c r="W8">
        <f>MIN(Plan!E9,U8+V8)</f>
        <v/>
      </c>
      <c r="X8">
        <f>U8+V8-W8</f>
        <v/>
      </c>
      <c r="Y8">
        <f>MIN(X8,MAX(0,$B8-((E$5&lt;W$5)*F8+(K$5&lt;W$5)*L8+(Q$5&lt;W$5)*R8+(AC$5&lt;W$5)*AD8+(AI$5&lt;W$5)*AJ8+(AO$5&lt;W$5)*AP8+(AU$5&lt;W$5)*AV8)))</f>
        <v/>
      </c>
      <c r="Z8">
        <f>IF(X8-Y8&lt;0.005,0,X8-Y8)</f>
        <v/>
      </c>
      <c r="AA8">
        <f>AF7</f>
        <v/>
      </c>
      <c r="AB8">
        <f>AA8*Plan!D10/100/12</f>
        <v/>
      </c>
      <c r="AC8">
        <f>MIN(Plan!E10,AA8+AB8)</f>
        <v/>
      </c>
      <c r="AD8">
        <f>AA8+AB8-AC8</f>
        <v/>
      </c>
      <c r="AE8">
        <f>MIN(AD8,MAX(0,$B8-((E$5&lt;AC$5)*F8+(K$5&lt;AC$5)*L8+(Q$5&lt;AC$5)*R8+(W$5&lt;AC$5)*X8+(AI$5&lt;AC$5)*AJ8+(AO$5&lt;AC$5)*AP8+(AU$5&lt;AC$5)*AV8)))</f>
        <v/>
      </c>
      <c r="AF8">
        <f>IF(AD8-AE8&lt;0.005,0,AD8-AE8)</f>
        <v/>
      </c>
      <c r="AG8">
        <f>AL7</f>
        <v/>
      </c>
      <c r="AH8">
        <f>AG8*Plan!D11/100/12</f>
        <v/>
      </c>
      <c r="AI8">
        <f>MIN(Plan!E11,AG8+AH8)</f>
        <v/>
      </c>
      <c r="AJ8">
        <f>AG8+AH8-AI8</f>
        <v/>
      </c>
      <c r="AK8">
        <f>MIN(AJ8,MAX(0,$B8-((E$5&lt;AI$5)*F8+(K$5&lt;AI$5)*L8+(Q$5&lt;AI$5)*R8+(W$5&lt;AI$5)*X8+(AC$5&lt;AI$5)*AD8+(AO$5&lt;AI$5)*AP8+(AU$5&lt;AI$5)*AV8)))</f>
        <v/>
      </c>
      <c r="AL8">
        <f>IF(AJ8-AK8&lt;0.005,0,AJ8-AK8)</f>
        <v/>
      </c>
      <c r="AM8">
        <f>AR7</f>
        <v/>
      </c>
      <c r="AN8">
        <f>AM8*Plan!D12/100/12</f>
        <v/>
      </c>
      <c r="AO8">
        <f>MIN(Plan!E12,AM8+AN8)</f>
        <v/>
      </c>
      <c r="AP8">
        <f>AM8+AN8-AO8</f>
        <v/>
      </c>
      <c r="AQ8">
        <f>MIN(AP8,MAX(0,$B8-((E$5&lt;AO$5)*F8+(K$5&lt;AO$5)*L8+(Q$5&lt;AO$5)*R8+(W$5&lt;AO$5)*X8+(AC$5&lt;AO$5)*AD8+(AI$5&lt;AO$5)*AJ8+(AU$5&lt;AO$5)*AV8)))</f>
        <v/>
      </c>
      <c r="AR8">
        <f>IF(AP8-AQ8&lt;0.005,0,AP8-AQ8)</f>
        <v/>
      </c>
      <c r="AS8">
        <f>AX7</f>
        <v/>
      </c>
      <c r="AT8">
        <f>AS8*Plan!D13/100/12</f>
        <v/>
      </c>
      <c r="AU8">
        <f>MIN(Plan!E13,AS8+AT8)</f>
        <v/>
      </c>
      <c r="AV8">
        <f>AS8+AT8-AU8</f>
        <v/>
      </c>
      <c r="AW8">
        <f>MIN(AV8,MAX(0,$B8-((E$5&lt;AU$5)*F8+(K$5&lt;AU$5)*L8+(Q$5&lt;AU$5)*R8+(W$5&lt;AU$5)*X8+(AC$5&lt;AU$5)*AD8+(AI$5&lt;AU$5)*AJ8+(AO$5&lt;AU$5)*AP8)))</f>
        <v/>
      </c>
      <c r="AX8">
        <f>IF(AV8-AW8&lt;0.005,0,AV8-AW8)</f>
        <v/>
      </c>
      <c r="BC8">
        <f>H8+N8+T8+Z8+AF8+AL8+AR8+AX8</f>
        <v/>
      </c>
    </row>
    <row r="9">
      <c r="A9" t="n">
        <v>3</v>
      </c>
      <c r="B9" s="19">
        <f>MAX(0,$B$3-(E9+K9+Q9+W9+AC9+AI9+AO9+AU9))</f>
        <v/>
      </c>
      <c r="C9">
        <f>H8</f>
        <v/>
      </c>
      <c r="D9">
        <f>C9*Plan!D6/100/12</f>
        <v/>
      </c>
      <c r="E9">
        <f>MIN(Plan!E6,C9+D9)</f>
        <v/>
      </c>
      <c r="F9">
        <f>C9+D9-E9</f>
        <v/>
      </c>
      <c r="G9">
        <f>MIN(F9,MAX(0,$B9-((K$5&lt;E$5)*L9+(Q$5&lt;E$5)*R9+(W$5&lt;E$5)*X9+(AC$5&lt;E$5)*AD9+(AI$5&lt;E$5)*AJ9+(AO$5&lt;E$5)*AP9+(AU$5&lt;E$5)*AV9)))</f>
        <v/>
      </c>
      <c r="H9">
        <f>IF(F9-G9&lt;0.005,0,F9-G9)</f>
        <v/>
      </c>
      <c r="I9">
        <f>N8</f>
        <v/>
      </c>
      <c r="J9">
        <f>I9*Plan!D7/100/12</f>
        <v/>
      </c>
      <c r="K9">
        <f>MIN(Plan!E7,I9+J9)</f>
        <v/>
      </c>
      <c r="L9">
        <f>I9+J9-K9</f>
        <v/>
      </c>
      <c r="M9">
        <f>MIN(L9,MAX(0,$B9-((E$5&lt;K$5)*F9+(Q$5&lt;K$5)*R9+(W$5&lt;K$5)*X9+(AC$5&lt;K$5)*AD9+(AI$5&lt;K$5)*AJ9+(AO$5&lt;K$5)*AP9+(AU$5&lt;K$5)*AV9)))</f>
        <v/>
      </c>
      <c r="N9">
        <f>IF(L9-M9&lt;0.005,0,L9-M9)</f>
        <v/>
      </c>
      <c r="O9">
        <f>T8</f>
        <v/>
      </c>
      <c r="P9">
        <f>O9*Plan!D8/100/12</f>
        <v/>
      </c>
      <c r="Q9">
        <f>MIN(Plan!E8,O9+P9)</f>
        <v/>
      </c>
      <c r="R9">
        <f>O9+P9-Q9</f>
        <v/>
      </c>
      <c r="S9">
        <f>MIN(R9,MAX(0,$B9-((E$5&lt;Q$5)*F9+(K$5&lt;Q$5)*L9+(W$5&lt;Q$5)*X9+(AC$5&lt;Q$5)*AD9+(AI$5&lt;Q$5)*AJ9+(AO$5&lt;Q$5)*AP9+(AU$5&lt;Q$5)*AV9)))</f>
        <v/>
      </c>
      <c r="T9">
        <f>IF(R9-S9&lt;0.005,0,R9-S9)</f>
        <v/>
      </c>
      <c r="U9">
        <f>Z8</f>
        <v/>
      </c>
      <c r="V9">
        <f>U9*Plan!D9/100/12</f>
        <v/>
      </c>
      <c r="W9">
        <f>MIN(Plan!E9,U9+V9)</f>
        <v/>
      </c>
      <c r="X9">
        <f>U9+V9-W9</f>
        <v/>
      </c>
      <c r="Y9">
        <f>MIN(X9,MAX(0,$B9-((E$5&lt;W$5)*F9+(K$5&lt;W$5)*L9+(Q$5&lt;W$5)*R9+(AC$5&lt;W$5)*AD9+(AI$5&lt;W$5)*AJ9+(AO$5&lt;W$5)*AP9+(AU$5&lt;W$5)*AV9)))</f>
        <v/>
      </c>
      <c r="Z9">
        <f>IF(X9-Y9&lt;0.005,0,X9-Y9)</f>
        <v/>
      </c>
      <c r="AA9">
        <f>AF8</f>
        <v/>
      </c>
      <c r="AB9">
        <f>AA9*Plan!D10/100/12</f>
        <v/>
      </c>
      <c r="AC9">
        <f>MIN(Plan!E10,AA9+AB9)</f>
        <v/>
      </c>
      <c r="AD9">
        <f>AA9+AB9-AC9</f>
        <v/>
      </c>
      <c r="AE9">
        <f>MIN(AD9,MAX(0,$B9-((E$5&lt;AC$5)*F9+(K$5&lt;AC$5)*L9+(Q$5&lt;AC$5)*R9+(W$5&lt;AC$5)*X9+(AI$5&lt;AC$5)*AJ9+(AO$5&lt;AC$5)*AP9+(AU$5&lt;AC$5)*AV9)))</f>
        <v/>
      </c>
      <c r="AF9">
        <f>IF(AD9-AE9&lt;0.005,0,AD9-AE9)</f>
        <v/>
      </c>
      <c r="AG9">
        <f>AL8</f>
        <v/>
      </c>
      <c r="AH9">
        <f>AG9*Plan!D11/100/12</f>
        <v/>
      </c>
      <c r="AI9">
        <f>MIN(Plan!E11,AG9+AH9)</f>
        <v/>
      </c>
      <c r="AJ9">
        <f>AG9+AH9-AI9</f>
        <v/>
      </c>
      <c r="AK9">
        <f>MIN(AJ9,MAX(0,$B9-((E$5&lt;AI$5)*F9+(K$5&lt;AI$5)*L9+(Q$5&lt;AI$5)*R9+(W$5&lt;AI$5)*X9+(AC$5&lt;AI$5)*AD9+(AO$5&lt;AI$5)*AP9+(AU$5&lt;AI$5)*AV9)))</f>
        <v/>
      </c>
      <c r="AL9">
        <f>IF(AJ9-AK9&lt;0.005,0,AJ9-AK9)</f>
        <v/>
      </c>
      <c r="AM9">
        <f>AR8</f>
        <v/>
      </c>
      <c r="AN9">
        <f>AM9*Plan!D12/100/12</f>
        <v/>
      </c>
      <c r="AO9">
        <f>MIN(Plan!E12,AM9+AN9)</f>
        <v/>
      </c>
      <c r="AP9">
        <f>AM9+AN9-AO9</f>
        <v/>
      </c>
      <c r="AQ9">
        <f>MIN(AP9,MAX(0,$B9-((E$5&lt;AO$5)*F9+(K$5&lt;AO$5)*L9+(Q$5&lt;AO$5)*R9+(W$5&lt;AO$5)*X9+(AC$5&lt;AO$5)*AD9+(AI$5&lt;AO$5)*AJ9+(AU$5&lt;AO$5)*AV9)))</f>
        <v/>
      </c>
      <c r="AR9">
        <f>IF(AP9-AQ9&lt;0.005,0,AP9-AQ9)</f>
        <v/>
      </c>
      <c r="AS9">
        <f>AX8</f>
        <v/>
      </c>
      <c r="AT9">
        <f>AS9*Plan!D13/100/12</f>
        <v/>
      </c>
      <c r="AU9">
        <f>MIN(Plan!E13,AS9+AT9)</f>
        <v/>
      </c>
      <c r="AV9">
        <f>AS9+AT9-AU9</f>
        <v/>
      </c>
      <c r="AW9">
        <f>MIN(AV9,MAX(0,$B9-((E$5&lt;AU$5)*F9+(K$5&lt;AU$5)*L9+(Q$5&lt;AU$5)*R9+(W$5&lt;AU$5)*X9+(AC$5&lt;AU$5)*AD9+(AI$5&lt;AU$5)*AJ9+(AO$5&lt;AU$5)*AP9)))</f>
        <v/>
      </c>
      <c r="AX9">
        <f>IF(AV9-AW9&lt;0.005,0,AV9-AW9)</f>
        <v/>
      </c>
      <c r="BC9">
        <f>H9+N9+T9+Z9+AF9+AL9+AR9+AX9</f>
        <v/>
      </c>
    </row>
    <row r="10">
      <c r="A10" t="n">
        <v>4</v>
      </c>
      <c r="B10" s="19">
        <f>MAX(0,$B$3-(E10+K10+Q10+W10+AC10+AI10+AO10+AU10))</f>
        <v/>
      </c>
      <c r="C10">
        <f>H9</f>
        <v/>
      </c>
      <c r="D10">
        <f>C10*Plan!D6/100/12</f>
        <v/>
      </c>
      <c r="E10">
        <f>MIN(Plan!E6,C10+D10)</f>
        <v/>
      </c>
      <c r="F10">
        <f>C10+D10-E10</f>
        <v/>
      </c>
      <c r="G10">
        <f>MIN(F10,MAX(0,$B10-((K$5&lt;E$5)*L10+(Q$5&lt;E$5)*R10+(W$5&lt;E$5)*X10+(AC$5&lt;E$5)*AD10+(AI$5&lt;E$5)*AJ10+(AO$5&lt;E$5)*AP10+(AU$5&lt;E$5)*AV10)))</f>
        <v/>
      </c>
      <c r="H10">
        <f>IF(F10-G10&lt;0.005,0,F10-G10)</f>
        <v/>
      </c>
      <c r="I10">
        <f>N9</f>
        <v/>
      </c>
      <c r="J10">
        <f>I10*Plan!D7/100/12</f>
        <v/>
      </c>
      <c r="K10">
        <f>MIN(Plan!E7,I10+J10)</f>
        <v/>
      </c>
      <c r="L10">
        <f>I10+J10-K10</f>
        <v/>
      </c>
      <c r="M10">
        <f>MIN(L10,MAX(0,$B10-((E$5&lt;K$5)*F10+(Q$5&lt;K$5)*R10+(W$5&lt;K$5)*X10+(AC$5&lt;K$5)*AD10+(AI$5&lt;K$5)*AJ10+(AO$5&lt;K$5)*AP10+(AU$5&lt;K$5)*AV10)))</f>
        <v/>
      </c>
      <c r="N10">
        <f>IF(L10-M10&lt;0.005,0,L10-M10)</f>
        <v/>
      </c>
      <c r="O10">
        <f>T9</f>
        <v/>
      </c>
      <c r="P10">
        <f>O10*Plan!D8/100/12</f>
        <v/>
      </c>
      <c r="Q10">
        <f>MIN(Plan!E8,O10+P10)</f>
        <v/>
      </c>
      <c r="R10">
        <f>O10+P10-Q10</f>
        <v/>
      </c>
      <c r="S10">
        <f>MIN(R10,MAX(0,$B10-((E$5&lt;Q$5)*F10+(K$5&lt;Q$5)*L10+(W$5&lt;Q$5)*X10+(AC$5&lt;Q$5)*AD10+(AI$5&lt;Q$5)*AJ10+(AO$5&lt;Q$5)*AP10+(AU$5&lt;Q$5)*AV10)))</f>
        <v/>
      </c>
      <c r="T10">
        <f>IF(R10-S10&lt;0.005,0,R10-S10)</f>
        <v/>
      </c>
      <c r="U10">
        <f>Z9</f>
        <v/>
      </c>
      <c r="V10">
        <f>U10*Plan!D9/100/12</f>
        <v/>
      </c>
      <c r="W10">
        <f>MIN(Plan!E9,U10+V10)</f>
        <v/>
      </c>
      <c r="X10">
        <f>U10+V10-W10</f>
        <v/>
      </c>
      <c r="Y10">
        <f>MIN(X10,MAX(0,$B10-((E$5&lt;W$5)*F10+(K$5&lt;W$5)*L10+(Q$5&lt;W$5)*R10+(AC$5&lt;W$5)*AD10+(AI$5&lt;W$5)*AJ10+(AO$5&lt;W$5)*AP10+(AU$5&lt;W$5)*AV10)))</f>
        <v/>
      </c>
      <c r="Z10">
        <f>IF(X10-Y10&lt;0.005,0,X10-Y10)</f>
        <v/>
      </c>
      <c r="AA10">
        <f>AF9</f>
        <v/>
      </c>
      <c r="AB10">
        <f>AA10*Plan!D10/100/12</f>
        <v/>
      </c>
      <c r="AC10">
        <f>MIN(Plan!E10,AA10+AB10)</f>
        <v/>
      </c>
      <c r="AD10">
        <f>AA10+AB10-AC10</f>
        <v/>
      </c>
      <c r="AE10">
        <f>MIN(AD10,MAX(0,$B10-((E$5&lt;AC$5)*F10+(K$5&lt;AC$5)*L10+(Q$5&lt;AC$5)*R10+(W$5&lt;AC$5)*X10+(AI$5&lt;AC$5)*AJ10+(AO$5&lt;AC$5)*AP10+(AU$5&lt;AC$5)*AV10)))</f>
        <v/>
      </c>
      <c r="AF10">
        <f>IF(AD10-AE10&lt;0.005,0,AD10-AE10)</f>
        <v/>
      </c>
      <c r="AG10">
        <f>AL9</f>
        <v/>
      </c>
      <c r="AH10">
        <f>AG10*Plan!D11/100/12</f>
        <v/>
      </c>
      <c r="AI10">
        <f>MIN(Plan!E11,AG10+AH10)</f>
        <v/>
      </c>
      <c r="AJ10">
        <f>AG10+AH10-AI10</f>
        <v/>
      </c>
      <c r="AK10">
        <f>MIN(AJ10,MAX(0,$B10-((E$5&lt;AI$5)*F10+(K$5&lt;AI$5)*L10+(Q$5&lt;AI$5)*R10+(W$5&lt;AI$5)*X10+(AC$5&lt;AI$5)*AD10+(AO$5&lt;AI$5)*AP10+(AU$5&lt;AI$5)*AV10)))</f>
        <v/>
      </c>
      <c r="AL10">
        <f>IF(AJ10-AK10&lt;0.005,0,AJ10-AK10)</f>
        <v/>
      </c>
      <c r="AM10">
        <f>AR9</f>
        <v/>
      </c>
      <c r="AN10">
        <f>AM10*Plan!D12/100/12</f>
        <v/>
      </c>
      <c r="AO10">
        <f>MIN(Plan!E12,AM10+AN10)</f>
        <v/>
      </c>
      <c r="AP10">
        <f>AM10+AN10-AO10</f>
        <v/>
      </c>
      <c r="AQ10">
        <f>MIN(AP10,MAX(0,$B10-((E$5&lt;AO$5)*F10+(K$5&lt;AO$5)*L10+(Q$5&lt;AO$5)*R10+(W$5&lt;AO$5)*X10+(AC$5&lt;AO$5)*AD10+(AI$5&lt;AO$5)*AJ10+(AU$5&lt;AO$5)*AV10)))</f>
        <v/>
      </c>
      <c r="AR10">
        <f>IF(AP10-AQ10&lt;0.005,0,AP10-AQ10)</f>
        <v/>
      </c>
      <c r="AS10">
        <f>AX9</f>
        <v/>
      </c>
      <c r="AT10">
        <f>AS10*Plan!D13/100/12</f>
        <v/>
      </c>
      <c r="AU10">
        <f>MIN(Plan!E13,AS10+AT10)</f>
        <v/>
      </c>
      <c r="AV10">
        <f>AS10+AT10-AU10</f>
        <v/>
      </c>
      <c r="AW10">
        <f>MIN(AV10,MAX(0,$B10-((E$5&lt;AU$5)*F10+(K$5&lt;AU$5)*L10+(Q$5&lt;AU$5)*R10+(W$5&lt;AU$5)*X10+(AC$5&lt;AU$5)*AD10+(AI$5&lt;AU$5)*AJ10+(AO$5&lt;AU$5)*AP10)))</f>
        <v/>
      </c>
      <c r="AX10">
        <f>IF(AV10-AW10&lt;0.005,0,AV10-AW10)</f>
        <v/>
      </c>
      <c r="BC10">
        <f>H10+N10+T10+Z10+AF10+AL10+AR10+AX10</f>
        <v/>
      </c>
    </row>
    <row r="11">
      <c r="A11" t="n">
        <v>5</v>
      </c>
      <c r="B11" s="19">
        <f>MAX(0,$B$3-(E11+K11+Q11+W11+AC11+AI11+AO11+AU11))</f>
        <v/>
      </c>
      <c r="C11">
        <f>H10</f>
        <v/>
      </c>
      <c r="D11">
        <f>C11*Plan!D6/100/12</f>
        <v/>
      </c>
      <c r="E11">
        <f>MIN(Plan!E6,C11+D11)</f>
        <v/>
      </c>
      <c r="F11">
        <f>C11+D11-E11</f>
        <v/>
      </c>
      <c r="G11">
        <f>MIN(F11,MAX(0,$B11-((K$5&lt;E$5)*L11+(Q$5&lt;E$5)*R11+(W$5&lt;E$5)*X11+(AC$5&lt;E$5)*AD11+(AI$5&lt;E$5)*AJ11+(AO$5&lt;E$5)*AP11+(AU$5&lt;E$5)*AV11)))</f>
        <v/>
      </c>
      <c r="H11">
        <f>IF(F11-G11&lt;0.005,0,F11-G11)</f>
        <v/>
      </c>
      <c r="I11">
        <f>N10</f>
        <v/>
      </c>
      <c r="J11">
        <f>I11*Plan!D7/100/12</f>
        <v/>
      </c>
      <c r="K11">
        <f>MIN(Plan!E7,I11+J11)</f>
        <v/>
      </c>
      <c r="L11">
        <f>I11+J11-K11</f>
        <v/>
      </c>
      <c r="M11">
        <f>MIN(L11,MAX(0,$B11-((E$5&lt;K$5)*F11+(Q$5&lt;K$5)*R11+(W$5&lt;K$5)*X11+(AC$5&lt;K$5)*AD11+(AI$5&lt;K$5)*AJ11+(AO$5&lt;K$5)*AP11+(AU$5&lt;K$5)*AV11)))</f>
        <v/>
      </c>
      <c r="N11">
        <f>IF(L11-M11&lt;0.005,0,L11-M11)</f>
        <v/>
      </c>
      <c r="O11">
        <f>T10</f>
        <v/>
      </c>
      <c r="P11">
        <f>O11*Plan!D8/100/12</f>
        <v/>
      </c>
      <c r="Q11">
        <f>MIN(Plan!E8,O11+P11)</f>
        <v/>
      </c>
      <c r="R11">
        <f>O11+P11-Q11</f>
        <v/>
      </c>
      <c r="S11">
        <f>MIN(R11,MAX(0,$B11-((E$5&lt;Q$5)*F11+(K$5&lt;Q$5)*L11+(W$5&lt;Q$5)*X11+(AC$5&lt;Q$5)*AD11+(AI$5&lt;Q$5)*AJ11+(AO$5&lt;Q$5)*AP11+(AU$5&lt;Q$5)*AV11)))</f>
        <v/>
      </c>
      <c r="T11">
        <f>IF(R11-S11&lt;0.005,0,R11-S11)</f>
        <v/>
      </c>
      <c r="U11">
        <f>Z10</f>
        <v/>
      </c>
      <c r="V11">
        <f>U11*Plan!D9/100/12</f>
        <v/>
      </c>
      <c r="W11">
        <f>MIN(Plan!E9,U11+V11)</f>
        <v/>
      </c>
      <c r="X11">
        <f>U11+V11-W11</f>
        <v/>
      </c>
      <c r="Y11">
        <f>MIN(X11,MAX(0,$B11-((E$5&lt;W$5)*F11+(K$5&lt;W$5)*L11+(Q$5&lt;W$5)*R11+(AC$5&lt;W$5)*AD11+(AI$5&lt;W$5)*AJ11+(AO$5&lt;W$5)*AP11+(AU$5&lt;W$5)*AV11)))</f>
        <v/>
      </c>
      <c r="Z11">
        <f>IF(X11-Y11&lt;0.005,0,X11-Y11)</f>
        <v/>
      </c>
      <c r="AA11">
        <f>AF10</f>
        <v/>
      </c>
      <c r="AB11">
        <f>AA11*Plan!D10/100/12</f>
        <v/>
      </c>
      <c r="AC11">
        <f>MIN(Plan!E10,AA11+AB11)</f>
        <v/>
      </c>
      <c r="AD11">
        <f>AA11+AB11-AC11</f>
        <v/>
      </c>
      <c r="AE11">
        <f>MIN(AD11,MAX(0,$B11-((E$5&lt;AC$5)*F11+(K$5&lt;AC$5)*L11+(Q$5&lt;AC$5)*R11+(W$5&lt;AC$5)*X11+(AI$5&lt;AC$5)*AJ11+(AO$5&lt;AC$5)*AP11+(AU$5&lt;AC$5)*AV11)))</f>
        <v/>
      </c>
      <c r="AF11">
        <f>IF(AD11-AE11&lt;0.005,0,AD11-AE11)</f>
        <v/>
      </c>
      <c r="AG11">
        <f>AL10</f>
        <v/>
      </c>
      <c r="AH11">
        <f>AG11*Plan!D11/100/12</f>
        <v/>
      </c>
      <c r="AI11">
        <f>MIN(Plan!E11,AG11+AH11)</f>
        <v/>
      </c>
      <c r="AJ11">
        <f>AG11+AH11-AI11</f>
        <v/>
      </c>
      <c r="AK11">
        <f>MIN(AJ11,MAX(0,$B11-((E$5&lt;AI$5)*F11+(K$5&lt;AI$5)*L11+(Q$5&lt;AI$5)*R11+(W$5&lt;AI$5)*X11+(AC$5&lt;AI$5)*AD11+(AO$5&lt;AI$5)*AP11+(AU$5&lt;AI$5)*AV11)))</f>
        <v/>
      </c>
      <c r="AL11">
        <f>IF(AJ11-AK11&lt;0.005,0,AJ11-AK11)</f>
        <v/>
      </c>
      <c r="AM11">
        <f>AR10</f>
        <v/>
      </c>
      <c r="AN11">
        <f>AM11*Plan!D12/100/12</f>
        <v/>
      </c>
      <c r="AO11">
        <f>MIN(Plan!E12,AM11+AN11)</f>
        <v/>
      </c>
      <c r="AP11">
        <f>AM11+AN11-AO11</f>
        <v/>
      </c>
      <c r="AQ11">
        <f>MIN(AP11,MAX(0,$B11-((E$5&lt;AO$5)*F11+(K$5&lt;AO$5)*L11+(Q$5&lt;AO$5)*R11+(W$5&lt;AO$5)*X11+(AC$5&lt;AO$5)*AD11+(AI$5&lt;AO$5)*AJ11+(AU$5&lt;AO$5)*AV11)))</f>
        <v/>
      </c>
      <c r="AR11">
        <f>IF(AP11-AQ11&lt;0.005,0,AP11-AQ11)</f>
        <v/>
      </c>
      <c r="AS11">
        <f>AX10</f>
        <v/>
      </c>
      <c r="AT11">
        <f>AS11*Plan!D13/100/12</f>
        <v/>
      </c>
      <c r="AU11">
        <f>MIN(Plan!E13,AS11+AT11)</f>
        <v/>
      </c>
      <c r="AV11">
        <f>AS11+AT11-AU11</f>
        <v/>
      </c>
      <c r="AW11">
        <f>MIN(AV11,MAX(0,$B11-((E$5&lt;AU$5)*F11+(K$5&lt;AU$5)*L11+(Q$5&lt;AU$5)*R11+(W$5&lt;AU$5)*X11+(AC$5&lt;AU$5)*AD11+(AI$5&lt;AU$5)*AJ11+(AO$5&lt;AU$5)*AP11)))</f>
        <v/>
      </c>
      <c r="AX11">
        <f>IF(AV11-AW11&lt;0.005,0,AV11-AW11)</f>
        <v/>
      </c>
      <c r="BC11">
        <f>H11+N11+T11+Z11+AF11+AL11+AR11+AX11</f>
        <v/>
      </c>
    </row>
    <row r="12">
      <c r="A12" t="n">
        <v>6</v>
      </c>
      <c r="B12" s="19">
        <f>MAX(0,$B$3-(E12+K12+Q12+W12+AC12+AI12+AO12+AU12))</f>
        <v/>
      </c>
      <c r="C12">
        <f>H11</f>
        <v/>
      </c>
      <c r="D12">
        <f>C12*Plan!D6/100/12</f>
        <v/>
      </c>
      <c r="E12">
        <f>MIN(Plan!E6,C12+D12)</f>
        <v/>
      </c>
      <c r="F12">
        <f>C12+D12-E12</f>
        <v/>
      </c>
      <c r="G12">
        <f>MIN(F12,MAX(0,$B12-((K$5&lt;E$5)*L12+(Q$5&lt;E$5)*R12+(W$5&lt;E$5)*X12+(AC$5&lt;E$5)*AD12+(AI$5&lt;E$5)*AJ12+(AO$5&lt;E$5)*AP12+(AU$5&lt;E$5)*AV12)))</f>
        <v/>
      </c>
      <c r="H12">
        <f>IF(F12-G12&lt;0.005,0,F12-G12)</f>
        <v/>
      </c>
      <c r="I12">
        <f>N11</f>
        <v/>
      </c>
      <c r="J12">
        <f>I12*Plan!D7/100/12</f>
        <v/>
      </c>
      <c r="K12">
        <f>MIN(Plan!E7,I12+J12)</f>
        <v/>
      </c>
      <c r="L12">
        <f>I12+J12-K12</f>
        <v/>
      </c>
      <c r="M12">
        <f>MIN(L12,MAX(0,$B12-((E$5&lt;K$5)*F12+(Q$5&lt;K$5)*R12+(W$5&lt;K$5)*X12+(AC$5&lt;K$5)*AD12+(AI$5&lt;K$5)*AJ12+(AO$5&lt;K$5)*AP12+(AU$5&lt;K$5)*AV12)))</f>
        <v/>
      </c>
      <c r="N12">
        <f>IF(L12-M12&lt;0.005,0,L12-M12)</f>
        <v/>
      </c>
      <c r="O12">
        <f>T11</f>
        <v/>
      </c>
      <c r="P12">
        <f>O12*Plan!D8/100/12</f>
        <v/>
      </c>
      <c r="Q12">
        <f>MIN(Plan!E8,O12+P12)</f>
        <v/>
      </c>
      <c r="R12">
        <f>O12+P12-Q12</f>
        <v/>
      </c>
      <c r="S12">
        <f>MIN(R12,MAX(0,$B12-((E$5&lt;Q$5)*F12+(K$5&lt;Q$5)*L12+(W$5&lt;Q$5)*X12+(AC$5&lt;Q$5)*AD12+(AI$5&lt;Q$5)*AJ12+(AO$5&lt;Q$5)*AP12+(AU$5&lt;Q$5)*AV12)))</f>
        <v/>
      </c>
      <c r="T12">
        <f>IF(R12-S12&lt;0.005,0,R12-S12)</f>
        <v/>
      </c>
      <c r="U12">
        <f>Z11</f>
        <v/>
      </c>
      <c r="V12">
        <f>U12*Plan!D9/100/12</f>
        <v/>
      </c>
      <c r="W12">
        <f>MIN(Plan!E9,U12+V12)</f>
        <v/>
      </c>
      <c r="X12">
        <f>U12+V12-W12</f>
        <v/>
      </c>
      <c r="Y12">
        <f>MIN(X12,MAX(0,$B12-((E$5&lt;W$5)*F12+(K$5&lt;W$5)*L12+(Q$5&lt;W$5)*R12+(AC$5&lt;W$5)*AD12+(AI$5&lt;W$5)*AJ12+(AO$5&lt;W$5)*AP12+(AU$5&lt;W$5)*AV12)))</f>
        <v/>
      </c>
      <c r="Z12">
        <f>IF(X12-Y12&lt;0.005,0,X12-Y12)</f>
        <v/>
      </c>
      <c r="AA12">
        <f>AF11</f>
        <v/>
      </c>
      <c r="AB12">
        <f>AA12*Plan!D10/100/12</f>
        <v/>
      </c>
      <c r="AC12">
        <f>MIN(Plan!E10,AA12+AB12)</f>
        <v/>
      </c>
      <c r="AD12">
        <f>AA12+AB12-AC12</f>
        <v/>
      </c>
      <c r="AE12">
        <f>MIN(AD12,MAX(0,$B12-((E$5&lt;AC$5)*F12+(K$5&lt;AC$5)*L12+(Q$5&lt;AC$5)*R12+(W$5&lt;AC$5)*X12+(AI$5&lt;AC$5)*AJ12+(AO$5&lt;AC$5)*AP12+(AU$5&lt;AC$5)*AV12)))</f>
        <v/>
      </c>
      <c r="AF12">
        <f>IF(AD12-AE12&lt;0.005,0,AD12-AE12)</f>
        <v/>
      </c>
      <c r="AG12">
        <f>AL11</f>
        <v/>
      </c>
      <c r="AH12">
        <f>AG12*Plan!D11/100/12</f>
        <v/>
      </c>
      <c r="AI12">
        <f>MIN(Plan!E11,AG12+AH12)</f>
        <v/>
      </c>
      <c r="AJ12">
        <f>AG12+AH12-AI12</f>
        <v/>
      </c>
      <c r="AK12">
        <f>MIN(AJ12,MAX(0,$B12-((E$5&lt;AI$5)*F12+(K$5&lt;AI$5)*L12+(Q$5&lt;AI$5)*R12+(W$5&lt;AI$5)*X12+(AC$5&lt;AI$5)*AD12+(AO$5&lt;AI$5)*AP12+(AU$5&lt;AI$5)*AV12)))</f>
        <v/>
      </c>
      <c r="AL12">
        <f>IF(AJ12-AK12&lt;0.005,0,AJ12-AK12)</f>
        <v/>
      </c>
      <c r="AM12">
        <f>AR11</f>
        <v/>
      </c>
      <c r="AN12">
        <f>AM12*Plan!D12/100/12</f>
        <v/>
      </c>
      <c r="AO12">
        <f>MIN(Plan!E12,AM12+AN12)</f>
        <v/>
      </c>
      <c r="AP12">
        <f>AM12+AN12-AO12</f>
        <v/>
      </c>
      <c r="AQ12">
        <f>MIN(AP12,MAX(0,$B12-((E$5&lt;AO$5)*F12+(K$5&lt;AO$5)*L12+(Q$5&lt;AO$5)*R12+(W$5&lt;AO$5)*X12+(AC$5&lt;AO$5)*AD12+(AI$5&lt;AO$5)*AJ12+(AU$5&lt;AO$5)*AV12)))</f>
        <v/>
      </c>
      <c r="AR12">
        <f>IF(AP12-AQ12&lt;0.005,0,AP12-AQ12)</f>
        <v/>
      </c>
      <c r="AS12">
        <f>AX11</f>
        <v/>
      </c>
      <c r="AT12">
        <f>AS12*Plan!D13/100/12</f>
        <v/>
      </c>
      <c r="AU12">
        <f>MIN(Plan!E13,AS12+AT12)</f>
        <v/>
      </c>
      <c r="AV12">
        <f>AS12+AT12-AU12</f>
        <v/>
      </c>
      <c r="AW12">
        <f>MIN(AV12,MAX(0,$B12-((E$5&lt;AU$5)*F12+(K$5&lt;AU$5)*L12+(Q$5&lt;AU$5)*R12+(W$5&lt;AU$5)*X12+(AC$5&lt;AU$5)*AD12+(AI$5&lt;AU$5)*AJ12+(AO$5&lt;AU$5)*AP12)))</f>
        <v/>
      </c>
      <c r="AX12">
        <f>IF(AV12-AW12&lt;0.005,0,AV12-AW12)</f>
        <v/>
      </c>
      <c r="BC12">
        <f>H12+N12+T12+Z12+AF12+AL12+AR12+AX12</f>
        <v/>
      </c>
    </row>
    <row r="13">
      <c r="A13" t="n">
        <v>7</v>
      </c>
      <c r="B13" s="19">
        <f>MAX(0,$B$3-(E13+K13+Q13+W13+AC13+AI13+AO13+AU13))</f>
        <v/>
      </c>
      <c r="C13">
        <f>H12</f>
        <v/>
      </c>
      <c r="D13">
        <f>C13*Plan!D6/100/12</f>
        <v/>
      </c>
      <c r="E13">
        <f>MIN(Plan!E6,C13+D13)</f>
        <v/>
      </c>
      <c r="F13">
        <f>C13+D13-E13</f>
        <v/>
      </c>
      <c r="G13">
        <f>MIN(F13,MAX(0,$B13-((K$5&lt;E$5)*L13+(Q$5&lt;E$5)*R13+(W$5&lt;E$5)*X13+(AC$5&lt;E$5)*AD13+(AI$5&lt;E$5)*AJ13+(AO$5&lt;E$5)*AP13+(AU$5&lt;E$5)*AV13)))</f>
        <v/>
      </c>
      <c r="H13">
        <f>IF(F13-G13&lt;0.005,0,F13-G13)</f>
        <v/>
      </c>
      <c r="I13">
        <f>N12</f>
        <v/>
      </c>
      <c r="J13">
        <f>I13*Plan!D7/100/12</f>
        <v/>
      </c>
      <c r="K13">
        <f>MIN(Plan!E7,I13+J13)</f>
        <v/>
      </c>
      <c r="L13">
        <f>I13+J13-K13</f>
        <v/>
      </c>
      <c r="M13">
        <f>MIN(L13,MAX(0,$B13-((E$5&lt;K$5)*F13+(Q$5&lt;K$5)*R13+(W$5&lt;K$5)*X13+(AC$5&lt;K$5)*AD13+(AI$5&lt;K$5)*AJ13+(AO$5&lt;K$5)*AP13+(AU$5&lt;K$5)*AV13)))</f>
        <v/>
      </c>
      <c r="N13">
        <f>IF(L13-M13&lt;0.005,0,L13-M13)</f>
        <v/>
      </c>
      <c r="O13">
        <f>T12</f>
        <v/>
      </c>
      <c r="P13">
        <f>O13*Plan!D8/100/12</f>
        <v/>
      </c>
      <c r="Q13">
        <f>MIN(Plan!E8,O13+P13)</f>
        <v/>
      </c>
      <c r="R13">
        <f>O13+P13-Q13</f>
        <v/>
      </c>
      <c r="S13">
        <f>MIN(R13,MAX(0,$B13-((E$5&lt;Q$5)*F13+(K$5&lt;Q$5)*L13+(W$5&lt;Q$5)*X13+(AC$5&lt;Q$5)*AD13+(AI$5&lt;Q$5)*AJ13+(AO$5&lt;Q$5)*AP13+(AU$5&lt;Q$5)*AV13)))</f>
        <v/>
      </c>
      <c r="T13">
        <f>IF(R13-S13&lt;0.005,0,R13-S13)</f>
        <v/>
      </c>
      <c r="U13">
        <f>Z12</f>
        <v/>
      </c>
      <c r="V13">
        <f>U13*Plan!D9/100/12</f>
        <v/>
      </c>
      <c r="W13">
        <f>MIN(Plan!E9,U13+V13)</f>
        <v/>
      </c>
      <c r="X13">
        <f>U13+V13-W13</f>
        <v/>
      </c>
      <c r="Y13">
        <f>MIN(X13,MAX(0,$B13-((E$5&lt;W$5)*F13+(K$5&lt;W$5)*L13+(Q$5&lt;W$5)*R13+(AC$5&lt;W$5)*AD13+(AI$5&lt;W$5)*AJ13+(AO$5&lt;W$5)*AP13+(AU$5&lt;W$5)*AV13)))</f>
        <v/>
      </c>
      <c r="Z13">
        <f>IF(X13-Y13&lt;0.005,0,X13-Y13)</f>
        <v/>
      </c>
      <c r="AA13">
        <f>AF12</f>
        <v/>
      </c>
      <c r="AB13">
        <f>AA13*Plan!D10/100/12</f>
        <v/>
      </c>
      <c r="AC13">
        <f>MIN(Plan!E10,AA13+AB13)</f>
        <v/>
      </c>
      <c r="AD13">
        <f>AA13+AB13-AC13</f>
        <v/>
      </c>
      <c r="AE13">
        <f>MIN(AD13,MAX(0,$B13-((E$5&lt;AC$5)*F13+(K$5&lt;AC$5)*L13+(Q$5&lt;AC$5)*R13+(W$5&lt;AC$5)*X13+(AI$5&lt;AC$5)*AJ13+(AO$5&lt;AC$5)*AP13+(AU$5&lt;AC$5)*AV13)))</f>
        <v/>
      </c>
      <c r="AF13">
        <f>IF(AD13-AE13&lt;0.005,0,AD13-AE13)</f>
        <v/>
      </c>
      <c r="AG13">
        <f>AL12</f>
        <v/>
      </c>
      <c r="AH13">
        <f>AG13*Plan!D11/100/12</f>
        <v/>
      </c>
      <c r="AI13">
        <f>MIN(Plan!E11,AG13+AH13)</f>
        <v/>
      </c>
      <c r="AJ13">
        <f>AG13+AH13-AI13</f>
        <v/>
      </c>
      <c r="AK13">
        <f>MIN(AJ13,MAX(0,$B13-((E$5&lt;AI$5)*F13+(K$5&lt;AI$5)*L13+(Q$5&lt;AI$5)*R13+(W$5&lt;AI$5)*X13+(AC$5&lt;AI$5)*AD13+(AO$5&lt;AI$5)*AP13+(AU$5&lt;AI$5)*AV13)))</f>
        <v/>
      </c>
      <c r="AL13">
        <f>IF(AJ13-AK13&lt;0.005,0,AJ13-AK13)</f>
        <v/>
      </c>
      <c r="AM13">
        <f>AR12</f>
        <v/>
      </c>
      <c r="AN13">
        <f>AM13*Plan!D12/100/12</f>
        <v/>
      </c>
      <c r="AO13">
        <f>MIN(Plan!E12,AM13+AN13)</f>
        <v/>
      </c>
      <c r="AP13">
        <f>AM13+AN13-AO13</f>
        <v/>
      </c>
      <c r="AQ13">
        <f>MIN(AP13,MAX(0,$B13-((E$5&lt;AO$5)*F13+(K$5&lt;AO$5)*L13+(Q$5&lt;AO$5)*R13+(W$5&lt;AO$5)*X13+(AC$5&lt;AO$5)*AD13+(AI$5&lt;AO$5)*AJ13+(AU$5&lt;AO$5)*AV13)))</f>
        <v/>
      </c>
      <c r="AR13">
        <f>IF(AP13-AQ13&lt;0.005,0,AP13-AQ13)</f>
        <v/>
      </c>
      <c r="AS13">
        <f>AX12</f>
        <v/>
      </c>
      <c r="AT13">
        <f>AS13*Plan!D13/100/12</f>
        <v/>
      </c>
      <c r="AU13">
        <f>MIN(Plan!E13,AS13+AT13)</f>
        <v/>
      </c>
      <c r="AV13">
        <f>AS13+AT13-AU13</f>
        <v/>
      </c>
      <c r="AW13">
        <f>MIN(AV13,MAX(0,$B13-((E$5&lt;AU$5)*F13+(K$5&lt;AU$5)*L13+(Q$5&lt;AU$5)*R13+(W$5&lt;AU$5)*X13+(AC$5&lt;AU$5)*AD13+(AI$5&lt;AU$5)*AJ13+(AO$5&lt;AU$5)*AP13)))</f>
        <v/>
      </c>
      <c r="AX13">
        <f>IF(AV13-AW13&lt;0.005,0,AV13-AW13)</f>
        <v/>
      </c>
      <c r="BC13">
        <f>H13+N13+T13+Z13+AF13+AL13+AR13+AX13</f>
        <v/>
      </c>
    </row>
    <row r="14">
      <c r="A14" t="n">
        <v>8</v>
      </c>
      <c r="B14" s="19">
        <f>MAX(0,$B$3-(E14+K14+Q14+W14+AC14+AI14+AO14+AU14))</f>
        <v/>
      </c>
      <c r="C14">
        <f>H13</f>
        <v/>
      </c>
      <c r="D14">
        <f>C14*Plan!D6/100/12</f>
        <v/>
      </c>
      <c r="E14">
        <f>MIN(Plan!E6,C14+D14)</f>
        <v/>
      </c>
      <c r="F14">
        <f>C14+D14-E14</f>
        <v/>
      </c>
      <c r="G14">
        <f>MIN(F14,MAX(0,$B14-((K$5&lt;E$5)*L14+(Q$5&lt;E$5)*R14+(W$5&lt;E$5)*X14+(AC$5&lt;E$5)*AD14+(AI$5&lt;E$5)*AJ14+(AO$5&lt;E$5)*AP14+(AU$5&lt;E$5)*AV14)))</f>
        <v/>
      </c>
      <c r="H14">
        <f>IF(F14-G14&lt;0.005,0,F14-G14)</f>
        <v/>
      </c>
      <c r="I14">
        <f>N13</f>
        <v/>
      </c>
      <c r="J14">
        <f>I14*Plan!D7/100/12</f>
        <v/>
      </c>
      <c r="K14">
        <f>MIN(Plan!E7,I14+J14)</f>
        <v/>
      </c>
      <c r="L14">
        <f>I14+J14-K14</f>
        <v/>
      </c>
      <c r="M14">
        <f>MIN(L14,MAX(0,$B14-((E$5&lt;K$5)*F14+(Q$5&lt;K$5)*R14+(W$5&lt;K$5)*X14+(AC$5&lt;K$5)*AD14+(AI$5&lt;K$5)*AJ14+(AO$5&lt;K$5)*AP14+(AU$5&lt;K$5)*AV14)))</f>
        <v/>
      </c>
      <c r="N14">
        <f>IF(L14-M14&lt;0.005,0,L14-M14)</f>
        <v/>
      </c>
      <c r="O14">
        <f>T13</f>
        <v/>
      </c>
      <c r="P14">
        <f>O14*Plan!D8/100/12</f>
        <v/>
      </c>
      <c r="Q14">
        <f>MIN(Plan!E8,O14+P14)</f>
        <v/>
      </c>
      <c r="R14">
        <f>O14+P14-Q14</f>
        <v/>
      </c>
      <c r="S14">
        <f>MIN(R14,MAX(0,$B14-((E$5&lt;Q$5)*F14+(K$5&lt;Q$5)*L14+(W$5&lt;Q$5)*X14+(AC$5&lt;Q$5)*AD14+(AI$5&lt;Q$5)*AJ14+(AO$5&lt;Q$5)*AP14+(AU$5&lt;Q$5)*AV14)))</f>
        <v/>
      </c>
      <c r="T14">
        <f>IF(R14-S14&lt;0.005,0,R14-S14)</f>
        <v/>
      </c>
      <c r="U14">
        <f>Z13</f>
        <v/>
      </c>
      <c r="V14">
        <f>U14*Plan!D9/100/12</f>
        <v/>
      </c>
      <c r="W14">
        <f>MIN(Plan!E9,U14+V14)</f>
        <v/>
      </c>
      <c r="X14">
        <f>U14+V14-W14</f>
        <v/>
      </c>
      <c r="Y14">
        <f>MIN(X14,MAX(0,$B14-((E$5&lt;W$5)*F14+(K$5&lt;W$5)*L14+(Q$5&lt;W$5)*R14+(AC$5&lt;W$5)*AD14+(AI$5&lt;W$5)*AJ14+(AO$5&lt;W$5)*AP14+(AU$5&lt;W$5)*AV14)))</f>
        <v/>
      </c>
      <c r="Z14">
        <f>IF(X14-Y14&lt;0.005,0,X14-Y14)</f>
        <v/>
      </c>
      <c r="AA14">
        <f>AF13</f>
        <v/>
      </c>
      <c r="AB14">
        <f>AA14*Plan!D10/100/12</f>
        <v/>
      </c>
      <c r="AC14">
        <f>MIN(Plan!E10,AA14+AB14)</f>
        <v/>
      </c>
      <c r="AD14">
        <f>AA14+AB14-AC14</f>
        <v/>
      </c>
      <c r="AE14">
        <f>MIN(AD14,MAX(0,$B14-((E$5&lt;AC$5)*F14+(K$5&lt;AC$5)*L14+(Q$5&lt;AC$5)*R14+(W$5&lt;AC$5)*X14+(AI$5&lt;AC$5)*AJ14+(AO$5&lt;AC$5)*AP14+(AU$5&lt;AC$5)*AV14)))</f>
        <v/>
      </c>
      <c r="AF14">
        <f>IF(AD14-AE14&lt;0.005,0,AD14-AE14)</f>
        <v/>
      </c>
      <c r="AG14">
        <f>AL13</f>
        <v/>
      </c>
      <c r="AH14">
        <f>AG14*Plan!D11/100/12</f>
        <v/>
      </c>
      <c r="AI14">
        <f>MIN(Plan!E11,AG14+AH14)</f>
        <v/>
      </c>
      <c r="AJ14">
        <f>AG14+AH14-AI14</f>
        <v/>
      </c>
      <c r="AK14">
        <f>MIN(AJ14,MAX(0,$B14-((E$5&lt;AI$5)*F14+(K$5&lt;AI$5)*L14+(Q$5&lt;AI$5)*R14+(W$5&lt;AI$5)*X14+(AC$5&lt;AI$5)*AD14+(AO$5&lt;AI$5)*AP14+(AU$5&lt;AI$5)*AV14)))</f>
        <v/>
      </c>
      <c r="AL14">
        <f>IF(AJ14-AK14&lt;0.005,0,AJ14-AK14)</f>
        <v/>
      </c>
      <c r="AM14">
        <f>AR13</f>
        <v/>
      </c>
      <c r="AN14">
        <f>AM14*Plan!D12/100/12</f>
        <v/>
      </c>
      <c r="AO14">
        <f>MIN(Plan!E12,AM14+AN14)</f>
        <v/>
      </c>
      <c r="AP14">
        <f>AM14+AN14-AO14</f>
        <v/>
      </c>
      <c r="AQ14">
        <f>MIN(AP14,MAX(0,$B14-((E$5&lt;AO$5)*F14+(K$5&lt;AO$5)*L14+(Q$5&lt;AO$5)*R14+(W$5&lt;AO$5)*X14+(AC$5&lt;AO$5)*AD14+(AI$5&lt;AO$5)*AJ14+(AU$5&lt;AO$5)*AV14)))</f>
        <v/>
      </c>
      <c r="AR14">
        <f>IF(AP14-AQ14&lt;0.005,0,AP14-AQ14)</f>
        <v/>
      </c>
      <c r="AS14">
        <f>AX13</f>
        <v/>
      </c>
      <c r="AT14">
        <f>AS14*Plan!D13/100/12</f>
        <v/>
      </c>
      <c r="AU14">
        <f>MIN(Plan!E13,AS14+AT14)</f>
        <v/>
      </c>
      <c r="AV14">
        <f>AS14+AT14-AU14</f>
        <v/>
      </c>
      <c r="AW14">
        <f>MIN(AV14,MAX(0,$B14-((E$5&lt;AU$5)*F14+(K$5&lt;AU$5)*L14+(Q$5&lt;AU$5)*R14+(W$5&lt;AU$5)*X14+(AC$5&lt;AU$5)*AD14+(AI$5&lt;AU$5)*AJ14+(AO$5&lt;AU$5)*AP14)))</f>
        <v/>
      </c>
      <c r="AX14">
        <f>IF(AV14-AW14&lt;0.005,0,AV14-AW14)</f>
        <v/>
      </c>
      <c r="BC14">
        <f>H14+N14+T14+Z14+AF14+AL14+AR14+AX14</f>
        <v/>
      </c>
    </row>
    <row r="15">
      <c r="A15" t="n">
        <v>9</v>
      </c>
      <c r="B15" s="19">
        <f>MAX(0,$B$3-(E15+K15+Q15+W15+AC15+AI15+AO15+AU15))</f>
        <v/>
      </c>
      <c r="C15">
        <f>H14</f>
        <v/>
      </c>
      <c r="D15">
        <f>C15*Plan!D6/100/12</f>
        <v/>
      </c>
      <c r="E15">
        <f>MIN(Plan!E6,C15+D15)</f>
        <v/>
      </c>
      <c r="F15">
        <f>C15+D15-E15</f>
        <v/>
      </c>
      <c r="G15">
        <f>MIN(F15,MAX(0,$B15-((K$5&lt;E$5)*L15+(Q$5&lt;E$5)*R15+(W$5&lt;E$5)*X15+(AC$5&lt;E$5)*AD15+(AI$5&lt;E$5)*AJ15+(AO$5&lt;E$5)*AP15+(AU$5&lt;E$5)*AV15)))</f>
        <v/>
      </c>
      <c r="H15">
        <f>IF(F15-G15&lt;0.005,0,F15-G15)</f>
        <v/>
      </c>
      <c r="I15">
        <f>N14</f>
        <v/>
      </c>
      <c r="J15">
        <f>I15*Plan!D7/100/12</f>
        <v/>
      </c>
      <c r="K15">
        <f>MIN(Plan!E7,I15+J15)</f>
        <v/>
      </c>
      <c r="L15">
        <f>I15+J15-K15</f>
        <v/>
      </c>
      <c r="M15">
        <f>MIN(L15,MAX(0,$B15-((E$5&lt;K$5)*F15+(Q$5&lt;K$5)*R15+(W$5&lt;K$5)*X15+(AC$5&lt;K$5)*AD15+(AI$5&lt;K$5)*AJ15+(AO$5&lt;K$5)*AP15+(AU$5&lt;K$5)*AV15)))</f>
        <v/>
      </c>
      <c r="N15">
        <f>IF(L15-M15&lt;0.005,0,L15-M15)</f>
        <v/>
      </c>
      <c r="O15">
        <f>T14</f>
        <v/>
      </c>
      <c r="P15">
        <f>O15*Plan!D8/100/12</f>
        <v/>
      </c>
      <c r="Q15">
        <f>MIN(Plan!E8,O15+P15)</f>
        <v/>
      </c>
      <c r="R15">
        <f>O15+P15-Q15</f>
        <v/>
      </c>
      <c r="S15">
        <f>MIN(R15,MAX(0,$B15-((E$5&lt;Q$5)*F15+(K$5&lt;Q$5)*L15+(W$5&lt;Q$5)*X15+(AC$5&lt;Q$5)*AD15+(AI$5&lt;Q$5)*AJ15+(AO$5&lt;Q$5)*AP15+(AU$5&lt;Q$5)*AV15)))</f>
        <v/>
      </c>
      <c r="T15">
        <f>IF(R15-S15&lt;0.005,0,R15-S15)</f>
        <v/>
      </c>
      <c r="U15">
        <f>Z14</f>
        <v/>
      </c>
      <c r="V15">
        <f>U15*Plan!D9/100/12</f>
        <v/>
      </c>
      <c r="W15">
        <f>MIN(Plan!E9,U15+V15)</f>
        <v/>
      </c>
      <c r="X15">
        <f>U15+V15-W15</f>
        <v/>
      </c>
      <c r="Y15">
        <f>MIN(X15,MAX(0,$B15-((E$5&lt;W$5)*F15+(K$5&lt;W$5)*L15+(Q$5&lt;W$5)*R15+(AC$5&lt;W$5)*AD15+(AI$5&lt;W$5)*AJ15+(AO$5&lt;W$5)*AP15+(AU$5&lt;W$5)*AV15)))</f>
        <v/>
      </c>
      <c r="Z15">
        <f>IF(X15-Y15&lt;0.005,0,X15-Y15)</f>
        <v/>
      </c>
      <c r="AA15">
        <f>AF14</f>
        <v/>
      </c>
      <c r="AB15">
        <f>AA15*Plan!D10/100/12</f>
        <v/>
      </c>
      <c r="AC15">
        <f>MIN(Plan!E10,AA15+AB15)</f>
        <v/>
      </c>
      <c r="AD15">
        <f>AA15+AB15-AC15</f>
        <v/>
      </c>
      <c r="AE15">
        <f>MIN(AD15,MAX(0,$B15-((E$5&lt;AC$5)*F15+(K$5&lt;AC$5)*L15+(Q$5&lt;AC$5)*R15+(W$5&lt;AC$5)*X15+(AI$5&lt;AC$5)*AJ15+(AO$5&lt;AC$5)*AP15+(AU$5&lt;AC$5)*AV15)))</f>
        <v/>
      </c>
      <c r="AF15">
        <f>IF(AD15-AE15&lt;0.005,0,AD15-AE15)</f>
        <v/>
      </c>
      <c r="AG15">
        <f>AL14</f>
        <v/>
      </c>
      <c r="AH15">
        <f>AG15*Plan!D11/100/12</f>
        <v/>
      </c>
      <c r="AI15">
        <f>MIN(Plan!E11,AG15+AH15)</f>
        <v/>
      </c>
      <c r="AJ15">
        <f>AG15+AH15-AI15</f>
        <v/>
      </c>
      <c r="AK15">
        <f>MIN(AJ15,MAX(0,$B15-((E$5&lt;AI$5)*F15+(K$5&lt;AI$5)*L15+(Q$5&lt;AI$5)*R15+(W$5&lt;AI$5)*X15+(AC$5&lt;AI$5)*AD15+(AO$5&lt;AI$5)*AP15+(AU$5&lt;AI$5)*AV15)))</f>
        <v/>
      </c>
      <c r="AL15">
        <f>IF(AJ15-AK15&lt;0.005,0,AJ15-AK15)</f>
        <v/>
      </c>
      <c r="AM15">
        <f>AR14</f>
        <v/>
      </c>
      <c r="AN15">
        <f>AM15*Plan!D12/100/12</f>
        <v/>
      </c>
      <c r="AO15">
        <f>MIN(Plan!E12,AM15+AN15)</f>
        <v/>
      </c>
      <c r="AP15">
        <f>AM15+AN15-AO15</f>
        <v/>
      </c>
      <c r="AQ15">
        <f>MIN(AP15,MAX(0,$B15-((E$5&lt;AO$5)*F15+(K$5&lt;AO$5)*L15+(Q$5&lt;AO$5)*R15+(W$5&lt;AO$5)*X15+(AC$5&lt;AO$5)*AD15+(AI$5&lt;AO$5)*AJ15+(AU$5&lt;AO$5)*AV15)))</f>
        <v/>
      </c>
      <c r="AR15">
        <f>IF(AP15-AQ15&lt;0.005,0,AP15-AQ15)</f>
        <v/>
      </c>
      <c r="AS15">
        <f>AX14</f>
        <v/>
      </c>
      <c r="AT15">
        <f>AS15*Plan!D13/100/12</f>
        <v/>
      </c>
      <c r="AU15">
        <f>MIN(Plan!E13,AS15+AT15)</f>
        <v/>
      </c>
      <c r="AV15">
        <f>AS15+AT15-AU15</f>
        <v/>
      </c>
      <c r="AW15">
        <f>MIN(AV15,MAX(0,$B15-((E$5&lt;AU$5)*F15+(K$5&lt;AU$5)*L15+(Q$5&lt;AU$5)*R15+(W$5&lt;AU$5)*X15+(AC$5&lt;AU$5)*AD15+(AI$5&lt;AU$5)*AJ15+(AO$5&lt;AU$5)*AP15)))</f>
        <v/>
      </c>
      <c r="AX15">
        <f>IF(AV15-AW15&lt;0.005,0,AV15-AW15)</f>
        <v/>
      </c>
      <c r="BC15">
        <f>H15+N15+T15+Z15+AF15+AL15+AR15+AX15</f>
        <v/>
      </c>
    </row>
    <row r="16">
      <c r="A16" t="n">
        <v>10</v>
      </c>
      <c r="B16" s="19">
        <f>MAX(0,$B$3-(E16+K16+Q16+W16+AC16+AI16+AO16+AU16))</f>
        <v/>
      </c>
      <c r="C16">
        <f>H15</f>
        <v/>
      </c>
      <c r="D16">
        <f>C16*Plan!D6/100/12</f>
        <v/>
      </c>
      <c r="E16">
        <f>MIN(Plan!E6,C16+D16)</f>
        <v/>
      </c>
      <c r="F16">
        <f>C16+D16-E16</f>
        <v/>
      </c>
      <c r="G16">
        <f>MIN(F16,MAX(0,$B16-((K$5&lt;E$5)*L16+(Q$5&lt;E$5)*R16+(W$5&lt;E$5)*X16+(AC$5&lt;E$5)*AD16+(AI$5&lt;E$5)*AJ16+(AO$5&lt;E$5)*AP16+(AU$5&lt;E$5)*AV16)))</f>
        <v/>
      </c>
      <c r="H16">
        <f>IF(F16-G16&lt;0.005,0,F16-G16)</f>
        <v/>
      </c>
      <c r="I16">
        <f>N15</f>
        <v/>
      </c>
      <c r="J16">
        <f>I16*Plan!D7/100/12</f>
        <v/>
      </c>
      <c r="K16">
        <f>MIN(Plan!E7,I16+J16)</f>
        <v/>
      </c>
      <c r="L16">
        <f>I16+J16-K16</f>
        <v/>
      </c>
      <c r="M16">
        <f>MIN(L16,MAX(0,$B16-((E$5&lt;K$5)*F16+(Q$5&lt;K$5)*R16+(W$5&lt;K$5)*X16+(AC$5&lt;K$5)*AD16+(AI$5&lt;K$5)*AJ16+(AO$5&lt;K$5)*AP16+(AU$5&lt;K$5)*AV16)))</f>
        <v/>
      </c>
      <c r="N16">
        <f>IF(L16-M16&lt;0.005,0,L16-M16)</f>
        <v/>
      </c>
      <c r="O16">
        <f>T15</f>
        <v/>
      </c>
      <c r="P16">
        <f>O16*Plan!D8/100/12</f>
        <v/>
      </c>
      <c r="Q16">
        <f>MIN(Plan!E8,O16+P16)</f>
        <v/>
      </c>
      <c r="R16">
        <f>O16+P16-Q16</f>
        <v/>
      </c>
      <c r="S16">
        <f>MIN(R16,MAX(0,$B16-((E$5&lt;Q$5)*F16+(K$5&lt;Q$5)*L16+(W$5&lt;Q$5)*X16+(AC$5&lt;Q$5)*AD16+(AI$5&lt;Q$5)*AJ16+(AO$5&lt;Q$5)*AP16+(AU$5&lt;Q$5)*AV16)))</f>
        <v/>
      </c>
      <c r="T16">
        <f>IF(R16-S16&lt;0.005,0,R16-S16)</f>
        <v/>
      </c>
      <c r="U16">
        <f>Z15</f>
        <v/>
      </c>
      <c r="V16">
        <f>U16*Plan!D9/100/12</f>
        <v/>
      </c>
      <c r="W16">
        <f>MIN(Plan!E9,U16+V16)</f>
        <v/>
      </c>
      <c r="X16">
        <f>U16+V16-W16</f>
        <v/>
      </c>
      <c r="Y16">
        <f>MIN(X16,MAX(0,$B16-((E$5&lt;W$5)*F16+(K$5&lt;W$5)*L16+(Q$5&lt;W$5)*R16+(AC$5&lt;W$5)*AD16+(AI$5&lt;W$5)*AJ16+(AO$5&lt;W$5)*AP16+(AU$5&lt;W$5)*AV16)))</f>
        <v/>
      </c>
      <c r="Z16">
        <f>IF(X16-Y16&lt;0.005,0,X16-Y16)</f>
        <v/>
      </c>
      <c r="AA16">
        <f>AF15</f>
        <v/>
      </c>
      <c r="AB16">
        <f>AA16*Plan!D10/100/12</f>
        <v/>
      </c>
      <c r="AC16">
        <f>MIN(Plan!E10,AA16+AB16)</f>
        <v/>
      </c>
      <c r="AD16">
        <f>AA16+AB16-AC16</f>
        <v/>
      </c>
      <c r="AE16">
        <f>MIN(AD16,MAX(0,$B16-((E$5&lt;AC$5)*F16+(K$5&lt;AC$5)*L16+(Q$5&lt;AC$5)*R16+(W$5&lt;AC$5)*X16+(AI$5&lt;AC$5)*AJ16+(AO$5&lt;AC$5)*AP16+(AU$5&lt;AC$5)*AV16)))</f>
        <v/>
      </c>
      <c r="AF16">
        <f>IF(AD16-AE16&lt;0.005,0,AD16-AE16)</f>
        <v/>
      </c>
      <c r="AG16">
        <f>AL15</f>
        <v/>
      </c>
      <c r="AH16">
        <f>AG16*Plan!D11/100/12</f>
        <v/>
      </c>
      <c r="AI16">
        <f>MIN(Plan!E11,AG16+AH16)</f>
        <v/>
      </c>
      <c r="AJ16">
        <f>AG16+AH16-AI16</f>
        <v/>
      </c>
      <c r="AK16">
        <f>MIN(AJ16,MAX(0,$B16-((E$5&lt;AI$5)*F16+(K$5&lt;AI$5)*L16+(Q$5&lt;AI$5)*R16+(W$5&lt;AI$5)*X16+(AC$5&lt;AI$5)*AD16+(AO$5&lt;AI$5)*AP16+(AU$5&lt;AI$5)*AV16)))</f>
        <v/>
      </c>
      <c r="AL16">
        <f>IF(AJ16-AK16&lt;0.005,0,AJ16-AK16)</f>
        <v/>
      </c>
      <c r="AM16">
        <f>AR15</f>
        <v/>
      </c>
      <c r="AN16">
        <f>AM16*Plan!D12/100/12</f>
        <v/>
      </c>
      <c r="AO16">
        <f>MIN(Plan!E12,AM16+AN16)</f>
        <v/>
      </c>
      <c r="AP16">
        <f>AM16+AN16-AO16</f>
        <v/>
      </c>
      <c r="AQ16">
        <f>MIN(AP16,MAX(0,$B16-((E$5&lt;AO$5)*F16+(K$5&lt;AO$5)*L16+(Q$5&lt;AO$5)*R16+(W$5&lt;AO$5)*X16+(AC$5&lt;AO$5)*AD16+(AI$5&lt;AO$5)*AJ16+(AU$5&lt;AO$5)*AV16)))</f>
        <v/>
      </c>
      <c r="AR16">
        <f>IF(AP16-AQ16&lt;0.005,0,AP16-AQ16)</f>
        <v/>
      </c>
      <c r="AS16">
        <f>AX15</f>
        <v/>
      </c>
      <c r="AT16">
        <f>AS16*Plan!D13/100/12</f>
        <v/>
      </c>
      <c r="AU16">
        <f>MIN(Plan!E13,AS16+AT16)</f>
        <v/>
      </c>
      <c r="AV16">
        <f>AS16+AT16-AU16</f>
        <v/>
      </c>
      <c r="AW16">
        <f>MIN(AV16,MAX(0,$B16-((E$5&lt;AU$5)*F16+(K$5&lt;AU$5)*L16+(Q$5&lt;AU$5)*R16+(W$5&lt;AU$5)*X16+(AC$5&lt;AU$5)*AD16+(AI$5&lt;AU$5)*AJ16+(AO$5&lt;AU$5)*AP16)))</f>
        <v/>
      </c>
      <c r="AX16">
        <f>IF(AV16-AW16&lt;0.005,0,AV16-AW16)</f>
        <v/>
      </c>
      <c r="BC16">
        <f>H16+N16+T16+Z16+AF16+AL16+AR16+AX16</f>
        <v/>
      </c>
    </row>
    <row r="17">
      <c r="A17" t="n">
        <v>11</v>
      </c>
      <c r="B17" s="19">
        <f>MAX(0,$B$3-(E17+K17+Q17+W17+AC17+AI17+AO17+AU17))</f>
        <v/>
      </c>
      <c r="C17">
        <f>H16</f>
        <v/>
      </c>
      <c r="D17">
        <f>C17*Plan!D6/100/12</f>
        <v/>
      </c>
      <c r="E17">
        <f>MIN(Plan!E6,C17+D17)</f>
        <v/>
      </c>
      <c r="F17">
        <f>C17+D17-E17</f>
        <v/>
      </c>
      <c r="G17">
        <f>MIN(F17,MAX(0,$B17-((K$5&lt;E$5)*L17+(Q$5&lt;E$5)*R17+(W$5&lt;E$5)*X17+(AC$5&lt;E$5)*AD17+(AI$5&lt;E$5)*AJ17+(AO$5&lt;E$5)*AP17+(AU$5&lt;E$5)*AV17)))</f>
        <v/>
      </c>
      <c r="H17">
        <f>IF(F17-G17&lt;0.005,0,F17-G17)</f>
        <v/>
      </c>
      <c r="I17">
        <f>N16</f>
        <v/>
      </c>
      <c r="J17">
        <f>I17*Plan!D7/100/12</f>
        <v/>
      </c>
      <c r="K17">
        <f>MIN(Plan!E7,I17+J17)</f>
        <v/>
      </c>
      <c r="L17">
        <f>I17+J17-K17</f>
        <v/>
      </c>
      <c r="M17">
        <f>MIN(L17,MAX(0,$B17-((E$5&lt;K$5)*F17+(Q$5&lt;K$5)*R17+(W$5&lt;K$5)*X17+(AC$5&lt;K$5)*AD17+(AI$5&lt;K$5)*AJ17+(AO$5&lt;K$5)*AP17+(AU$5&lt;K$5)*AV17)))</f>
        <v/>
      </c>
      <c r="N17">
        <f>IF(L17-M17&lt;0.005,0,L17-M17)</f>
        <v/>
      </c>
      <c r="O17">
        <f>T16</f>
        <v/>
      </c>
      <c r="P17">
        <f>O17*Plan!D8/100/12</f>
        <v/>
      </c>
      <c r="Q17">
        <f>MIN(Plan!E8,O17+P17)</f>
        <v/>
      </c>
      <c r="R17">
        <f>O17+P17-Q17</f>
        <v/>
      </c>
      <c r="S17">
        <f>MIN(R17,MAX(0,$B17-((E$5&lt;Q$5)*F17+(K$5&lt;Q$5)*L17+(W$5&lt;Q$5)*X17+(AC$5&lt;Q$5)*AD17+(AI$5&lt;Q$5)*AJ17+(AO$5&lt;Q$5)*AP17+(AU$5&lt;Q$5)*AV17)))</f>
        <v/>
      </c>
      <c r="T17">
        <f>IF(R17-S17&lt;0.005,0,R17-S17)</f>
        <v/>
      </c>
      <c r="U17">
        <f>Z16</f>
        <v/>
      </c>
      <c r="V17">
        <f>U17*Plan!D9/100/12</f>
        <v/>
      </c>
      <c r="W17">
        <f>MIN(Plan!E9,U17+V17)</f>
        <v/>
      </c>
      <c r="X17">
        <f>U17+V17-W17</f>
        <v/>
      </c>
      <c r="Y17">
        <f>MIN(X17,MAX(0,$B17-((E$5&lt;W$5)*F17+(K$5&lt;W$5)*L17+(Q$5&lt;W$5)*R17+(AC$5&lt;W$5)*AD17+(AI$5&lt;W$5)*AJ17+(AO$5&lt;W$5)*AP17+(AU$5&lt;W$5)*AV17)))</f>
        <v/>
      </c>
      <c r="Z17">
        <f>IF(X17-Y17&lt;0.005,0,X17-Y17)</f>
        <v/>
      </c>
      <c r="AA17">
        <f>AF16</f>
        <v/>
      </c>
      <c r="AB17">
        <f>AA17*Plan!D10/100/12</f>
        <v/>
      </c>
      <c r="AC17">
        <f>MIN(Plan!E10,AA17+AB17)</f>
        <v/>
      </c>
      <c r="AD17">
        <f>AA17+AB17-AC17</f>
        <v/>
      </c>
      <c r="AE17">
        <f>MIN(AD17,MAX(0,$B17-((E$5&lt;AC$5)*F17+(K$5&lt;AC$5)*L17+(Q$5&lt;AC$5)*R17+(W$5&lt;AC$5)*X17+(AI$5&lt;AC$5)*AJ17+(AO$5&lt;AC$5)*AP17+(AU$5&lt;AC$5)*AV17)))</f>
        <v/>
      </c>
      <c r="AF17">
        <f>IF(AD17-AE17&lt;0.005,0,AD17-AE17)</f>
        <v/>
      </c>
      <c r="AG17">
        <f>AL16</f>
        <v/>
      </c>
      <c r="AH17">
        <f>AG17*Plan!D11/100/12</f>
        <v/>
      </c>
      <c r="AI17">
        <f>MIN(Plan!E11,AG17+AH17)</f>
        <v/>
      </c>
      <c r="AJ17">
        <f>AG17+AH17-AI17</f>
        <v/>
      </c>
      <c r="AK17">
        <f>MIN(AJ17,MAX(0,$B17-((E$5&lt;AI$5)*F17+(K$5&lt;AI$5)*L17+(Q$5&lt;AI$5)*R17+(W$5&lt;AI$5)*X17+(AC$5&lt;AI$5)*AD17+(AO$5&lt;AI$5)*AP17+(AU$5&lt;AI$5)*AV17)))</f>
        <v/>
      </c>
      <c r="AL17">
        <f>IF(AJ17-AK17&lt;0.005,0,AJ17-AK17)</f>
        <v/>
      </c>
      <c r="AM17">
        <f>AR16</f>
        <v/>
      </c>
      <c r="AN17">
        <f>AM17*Plan!D12/100/12</f>
        <v/>
      </c>
      <c r="AO17">
        <f>MIN(Plan!E12,AM17+AN17)</f>
        <v/>
      </c>
      <c r="AP17">
        <f>AM17+AN17-AO17</f>
        <v/>
      </c>
      <c r="AQ17">
        <f>MIN(AP17,MAX(0,$B17-((E$5&lt;AO$5)*F17+(K$5&lt;AO$5)*L17+(Q$5&lt;AO$5)*R17+(W$5&lt;AO$5)*X17+(AC$5&lt;AO$5)*AD17+(AI$5&lt;AO$5)*AJ17+(AU$5&lt;AO$5)*AV17)))</f>
        <v/>
      </c>
      <c r="AR17">
        <f>IF(AP17-AQ17&lt;0.005,0,AP17-AQ17)</f>
        <v/>
      </c>
      <c r="AS17">
        <f>AX16</f>
        <v/>
      </c>
      <c r="AT17">
        <f>AS17*Plan!D13/100/12</f>
        <v/>
      </c>
      <c r="AU17">
        <f>MIN(Plan!E13,AS17+AT17)</f>
        <v/>
      </c>
      <c r="AV17">
        <f>AS17+AT17-AU17</f>
        <v/>
      </c>
      <c r="AW17">
        <f>MIN(AV17,MAX(0,$B17-((E$5&lt;AU$5)*F17+(K$5&lt;AU$5)*L17+(Q$5&lt;AU$5)*R17+(W$5&lt;AU$5)*X17+(AC$5&lt;AU$5)*AD17+(AI$5&lt;AU$5)*AJ17+(AO$5&lt;AU$5)*AP17)))</f>
        <v/>
      </c>
      <c r="AX17">
        <f>IF(AV17-AW17&lt;0.005,0,AV17-AW17)</f>
        <v/>
      </c>
      <c r="BC17">
        <f>H17+N17+T17+Z17+AF17+AL17+AR17+AX17</f>
        <v/>
      </c>
    </row>
    <row r="18">
      <c r="A18" t="n">
        <v>12</v>
      </c>
      <c r="B18" s="19">
        <f>MAX(0,$B$3-(E18+K18+Q18+W18+AC18+AI18+AO18+AU18))</f>
        <v/>
      </c>
      <c r="C18">
        <f>H17</f>
        <v/>
      </c>
      <c r="D18">
        <f>C18*Plan!D6/100/12</f>
        <v/>
      </c>
      <c r="E18">
        <f>MIN(Plan!E6,C18+D18)</f>
        <v/>
      </c>
      <c r="F18">
        <f>C18+D18-E18</f>
        <v/>
      </c>
      <c r="G18">
        <f>MIN(F18,MAX(0,$B18-((K$5&lt;E$5)*L18+(Q$5&lt;E$5)*R18+(W$5&lt;E$5)*X18+(AC$5&lt;E$5)*AD18+(AI$5&lt;E$5)*AJ18+(AO$5&lt;E$5)*AP18+(AU$5&lt;E$5)*AV18)))</f>
        <v/>
      </c>
      <c r="H18">
        <f>IF(F18-G18&lt;0.005,0,F18-G18)</f>
        <v/>
      </c>
      <c r="I18">
        <f>N17</f>
        <v/>
      </c>
      <c r="J18">
        <f>I18*Plan!D7/100/12</f>
        <v/>
      </c>
      <c r="K18">
        <f>MIN(Plan!E7,I18+J18)</f>
        <v/>
      </c>
      <c r="L18">
        <f>I18+J18-K18</f>
        <v/>
      </c>
      <c r="M18">
        <f>MIN(L18,MAX(0,$B18-((E$5&lt;K$5)*F18+(Q$5&lt;K$5)*R18+(W$5&lt;K$5)*X18+(AC$5&lt;K$5)*AD18+(AI$5&lt;K$5)*AJ18+(AO$5&lt;K$5)*AP18+(AU$5&lt;K$5)*AV18)))</f>
        <v/>
      </c>
      <c r="N18">
        <f>IF(L18-M18&lt;0.005,0,L18-M18)</f>
        <v/>
      </c>
      <c r="O18">
        <f>T17</f>
        <v/>
      </c>
      <c r="P18">
        <f>O18*Plan!D8/100/12</f>
        <v/>
      </c>
      <c r="Q18">
        <f>MIN(Plan!E8,O18+P18)</f>
        <v/>
      </c>
      <c r="R18">
        <f>O18+P18-Q18</f>
        <v/>
      </c>
      <c r="S18">
        <f>MIN(R18,MAX(0,$B18-((E$5&lt;Q$5)*F18+(K$5&lt;Q$5)*L18+(W$5&lt;Q$5)*X18+(AC$5&lt;Q$5)*AD18+(AI$5&lt;Q$5)*AJ18+(AO$5&lt;Q$5)*AP18+(AU$5&lt;Q$5)*AV18)))</f>
        <v/>
      </c>
      <c r="T18">
        <f>IF(R18-S18&lt;0.005,0,R18-S18)</f>
        <v/>
      </c>
      <c r="U18">
        <f>Z17</f>
        <v/>
      </c>
      <c r="V18">
        <f>U18*Plan!D9/100/12</f>
        <v/>
      </c>
      <c r="W18">
        <f>MIN(Plan!E9,U18+V18)</f>
        <v/>
      </c>
      <c r="X18">
        <f>U18+V18-W18</f>
        <v/>
      </c>
      <c r="Y18">
        <f>MIN(X18,MAX(0,$B18-((E$5&lt;W$5)*F18+(K$5&lt;W$5)*L18+(Q$5&lt;W$5)*R18+(AC$5&lt;W$5)*AD18+(AI$5&lt;W$5)*AJ18+(AO$5&lt;W$5)*AP18+(AU$5&lt;W$5)*AV18)))</f>
        <v/>
      </c>
      <c r="Z18">
        <f>IF(X18-Y18&lt;0.005,0,X18-Y18)</f>
        <v/>
      </c>
      <c r="AA18">
        <f>AF17</f>
        <v/>
      </c>
      <c r="AB18">
        <f>AA18*Plan!D10/100/12</f>
        <v/>
      </c>
      <c r="AC18">
        <f>MIN(Plan!E10,AA18+AB18)</f>
        <v/>
      </c>
      <c r="AD18">
        <f>AA18+AB18-AC18</f>
        <v/>
      </c>
      <c r="AE18">
        <f>MIN(AD18,MAX(0,$B18-((E$5&lt;AC$5)*F18+(K$5&lt;AC$5)*L18+(Q$5&lt;AC$5)*R18+(W$5&lt;AC$5)*X18+(AI$5&lt;AC$5)*AJ18+(AO$5&lt;AC$5)*AP18+(AU$5&lt;AC$5)*AV18)))</f>
        <v/>
      </c>
      <c r="AF18">
        <f>IF(AD18-AE18&lt;0.005,0,AD18-AE18)</f>
        <v/>
      </c>
      <c r="AG18">
        <f>AL17</f>
        <v/>
      </c>
      <c r="AH18">
        <f>AG18*Plan!D11/100/12</f>
        <v/>
      </c>
      <c r="AI18">
        <f>MIN(Plan!E11,AG18+AH18)</f>
        <v/>
      </c>
      <c r="AJ18">
        <f>AG18+AH18-AI18</f>
        <v/>
      </c>
      <c r="AK18">
        <f>MIN(AJ18,MAX(0,$B18-((E$5&lt;AI$5)*F18+(K$5&lt;AI$5)*L18+(Q$5&lt;AI$5)*R18+(W$5&lt;AI$5)*X18+(AC$5&lt;AI$5)*AD18+(AO$5&lt;AI$5)*AP18+(AU$5&lt;AI$5)*AV18)))</f>
        <v/>
      </c>
      <c r="AL18">
        <f>IF(AJ18-AK18&lt;0.005,0,AJ18-AK18)</f>
        <v/>
      </c>
      <c r="AM18">
        <f>AR17</f>
        <v/>
      </c>
      <c r="AN18">
        <f>AM18*Plan!D12/100/12</f>
        <v/>
      </c>
      <c r="AO18">
        <f>MIN(Plan!E12,AM18+AN18)</f>
        <v/>
      </c>
      <c r="AP18">
        <f>AM18+AN18-AO18</f>
        <v/>
      </c>
      <c r="AQ18">
        <f>MIN(AP18,MAX(0,$B18-((E$5&lt;AO$5)*F18+(K$5&lt;AO$5)*L18+(Q$5&lt;AO$5)*R18+(W$5&lt;AO$5)*X18+(AC$5&lt;AO$5)*AD18+(AI$5&lt;AO$5)*AJ18+(AU$5&lt;AO$5)*AV18)))</f>
        <v/>
      </c>
      <c r="AR18">
        <f>IF(AP18-AQ18&lt;0.005,0,AP18-AQ18)</f>
        <v/>
      </c>
      <c r="AS18">
        <f>AX17</f>
        <v/>
      </c>
      <c r="AT18">
        <f>AS18*Plan!D13/100/12</f>
        <v/>
      </c>
      <c r="AU18">
        <f>MIN(Plan!E13,AS18+AT18)</f>
        <v/>
      </c>
      <c r="AV18">
        <f>AS18+AT18-AU18</f>
        <v/>
      </c>
      <c r="AW18">
        <f>MIN(AV18,MAX(0,$B18-((E$5&lt;AU$5)*F18+(K$5&lt;AU$5)*L18+(Q$5&lt;AU$5)*R18+(W$5&lt;AU$5)*X18+(AC$5&lt;AU$5)*AD18+(AI$5&lt;AU$5)*AJ18+(AO$5&lt;AU$5)*AP18)))</f>
        <v/>
      </c>
      <c r="AX18">
        <f>IF(AV18-AW18&lt;0.005,0,AV18-AW18)</f>
        <v/>
      </c>
      <c r="BC18">
        <f>H18+N18+T18+Z18+AF18+AL18+AR18+AX18</f>
        <v/>
      </c>
    </row>
    <row r="19">
      <c r="A19" t="n">
        <v>13</v>
      </c>
      <c r="B19" s="19">
        <f>MAX(0,$B$3-(E19+K19+Q19+W19+AC19+AI19+AO19+AU19))</f>
        <v/>
      </c>
      <c r="C19">
        <f>H18</f>
        <v/>
      </c>
      <c r="D19">
        <f>C19*Plan!D6/100/12</f>
        <v/>
      </c>
      <c r="E19">
        <f>MIN(Plan!E6,C19+D19)</f>
        <v/>
      </c>
      <c r="F19">
        <f>C19+D19-E19</f>
        <v/>
      </c>
      <c r="G19">
        <f>MIN(F19,MAX(0,$B19-((K$5&lt;E$5)*L19+(Q$5&lt;E$5)*R19+(W$5&lt;E$5)*X19+(AC$5&lt;E$5)*AD19+(AI$5&lt;E$5)*AJ19+(AO$5&lt;E$5)*AP19+(AU$5&lt;E$5)*AV19)))</f>
        <v/>
      </c>
      <c r="H19">
        <f>IF(F19-G19&lt;0.005,0,F19-G19)</f>
        <v/>
      </c>
      <c r="I19">
        <f>N18</f>
        <v/>
      </c>
      <c r="J19">
        <f>I19*Plan!D7/100/12</f>
        <v/>
      </c>
      <c r="K19">
        <f>MIN(Plan!E7,I19+J19)</f>
        <v/>
      </c>
      <c r="L19">
        <f>I19+J19-K19</f>
        <v/>
      </c>
      <c r="M19">
        <f>MIN(L19,MAX(0,$B19-((E$5&lt;K$5)*F19+(Q$5&lt;K$5)*R19+(W$5&lt;K$5)*X19+(AC$5&lt;K$5)*AD19+(AI$5&lt;K$5)*AJ19+(AO$5&lt;K$5)*AP19+(AU$5&lt;K$5)*AV19)))</f>
        <v/>
      </c>
      <c r="N19">
        <f>IF(L19-M19&lt;0.005,0,L19-M19)</f>
        <v/>
      </c>
      <c r="O19">
        <f>T18</f>
        <v/>
      </c>
      <c r="P19">
        <f>O19*Plan!D8/100/12</f>
        <v/>
      </c>
      <c r="Q19">
        <f>MIN(Plan!E8,O19+P19)</f>
        <v/>
      </c>
      <c r="R19">
        <f>O19+P19-Q19</f>
        <v/>
      </c>
      <c r="S19">
        <f>MIN(R19,MAX(0,$B19-((E$5&lt;Q$5)*F19+(K$5&lt;Q$5)*L19+(W$5&lt;Q$5)*X19+(AC$5&lt;Q$5)*AD19+(AI$5&lt;Q$5)*AJ19+(AO$5&lt;Q$5)*AP19+(AU$5&lt;Q$5)*AV19)))</f>
        <v/>
      </c>
      <c r="T19">
        <f>IF(R19-S19&lt;0.005,0,R19-S19)</f>
        <v/>
      </c>
      <c r="U19">
        <f>Z18</f>
        <v/>
      </c>
      <c r="V19">
        <f>U19*Plan!D9/100/12</f>
        <v/>
      </c>
      <c r="W19">
        <f>MIN(Plan!E9,U19+V19)</f>
        <v/>
      </c>
      <c r="X19">
        <f>U19+V19-W19</f>
        <v/>
      </c>
      <c r="Y19">
        <f>MIN(X19,MAX(0,$B19-((E$5&lt;W$5)*F19+(K$5&lt;W$5)*L19+(Q$5&lt;W$5)*R19+(AC$5&lt;W$5)*AD19+(AI$5&lt;W$5)*AJ19+(AO$5&lt;W$5)*AP19+(AU$5&lt;W$5)*AV19)))</f>
        <v/>
      </c>
      <c r="Z19">
        <f>IF(X19-Y19&lt;0.005,0,X19-Y19)</f>
        <v/>
      </c>
      <c r="AA19">
        <f>AF18</f>
        <v/>
      </c>
      <c r="AB19">
        <f>AA19*Plan!D10/100/12</f>
        <v/>
      </c>
      <c r="AC19">
        <f>MIN(Plan!E10,AA19+AB19)</f>
        <v/>
      </c>
      <c r="AD19">
        <f>AA19+AB19-AC19</f>
        <v/>
      </c>
      <c r="AE19">
        <f>MIN(AD19,MAX(0,$B19-((E$5&lt;AC$5)*F19+(K$5&lt;AC$5)*L19+(Q$5&lt;AC$5)*R19+(W$5&lt;AC$5)*X19+(AI$5&lt;AC$5)*AJ19+(AO$5&lt;AC$5)*AP19+(AU$5&lt;AC$5)*AV19)))</f>
        <v/>
      </c>
      <c r="AF19">
        <f>IF(AD19-AE19&lt;0.005,0,AD19-AE19)</f>
        <v/>
      </c>
      <c r="AG19">
        <f>AL18</f>
        <v/>
      </c>
      <c r="AH19">
        <f>AG19*Plan!D11/100/12</f>
        <v/>
      </c>
      <c r="AI19">
        <f>MIN(Plan!E11,AG19+AH19)</f>
        <v/>
      </c>
      <c r="AJ19">
        <f>AG19+AH19-AI19</f>
        <v/>
      </c>
      <c r="AK19">
        <f>MIN(AJ19,MAX(0,$B19-((E$5&lt;AI$5)*F19+(K$5&lt;AI$5)*L19+(Q$5&lt;AI$5)*R19+(W$5&lt;AI$5)*X19+(AC$5&lt;AI$5)*AD19+(AO$5&lt;AI$5)*AP19+(AU$5&lt;AI$5)*AV19)))</f>
        <v/>
      </c>
      <c r="AL19">
        <f>IF(AJ19-AK19&lt;0.005,0,AJ19-AK19)</f>
        <v/>
      </c>
      <c r="AM19">
        <f>AR18</f>
        <v/>
      </c>
      <c r="AN19">
        <f>AM19*Plan!D12/100/12</f>
        <v/>
      </c>
      <c r="AO19">
        <f>MIN(Plan!E12,AM19+AN19)</f>
        <v/>
      </c>
      <c r="AP19">
        <f>AM19+AN19-AO19</f>
        <v/>
      </c>
      <c r="AQ19">
        <f>MIN(AP19,MAX(0,$B19-((E$5&lt;AO$5)*F19+(K$5&lt;AO$5)*L19+(Q$5&lt;AO$5)*R19+(W$5&lt;AO$5)*X19+(AC$5&lt;AO$5)*AD19+(AI$5&lt;AO$5)*AJ19+(AU$5&lt;AO$5)*AV19)))</f>
        <v/>
      </c>
      <c r="AR19">
        <f>IF(AP19-AQ19&lt;0.005,0,AP19-AQ19)</f>
        <v/>
      </c>
      <c r="AS19">
        <f>AX18</f>
        <v/>
      </c>
      <c r="AT19">
        <f>AS19*Plan!D13/100/12</f>
        <v/>
      </c>
      <c r="AU19">
        <f>MIN(Plan!E13,AS19+AT19)</f>
        <v/>
      </c>
      <c r="AV19">
        <f>AS19+AT19-AU19</f>
        <v/>
      </c>
      <c r="AW19">
        <f>MIN(AV19,MAX(0,$B19-((E$5&lt;AU$5)*F19+(K$5&lt;AU$5)*L19+(Q$5&lt;AU$5)*R19+(W$5&lt;AU$5)*X19+(AC$5&lt;AU$5)*AD19+(AI$5&lt;AU$5)*AJ19+(AO$5&lt;AU$5)*AP19)))</f>
        <v/>
      </c>
      <c r="AX19">
        <f>IF(AV19-AW19&lt;0.005,0,AV19-AW19)</f>
        <v/>
      </c>
      <c r="BC19">
        <f>H19+N19+T19+Z19+AF19+AL19+AR19+AX19</f>
        <v/>
      </c>
    </row>
    <row r="20">
      <c r="A20" t="n">
        <v>14</v>
      </c>
      <c r="B20" s="19">
        <f>MAX(0,$B$3-(E20+K20+Q20+W20+AC20+AI20+AO20+AU20))</f>
        <v/>
      </c>
      <c r="C20">
        <f>H19</f>
        <v/>
      </c>
      <c r="D20">
        <f>C20*Plan!D6/100/12</f>
        <v/>
      </c>
      <c r="E20">
        <f>MIN(Plan!E6,C20+D20)</f>
        <v/>
      </c>
      <c r="F20">
        <f>C20+D20-E20</f>
        <v/>
      </c>
      <c r="G20">
        <f>MIN(F20,MAX(0,$B20-((K$5&lt;E$5)*L20+(Q$5&lt;E$5)*R20+(W$5&lt;E$5)*X20+(AC$5&lt;E$5)*AD20+(AI$5&lt;E$5)*AJ20+(AO$5&lt;E$5)*AP20+(AU$5&lt;E$5)*AV20)))</f>
        <v/>
      </c>
      <c r="H20">
        <f>IF(F20-G20&lt;0.005,0,F20-G20)</f>
        <v/>
      </c>
      <c r="I20">
        <f>N19</f>
        <v/>
      </c>
      <c r="J20">
        <f>I20*Plan!D7/100/12</f>
        <v/>
      </c>
      <c r="K20">
        <f>MIN(Plan!E7,I20+J20)</f>
        <v/>
      </c>
      <c r="L20">
        <f>I20+J20-K20</f>
        <v/>
      </c>
      <c r="M20">
        <f>MIN(L20,MAX(0,$B20-((E$5&lt;K$5)*F20+(Q$5&lt;K$5)*R20+(W$5&lt;K$5)*X20+(AC$5&lt;K$5)*AD20+(AI$5&lt;K$5)*AJ20+(AO$5&lt;K$5)*AP20+(AU$5&lt;K$5)*AV20)))</f>
        <v/>
      </c>
      <c r="N20">
        <f>IF(L20-M20&lt;0.005,0,L20-M20)</f>
        <v/>
      </c>
      <c r="O20">
        <f>T19</f>
        <v/>
      </c>
      <c r="P20">
        <f>O20*Plan!D8/100/12</f>
        <v/>
      </c>
      <c r="Q20">
        <f>MIN(Plan!E8,O20+P20)</f>
        <v/>
      </c>
      <c r="R20">
        <f>O20+P20-Q20</f>
        <v/>
      </c>
      <c r="S20">
        <f>MIN(R20,MAX(0,$B20-((E$5&lt;Q$5)*F20+(K$5&lt;Q$5)*L20+(W$5&lt;Q$5)*X20+(AC$5&lt;Q$5)*AD20+(AI$5&lt;Q$5)*AJ20+(AO$5&lt;Q$5)*AP20+(AU$5&lt;Q$5)*AV20)))</f>
        <v/>
      </c>
      <c r="T20">
        <f>IF(R20-S20&lt;0.005,0,R20-S20)</f>
        <v/>
      </c>
      <c r="U20">
        <f>Z19</f>
        <v/>
      </c>
      <c r="V20">
        <f>U20*Plan!D9/100/12</f>
        <v/>
      </c>
      <c r="W20">
        <f>MIN(Plan!E9,U20+V20)</f>
        <v/>
      </c>
      <c r="X20">
        <f>U20+V20-W20</f>
        <v/>
      </c>
      <c r="Y20">
        <f>MIN(X20,MAX(0,$B20-((E$5&lt;W$5)*F20+(K$5&lt;W$5)*L20+(Q$5&lt;W$5)*R20+(AC$5&lt;W$5)*AD20+(AI$5&lt;W$5)*AJ20+(AO$5&lt;W$5)*AP20+(AU$5&lt;W$5)*AV20)))</f>
        <v/>
      </c>
      <c r="Z20">
        <f>IF(X20-Y20&lt;0.005,0,X20-Y20)</f>
        <v/>
      </c>
      <c r="AA20">
        <f>AF19</f>
        <v/>
      </c>
      <c r="AB20">
        <f>AA20*Plan!D10/100/12</f>
        <v/>
      </c>
      <c r="AC20">
        <f>MIN(Plan!E10,AA20+AB20)</f>
        <v/>
      </c>
      <c r="AD20">
        <f>AA20+AB20-AC20</f>
        <v/>
      </c>
      <c r="AE20">
        <f>MIN(AD20,MAX(0,$B20-((E$5&lt;AC$5)*F20+(K$5&lt;AC$5)*L20+(Q$5&lt;AC$5)*R20+(W$5&lt;AC$5)*X20+(AI$5&lt;AC$5)*AJ20+(AO$5&lt;AC$5)*AP20+(AU$5&lt;AC$5)*AV20)))</f>
        <v/>
      </c>
      <c r="AF20">
        <f>IF(AD20-AE20&lt;0.005,0,AD20-AE20)</f>
        <v/>
      </c>
      <c r="AG20">
        <f>AL19</f>
        <v/>
      </c>
      <c r="AH20">
        <f>AG20*Plan!D11/100/12</f>
        <v/>
      </c>
      <c r="AI20">
        <f>MIN(Plan!E11,AG20+AH20)</f>
        <v/>
      </c>
      <c r="AJ20">
        <f>AG20+AH20-AI20</f>
        <v/>
      </c>
      <c r="AK20">
        <f>MIN(AJ20,MAX(0,$B20-((E$5&lt;AI$5)*F20+(K$5&lt;AI$5)*L20+(Q$5&lt;AI$5)*R20+(W$5&lt;AI$5)*X20+(AC$5&lt;AI$5)*AD20+(AO$5&lt;AI$5)*AP20+(AU$5&lt;AI$5)*AV20)))</f>
        <v/>
      </c>
      <c r="AL20">
        <f>IF(AJ20-AK20&lt;0.005,0,AJ20-AK20)</f>
        <v/>
      </c>
      <c r="AM20">
        <f>AR19</f>
        <v/>
      </c>
      <c r="AN20">
        <f>AM20*Plan!D12/100/12</f>
        <v/>
      </c>
      <c r="AO20">
        <f>MIN(Plan!E12,AM20+AN20)</f>
        <v/>
      </c>
      <c r="AP20">
        <f>AM20+AN20-AO20</f>
        <v/>
      </c>
      <c r="AQ20">
        <f>MIN(AP20,MAX(0,$B20-((E$5&lt;AO$5)*F20+(K$5&lt;AO$5)*L20+(Q$5&lt;AO$5)*R20+(W$5&lt;AO$5)*X20+(AC$5&lt;AO$5)*AD20+(AI$5&lt;AO$5)*AJ20+(AU$5&lt;AO$5)*AV20)))</f>
        <v/>
      </c>
      <c r="AR20">
        <f>IF(AP20-AQ20&lt;0.005,0,AP20-AQ20)</f>
        <v/>
      </c>
      <c r="AS20">
        <f>AX19</f>
        <v/>
      </c>
      <c r="AT20">
        <f>AS20*Plan!D13/100/12</f>
        <v/>
      </c>
      <c r="AU20">
        <f>MIN(Plan!E13,AS20+AT20)</f>
        <v/>
      </c>
      <c r="AV20">
        <f>AS20+AT20-AU20</f>
        <v/>
      </c>
      <c r="AW20">
        <f>MIN(AV20,MAX(0,$B20-((E$5&lt;AU$5)*F20+(K$5&lt;AU$5)*L20+(Q$5&lt;AU$5)*R20+(W$5&lt;AU$5)*X20+(AC$5&lt;AU$5)*AD20+(AI$5&lt;AU$5)*AJ20+(AO$5&lt;AU$5)*AP20)))</f>
        <v/>
      </c>
      <c r="AX20">
        <f>IF(AV20-AW20&lt;0.005,0,AV20-AW20)</f>
        <v/>
      </c>
      <c r="BC20">
        <f>H20+N20+T20+Z20+AF20+AL20+AR20+AX20</f>
        <v/>
      </c>
    </row>
    <row r="21">
      <c r="A21" t="n">
        <v>15</v>
      </c>
      <c r="B21" s="19">
        <f>MAX(0,$B$3-(E21+K21+Q21+W21+AC21+AI21+AO21+AU21))</f>
        <v/>
      </c>
      <c r="C21">
        <f>H20</f>
        <v/>
      </c>
      <c r="D21">
        <f>C21*Plan!D6/100/12</f>
        <v/>
      </c>
      <c r="E21">
        <f>MIN(Plan!E6,C21+D21)</f>
        <v/>
      </c>
      <c r="F21">
        <f>C21+D21-E21</f>
        <v/>
      </c>
      <c r="G21">
        <f>MIN(F21,MAX(0,$B21-((K$5&lt;E$5)*L21+(Q$5&lt;E$5)*R21+(W$5&lt;E$5)*X21+(AC$5&lt;E$5)*AD21+(AI$5&lt;E$5)*AJ21+(AO$5&lt;E$5)*AP21+(AU$5&lt;E$5)*AV21)))</f>
        <v/>
      </c>
      <c r="H21">
        <f>IF(F21-G21&lt;0.005,0,F21-G21)</f>
        <v/>
      </c>
      <c r="I21">
        <f>N20</f>
        <v/>
      </c>
      <c r="J21">
        <f>I21*Plan!D7/100/12</f>
        <v/>
      </c>
      <c r="K21">
        <f>MIN(Plan!E7,I21+J21)</f>
        <v/>
      </c>
      <c r="L21">
        <f>I21+J21-K21</f>
        <v/>
      </c>
      <c r="M21">
        <f>MIN(L21,MAX(0,$B21-((E$5&lt;K$5)*F21+(Q$5&lt;K$5)*R21+(W$5&lt;K$5)*X21+(AC$5&lt;K$5)*AD21+(AI$5&lt;K$5)*AJ21+(AO$5&lt;K$5)*AP21+(AU$5&lt;K$5)*AV21)))</f>
        <v/>
      </c>
      <c r="N21">
        <f>IF(L21-M21&lt;0.005,0,L21-M21)</f>
        <v/>
      </c>
      <c r="O21">
        <f>T20</f>
        <v/>
      </c>
      <c r="P21">
        <f>O21*Plan!D8/100/12</f>
        <v/>
      </c>
      <c r="Q21">
        <f>MIN(Plan!E8,O21+P21)</f>
        <v/>
      </c>
      <c r="R21">
        <f>O21+P21-Q21</f>
        <v/>
      </c>
      <c r="S21">
        <f>MIN(R21,MAX(0,$B21-((E$5&lt;Q$5)*F21+(K$5&lt;Q$5)*L21+(W$5&lt;Q$5)*X21+(AC$5&lt;Q$5)*AD21+(AI$5&lt;Q$5)*AJ21+(AO$5&lt;Q$5)*AP21+(AU$5&lt;Q$5)*AV21)))</f>
        <v/>
      </c>
      <c r="T21">
        <f>IF(R21-S21&lt;0.005,0,R21-S21)</f>
        <v/>
      </c>
      <c r="U21">
        <f>Z20</f>
        <v/>
      </c>
      <c r="V21">
        <f>U21*Plan!D9/100/12</f>
        <v/>
      </c>
      <c r="W21">
        <f>MIN(Plan!E9,U21+V21)</f>
        <v/>
      </c>
      <c r="X21">
        <f>U21+V21-W21</f>
        <v/>
      </c>
      <c r="Y21">
        <f>MIN(X21,MAX(0,$B21-((E$5&lt;W$5)*F21+(K$5&lt;W$5)*L21+(Q$5&lt;W$5)*R21+(AC$5&lt;W$5)*AD21+(AI$5&lt;W$5)*AJ21+(AO$5&lt;W$5)*AP21+(AU$5&lt;W$5)*AV21)))</f>
        <v/>
      </c>
      <c r="Z21">
        <f>IF(X21-Y21&lt;0.005,0,X21-Y21)</f>
        <v/>
      </c>
      <c r="AA21">
        <f>AF20</f>
        <v/>
      </c>
      <c r="AB21">
        <f>AA21*Plan!D10/100/12</f>
        <v/>
      </c>
      <c r="AC21">
        <f>MIN(Plan!E10,AA21+AB21)</f>
        <v/>
      </c>
      <c r="AD21">
        <f>AA21+AB21-AC21</f>
        <v/>
      </c>
      <c r="AE21">
        <f>MIN(AD21,MAX(0,$B21-((E$5&lt;AC$5)*F21+(K$5&lt;AC$5)*L21+(Q$5&lt;AC$5)*R21+(W$5&lt;AC$5)*X21+(AI$5&lt;AC$5)*AJ21+(AO$5&lt;AC$5)*AP21+(AU$5&lt;AC$5)*AV21)))</f>
        <v/>
      </c>
      <c r="AF21">
        <f>IF(AD21-AE21&lt;0.005,0,AD21-AE21)</f>
        <v/>
      </c>
      <c r="AG21">
        <f>AL20</f>
        <v/>
      </c>
      <c r="AH21">
        <f>AG21*Plan!D11/100/12</f>
        <v/>
      </c>
      <c r="AI21">
        <f>MIN(Plan!E11,AG21+AH21)</f>
        <v/>
      </c>
      <c r="AJ21">
        <f>AG21+AH21-AI21</f>
        <v/>
      </c>
      <c r="AK21">
        <f>MIN(AJ21,MAX(0,$B21-((E$5&lt;AI$5)*F21+(K$5&lt;AI$5)*L21+(Q$5&lt;AI$5)*R21+(W$5&lt;AI$5)*X21+(AC$5&lt;AI$5)*AD21+(AO$5&lt;AI$5)*AP21+(AU$5&lt;AI$5)*AV21)))</f>
        <v/>
      </c>
      <c r="AL21">
        <f>IF(AJ21-AK21&lt;0.005,0,AJ21-AK21)</f>
        <v/>
      </c>
      <c r="AM21">
        <f>AR20</f>
        <v/>
      </c>
      <c r="AN21">
        <f>AM21*Plan!D12/100/12</f>
        <v/>
      </c>
      <c r="AO21">
        <f>MIN(Plan!E12,AM21+AN21)</f>
        <v/>
      </c>
      <c r="AP21">
        <f>AM21+AN21-AO21</f>
        <v/>
      </c>
      <c r="AQ21">
        <f>MIN(AP21,MAX(0,$B21-((E$5&lt;AO$5)*F21+(K$5&lt;AO$5)*L21+(Q$5&lt;AO$5)*R21+(W$5&lt;AO$5)*X21+(AC$5&lt;AO$5)*AD21+(AI$5&lt;AO$5)*AJ21+(AU$5&lt;AO$5)*AV21)))</f>
        <v/>
      </c>
      <c r="AR21">
        <f>IF(AP21-AQ21&lt;0.005,0,AP21-AQ21)</f>
        <v/>
      </c>
      <c r="AS21">
        <f>AX20</f>
        <v/>
      </c>
      <c r="AT21">
        <f>AS21*Plan!D13/100/12</f>
        <v/>
      </c>
      <c r="AU21">
        <f>MIN(Plan!E13,AS21+AT21)</f>
        <v/>
      </c>
      <c r="AV21">
        <f>AS21+AT21-AU21</f>
        <v/>
      </c>
      <c r="AW21">
        <f>MIN(AV21,MAX(0,$B21-((E$5&lt;AU$5)*F21+(K$5&lt;AU$5)*L21+(Q$5&lt;AU$5)*R21+(W$5&lt;AU$5)*X21+(AC$5&lt;AU$5)*AD21+(AI$5&lt;AU$5)*AJ21+(AO$5&lt;AU$5)*AP21)))</f>
        <v/>
      </c>
      <c r="AX21">
        <f>IF(AV21-AW21&lt;0.005,0,AV21-AW21)</f>
        <v/>
      </c>
      <c r="BC21">
        <f>H21+N21+T21+Z21+AF21+AL21+AR21+AX21</f>
        <v/>
      </c>
    </row>
    <row r="22">
      <c r="A22" t="n">
        <v>16</v>
      </c>
      <c r="B22" s="19">
        <f>MAX(0,$B$3-(E22+K22+Q22+W22+AC22+AI22+AO22+AU22))</f>
        <v/>
      </c>
      <c r="C22">
        <f>H21</f>
        <v/>
      </c>
      <c r="D22">
        <f>C22*Plan!D6/100/12</f>
        <v/>
      </c>
      <c r="E22">
        <f>MIN(Plan!E6,C22+D22)</f>
        <v/>
      </c>
      <c r="F22">
        <f>C22+D22-E22</f>
        <v/>
      </c>
      <c r="G22">
        <f>MIN(F22,MAX(0,$B22-((K$5&lt;E$5)*L22+(Q$5&lt;E$5)*R22+(W$5&lt;E$5)*X22+(AC$5&lt;E$5)*AD22+(AI$5&lt;E$5)*AJ22+(AO$5&lt;E$5)*AP22+(AU$5&lt;E$5)*AV22)))</f>
        <v/>
      </c>
      <c r="H22">
        <f>IF(F22-G22&lt;0.005,0,F22-G22)</f>
        <v/>
      </c>
      <c r="I22">
        <f>N21</f>
        <v/>
      </c>
      <c r="J22">
        <f>I22*Plan!D7/100/12</f>
        <v/>
      </c>
      <c r="K22">
        <f>MIN(Plan!E7,I22+J22)</f>
        <v/>
      </c>
      <c r="L22">
        <f>I22+J22-K22</f>
        <v/>
      </c>
      <c r="M22">
        <f>MIN(L22,MAX(0,$B22-((E$5&lt;K$5)*F22+(Q$5&lt;K$5)*R22+(W$5&lt;K$5)*X22+(AC$5&lt;K$5)*AD22+(AI$5&lt;K$5)*AJ22+(AO$5&lt;K$5)*AP22+(AU$5&lt;K$5)*AV22)))</f>
        <v/>
      </c>
      <c r="N22">
        <f>IF(L22-M22&lt;0.005,0,L22-M22)</f>
        <v/>
      </c>
      <c r="O22">
        <f>T21</f>
        <v/>
      </c>
      <c r="P22">
        <f>O22*Plan!D8/100/12</f>
        <v/>
      </c>
      <c r="Q22">
        <f>MIN(Plan!E8,O22+P22)</f>
        <v/>
      </c>
      <c r="R22">
        <f>O22+P22-Q22</f>
        <v/>
      </c>
      <c r="S22">
        <f>MIN(R22,MAX(0,$B22-((E$5&lt;Q$5)*F22+(K$5&lt;Q$5)*L22+(W$5&lt;Q$5)*X22+(AC$5&lt;Q$5)*AD22+(AI$5&lt;Q$5)*AJ22+(AO$5&lt;Q$5)*AP22+(AU$5&lt;Q$5)*AV22)))</f>
        <v/>
      </c>
      <c r="T22">
        <f>IF(R22-S22&lt;0.005,0,R22-S22)</f>
        <v/>
      </c>
      <c r="U22">
        <f>Z21</f>
        <v/>
      </c>
      <c r="V22">
        <f>U22*Plan!D9/100/12</f>
        <v/>
      </c>
      <c r="W22">
        <f>MIN(Plan!E9,U22+V22)</f>
        <v/>
      </c>
      <c r="X22">
        <f>U22+V22-W22</f>
        <v/>
      </c>
      <c r="Y22">
        <f>MIN(X22,MAX(0,$B22-((E$5&lt;W$5)*F22+(K$5&lt;W$5)*L22+(Q$5&lt;W$5)*R22+(AC$5&lt;W$5)*AD22+(AI$5&lt;W$5)*AJ22+(AO$5&lt;W$5)*AP22+(AU$5&lt;W$5)*AV22)))</f>
        <v/>
      </c>
      <c r="Z22">
        <f>IF(X22-Y22&lt;0.005,0,X22-Y22)</f>
        <v/>
      </c>
      <c r="AA22">
        <f>AF21</f>
        <v/>
      </c>
      <c r="AB22">
        <f>AA22*Plan!D10/100/12</f>
        <v/>
      </c>
      <c r="AC22">
        <f>MIN(Plan!E10,AA22+AB22)</f>
        <v/>
      </c>
      <c r="AD22">
        <f>AA22+AB22-AC22</f>
        <v/>
      </c>
      <c r="AE22">
        <f>MIN(AD22,MAX(0,$B22-((E$5&lt;AC$5)*F22+(K$5&lt;AC$5)*L22+(Q$5&lt;AC$5)*R22+(W$5&lt;AC$5)*X22+(AI$5&lt;AC$5)*AJ22+(AO$5&lt;AC$5)*AP22+(AU$5&lt;AC$5)*AV22)))</f>
        <v/>
      </c>
      <c r="AF22">
        <f>IF(AD22-AE22&lt;0.005,0,AD22-AE22)</f>
        <v/>
      </c>
      <c r="AG22">
        <f>AL21</f>
        <v/>
      </c>
      <c r="AH22">
        <f>AG22*Plan!D11/100/12</f>
        <v/>
      </c>
      <c r="AI22">
        <f>MIN(Plan!E11,AG22+AH22)</f>
        <v/>
      </c>
      <c r="AJ22">
        <f>AG22+AH22-AI22</f>
        <v/>
      </c>
      <c r="AK22">
        <f>MIN(AJ22,MAX(0,$B22-((E$5&lt;AI$5)*F22+(K$5&lt;AI$5)*L22+(Q$5&lt;AI$5)*R22+(W$5&lt;AI$5)*X22+(AC$5&lt;AI$5)*AD22+(AO$5&lt;AI$5)*AP22+(AU$5&lt;AI$5)*AV22)))</f>
        <v/>
      </c>
      <c r="AL22">
        <f>IF(AJ22-AK22&lt;0.005,0,AJ22-AK22)</f>
        <v/>
      </c>
      <c r="AM22">
        <f>AR21</f>
        <v/>
      </c>
      <c r="AN22">
        <f>AM22*Plan!D12/100/12</f>
        <v/>
      </c>
      <c r="AO22">
        <f>MIN(Plan!E12,AM22+AN22)</f>
        <v/>
      </c>
      <c r="AP22">
        <f>AM22+AN22-AO22</f>
        <v/>
      </c>
      <c r="AQ22">
        <f>MIN(AP22,MAX(0,$B22-((E$5&lt;AO$5)*F22+(K$5&lt;AO$5)*L22+(Q$5&lt;AO$5)*R22+(W$5&lt;AO$5)*X22+(AC$5&lt;AO$5)*AD22+(AI$5&lt;AO$5)*AJ22+(AU$5&lt;AO$5)*AV22)))</f>
        <v/>
      </c>
      <c r="AR22">
        <f>IF(AP22-AQ22&lt;0.005,0,AP22-AQ22)</f>
        <v/>
      </c>
      <c r="AS22">
        <f>AX21</f>
        <v/>
      </c>
      <c r="AT22">
        <f>AS22*Plan!D13/100/12</f>
        <v/>
      </c>
      <c r="AU22">
        <f>MIN(Plan!E13,AS22+AT22)</f>
        <v/>
      </c>
      <c r="AV22">
        <f>AS22+AT22-AU22</f>
        <v/>
      </c>
      <c r="AW22">
        <f>MIN(AV22,MAX(0,$B22-((E$5&lt;AU$5)*F22+(K$5&lt;AU$5)*L22+(Q$5&lt;AU$5)*R22+(W$5&lt;AU$5)*X22+(AC$5&lt;AU$5)*AD22+(AI$5&lt;AU$5)*AJ22+(AO$5&lt;AU$5)*AP22)))</f>
        <v/>
      </c>
      <c r="AX22">
        <f>IF(AV22-AW22&lt;0.005,0,AV22-AW22)</f>
        <v/>
      </c>
      <c r="BC22">
        <f>H22+N22+T22+Z22+AF22+AL22+AR22+AX22</f>
        <v/>
      </c>
    </row>
    <row r="23">
      <c r="A23" t="n">
        <v>17</v>
      </c>
      <c r="B23" s="19">
        <f>MAX(0,$B$3-(E23+K23+Q23+W23+AC23+AI23+AO23+AU23))</f>
        <v/>
      </c>
      <c r="C23">
        <f>H22</f>
        <v/>
      </c>
      <c r="D23">
        <f>C23*Plan!D6/100/12</f>
        <v/>
      </c>
      <c r="E23">
        <f>MIN(Plan!E6,C23+D23)</f>
        <v/>
      </c>
      <c r="F23">
        <f>C23+D23-E23</f>
        <v/>
      </c>
      <c r="G23">
        <f>MIN(F23,MAX(0,$B23-((K$5&lt;E$5)*L23+(Q$5&lt;E$5)*R23+(W$5&lt;E$5)*X23+(AC$5&lt;E$5)*AD23+(AI$5&lt;E$5)*AJ23+(AO$5&lt;E$5)*AP23+(AU$5&lt;E$5)*AV23)))</f>
        <v/>
      </c>
      <c r="H23">
        <f>IF(F23-G23&lt;0.005,0,F23-G23)</f>
        <v/>
      </c>
      <c r="I23">
        <f>N22</f>
        <v/>
      </c>
      <c r="J23">
        <f>I23*Plan!D7/100/12</f>
        <v/>
      </c>
      <c r="K23">
        <f>MIN(Plan!E7,I23+J23)</f>
        <v/>
      </c>
      <c r="L23">
        <f>I23+J23-K23</f>
        <v/>
      </c>
      <c r="M23">
        <f>MIN(L23,MAX(0,$B23-((E$5&lt;K$5)*F23+(Q$5&lt;K$5)*R23+(W$5&lt;K$5)*X23+(AC$5&lt;K$5)*AD23+(AI$5&lt;K$5)*AJ23+(AO$5&lt;K$5)*AP23+(AU$5&lt;K$5)*AV23)))</f>
        <v/>
      </c>
      <c r="N23">
        <f>IF(L23-M23&lt;0.005,0,L23-M23)</f>
        <v/>
      </c>
      <c r="O23">
        <f>T22</f>
        <v/>
      </c>
      <c r="P23">
        <f>O23*Plan!D8/100/12</f>
        <v/>
      </c>
      <c r="Q23">
        <f>MIN(Plan!E8,O23+P23)</f>
        <v/>
      </c>
      <c r="R23">
        <f>O23+P23-Q23</f>
        <v/>
      </c>
      <c r="S23">
        <f>MIN(R23,MAX(0,$B23-((E$5&lt;Q$5)*F23+(K$5&lt;Q$5)*L23+(W$5&lt;Q$5)*X23+(AC$5&lt;Q$5)*AD23+(AI$5&lt;Q$5)*AJ23+(AO$5&lt;Q$5)*AP23+(AU$5&lt;Q$5)*AV23)))</f>
        <v/>
      </c>
      <c r="T23">
        <f>IF(R23-S23&lt;0.005,0,R23-S23)</f>
        <v/>
      </c>
      <c r="U23">
        <f>Z22</f>
        <v/>
      </c>
      <c r="V23">
        <f>U23*Plan!D9/100/12</f>
        <v/>
      </c>
      <c r="W23">
        <f>MIN(Plan!E9,U23+V23)</f>
        <v/>
      </c>
      <c r="X23">
        <f>U23+V23-W23</f>
        <v/>
      </c>
      <c r="Y23">
        <f>MIN(X23,MAX(0,$B23-((E$5&lt;W$5)*F23+(K$5&lt;W$5)*L23+(Q$5&lt;W$5)*R23+(AC$5&lt;W$5)*AD23+(AI$5&lt;W$5)*AJ23+(AO$5&lt;W$5)*AP23+(AU$5&lt;W$5)*AV23)))</f>
        <v/>
      </c>
      <c r="Z23">
        <f>IF(X23-Y23&lt;0.005,0,X23-Y23)</f>
        <v/>
      </c>
      <c r="AA23">
        <f>AF22</f>
        <v/>
      </c>
      <c r="AB23">
        <f>AA23*Plan!D10/100/12</f>
        <v/>
      </c>
      <c r="AC23">
        <f>MIN(Plan!E10,AA23+AB23)</f>
        <v/>
      </c>
      <c r="AD23">
        <f>AA23+AB23-AC23</f>
        <v/>
      </c>
      <c r="AE23">
        <f>MIN(AD23,MAX(0,$B23-((E$5&lt;AC$5)*F23+(K$5&lt;AC$5)*L23+(Q$5&lt;AC$5)*R23+(W$5&lt;AC$5)*X23+(AI$5&lt;AC$5)*AJ23+(AO$5&lt;AC$5)*AP23+(AU$5&lt;AC$5)*AV23)))</f>
        <v/>
      </c>
      <c r="AF23">
        <f>IF(AD23-AE23&lt;0.005,0,AD23-AE23)</f>
        <v/>
      </c>
      <c r="AG23">
        <f>AL22</f>
        <v/>
      </c>
      <c r="AH23">
        <f>AG23*Plan!D11/100/12</f>
        <v/>
      </c>
      <c r="AI23">
        <f>MIN(Plan!E11,AG23+AH23)</f>
        <v/>
      </c>
      <c r="AJ23">
        <f>AG23+AH23-AI23</f>
        <v/>
      </c>
      <c r="AK23">
        <f>MIN(AJ23,MAX(0,$B23-((E$5&lt;AI$5)*F23+(K$5&lt;AI$5)*L23+(Q$5&lt;AI$5)*R23+(W$5&lt;AI$5)*X23+(AC$5&lt;AI$5)*AD23+(AO$5&lt;AI$5)*AP23+(AU$5&lt;AI$5)*AV23)))</f>
        <v/>
      </c>
      <c r="AL23">
        <f>IF(AJ23-AK23&lt;0.005,0,AJ23-AK23)</f>
        <v/>
      </c>
      <c r="AM23">
        <f>AR22</f>
        <v/>
      </c>
      <c r="AN23">
        <f>AM23*Plan!D12/100/12</f>
        <v/>
      </c>
      <c r="AO23">
        <f>MIN(Plan!E12,AM23+AN23)</f>
        <v/>
      </c>
      <c r="AP23">
        <f>AM23+AN23-AO23</f>
        <v/>
      </c>
      <c r="AQ23">
        <f>MIN(AP23,MAX(0,$B23-((E$5&lt;AO$5)*F23+(K$5&lt;AO$5)*L23+(Q$5&lt;AO$5)*R23+(W$5&lt;AO$5)*X23+(AC$5&lt;AO$5)*AD23+(AI$5&lt;AO$5)*AJ23+(AU$5&lt;AO$5)*AV23)))</f>
        <v/>
      </c>
      <c r="AR23">
        <f>IF(AP23-AQ23&lt;0.005,0,AP23-AQ23)</f>
        <v/>
      </c>
      <c r="AS23">
        <f>AX22</f>
        <v/>
      </c>
      <c r="AT23">
        <f>AS23*Plan!D13/100/12</f>
        <v/>
      </c>
      <c r="AU23">
        <f>MIN(Plan!E13,AS23+AT23)</f>
        <v/>
      </c>
      <c r="AV23">
        <f>AS23+AT23-AU23</f>
        <v/>
      </c>
      <c r="AW23">
        <f>MIN(AV23,MAX(0,$B23-((E$5&lt;AU$5)*F23+(K$5&lt;AU$5)*L23+(Q$5&lt;AU$5)*R23+(W$5&lt;AU$5)*X23+(AC$5&lt;AU$5)*AD23+(AI$5&lt;AU$5)*AJ23+(AO$5&lt;AU$5)*AP23)))</f>
        <v/>
      </c>
      <c r="AX23">
        <f>IF(AV23-AW23&lt;0.005,0,AV23-AW23)</f>
        <v/>
      </c>
      <c r="BC23">
        <f>H23+N23+T23+Z23+AF23+AL23+AR23+AX23</f>
        <v/>
      </c>
    </row>
    <row r="24">
      <c r="A24" t="n">
        <v>18</v>
      </c>
      <c r="B24" s="19">
        <f>MAX(0,$B$3-(E24+K24+Q24+W24+AC24+AI24+AO24+AU24))</f>
        <v/>
      </c>
      <c r="C24">
        <f>H23</f>
        <v/>
      </c>
      <c r="D24">
        <f>C24*Plan!D6/100/12</f>
        <v/>
      </c>
      <c r="E24">
        <f>MIN(Plan!E6,C24+D24)</f>
        <v/>
      </c>
      <c r="F24">
        <f>C24+D24-E24</f>
        <v/>
      </c>
      <c r="G24">
        <f>MIN(F24,MAX(0,$B24-((K$5&lt;E$5)*L24+(Q$5&lt;E$5)*R24+(W$5&lt;E$5)*X24+(AC$5&lt;E$5)*AD24+(AI$5&lt;E$5)*AJ24+(AO$5&lt;E$5)*AP24+(AU$5&lt;E$5)*AV24)))</f>
        <v/>
      </c>
      <c r="H24">
        <f>IF(F24-G24&lt;0.005,0,F24-G24)</f>
        <v/>
      </c>
      <c r="I24">
        <f>N23</f>
        <v/>
      </c>
      <c r="J24">
        <f>I24*Plan!D7/100/12</f>
        <v/>
      </c>
      <c r="K24">
        <f>MIN(Plan!E7,I24+J24)</f>
        <v/>
      </c>
      <c r="L24">
        <f>I24+J24-K24</f>
        <v/>
      </c>
      <c r="M24">
        <f>MIN(L24,MAX(0,$B24-((E$5&lt;K$5)*F24+(Q$5&lt;K$5)*R24+(W$5&lt;K$5)*X24+(AC$5&lt;K$5)*AD24+(AI$5&lt;K$5)*AJ24+(AO$5&lt;K$5)*AP24+(AU$5&lt;K$5)*AV24)))</f>
        <v/>
      </c>
      <c r="N24">
        <f>IF(L24-M24&lt;0.005,0,L24-M24)</f>
        <v/>
      </c>
      <c r="O24">
        <f>T23</f>
        <v/>
      </c>
      <c r="P24">
        <f>O24*Plan!D8/100/12</f>
        <v/>
      </c>
      <c r="Q24">
        <f>MIN(Plan!E8,O24+P24)</f>
        <v/>
      </c>
      <c r="R24">
        <f>O24+P24-Q24</f>
        <v/>
      </c>
      <c r="S24">
        <f>MIN(R24,MAX(0,$B24-((E$5&lt;Q$5)*F24+(K$5&lt;Q$5)*L24+(W$5&lt;Q$5)*X24+(AC$5&lt;Q$5)*AD24+(AI$5&lt;Q$5)*AJ24+(AO$5&lt;Q$5)*AP24+(AU$5&lt;Q$5)*AV24)))</f>
        <v/>
      </c>
      <c r="T24">
        <f>IF(R24-S24&lt;0.005,0,R24-S24)</f>
        <v/>
      </c>
      <c r="U24">
        <f>Z23</f>
        <v/>
      </c>
      <c r="V24">
        <f>U24*Plan!D9/100/12</f>
        <v/>
      </c>
      <c r="W24">
        <f>MIN(Plan!E9,U24+V24)</f>
        <v/>
      </c>
      <c r="X24">
        <f>U24+V24-W24</f>
        <v/>
      </c>
      <c r="Y24">
        <f>MIN(X24,MAX(0,$B24-((E$5&lt;W$5)*F24+(K$5&lt;W$5)*L24+(Q$5&lt;W$5)*R24+(AC$5&lt;W$5)*AD24+(AI$5&lt;W$5)*AJ24+(AO$5&lt;W$5)*AP24+(AU$5&lt;W$5)*AV24)))</f>
        <v/>
      </c>
      <c r="Z24">
        <f>IF(X24-Y24&lt;0.005,0,X24-Y24)</f>
        <v/>
      </c>
      <c r="AA24">
        <f>AF23</f>
        <v/>
      </c>
      <c r="AB24">
        <f>AA24*Plan!D10/100/12</f>
        <v/>
      </c>
      <c r="AC24">
        <f>MIN(Plan!E10,AA24+AB24)</f>
        <v/>
      </c>
      <c r="AD24">
        <f>AA24+AB24-AC24</f>
        <v/>
      </c>
      <c r="AE24">
        <f>MIN(AD24,MAX(0,$B24-((E$5&lt;AC$5)*F24+(K$5&lt;AC$5)*L24+(Q$5&lt;AC$5)*R24+(W$5&lt;AC$5)*X24+(AI$5&lt;AC$5)*AJ24+(AO$5&lt;AC$5)*AP24+(AU$5&lt;AC$5)*AV24)))</f>
        <v/>
      </c>
      <c r="AF24">
        <f>IF(AD24-AE24&lt;0.005,0,AD24-AE24)</f>
        <v/>
      </c>
      <c r="AG24">
        <f>AL23</f>
        <v/>
      </c>
      <c r="AH24">
        <f>AG24*Plan!D11/100/12</f>
        <v/>
      </c>
      <c r="AI24">
        <f>MIN(Plan!E11,AG24+AH24)</f>
        <v/>
      </c>
      <c r="AJ24">
        <f>AG24+AH24-AI24</f>
        <v/>
      </c>
      <c r="AK24">
        <f>MIN(AJ24,MAX(0,$B24-((E$5&lt;AI$5)*F24+(K$5&lt;AI$5)*L24+(Q$5&lt;AI$5)*R24+(W$5&lt;AI$5)*X24+(AC$5&lt;AI$5)*AD24+(AO$5&lt;AI$5)*AP24+(AU$5&lt;AI$5)*AV24)))</f>
        <v/>
      </c>
      <c r="AL24">
        <f>IF(AJ24-AK24&lt;0.005,0,AJ24-AK24)</f>
        <v/>
      </c>
      <c r="AM24">
        <f>AR23</f>
        <v/>
      </c>
      <c r="AN24">
        <f>AM24*Plan!D12/100/12</f>
        <v/>
      </c>
      <c r="AO24">
        <f>MIN(Plan!E12,AM24+AN24)</f>
        <v/>
      </c>
      <c r="AP24">
        <f>AM24+AN24-AO24</f>
        <v/>
      </c>
      <c r="AQ24">
        <f>MIN(AP24,MAX(0,$B24-((E$5&lt;AO$5)*F24+(K$5&lt;AO$5)*L24+(Q$5&lt;AO$5)*R24+(W$5&lt;AO$5)*X24+(AC$5&lt;AO$5)*AD24+(AI$5&lt;AO$5)*AJ24+(AU$5&lt;AO$5)*AV24)))</f>
        <v/>
      </c>
      <c r="AR24">
        <f>IF(AP24-AQ24&lt;0.005,0,AP24-AQ24)</f>
        <v/>
      </c>
      <c r="AS24">
        <f>AX23</f>
        <v/>
      </c>
      <c r="AT24">
        <f>AS24*Plan!D13/100/12</f>
        <v/>
      </c>
      <c r="AU24">
        <f>MIN(Plan!E13,AS24+AT24)</f>
        <v/>
      </c>
      <c r="AV24">
        <f>AS24+AT24-AU24</f>
        <v/>
      </c>
      <c r="AW24">
        <f>MIN(AV24,MAX(0,$B24-((E$5&lt;AU$5)*F24+(K$5&lt;AU$5)*L24+(Q$5&lt;AU$5)*R24+(W$5&lt;AU$5)*X24+(AC$5&lt;AU$5)*AD24+(AI$5&lt;AU$5)*AJ24+(AO$5&lt;AU$5)*AP24)))</f>
        <v/>
      </c>
      <c r="AX24">
        <f>IF(AV24-AW24&lt;0.005,0,AV24-AW24)</f>
        <v/>
      </c>
      <c r="BC24">
        <f>H24+N24+T24+Z24+AF24+AL24+AR24+AX24</f>
        <v/>
      </c>
    </row>
    <row r="25">
      <c r="A25" t="n">
        <v>19</v>
      </c>
      <c r="B25" s="19">
        <f>MAX(0,$B$3-(E25+K25+Q25+W25+AC25+AI25+AO25+AU25))</f>
        <v/>
      </c>
      <c r="C25">
        <f>H24</f>
        <v/>
      </c>
      <c r="D25">
        <f>C25*Plan!D6/100/12</f>
        <v/>
      </c>
      <c r="E25">
        <f>MIN(Plan!E6,C25+D25)</f>
        <v/>
      </c>
      <c r="F25">
        <f>C25+D25-E25</f>
        <v/>
      </c>
      <c r="G25">
        <f>MIN(F25,MAX(0,$B25-((K$5&lt;E$5)*L25+(Q$5&lt;E$5)*R25+(W$5&lt;E$5)*X25+(AC$5&lt;E$5)*AD25+(AI$5&lt;E$5)*AJ25+(AO$5&lt;E$5)*AP25+(AU$5&lt;E$5)*AV25)))</f>
        <v/>
      </c>
      <c r="H25">
        <f>IF(F25-G25&lt;0.005,0,F25-G25)</f>
        <v/>
      </c>
      <c r="I25">
        <f>N24</f>
        <v/>
      </c>
      <c r="J25">
        <f>I25*Plan!D7/100/12</f>
        <v/>
      </c>
      <c r="K25">
        <f>MIN(Plan!E7,I25+J25)</f>
        <v/>
      </c>
      <c r="L25">
        <f>I25+J25-K25</f>
        <v/>
      </c>
      <c r="M25">
        <f>MIN(L25,MAX(0,$B25-((E$5&lt;K$5)*F25+(Q$5&lt;K$5)*R25+(W$5&lt;K$5)*X25+(AC$5&lt;K$5)*AD25+(AI$5&lt;K$5)*AJ25+(AO$5&lt;K$5)*AP25+(AU$5&lt;K$5)*AV25)))</f>
        <v/>
      </c>
      <c r="N25">
        <f>IF(L25-M25&lt;0.005,0,L25-M25)</f>
        <v/>
      </c>
      <c r="O25">
        <f>T24</f>
        <v/>
      </c>
      <c r="P25">
        <f>O25*Plan!D8/100/12</f>
        <v/>
      </c>
      <c r="Q25">
        <f>MIN(Plan!E8,O25+P25)</f>
        <v/>
      </c>
      <c r="R25">
        <f>O25+P25-Q25</f>
        <v/>
      </c>
      <c r="S25">
        <f>MIN(R25,MAX(0,$B25-((E$5&lt;Q$5)*F25+(K$5&lt;Q$5)*L25+(W$5&lt;Q$5)*X25+(AC$5&lt;Q$5)*AD25+(AI$5&lt;Q$5)*AJ25+(AO$5&lt;Q$5)*AP25+(AU$5&lt;Q$5)*AV25)))</f>
        <v/>
      </c>
      <c r="T25">
        <f>IF(R25-S25&lt;0.005,0,R25-S25)</f>
        <v/>
      </c>
      <c r="U25">
        <f>Z24</f>
        <v/>
      </c>
      <c r="V25">
        <f>U25*Plan!D9/100/12</f>
        <v/>
      </c>
      <c r="W25">
        <f>MIN(Plan!E9,U25+V25)</f>
        <v/>
      </c>
      <c r="X25">
        <f>U25+V25-W25</f>
        <v/>
      </c>
      <c r="Y25">
        <f>MIN(X25,MAX(0,$B25-((E$5&lt;W$5)*F25+(K$5&lt;W$5)*L25+(Q$5&lt;W$5)*R25+(AC$5&lt;W$5)*AD25+(AI$5&lt;W$5)*AJ25+(AO$5&lt;W$5)*AP25+(AU$5&lt;W$5)*AV25)))</f>
        <v/>
      </c>
      <c r="Z25">
        <f>IF(X25-Y25&lt;0.005,0,X25-Y25)</f>
        <v/>
      </c>
      <c r="AA25">
        <f>AF24</f>
        <v/>
      </c>
      <c r="AB25">
        <f>AA25*Plan!D10/100/12</f>
        <v/>
      </c>
      <c r="AC25">
        <f>MIN(Plan!E10,AA25+AB25)</f>
        <v/>
      </c>
      <c r="AD25">
        <f>AA25+AB25-AC25</f>
        <v/>
      </c>
      <c r="AE25">
        <f>MIN(AD25,MAX(0,$B25-((E$5&lt;AC$5)*F25+(K$5&lt;AC$5)*L25+(Q$5&lt;AC$5)*R25+(W$5&lt;AC$5)*X25+(AI$5&lt;AC$5)*AJ25+(AO$5&lt;AC$5)*AP25+(AU$5&lt;AC$5)*AV25)))</f>
        <v/>
      </c>
      <c r="AF25">
        <f>IF(AD25-AE25&lt;0.005,0,AD25-AE25)</f>
        <v/>
      </c>
      <c r="AG25">
        <f>AL24</f>
        <v/>
      </c>
      <c r="AH25">
        <f>AG25*Plan!D11/100/12</f>
        <v/>
      </c>
      <c r="AI25">
        <f>MIN(Plan!E11,AG25+AH25)</f>
        <v/>
      </c>
      <c r="AJ25">
        <f>AG25+AH25-AI25</f>
        <v/>
      </c>
      <c r="AK25">
        <f>MIN(AJ25,MAX(0,$B25-((E$5&lt;AI$5)*F25+(K$5&lt;AI$5)*L25+(Q$5&lt;AI$5)*R25+(W$5&lt;AI$5)*X25+(AC$5&lt;AI$5)*AD25+(AO$5&lt;AI$5)*AP25+(AU$5&lt;AI$5)*AV25)))</f>
        <v/>
      </c>
      <c r="AL25">
        <f>IF(AJ25-AK25&lt;0.005,0,AJ25-AK25)</f>
        <v/>
      </c>
      <c r="AM25">
        <f>AR24</f>
        <v/>
      </c>
      <c r="AN25">
        <f>AM25*Plan!D12/100/12</f>
        <v/>
      </c>
      <c r="AO25">
        <f>MIN(Plan!E12,AM25+AN25)</f>
        <v/>
      </c>
      <c r="AP25">
        <f>AM25+AN25-AO25</f>
        <v/>
      </c>
      <c r="AQ25">
        <f>MIN(AP25,MAX(0,$B25-((E$5&lt;AO$5)*F25+(K$5&lt;AO$5)*L25+(Q$5&lt;AO$5)*R25+(W$5&lt;AO$5)*X25+(AC$5&lt;AO$5)*AD25+(AI$5&lt;AO$5)*AJ25+(AU$5&lt;AO$5)*AV25)))</f>
        <v/>
      </c>
      <c r="AR25">
        <f>IF(AP25-AQ25&lt;0.005,0,AP25-AQ25)</f>
        <v/>
      </c>
      <c r="AS25">
        <f>AX24</f>
        <v/>
      </c>
      <c r="AT25">
        <f>AS25*Plan!D13/100/12</f>
        <v/>
      </c>
      <c r="AU25">
        <f>MIN(Plan!E13,AS25+AT25)</f>
        <v/>
      </c>
      <c r="AV25">
        <f>AS25+AT25-AU25</f>
        <v/>
      </c>
      <c r="AW25">
        <f>MIN(AV25,MAX(0,$B25-((E$5&lt;AU$5)*F25+(K$5&lt;AU$5)*L25+(Q$5&lt;AU$5)*R25+(W$5&lt;AU$5)*X25+(AC$5&lt;AU$5)*AD25+(AI$5&lt;AU$5)*AJ25+(AO$5&lt;AU$5)*AP25)))</f>
        <v/>
      </c>
      <c r="AX25">
        <f>IF(AV25-AW25&lt;0.005,0,AV25-AW25)</f>
        <v/>
      </c>
      <c r="BC25">
        <f>H25+N25+T25+Z25+AF25+AL25+AR25+AX25</f>
        <v/>
      </c>
    </row>
    <row r="26">
      <c r="A26" t="n">
        <v>20</v>
      </c>
      <c r="B26" s="19">
        <f>MAX(0,$B$3-(E26+K26+Q26+W26+AC26+AI26+AO26+AU26))</f>
        <v/>
      </c>
      <c r="C26">
        <f>H25</f>
        <v/>
      </c>
      <c r="D26">
        <f>C26*Plan!D6/100/12</f>
        <v/>
      </c>
      <c r="E26">
        <f>MIN(Plan!E6,C26+D26)</f>
        <v/>
      </c>
      <c r="F26">
        <f>C26+D26-E26</f>
        <v/>
      </c>
      <c r="G26">
        <f>MIN(F26,MAX(0,$B26-((K$5&lt;E$5)*L26+(Q$5&lt;E$5)*R26+(W$5&lt;E$5)*X26+(AC$5&lt;E$5)*AD26+(AI$5&lt;E$5)*AJ26+(AO$5&lt;E$5)*AP26+(AU$5&lt;E$5)*AV26)))</f>
        <v/>
      </c>
      <c r="H26">
        <f>IF(F26-G26&lt;0.005,0,F26-G26)</f>
        <v/>
      </c>
      <c r="I26">
        <f>N25</f>
        <v/>
      </c>
      <c r="J26">
        <f>I26*Plan!D7/100/12</f>
        <v/>
      </c>
      <c r="K26">
        <f>MIN(Plan!E7,I26+J26)</f>
        <v/>
      </c>
      <c r="L26">
        <f>I26+J26-K26</f>
        <v/>
      </c>
      <c r="M26">
        <f>MIN(L26,MAX(0,$B26-((E$5&lt;K$5)*F26+(Q$5&lt;K$5)*R26+(W$5&lt;K$5)*X26+(AC$5&lt;K$5)*AD26+(AI$5&lt;K$5)*AJ26+(AO$5&lt;K$5)*AP26+(AU$5&lt;K$5)*AV26)))</f>
        <v/>
      </c>
      <c r="N26">
        <f>IF(L26-M26&lt;0.005,0,L26-M26)</f>
        <v/>
      </c>
      <c r="O26">
        <f>T25</f>
        <v/>
      </c>
      <c r="P26">
        <f>O26*Plan!D8/100/12</f>
        <v/>
      </c>
      <c r="Q26">
        <f>MIN(Plan!E8,O26+P26)</f>
        <v/>
      </c>
      <c r="R26">
        <f>O26+P26-Q26</f>
        <v/>
      </c>
      <c r="S26">
        <f>MIN(R26,MAX(0,$B26-((E$5&lt;Q$5)*F26+(K$5&lt;Q$5)*L26+(W$5&lt;Q$5)*X26+(AC$5&lt;Q$5)*AD26+(AI$5&lt;Q$5)*AJ26+(AO$5&lt;Q$5)*AP26+(AU$5&lt;Q$5)*AV26)))</f>
        <v/>
      </c>
      <c r="T26">
        <f>IF(R26-S26&lt;0.005,0,R26-S26)</f>
        <v/>
      </c>
      <c r="U26">
        <f>Z25</f>
        <v/>
      </c>
      <c r="V26">
        <f>U26*Plan!D9/100/12</f>
        <v/>
      </c>
      <c r="W26">
        <f>MIN(Plan!E9,U26+V26)</f>
        <v/>
      </c>
      <c r="X26">
        <f>U26+V26-W26</f>
        <v/>
      </c>
      <c r="Y26">
        <f>MIN(X26,MAX(0,$B26-((E$5&lt;W$5)*F26+(K$5&lt;W$5)*L26+(Q$5&lt;W$5)*R26+(AC$5&lt;W$5)*AD26+(AI$5&lt;W$5)*AJ26+(AO$5&lt;W$5)*AP26+(AU$5&lt;W$5)*AV26)))</f>
        <v/>
      </c>
      <c r="Z26">
        <f>IF(X26-Y26&lt;0.005,0,X26-Y26)</f>
        <v/>
      </c>
      <c r="AA26">
        <f>AF25</f>
        <v/>
      </c>
      <c r="AB26">
        <f>AA26*Plan!D10/100/12</f>
        <v/>
      </c>
      <c r="AC26">
        <f>MIN(Plan!E10,AA26+AB26)</f>
        <v/>
      </c>
      <c r="AD26">
        <f>AA26+AB26-AC26</f>
        <v/>
      </c>
      <c r="AE26">
        <f>MIN(AD26,MAX(0,$B26-((E$5&lt;AC$5)*F26+(K$5&lt;AC$5)*L26+(Q$5&lt;AC$5)*R26+(W$5&lt;AC$5)*X26+(AI$5&lt;AC$5)*AJ26+(AO$5&lt;AC$5)*AP26+(AU$5&lt;AC$5)*AV26)))</f>
        <v/>
      </c>
      <c r="AF26">
        <f>IF(AD26-AE26&lt;0.005,0,AD26-AE26)</f>
        <v/>
      </c>
      <c r="AG26">
        <f>AL25</f>
        <v/>
      </c>
      <c r="AH26">
        <f>AG26*Plan!D11/100/12</f>
        <v/>
      </c>
      <c r="AI26">
        <f>MIN(Plan!E11,AG26+AH26)</f>
        <v/>
      </c>
      <c r="AJ26">
        <f>AG26+AH26-AI26</f>
        <v/>
      </c>
      <c r="AK26">
        <f>MIN(AJ26,MAX(0,$B26-((E$5&lt;AI$5)*F26+(K$5&lt;AI$5)*L26+(Q$5&lt;AI$5)*R26+(W$5&lt;AI$5)*X26+(AC$5&lt;AI$5)*AD26+(AO$5&lt;AI$5)*AP26+(AU$5&lt;AI$5)*AV26)))</f>
        <v/>
      </c>
      <c r="AL26">
        <f>IF(AJ26-AK26&lt;0.005,0,AJ26-AK26)</f>
        <v/>
      </c>
      <c r="AM26">
        <f>AR25</f>
        <v/>
      </c>
      <c r="AN26">
        <f>AM26*Plan!D12/100/12</f>
        <v/>
      </c>
      <c r="AO26">
        <f>MIN(Plan!E12,AM26+AN26)</f>
        <v/>
      </c>
      <c r="AP26">
        <f>AM26+AN26-AO26</f>
        <v/>
      </c>
      <c r="AQ26">
        <f>MIN(AP26,MAX(0,$B26-((E$5&lt;AO$5)*F26+(K$5&lt;AO$5)*L26+(Q$5&lt;AO$5)*R26+(W$5&lt;AO$5)*X26+(AC$5&lt;AO$5)*AD26+(AI$5&lt;AO$5)*AJ26+(AU$5&lt;AO$5)*AV26)))</f>
        <v/>
      </c>
      <c r="AR26">
        <f>IF(AP26-AQ26&lt;0.005,0,AP26-AQ26)</f>
        <v/>
      </c>
      <c r="AS26">
        <f>AX25</f>
        <v/>
      </c>
      <c r="AT26">
        <f>AS26*Plan!D13/100/12</f>
        <v/>
      </c>
      <c r="AU26">
        <f>MIN(Plan!E13,AS26+AT26)</f>
        <v/>
      </c>
      <c r="AV26">
        <f>AS26+AT26-AU26</f>
        <v/>
      </c>
      <c r="AW26">
        <f>MIN(AV26,MAX(0,$B26-((E$5&lt;AU$5)*F26+(K$5&lt;AU$5)*L26+(Q$5&lt;AU$5)*R26+(W$5&lt;AU$5)*X26+(AC$5&lt;AU$5)*AD26+(AI$5&lt;AU$5)*AJ26+(AO$5&lt;AU$5)*AP26)))</f>
        <v/>
      </c>
      <c r="AX26">
        <f>IF(AV26-AW26&lt;0.005,0,AV26-AW26)</f>
        <v/>
      </c>
      <c r="BC26">
        <f>H26+N26+T26+Z26+AF26+AL26+AR26+AX26</f>
        <v/>
      </c>
    </row>
    <row r="27">
      <c r="A27" t="n">
        <v>21</v>
      </c>
      <c r="B27" s="19">
        <f>MAX(0,$B$3-(E27+K27+Q27+W27+AC27+AI27+AO27+AU27))</f>
        <v/>
      </c>
      <c r="C27">
        <f>H26</f>
        <v/>
      </c>
      <c r="D27">
        <f>C27*Plan!D6/100/12</f>
        <v/>
      </c>
      <c r="E27">
        <f>MIN(Plan!E6,C27+D27)</f>
        <v/>
      </c>
      <c r="F27">
        <f>C27+D27-E27</f>
        <v/>
      </c>
      <c r="G27">
        <f>MIN(F27,MAX(0,$B27-((K$5&lt;E$5)*L27+(Q$5&lt;E$5)*R27+(W$5&lt;E$5)*X27+(AC$5&lt;E$5)*AD27+(AI$5&lt;E$5)*AJ27+(AO$5&lt;E$5)*AP27+(AU$5&lt;E$5)*AV27)))</f>
        <v/>
      </c>
      <c r="H27">
        <f>IF(F27-G27&lt;0.005,0,F27-G27)</f>
        <v/>
      </c>
      <c r="I27">
        <f>N26</f>
        <v/>
      </c>
      <c r="J27">
        <f>I27*Plan!D7/100/12</f>
        <v/>
      </c>
      <c r="K27">
        <f>MIN(Plan!E7,I27+J27)</f>
        <v/>
      </c>
      <c r="L27">
        <f>I27+J27-K27</f>
        <v/>
      </c>
      <c r="M27">
        <f>MIN(L27,MAX(0,$B27-((E$5&lt;K$5)*F27+(Q$5&lt;K$5)*R27+(W$5&lt;K$5)*X27+(AC$5&lt;K$5)*AD27+(AI$5&lt;K$5)*AJ27+(AO$5&lt;K$5)*AP27+(AU$5&lt;K$5)*AV27)))</f>
        <v/>
      </c>
      <c r="N27">
        <f>IF(L27-M27&lt;0.005,0,L27-M27)</f>
        <v/>
      </c>
      <c r="O27">
        <f>T26</f>
        <v/>
      </c>
      <c r="P27">
        <f>O27*Plan!D8/100/12</f>
        <v/>
      </c>
      <c r="Q27">
        <f>MIN(Plan!E8,O27+P27)</f>
        <v/>
      </c>
      <c r="R27">
        <f>O27+P27-Q27</f>
        <v/>
      </c>
      <c r="S27">
        <f>MIN(R27,MAX(0,$B27-((E$5&lt;Q$5)*F27+(K$5&lt;Q$5)*L27+(W$5&lt;Q$5)*X27+(AC$5&lt;Q$5)*AD27+(AI$5&lt;Q$5)*AJ27+(AO$5&lt;Q$5)*AP27+(AU$5&lt;Q$5)*AV27)))</f>
        <v/>
      </c>
      <c r="T27">
        <f>IF(R27-S27&lt;0.005,0,R27-S27)</f>
        <v/>
      </c>
      <c r="U27">
        <f>Z26</f>
        <v/>
      </c>
      <c r="V27">
        <f>U27*Plan!D9/100/12</f>
        <v/>
      </c>
      <c r="W27">
        <f>MIN(Plan!E9,U27+V27)</f>
        <v/>
      </c>
      <c r="X27">
        <f>U27+V27-W27</f>
        <v/>
      </c>
      <c r="Y27">
        <f>MIN(X27,MAX(0,$B27-((E$5&lt;W$5)*F27+(K$5&lt;W$5)*L27+(Q$5&lt;W$5)*R27+(AC$5&lt;W$5)*AD27+(AI$5&lt;W$5)*AJ27+(AO$5&lt;W$5)*AP27+(AU$5&lt;W$5)*AV27)))</f>
        <v/>
      </c>
      <c r="Z27">
        <f>IF(X27-Y27&lt;0.005,0,X27-Y27)</f>
        <v/>
      </c>
      <c r="AA27">
        <f>AF26</f>
        <v/>
      </c>
      <c r="AB27">
        <f>AA27*Plan!D10/100/12</f>
        <v/>
      </c>
      <c r="AC27">
        <f>MIN(Plan!E10,AA27+AB27)</f>
        <v/>
      </c>
      <c r="AD27">
        <f>AA27+AB27-AC27</f>
        <v/>
      </c>
      <c r="AE27">
        <f>MIN(AD27,MAX(0,$B27-((E$5&lt;AC$5)*F27+(K$5&lt;AC$5)*L27+(Q$5&lt;AC$5)*R27+(W$5&lt;AC$5)*X27+(AI$5&lt;AC$5)*AJ27+(AO$5&lt;AC$5)*AP27+(AU$5&lt;AC$5)*AV27)))</f>
        <v/>
      </c>
      <c r="AF27">
        <f>IF(AD27-AE27&lt;0.005,0,AD27-AE27)</f>
        <v/>
      </c>
      <c r="AG27">
        <f>AL26</f>
        <v/>
      </c>
      <c r="AH27">
        <f>AG27*Plan!D11/100/12</f>
        <v/>
      </c>
      <c r="AI27">
        <f>MIN(Plan!E11,AG27+AH27)</f>
        <v/>
      </c>
      <c r="AJ27">
        <f>AG27+AH27-AI27</f>
        <v/>
      </c>
      <c r="AK27">
        <f>MIN(AJ27,MAX(0,$B27-((E$5&lt;AI$5)*F27+(K$5&lt;AI$5)*L27+(Q$5&lt;AI$5)*R27+(W$5&lt;AI$5)*X27+(AC$5&lt;AI$5)*AD27+(AO$5&lt;AI$5)*AP27+(AU$5&lt;AI$5)*AV27)))</f>
        <v/>
      </c>
      <c r="AL27">
        <f>IF(AJ27-AK27&lt;0.005,0,AJ27-AK27)</f>
        <v/>
      </c>
      <c r="AM27">
        <f>AR26</f>
        <v/>
      </c>
      <c r="AN27">
        <f>AM27*Plan!D12/100/12</f>
        <v/>
      </c>
      <c r="AO27">
        <f>MIN(Plan!E12,AM27+AN27)</f>
        <v/>
      </c>
      <c r="AP27">
        <f>AM27+AN27-AO27</f>
        <v/>
      </c>
      <c r="AQ27">
        <f>MIN(AP27,MAX(0,$B27-((E$5&lt;AO$5)*F27+(K$5&lt;AO$5)*L27+(Q$5&lt;AO$5)*R27+(W$5&lt;AO$5)*X27+(AC$5&lt;AO$5)*AD27+(AI$5&lt;AO$5)*AJ27+(AU$5&lt;AO$5)*AV27)))</f>
        <v/>
      </c>
      <c r="AR27">
        <f>IF(AP27-AQ27&lt;0.005,0,AP27-AQ27)</f>
        <v/>
      </c>
      <c r="AS27">
        <f>AX26</f>
        <v/>
      </c>
      <c r="AT27">
        <f>AS27*Plan!D13/100/12</f>
        <v/>
      </c>
      <c r="AU27">
        <f>MIN(Plan!E13,AS27+AT27)</f>
        <v/>
      </c>
      <c r="AV27">
        <f>AS27+AT27-AU27</f>
        <v/>
      </c>
      <c r="AW27">
        <f>MIN(AV27,MAX(0,$B27-((E$5&lt;AU$5)*F27+(K$5&lt;AU$5)*L27+(Q$5&lt;AU$5)*R27+(W$5&lt;AU$5)*X27+(AC$5&lt;AU$5)*AD27+(AI$5&lt;AU$5)*AJ27+(AO$5&lt;AU$5)*AP27)))</f>
        <v/>
      </c>
      <c r="AX27">
        <f>IF(AV27-AW27&lt;0.005,0,AV27-AW27)</f>
        <v/>
      </c>
      <c r="BC27">
        <f>H27+N27+T27+Z27+AF27+AL27+AR27+AX27</f>
        <v/>
      </c>
    </row>
    <row r="28">
      <c r="A28" t="n">
        <v>22</v>
      </c>
      <c r="B28" s="19">
        <f>MAX(0,$B$3-(E28+K28+Q28+W28+AC28+AI28+AO28+AU28))</f>
        <v/>
      </c>
      <c r="C28">
        <f>H27</f>
        <v/>
      </c>
      <c r="D28">
        <f>C28*Plan!D6/100/12</f>
        <v/>
      </c>
      <c r="E28">
        <f>MIN(Plan!E6,C28+D28)</f>
        <v/>
      </c>
      <c r="F28">
        <f>C28+D28-E28</f>
        <v/>
      </c>
      <c r="G28">
        <f>MIN(F28,MAX(0,$B28-((K$5&lt;E$5)*L28+(Q$5&lt;E$5)*R28+(W$5&lt;E$5)*X28+(AC$5&lt;E$5)*AD28+(AI$5&lt;E$5)*AJ28+(AO$5&lt;E$5)*AP28+(AU$5&lt;E$5)*AV28)))</f>
        <v/>
      </c>
      <c r="H28">
        <f>IF(F28-G28&lt;0.005,0,F28-G28)</f>
        <v/>
      </c>
      <c r="I28">
        <f>N27</f>
        <v/>
      </c>
      <c r="J28">
        <f>I28*Plan!D7/100/12</f>
        <v/>
      </c>
      <c r="K28">
        <f>MIN(Plan!E7,I28+J28)</f>
        <v/>
      </c>
      <c r="L28">
        <f>I28+J28-K28</f>
        <v/>
      </c>
      <c r="M28">
        <f>MIN(L28,MAX(0,$B28-((E$5&lt;K$5)*F28+(Q$5&lt;K$5)*R28+(W$5&lt;K$5)*X28+(AC$5&lt;K$5)*AD28+(AI$5&lt;K$5)*AJ28+(AO$5&lt;K$5)*AP28+(AU$5&lt;K$5)*AV28)))</f>
        <v/>
      </c>
      <c r="N28">
        <f>IF(L28-M28&lt;0.005,0,L28-M28)</f>
        <v/>
      </c>
      <c r="O28">
        <f>T27</f>
        <v/>
      </c>
      <c r="P28">
        <f>O28*Plan!D8/100/12</f>
        <v/>
      </c>
      <c r="Q28">
        <f>MIN(Plan!E8,O28+P28)</f>
        <v/>
      </c>
      <c r="R28">
        <f>O28+P28-Q28</f>
        <v/>
      </c>
      <c r="S28">
        <f>MIN(R28,MAX(0,$B28-((E$5&lt;Q$5)*F28+(K$5&lt;Q$5)*L28+(W$5&lt;Q$5)*X28+(AC$5&lt;Q$5)*AD28+(AI$5&lt;Q$5)*AJ28+(AO$5&lt;Q$5)*AP28+(AU$5&lt;Q$5)*AV28)))</f>
        <v/>
      </c>
      <c r="T28">
        <f>IF(R28-S28&lt;0.005,0,R28-S28)</f>
        <v/>
      </c>
      <c r="U28">
        <f>Z27</f>
        <v/>
      </c>
      <c r="V28">
        <f>U28*Plan!D9/100/12</f>
        <v/>
      </c>
      <c r="W28">
        <f>MIN(Plan!E9,U28+V28)</f>
        <v/>
      </c>
      <c r="X28">
        <f>U28+V28-W28</f>
        <v/>
      </c>
      <c r="Y28">
        <f>MIN(X28,MAX(0,$B28-((E$5&lt;W$5)*F28+(K$5&lt;W$5)*L28+(Q$5&lt;W$5)*R28+(AC$5&lt;W$5)*AD28+(AI$5&lt;W$5)*AJ28+(AO$5&lt;W$5)*AP28+(AU$5&lt;W$5)*AV28)))</f>
        <v/>
      </c>
      <c r="Z28">
        <f>IF(X28-Y28&lt;0.005,0,X28-Y28)</f>
        <v/>
      </c>
      <c r="AA28">
        <f>AF27</f>
        <v/>
      </c>
      <c r="AB28">
        <f>AA28*Plan!D10/100/12</f>
        <v/>
      </c>
      <c r="AC28">
        <f>MIN(Plan!E10,AA28+AB28)</f>
        <v/>
      </c>
      <c r="AD28">
        <f>AA28+AB28-AC28</f>
        <v/>
      </c>
      <c r="AE28">
        <f>MIN(AD28,MAX(0,$B28-((E$5&lt;AC$5)*F28+(K$5&lt;AC$5)*L28+(Q$5&lt;AC$5)*R28+(W$5&lt;AC$5)*X28+(AI$5&lt;AC$5)*AJ28+(AO$5&lt;AC$5)*AP28+(AU$5&lt;AC$5)*AV28)))</f>
        <v/>
      </c>
      <c r="AF28">
        <f>IF(AD28-AE28&lt;0.005,0,AD28-AE28)</f>
        <v/>
      </c>
      <c r="AG28">
        <f>AL27</f>
        <v/>
      </c>
      <c r="AH28">
        <f>AG28*Plan!D11/100/12</f>
        <v/>
      </c>
      <c r="AI28">
        <f>MIN(Plan!E11,AG28+AH28)</f>
        <v/>
      </c>
      <c r="AJ28">
        <f>AG28+AH28-AI28</f>
        <v/>
      </c>
      <c r="AK28">
        <f>MIN(AJ28,MAX(0,$B28-((E$5&lt;AI$5)*F28+(K$5&lt;AI$5)*L28+(Q$5&lt;AI$5)*R28+(W$5&lt;AI$5)*X28+(AC$5&lt;AI$5)*AD28+(AO$5&lt;AI$5)*AP28+(AU$5&lt;AI$5)*AV28)))</f>
        <v/>
      </c>
      <c r="AL28">
        <f>IF(AJ28-AK28&lt;0.005,0,AJ28-AK28)</f>
        <v/>
      </c>
      <c r="AM28">
        <f>AR27</f>
        <v/>
      </c>
      <c r="AN28">
        <f>AM28*Plan!D12/100/12</f>
        <v/>
      </c>
      <c r="AO28">
        <f>MIN(Plan!E12,AM28+AN28)</f>
        <v/>
      </c>
      <c r="AP28">
        <f>AM28+AN28-AO28</f>
        <v/>
      </c>
      <c r="AQ28">
        <f>MIN(AP28,MAX(0,$B28-((E$5&lt;AO$5)*F28+(K$5&lt;AO$5)*L28+(Q$5&lt;AO$5)*R28+(W$5&lt;AO$5)*X28+(AC$5&lt;AO$5)*AD28+(AI$5&lt;AO$5)*AJ28+(AU$5&lt;AO$5)*AV28)))</f>
        <v/>
      </c>
      <c r="AR28">
        <f>IF(AP28-AQ28&lt;0.005,0,AP28-AQ28)</f>
        <v/>
      </c>
      <c r="AS28">
        <f>AX27</f>
        <v/>
      </c>
      <c r="AT28">
        <f>AS28*Plan!D13/100/12</f>
        <v/>
      </c>
      <c r="AU28">
        <f>MIN(Plan!E13,AS28+AT28)</f>
        <v/>
      </c>
      <c r="AV28">
        <f>AS28+AT28-AU28</f>
        <v/>
      </c>
      <c r="AW28">
        <f>MIN(AV28,MAX(0,$B28-((E$5&lt;AU$5)*F28+(K$5&lt;AU$5)*L28+(Q$5&lt;AU$5)*R28+(W$5&lt;AU$5)*X28+(AC$5&lt;AU$5)*AD28+(AI$5&lt;AU$5)*AJ28+(AO$5&lt;AU$5)*AP28)))</f>
        <v/>
      </c>
      <c r="AX28">
        <f>IF(AV28-AW28&lt;0.005,0,AV28-AW28)</f>
        <v/>
      </c>
      <c r="BC28">
        <f>H28+N28+T28+Z28+AF28+AL28+AR28+AX28</f>
        <v/>
      </c>
    </row>
    <row r="29">
      <c r="A29" t="n">
        <v>23</v>
      </c>
      <c r="B29" s="19">
        <f>MAX(0,$B$3-(E29+K29+Q29+W29+AC29+AI29+AO29+AU29))</f>
        <v/>
      </c>
      <c r="C29">
        <f>H28</f>
        <v/>
      </c>
      <c r="D29">
        <f>C29*Plan!D6/100/12</f>
        <v/>
      </c>
      <c r="E29">
        <f>MIN(Plan!E6,C29+D29)</f>
        <v/>
      </c>
      <c r="F29">
        <f>C29+D29-E29</f>
        <v/>
      </c>
      <c r="G29">
        <f>MIN(F29,MAX(0,$B29-((K$5&lt;E$5)*L29+(Q$5&lt;E$5)*R29+(W$5&lt;E$5)*X29+(AC$5&lt;E$5)*AD29+(AI$5&lt;E$5)*AJ29+(AO$5&lt;E$5)*AP29+(AU$5&lt;E$5)*AV29)))</f>
        <v/>
      </c>
      <c r="H29">
        <f>IF(F29-G29&lt;0.005,0,F29-G29)</f>
        <v/>
      </c>
      <c r="I29">
        <f>N28</f>
        <v/>
      </c>
      <c r="J29">
        <f>I29*Plan!D7/100/12</f>
        <v/>
      </c>
      <c r="K29">
        <f>MIN(Plan!E7,I29+J29)</f>
        <v/>
      </c>
      <c r="L29">
        <f>I29+J29-K29</f>
        <v/>
      </c>
      <c r="M29">
        <f>MIN(L29,MAX(0,$B29-((E$5&lt;K$5)*F29+(Q$5&lt;K$5)*R29+(W$5&lt;K$5)*X29+(AC$5&lt;K$5)*AD29+(AI$5&lt;K$5)*AJ29+(AO$5&lt;K$5)*AP29+(AU$5&lt;K$5)*AV29)))</f>
        <v/>
      </c>
      <c r="N29">
        <f>IF(L29-M29&lt;0.005,0,L29-M29)</f>
        <v/>
      </c>
      <c r="O29">
        <f>T28</f>
        <v/>
      </c>
      <c r="P29">
        <f>O29*Plan!D8/100/12</f>
        <v/>
      </c>
      <c r="Q29">
        <f>MIN(Plan!E8,O29+P29)</f>
        <v/>
      </c>
      <c r="R29">
        <f>O29+P29-Q29</f>
        <v/>
      </c>
      <c r="S29">
        <f>MIN(R29,MAX(0,$B29-((E$5&lt;Q$5)*F29+(K$5&lt;Q$5)*L29+(W$5&lt;Q$5)*X29+(AC$5&lt;Q$5)*AD29+(AI$5&lt;Q$5)*AJ29+(AO$5&lt;Q$5)*AP29+(AU$5&lt;Q$5)*AV29)))</f>
        <v/>
      </c>
      <c r="T29">
        <f>IF(R29-S29&lt;0.005,0,R29-S29)</f>
        <v/>
      </c>
      <c r="U29">
        <f>Z28</f>
        <v/>
      </c>
      <c r="V29">
        <f>U29*Plan!D9/100/12</f>
        <v/>
      </c>
      <c r="W29">
        <f>MIN(Plan!E9,U29+V29)</f>
        <v/>
      </c>
      <c r="X29">
        <f>U29+V29-W29</f>
        <v/>
      </c>
      <c r="Y29">
        <f>MIN(X29,MAX(0,$B29-((E$5&lt;W$5)*F29+(K$5&lt;W$5)*L29+(Q$5&lt;W$5)*R29+(AC$5&lt;W$5)*AD29+(AI$5&lt;W$5)*AJ29+(AO$5&lt;W$5)*AP29+(AU$5&lt;W$5)*AV29)))</f>
        <v/>
      </c>
      <c r="Z29">
        <f>IF(X29-Y29&lt;0.005,0,X29-Y29)</f>
        <v/>
      </c>
      <c r="AA29">
        <f>AF28</f>
        <v/>
      </c>
      <c r="AB29">
        <f>AA29*Plan!D10/100/12</f>
        <v/>
      </c>
      <c r="AC29">
        <f>MIN(Plan!E10,AA29+AB29)</f>
        <v/>
      </c>
      <c r="AD29">
        <f>AA29+AB29-AC29</f>
        <v/>
      </c>
      <c r="AE29">
        <f>MIN(AD29,MAX(0,$B29-((E$5&lt;AC$5)*F29+(K$5&lt;AC$5)*L29+(Q$5&lt;AC$5)*R29+(W$5&lt;AC$5)*X29+(AI$5&lt;AC$5)*AJ29+(AO$5&lt;AC$5)*AP29+(AU$5&lt;AC$5)*AV29)))</f>
        <v/>
      </c>
      <c r="AF29">
        <f>IF(AD29-AE29&lt;0.005,0,AD29-AE29)</f>
        <v/>
      </c>
      <c r="AG29">
        <f>AL28</f>
        <v/>
      </c>
      <c r="AH29">
        <f>AG29*Plan!D11/100/12</f>
        <v/>
      </c>
      <c r="AI29">
        <f>MIN(Plan!E11,AG29+AH29)</f>
        <v/>
      </c>
      <c r="AJ29">
        <f>AG29+AH29-AI29</f>
        <v/>
      </c>
      <c r="AK29">
        <f>MIN(AJ29,MAX(0,$B29-((E$5&lt;AI$5)*F29+(K$5&lt;AI$5)*L29+(Q$5&lt;AI$5)*R29+(W$5&lt;AI$5)*X29+(AC$5&lt;AI$5)*AD29+(AO$5&lt;AI$5)*AP29+(AU$5&lt;AI$5)*AV29)))</f>
        <v/>
      </c>
      <c r="AL29">
        <f>IF(AJ29-AK29&lt;0.005,0,AJ29-AK29)</f>
        <v/>
      </c>
      <c r="AM29">
        <f>AR28</f>
        <v/>
      </c>
      <c r="AN29">
        <f>AM29*Plan!D12/100/12</f>
        <v/>
      </c>
      <c r="AO29">
        <f>MIN(Plan!E12,AM29+AN29)</f>
        <v/>
      </c>
      <c r="AP29">
        <f>AM29+AN29-AO29</f>
        <v/>
      </c>
      <c r="AQ29">
        <f>MIN(AP29,MAX(0,$B29-((E$5&lt;AO$5)*F29+(K$5&lt;AO$5)*L29+(Q$5&lt;AO$5)*R29+(W$5&lt;AO$5)*X29+(AC$5&lt;AO$5)*AD29+(AI$5&lt;AO$5)*AJ29+(AU$5&lt;AO$5)*AV29)))</f>
        <v/>
      </c>
      <c r="AR29">
        <f>IF(AP29-AQ29&lt;0.005,0,AP29-AQ29)</f>
        <v/>
      </c>
      <c r="AS29">
        <f>AX28</f>
        <v/>
      </c>
      <c r="AT29">
        <f>AS29*Plan!D13/100/12</f>
        <v/>
      </c>
      <c r="AU29">
        <f>MIN(Plan!E13,AS29+AT29)</f>
        <v/>
      </c>
      <c r="AV29">
        <f>AS29+AT29-AU29</f>
        <v/>
      </c>
      <c r="AW29">
        <f>MIN(AV29,MAX(0,$B29-((E$5&lt;AU$5)*F29+(K$5&lt;AU$5)*L29+(Q$5&lt;AU$5)*R29+(W$5&lt;AU$5)*X29+(AC$5&lt;AU$5)*AD29+(AI$5&lt;AU$5)*AJ29+(AO$5&lt;AU$5)*AP29)))</f>
        <v/>
      </c>
      <c r="AX29">
        <f>IF(AV29-AW29&lt;0.005,0,AV29-AW29)</f>
        <v/>
      </c>
      <c r="BC29">
        <f>H29+N29+T29+Z29+AF29+AL29+AR29+AX29</f>
        <v/>
      </c>
    </row>
    <row r="30">
      <c r="A30" t="n">
        <v>24</v>
      </c>
      <c r="B30" s="19">
        <f>MAX(0,$B$3-(E30+K30+Q30+W30+AC30+AI30+AO30+AU30))</f>
        <v/>
      </c>
      <c r="C30">
        <f>H29</f>
        <v/>
      </c>
      <c r="D30">
        <f>C30*Plan!D6/100/12</f>
        <v/>
      </c>
      <c r="E30">
        <f>MIN(Plan!E6,C30+D30)</f>
        <v/>
      </c>
      <c r="F30">
        <f>C30+D30-E30</f>
        <v/>
      </c>
      <c r="G30">
        <f>MIN(F30,MAX(0,$B30-((K$5&lt;E$5)*L30+(Q$5&lt;E$5)*R30+(W$5&lt;E$5)*X30+(AC$5&lt;E$5)*AD30+(AI$5&lt;E$5)*AJ30+(AO$5&lt;E$5)*AP30+(AU$5&lt;E$5)*AV30)))</f>
        <v/>
      </c>
      <c r="H30">
        <f>IF(F30-G30&lt;0.005,0,F30-G30)</f>
        <v/>
      </c>
      <c r="I30">
        <f>N29</f>
        <v/>
      </c>
      <c r="J30">
        <f>I30*Plan!D7/100/12</f>
        <v/>
      </c>
      <c r="K30">
        <f>MIN(Plan!E7,I30+J30)</f>
        <v/>
      </c>
      <c r="L30">
        <f>I30+J30-K30</f>
        <v/>
      </c>
      <c r="M30">
        <f>MIN(L30,MAX(0,$B30-((E$5&lt;K$5)*F30+(Q$5&lt;K$5)*R30+(W$5&lt;K$5)*X30+(AC$5&lt;K$5)*AD30+(AI$5&lt;K$5)*AJ30+(AO$5&lt;K$5)*AP30+(AU$5&lt;K$5)*AV30)))</f>
        <v/>
      </c>
      <c r="N30">
        <f>IF(L30-M30&lt;0.005,0,L30-M30)</f>
        <v/>
      </c>
      <c r="O30">
        <f>T29</f>
        <v/>
      </c>
      <c r="P30">
        <f>O30*Plan!D8/100/12</f>
        <v/>
      </c>
      <c r="Q30">
        <f>MIN(Plan!E8,O30+P30)</f>
        <v/>
      </c>
      <c r="R30">
        <f>O30+P30-Q30</f>
        <v/>
      </c>
      <c r="S30">
        <f>MIN(R30,MAX(0,$B30-((E$5&lt;Q$5)*F30+(K$5&lt;Q$5)*L30+(W$5&lt;Q$5)*X30+(AC$5&lt;Q$5)*AD30+(AI$5&lt;Q$5)*AJ30+(AO$5&lt;Q$5)*AP30+(AU$5&lt;Q$5)*AV30)))</f>
        <v/>
      </c>
      <c r="T30">
        <f>IF(R30-S30&lt;0.005,0,R30-S30)</f>
        <v/>
      </c>
      <c r="U30">
        <f>Z29</f>
        <v/>
      </c>
      <c r="V30">
        <f>U30*Plan!D9/100/12</f>
        <v/>
      </c>
      <c r="W30">
        <f>MIN(Plan!E9,U30+V30)</f>
        <v/>
      </c>
      <c r="X30">
        <f>U30+V30-W30</f>
        <v/>
      </c>
      <c r="Y30">
        <f>MIN(X30,MAX(0,$B30-((E$5&lt;W$5)*F30+(K$5&lt;W$5)*L30+(Q$5&lt;W$5)*R30+(AC$5&lt;W$5)*AD30+(AI$5&lt;W$5)*AJ30+(AO$5&lt;W$5)*AP30+(AU$5&lt;W$5)*AV30)))</f>
        <v/>
      </c>
      <c r="Z30">
        <f>IF(X30-Y30&lt;0.005,0,X30-Y30)</f>
        <v/>
      </c>
      <c r="AA30">
        <f>AF29</f>
        <v/>
      </c>
      <c r="AB30">
        <f>AA30*Plan!D10/100/12</f>
        <v/>
      </c>
      <c r="AC30">
        <f>MIN(Plan!E10,AA30+AB30)</f>
        <v/>
      </c>
      <c r="AD30">
        <f>AA30+AB30-AC30</f>
        <v/>
      </c>
      <c r="AE30">
        <f>MIN(AD30,MAX(0,$B30-((E$5&lt;AC$5)*F30+(K$5&lt;AC$5)*L30+(Q$5&lt;AC$5)*R30+(W$5&lt;AC$5)*X30+(AI$5&lt;AC$5)*AJ30+(AO$5&lt;AC$5)*AP30+(AU$5&lt;AC$5)*AV30)))</f>
        <v/>
      </c>
      <c r="AF30">
        <f>IF(AD30-AE30&lt;0.005,0,AD30-AE30)</f>
        <v/>
      </c>
      <c r="AG30">
        <f>AL29</f>
        <v/>
      </c>
      <c r="AH30">
        <f>AG30*Plan!D11/100/12</f>
        <v/>
      </c>
      <c r="AI30">
        <f>MIN(Plan!E11,AG30+AH30)</f>
        <v/>
      </c>
      <c r="AJ30">
        <f>AG30+AH30-AI30</f>
        <v/>
      </c>
      <c r="AK30">
        <f>MIN(AJ30,MAX(0,$B30-((E$5&lt;AI$5)*F30+(K$5&lt;AI$5)*L30+(Q$5&lt;AI$5)*R30+(W$5&lt;AI$5)*X30+(AC$5&lt;AI$5)*AD30+(AO$5&lt;AI$5)*AP30+(AU$5&lt;AI$5)*AV30)))</f>
        <v/>
      </c>
      <c r="AL30">
        <f>IF(AJ30-AK30&lt;0.005,0,AJ30-AK30)</f>
        <v/>
      </c>
      <c r="AM30">
        <f>AR29</f>
        <v/>
      </c>
      <c r="AN30">
        <f>AM30*Plan!D12/100/12</f>
        <v/>
      </c>
      <c r="AO30">
        <f>MIN(Plan!E12,AM30+AN30)</f>
        <v/>
      </c>
      <c r="AP30">
        <f>AM30+AN30-AO30</f>
        <v/>
      </c>
      <c r="AQ30">
        <f>MIN(AP30,MAX(0,$B30-((E$5&lt;AO$5)*F30+(K$5&lt;AO$5)*L30+(Q$5&lt;AO$5)*R30+(W$5&lt;AO$5)*X30+(AC$5&lt;AO$5)*AD30+(AI$5&lt;AO$5)*AJ30+(AU$5&lt;AO$5)*AV30)))</f>
        <v/>
      </c>
      <c r="AR30">
        <f>IF(AP30-AQ30&lt;0.005,0,AP30-AQ30)</f>
        <v/>
      </c>
      <c r="AS30">
        <f>AX29</f>
        <v/>
      </c>
      <c r="AT30">
        <f>AS30*Plan!D13/100/12</f>
        <v/>
      </c>
      <c r="AU30">
        <f>MIN(Plan!E13,AS30+AT30)</f>
        <v/>
      </c>
      <c r="AV30">
        <f>AS30+AT30-AU30</f>
        <v/>
      </c>
      <c r="AW30">
        <f>MIN(AV30,MAX(0,$B30-((E$5&lt;AU$5)*F30+(K$5&lt;AU$5)*L30+(Q$5&lt;AU$5)*R30+(W$5&lt;AU$5)*X30+(AC$5&lt;AU$5)*AD30+(AI$5&lt;AU$5)*AJ30+(AO$5&lt;AU$5)*AP30)))</f>
        <v/>
      </c>
      <c r="AX30">
        <f>IF(AV30-AW30&lt;0.005,0,AV30-AW30)</f>
        <v/>
      </c>
      <c r="BC30">
        <f>H30+N30+T30+Z30+AF30+AL30+AR30+AX30</f>
        <v/>
      </c>
    </row>
    <row r="31">
      <c r="A31" t="n">
        <v>25</v>
      </c>
      <c r="B31" s="19">
        <f>MAX(0,$B$3-(E31+K31+Q31+W31+AC31+AI31+AO31+AU31))</f>
        <v/>
      </c>
      <c r="C31">
        <f>H30</f>
        <v/>
      </c>
      <c r="D31">
        <f>C31*Plan!D6/100/12</f>
        <v/>
      </c>
      <c r="E31">
        <f>MIN(Plan!E6,C31+D31)</f>
        <v/>
      </c>
      <c r="F31">
        <f>C31+D31-E31</f>
        <v/>
      </c>
      <c r="G31">
        <f>MIN(F31,MAX(0,$B31-((K$5&lt;E$5)*L31+(Q$5&lt;E$5)*R31+(W$5&lt;E$5)*X31+(AC$5&lt;E$5)*AD31+(AI$5&lt;E$5)*AJ31+(AO$5&lt;E$5)*AP31+(AU$5&lt;E$5)*AV31)))</f>
        <v/>
      </c>
      <c r="H31">
        <f>IF(F31-G31&lt;0.005,0,F31-G31)</f>
        <v/>
      </c>
      <c r="I31">
        <f>N30</f>
        <v/>
      </c>
      <c r="J31">
        <f>I31*Plan!D7/100/12</f>
        <v/>
      </c>
      <c r="K31">
        <f>MIN(Plan!E7,I31+J31)</f>
        <v/>
      </c>
      <c r="L31">
        <f>I31+J31-K31</f>
        <v/>
      </c>
      <c r="M31">
        <f>MIN(L31,MAX(0,$B31-((E$5&lt;K$5)*F31+(Q$5&lt;K$5)*R31+(W$5&lt;K$5)*X31+(AC$5&lt;K$5)*AD31+(AI$5&lt;K$5)*AJ31+(AO$5&lt;K$5)*AP31+(AU$5&lt;K$5)*AV31)))</f>
        <v/>
      </c>
      <c r="N31">
        <f>IF(L31-M31&lt;0.005,0,L31-M31)</f>
        <v/>
      </c>
      <c r="O31">
        <f>T30</f>
        <v/>
      </c>
      <c r="P31">
        <f>O31*Plan!D8/100/12</f>
        <v/>
      </c>
      <c r="Q31">
        <f>MIN(Plan!E8,O31+P31)</f>
        <v/>
      </c>
      <c r="R31">
        <f>O31+P31-Q31</f>
        <v/>
      </c>
      <c r="S31">
        <f>MIN(R31,MAX(0,$B31-((E$5&lt;Q$5)*F31+(K$5&lt;Q$5)*L31+(W$5&lt;Q$5)*X31+(AC$5&lt;Q$5)*AD31+(AI$5&lt;Q$5)*AJ31+(AO$5&lt;Q$5)*AP31+(AU$5&lt;Q$5)*AV31)))</f>
        <v/>
      </c>
      <c r="T31">
        <f>IF(R31-S31&lt;0.005,0,R31-S31)</f>
        <v/>
      </c>
      <c r="U31">
        <f>Z30</f>
        <v/>
      </c>
      <c r="V31">
        <f>U31*Plan!D9/100/12</f>
        <v/>
      </c>
      <c r="W31">
        <f>MIN(Plan!E9,U31+V31)</f>
        <v/>
      </c>
      <c r="X31">
        <f>U31+V31-W31</f>
        <v/>
      </c>
      <c r="Y31">
        <f>MIN(X31,MAX(0,$B31-((E$5&lt;W$5)*F31+(K$5&lt;W$5)*L31+(Q$5&lt;W$5)*R31+(AC$5&lt;W$5)*AD31+(AI$5&lt;W$5)*AJ31+(AO$5&lt;W$5)*AP31+(AU$5&lt;W$5)*AV31)))</f>
        <v/>
      </c>
      <c r="Z31">
        <f>IF(X31-Y31&lt;0.005,0,X31-Y31)</f>
        <v/>
      </c>
      <c r="AA31">
        <f>AF30</f>
        <v/>
      </c>
      <c r="AB31">
        <f>AA31*Plan!D10/100/12</f>
        <v/>
      </c>
      <c r="AC31">
        <f>MIN(Plan!E10,AA31+AB31)</f>
        <v/>
      </c>
      <c r="AD31">
        <f>AA31+AB31-AC31</f>
        <v/>
      </c>
      <c r="AE31">
        <f>MIN(AD31,MAX(0,$B31-((E$5&lt;AC$5)*F31+(K$5&lt;AC$5)*L31+(Q$5&lt;AC$5)*R31+(W$5&lt;AC$5)*X31+(AI$5&lt;AC$5)*AJ31+(AO$5&lt;AC$5)*AP31+(AU$5&lt;AC$5)*AV31)))</f>
        <v/>
      </c>
      <c r="AF31">
        <f>IF(AD31-AE31&lt;0.005,0,AD31-AE31)</f>
        <v/>
      </c>
      <c r="AG31">
        <f>AL30</f>
        <v/>
      </c>
      <c r="AH31">
        <f>AG31*Plan!D11/100/12</f>
        <v/>
      </c>
      <c r="AI31">
        <f>MIN(Plan!E11,AG31+AH31)</f>
        <v/>
      </c>
      <c r="AJ31">
        <f>AG31+AH31-AI31</f>
        <v/>
      </c>
      <c r="AK31">
        <f>MIN(AJ31,MAX(0,$B31-((E$5&lt;AI$5)*F31+(K$5&lt;AI$5)*L31+(Q$5&lt;AI$5)*R31+(W$5&lt;AI$5)*X31+(AC$5&lt;AI$5)*AD31+(AO$5&lt;AI$5)*AP31+(AU$5&lt;AI$5)*AV31)))</f>
        <v/>
      </c>
      <c r="AL31">
        <f>IF(AJ31-AK31&lt;0.005,0,AJ31-AK31)</f>
        <v/>
      </c>
      <c r="AM31">
        <f>AR30</f>
        <v/>
      </c>
      <c r="AN31">
        <f>AM31*Plan!D12/100/12</f>
        <v/>
      </c>
      <c r="AO31">
        <f>MIN(Plan!E12,AM31+AN31)</f>
        <v/>
      </c>
      <c r="AP31">
        <f>AM31+AN31-AO31</f>
        <v/>
      </c>
      <c r="AQ31">
        <f>MIN(AP31,MAX(0,$B31-((E$5&lt;AO$5)*F31+(K$5&lt;AO$5)*L31+(Q$5&lt;AO$5)*R31+(W$5&lt;AO$5)*X31+(AC$5&lt;AO$5)*AD31+(AI$5&lt;AO$5)*AJ31+(AU$5&lt;AO$5)*AV31)))</f>
        <v/>
      </c>
      <c r="AR31">
        <f>IF(AP31-AQ31&lt;0.005,0,AP31-AQ31)</f>
        <v/>
      </c>
      <c r="AS31">
        <f>AX30</f>
        <v/>
      </c>
      <c r="AT31">
        <f>AS31*Plan!D13/100/12</f>
        <v/>
      </c>
      <c r="AU31">
        <f>MIN(Plan!E13,AS31+AT31)</f>
        <v/>
      </c>
      <c r="AV31">
        <f>AS31+AT31-AU31</f>
        <v/>
      </c>
      <c r="AW31">
        <f>MIN(AV31,MAX(0,$B31-((E$5&lt;AU$5)*F31+(K$5&lt;AU$5)*L31+(Q$5&lt;AU$5)*R31+(W$5&lt;AU$5)*X31+(AC$5&lt;AU$5)*AD31+(AI$5&lt;AU$5)*AJ31+(AO$5&lt;AU$5)*AP31)))</f>
        <v/>
      </c>
      <c r="AX31">
        <f>IF(AV31-AW31&lt;0.005,0,AV31-AW31)</f>
        <v/>
      </c>
      <c r="BC31">
        <f>H31+N31+T31+Z31+AF31+AL31+AR31+AX31</f>
        <v/>
      </c>
    </row>
    <row r="32">
      <c r="A32" t="n">
        <v>26</v>
      </c>
      <c r="B32" s="19">
        <f>MAX(0,$B$3-(E32+K32+Q32+W32+AC32+AI32+AO32+AU32))</f>
        <v/>
      </c>
      <c r="C32">
        <f>H31</f>
        <v/>
      </c>
      <c r="D32">
        <f>C32*Plan!D6/100/12</f>
        <v/>
      </c>
      <c r="E32">
        <f>MIN(Plan!E6,C32+D32)</f>
        <v/>
      </c>
      <c r="F32">
        <f>C32+D32-E32</f>
        <v/>
      </c>
      <c r="G32">
        <f>MIN(F32,MAX(0,$B32-((K$5&lt;E$5)*L32+(Q$5&lt;E$5)*R32+(W$5&lt;E$5)*X32+(AC$5&lt;E$5)*AD32+(AI$5&lt;E$5)*AJ32+(AO$5&lt;E$5)*AP32+(AU$5&lt;E$5)*AV32)))</f>
        <v/>
      </c>
      <c r="H32">
        <f>IF(F32-G32&lt;0.005,0,F32-G32)</f>
        <v/>
      </c>
      <c r="I32">
        <f>N31</f>
        <v/>
      </c>
      <c r="J32">
        <f>I32*Plan!D7/100/12</f>
        <v/>
      </c>
      <c r="K32">
        <f>MIN(Plan!E7,I32+J32)</f>
        <v/>
      </c>
      <c r="L32">
        <f>I32+J32-K32</f>
        <v/>
      </c>
      <c r="M32">
        <f>MIN(L32,MAX(0,$B32-((E$5&lt;K$5)*F32+(Q$5&lt;K$5)*R32+(W$5&lt;K$5)*X32+(AC$5&lt;K$5)*AD32+(AI$5&lt;K$5)*AJ32+(AO$5&lt;K$5)*AP32+(AU$5&lt;K$5)*AV32)))</f>
        <v/>
      </c>
      <c r="N32">
        <f>IF(L32-M32&lt;0.005,0,L32-M32)</f>
        <v/>
      </c>
      <c r="O32">
        <f>T31</f>
        <v/>
      </c>
      <c r="P32">
        <f>O32*Plan!D8/100/12</f>
        <v/>
      </c>
      <c r="Q32">
        <f>MIN(Plan!E8,O32+P32)</f>
        <v/>
      </c>
      <c r="R32">
        <f>O32+P32-Q32</f>
        <v/>
      </c>
      <c r="S32">
        <f>MIN(R32,MAX(0,$B32-((E$5&lt;Q$5)*F32+(K$5&lt;Q$5)*L32+(W$5&lt;Q$5)*X32+(AC$5&lt;Q$5)*AD32+(AI$5&lt;Q$5)*AJ32+(AO$5&lt;Q$5)*AP32+(AU$5&lt;Q$5)*AV32)))</f>
        <v/>
      </c>
      <c r="T32">
        <f>IF(R32-S32&lt;0.005,0,R32-S32)</f>
        <v/>
      </c>
      <c r="U32">
        <f>Z31</f>
        <v/>
      </c>
      <c r="V32">
        <f>U32*Plan!D9/100/12</f>
        <v/>
      </c>
      <c r="W32">
        <f>MIN(Plan!E9,U32+V32)</f>
        <v/>
      </c>
      <c r="X32">
        <f>U32+V32-W32</f>
        <v/>
      </c>
      <c r="Y32">
        <f>MIN(X32,MAX(0,$B32-((E$5&lt;W$5)*F32+(K$5&lt;W$5)*L32+(Q$5&lt;W$5)*R32+(AC$5&lt;W$5)*AD32+(AI$5&lt;W$5)*AJ32+(AO$5&lt;W$5)*AP32+(AU$5&lt;W$5)*AV32)))</f>
        <v/>
      </c>
      <c r="Z32">
        <f>IF(X32-Y32&lt;0.005,0,X32-Y32)</f>
        <v/>
      </c>
      <c r="AA32">
        <f>AF31</f>
        <v/>
      </c>
      <c r="AB32">
        <f>AA32*Plan!D10/100/12</f>
        <v/>
      </c>
      <c r="AC32">
        <f>MIN(Plan!E10,AA32+AB32)</f>
        <v/>
      </c>
      <c r="AD32">
        <f>AA32+AB32-AC32</f>
        <v/>
      </c>
      <c r="AE32">
        <f>MIN(AD32,MAX(0,$B32-((E$5&lt;AC$5)*F32+(K$5&lt;AC$5)*L32+(Q$5&lt;AC$5)*R32+(W$5&lt;AC$5)*X32+(AI$5&lt;AC$5)*AJ32+(AO$5&lt;AC$5)*AP32+(AU$5&lt;AC$5)*AV32)))</f>
        <v/>
      </c>
      <c r="AF32">
        <f>IF(AD32-AE32&lt;0.005,0,AD32-AE32)</f>
        <v/>
      </c>
      <c r="AG32">
        <f>AL31</f>
        <v/>
      </c>
      <c r="AH32">
        <f>AG32*Plan!D11/100/12</f>
        <v/>
      </c>
      <c r="AI32">
        <f>MIN(Plan!E11,AG32+AH32)</f>
        <v/>
      </c>
      <c r="AJ32">
        <f>AG32+AH32-AI32</f>
        <v/>
      </c>
      <c r="AK32">
        <f>MIN(AJ32,MAX(0,$B32-((E$5&lt;AI$5)*F32+(K$5&lt;AI$5)*L32+(Q$5&lt;AI$5)*R32+(W$5&lt;AI$5)*X32+(AC$5&lt;AI$5)*AD32+(AO$5&lt;AI$5)*AP32+(AU$5&lt;AI$5)*AV32)))</f>
        <v/>
      </c>
      <c r="AL32">
        <f>IF(AJ32-AK32&lt;0.005,0,AJ32-AK32)</f>
        <v/>
      </c>
      <c r="AM32">
        <f>AR31</f>
        <v/>
      </c>
      <c r="AN32">
        <f>AM32*Plan!D12/100/12</f>
        <v/>
      </c>
      <c r="AO32">
        <f>MIN(Plan!E12,AM32+AN32)</f>
        <v/>
      </c>
      <c r="AP32">
        <f>AM32+AN32-AO32</f>
        <v/>
      </c>
      <c r="AQ32">
        <f>MIN(AP32,MAX(0,$B32-((E$5&lt;AO$5)*F32+(K$5&lt;AO$5)*L32+(Q$5&lt;AO$5)*R32+(W$5&lt;AO$5)*X32+(AC$5&lt;AO$5)*AD32+(AI$5&lt;AO$5)*AJ32+(AU$5&lt;AO$5)*AV32)))</f>
        <v/>
      </c>
      <c r="AR32">
        <f>IF(AP32-AQ32&lt;0.005,0,AP32-AQ32)</f>
        <v/>
      </c>
      <c r="AS32">
        <f>AX31</f>
        <v/>
      </c>
      <c r="AT32">
        <f>AS32*Plan!D13/100/12</f>
        <v/>
      </c>
      <c r="AU32">
        <f>MIN(Plan!E13,AS32+AT32)</f>
        <v/>
      </c>
      <c r="AV32">
        <f>AS32+AT32-AU32</f>
        <v/>
      </c>
      <c r="AW32">
        <f>MIN(AV32,MAX(0,$B32-((E$5&lt;AU$5)*F32+(K$5&lt;AU$5)*L32+(Q$5&lt;AU$5)*R32+(W$5&lt;AU$5)*X32+(AC$5&lt;AU$5)*AD32+(AI$5&lt;AU$5)*AJ32+(AO$5&lt;AU$5)*AP32)))</f>
        <v/>
      </c>
      <c r="AX32">
        <f>IF(AV32-AW32&lt;0.005,0,AV32-AW32)</f>
        <v/>
      </c>
      <c r="BC32">
        <f>H32+N32+T32+Z32+AF32+AL32+AR32+AX32</f>
        <v/>
      </c>
    </row>
    <row r="33">
      <c r="A33" t="n">
        <v>27</v>
      </c>
      <c r="B33" s="19">
        <f>MAX(0,$B$3-(E33+K33+Q33+W33+AC33+AI33+AO33+AU33))</f>
        <v/>
      </c>
      <c r="C33">
        <f>H32</f>
        <v/>
      </c>
      <c r="D33">
        <f>C33*Plan!D6/100/12</f>
        <v/>
      </c>
      <c r="E33">
        <f>MIN(Plan!E6,C33+D33)</f>
        <v/>
      </c>
      <c r="F33">
        <f>C33+D33-E33</f>
        <v/>
      </c>
      <c r="G33">
        <f>MIN(F33,MAX(0,$B33-((K$5&lt;E$5)*L33+(Q$5&lt;E$5)*R33+(W$5&lt;E$5)*X33+(AC$5&lt;E$5)*AD33+(AI$5&lt;E$5)*AJ33+(AO$5&lt;E$5)*AP33+(AU$5&lt;E$5)*AV33)))</f>
        <v/>
      </c>
      <c r="H33">
        <f>IF(F33-G33&lt;0.005,0,F33-G33)</f>
        <v/>
      </c>
      <c r="I33">
        <f>N32</f>
        <v/>
      </c>
      <c r="J33">
        <f>I33*Plan!D7/100/12</f>
        <v/>
      </c>
      <c r="K33">
        <f>MIN(Plan!E7,I33+J33)</f>
        <v/>
      </c>
      <c r="L33">
        <f>I33+J33-K33</f>
        <v/>
      </c>
      <c r="M33">
        <f>MIN(L33,MAX(0,$B33-((E$5&lt;K$5)*F33+(Q$5&lt;K$5)*R33+(W$5&lt;K$5)*X33+(AC$5&lt;K$5)*AD33+(AI$5&lt;K$5)*AJ33+(AO$5&lt;K$5)*AP33+(AU$5&lt;K$5)*AV33)))</f>
        <v/>
      </c>
      <c r="N33">
        <f>IF(L33-M33&lt;0.005,0,L33-M33)</f>
        <v/>
      </c>
      <c r="O33">
        <f>T32</f>
        <v/>
      </c>
      <c r="P33">
        <f>O33*Plan!D8/100/12</f>
        <v/>
      </c>
      <c r="Q33">
        <f>MIN(Plan!E8,O33+P33)</f>
        <v/>
      </c>
      <c r="R33">
        <f>O33+P33-Q33</f>
        <v/>
      </c>
      <c r="S33">
        <f>MIN(R33,MAX(0,$B33-((E$5&lt;Q$5)*F33+(K$5&lt;Q$5)*L33+(W$5&lt;Q$5)*X33+(AC$5&lt;Q$5)*AD33+(AI$5&lt;Q$5)*AJ33+(AO$5&lt;Q$5)*AP33+(AU$5&lt;Q$5)*AV33)))</f>
        <v/>
      </c>
      <c r="T33">
        <f>IF(R33-S33&lt;0.005,0,R33-S33)</f>
        <v/>
      </c>
      <c r="U33">
        <f>Z32</f>
        <v/>
      </c>
      <c r="V33">
        <f>U33*Plan!D9/100/12</f>
        <v/>
      </c>
      <c r="W33">
        <f>MIN(Plan!E9,U33+V33)</f>
        <v/>
      </c>
      <c r="X33">
        <f>U33+V33-W33</f>
        <v/>
      </c>
      <c r="Y33">
        <f>MIN(X33,MAX(0,$B33-((E$5&lt;W$5)*F33+(K$5&lt;W$5)*L33+(Q$5&lt;W$5)*R33+(AC$5&lt;W$5)*AD33+(AI$5&lt;W$5)*AJ33+(AO$5&lt;W$5)*AP33+(AU$5&lt;W$5)*AV33)))</f>
        <v/>
      </c>
      <c r="Z33">
        <f>IF(X33-Y33&lt;0.005,0,X33-Y33)</f>
        <v/>
      </c>
      <c r="AA33">
        <f>AF32</f>
        <v/>
      </c>
      <c r="AB33">
        <f>AA33*Plan!D10/100/12</f>
        <v/>
      </c>
      <c r="AC33">
        <f>MIN(Plan!E10,AA33+AB33)</f>
        <v/>
      </c>
      <c r="AD33">
        <f>AA33+AB33-AC33</f>
        <v/>
      </c>
      <c r="AE33">
        <f>MIN(AD33,MAX(0,$B33-((E$5&lt;AC$5)*F33+(K$5&lt;AC$5)*L33+(Q$5&lt;AC$5)*R33+(W$5&lt;AC$5)*X33+(AI$5&lt;AC$5)*AJ33+(AO$5&lt;AC$5)*AP33+(AU$5&lt;AC$5)*AV33)))</f>
        <v/>
      </c>
      <c r="AF33">
        <f>IF(AD33-AE33&lt;0.005,0,AD33-AE33)</f>
        <v/>
      </c>
      <c r="AG33">
        <f>AL32</f>
        <v/>
      </c>
      <c r="AH33">
        <f>AG33*Plan!D11/100/12</f>
        <v/>
      </c>
      <c r="AI33">
        <f>MIN(Plan!E11,AG33+AH33)</f>
        <v/>
      </c>
      <c r="AJ33">
        <f>AG33+AH33-AI33</f>
        <v/>
      </c>
      <c r="AK33">
        <f>MIN(AJ33,MAX(0,$B33-((E$5&lt;AI$5)*F33+(K$5&lt;AI$5)*L33+(Q$5&lt;AI$5)*R33+(W$5&lt;AI$5)*X33+(AC$5&lt;AI$5)*AD33+(AO$5&lt;AI$5)*AP33+(AU$5&lt;AI$5)*AV33)))</f>
        <v/>
      </c>
      <c r="AL33">
        <f>IF(AJ33-AK33&lt;0.005,0,AJ33-AK33)</f>
        <v/>
      </c>
      <c r="AM33">
        <f>AR32</f>
        <v/>
      </c>
      <c r="AN33">
        <f>AM33*Plan!D12/100/12</f>
        <v/>
      </c>
      <c r="AO33">
        <f>MIN(Plan!E12,AM33+AN33)</f>
        <v/>
      </c>
      <c r="AP33">
        <f>AM33+AN33-AO33</f>
        <v/>
      </c>
      <c r="AQ33">
        <f>MIN(AP33,MAX(0,$B33-((E$5&lt;AO$5)*F33+(K$5&lt;AO$5)*L33+(Q$5&lt;AO$5)*R33+(W$5&lt;AO$5)*X33+(AC$5&lt;AO$5)*AD33+(AI$5&lt;AO$5)*AJ33+(AU$5&lt;AO$5)*AV33)))</f>
        <v/>
      </c>
      <c r="AR33">
        <f>IF(AP33-AQ33&lt;0.005,0,AP33-AQ33)</f>
        <v/>
      </c>
      <c r="AS33">
        <f>AX32</f>
        <v/>
      </c>
      <c r="AT33">
        <f>AS33*Plan!D13/100/12</f>
        <v/>
      </c>
      <c r="AU33">
        <f>MIN(Plan!E13,AS33+AT33)</f>
        <v/>
      </c>
      <c r="AV33">
        <f>AS33+AT33-AU33</f>
        <v/>
      </c>
      <c r="AW33">
        <f>MIN(AV33,MAX(0,$B33-((E$5&lt;AU$5)*F33+(K$5&lt;AU$5)*L33+(Q$5&lt;AU$5)*R33+(W$5&lt;AU$5)*X33+(AC$5&lt;AU$5)*AD33+(AI$5&lt;AU$5)*AJ33+(AO$5&lt;AU$5)*AP33)))</f>
        <v/>
      </c>
      <c r="AX33">
        <f>IF(AV33-AW33&lt;0.005,0,AV33-AW33)</f>
        <v/>
      </c>
      <c r="BC33">
        <f>H33+N33+T33+Z33+AF33+AL33+AR33+AX33</f>
        <v/>
      </c>
    </row>
    <row r="34">
      <c r="A34" t="n">
        <v>28</v>
      </c>
      <c r="B34" s="19">
        <f>MAX(0,$B$3-(E34+K34+Q34+W34+AC34+AI34+AO34+AU34))</f>
        <v/>
      </c>
      <c r="C34">
        <f>H33</f>
        <v/>
      </c>
      <c r="D34">
        <f>C34*Plan!D6/100/12</f>
        <v/>
      </c>
      <c r="E34">
        <f>MIN(Plan!E6,C34+D34)</f>
        <v/>
      </c>
      <c r="F34">
        <f>C34+D34-E34</f>
        <v/>
      </c>
      <c r="G34">
        <f>MIN(F34,MAX(0,$B34-((K$5&lt;E$5)*L34+(Q$5&lt;E$5)*R34+(W$5&lt;E$5)*X34+(AC$5&lt;E$5)*AD34+(AI$5&lt;E$5)*AJ34+(AO$5&lt;E$5)*AP34+(AU$5&lt;E$5)*AV34)))</f>
        <v/>
      </c>
      <c r="H34">
        <f>IF(F34-G34&lt;0.005,0,F34-G34)</f>
        <v/>
      </c>
      <c r="I34">
        <f>N33</f>
        <v/>
      </c>
      <c r="J34">
        <f>I34*Plan!D7/100/12</f>
        <v/>
      </c>
      <c r="K34">
        <f>MIN(Plan!E7,I34+J34)</f>
        <v/>
      </c>
      <c r="L34">
        <f>I34+J34-K34</f>
        <v/>
      </c>
      <c r="M34">
        <f>MIN(L34,MAX(0,$B34-((E$5&lt;K$5)*F34+(Q$5&lt;K$5)*R34+(W$5&lt;K$5)*X34+(AC$5&lt;K$5)*AD34+(AI$5&lt;K$5)*AJ34+(AO$5&lt;K$5)*AP34+(AU$5&lt;K$5)*AV34)))</f>
        <v/>
      </c>
      <c r="N34">
        <f>IF(L34-M34&lt;0.005,0,L34-M34)</f>
        <v/>
      </c>
      <c r="O34">
        <f>T33</f>
        <v/>
      </c>
      <c r="P34">
        <f>O34*Plan!D8/100/12</f>
        <v/>
      </c>
      <c r="Q34">
        <f>MIN(Plan!E8,O34+P34)</f>
        <v/>
      </c>
      <c r="R34">
        <f>O34+P34-Q34</f>
        <v/>
      </c>
      <c r="S34">
        <f>MIN(R34,MAX(0,$B34-((E$5&lt;Q$5)*F34+(K$5&lt;Q$5)*L34+(W$5&lt;Q$5)*X34+(AC$5&lt;Q$5)*AD34+(AI$5&lt;Q$5)*AJ34+(AO$5&lt;Q$5)*AP34+(AU$5&lt;Q$5)*AV34)))</f>
        <v/>
      </c>
      <c r="T34">
        <f>IF(R34-S34&lt;0.005,0,R34-S34)</f>
        <v/>
      </c>
      <c r="U34">
        <f>Z33</f>
        <v/>
      </c>
      <c r="V34">
        <f>U34*Plan!D9/100/12</f>
        <v/>
      </c>
      <c r="W34">
        <f>MIN(Plan!E9,U34+V34)</f>
        <v/>
      </c>
      <c r="X34">
        <f>U34+V34-W34</f>
        <v/>
      </c>
      <c r="Y34">
        <f>MIN(X34,MAX(0,$B34-((E$5&lt;W$5)*F34+(K$5&lt;W$5)*L34+(Q$5&lt;W$5)*R34+(AC$5&lt;W$5)*AD34+(AI$5&lt;W$5)*AJ34+(AO$5&lt;W$5)*AP34+(AU$5&lt;W$5)*AV34)))</f>
        <v/>
      </c>
      <c r="Z34">
        <f>IF(X34-Y34&lt;0.005,0,X34-Y34)</f>
        <v/>
      </c>
      <c r="AA34">
        <f>AF33</f>
        <v/>
      </c>
      <c r="AB34">
        <f>AA34*Plan!D10/100/12</f>
        <v/>
      </c>
      <c r="AC34">
        <f>MIN(Plan!E10,AA34+AB34)</f>
        <v/>
      </c>
      <c r="AD34">
        <f>AA34+AB34-AC34</f>
        <v/>
      </c>
      <c r="AE34">
        <f>MIN(AD34,MAX(0,$B34-((E$5&lt;AC$5)*F34+(K$5&lt;AC$5)*L34+(Q$5&lt;AC$5)*R34+(W$5&lt;AC$5)*X34+(AI$5&lt;AC$5)*AJ34+(AO$5&lt;AC$5)*AP34+(AU$5&lt;AC$5)*AV34)))</f>
        <v/>
      </c>
      <c r="AF34">
        <f>IF(AD34-AE34&lt;0.005,0,AD34-AE34)</f>
        <v/>
      </c>
      <c r="AG34">
        <f>AL33</f>
        <v/>
      </c>
      <c r="AH34">
        <f>AG34*Plan!D11/100/12</f>
        <v/>
      </c>
      <c r="AI34">
        <f>MIN(Plan!E11,AG34+AH34)</f>
        <v/>
      </c>
      <c r="AJ34">
        <f>AG34+AH34-AI34</f>
        <v/>
      </c>
      <c r="AK34">
        <f>MIN(AJ34,MAX(0,$B34-((E$5&lt;AI$5)*F34+(K$5&lt;AI$5)*L34+(Q$5&lt;AI$5)*R34+(W$5&lt;AI$5)*X34+(AC$5&lt;AI$5)*AD34+(AO$5&lt;AI$5)*AP34+(AU$5&lt;AI$5)*AV34)))</f>
        <v/>
      </c>
      <c r="AL34">
        <f>IF(AJ34-AK34&lt;0.005,0,AJ34-AK34)</f>
        <v/>
      </c>
      <c r="AM34">
        <f>AR33</f>
        <v/>
      </c>
      <c r="AN34">
        <f>AM34*Plan!D12/100/12</f>
        <v/>
      </c>
      <c r="AO34">
        <f>MIN(Plan!E12,AM34+AN34)</f>
        <v/>
      </c>
      <c r="AP34">
        <f>AM34+AN34-AO34</f>
        <v/>
      </c>
      <c r="AQ34">
        <f>MIN(AP34,MAX(0,$B34-((E$5&lt;AO$5)*F34+(K$5&lt;AO$5)*L34+(Q$5&lt;AO$5)*R34+(W$5&lt;AO$5)*X34+(AC$5&lt;AO$5)*AD34+(AI$5&lt;AO$5)*AJ34+(AU$5&lt;AO$5)*AV34)))</f>
        <v/>
      </c>
      <c r="AR34">
        <f>IF(AP34-AQ34&lt;0.005,0,AP34-AQ34)</f>
        <v/>
      </c>
      <c r="AS34">
        <f>AX33</f>
        <v/>
      </c>
      <c r="AT34">
        <f>AS34*Plan!D13/100/12</f>
        <v/>
      </c>
      <c r="AU34">
        <f>MIN(Plan!E13,AS34+AT34)</f>
        <v/>
      </c>
      <c r="AV34">
        <f>AS34+AT34-AU34</f>
        <v/>
      </c>
      <c r="AW34">
        <f>MIN(AV34,MAX(0,$B34-((E$5&lt;AU$5)*F34+(K$5&lt;AU$5)*L34+(Q$5&lt;AU$5)*R34+(W$5&lt;AU$5)*X34+(AC$5&lt;AU$5)*AD34+(AI$5&lt;AU$5)*AJ34+(AO$5&lt;AU$5)*AP34)))</f>
        <v/>
      </c>
      <c r="AX34">
        <f>IF(AV34-AW34&lt;0.005,0,AV34-AW34)</f>
        <v/>
      </c>
      <c r="BC34">
        <f>H34+N34+T34+Z34+AF34+AL34+AR34+AX34</f>
        <v/>
      </c>
    </row>
    <row r="35">
      <c r="A35" t="n">
        <v>29</v>
      </c>
      <c r="B35" s="19">
        <f>MAX(0,$B$3-(E35+K35+Q35+W35+AC35+AI35+AO35+AU35))</f>
        <v/>
      </c>
      <c r="C35">
        <f>H34</f>
        <v/>
      </c>
      <c r="D35">
        <f>C35*Plan!D6/100/12</f>
        <v/>
      </c>
      <c r="E35">
        <f>MIN(Plan!E6,C35+D35)</f>
        <v/>
      </c>
      <c r="F35">
        <f>C35+D35-E35</f>
        <v/>
      </c>
      <c r="G35">
        <f>MIN(F35,MAX(0,$B35-((K$5&lt;E$5)*L35+(Q$5&lt;E$5)*R35+(W$5&lt;E$5)*X35+(AC$5&lt;E$5)*AD35+(AI$5&lt;E$5)*AJ35+(AO$5&lt;E$5)*AP35+(AU$5&lt;E$5)*AV35)))</f>
        <v/>
      </c>
      <c r="H35">
        <f>IF(F35-G35&lt;0.005,0,F35-G35)</f>
        <v/>
      </c>
      <c r="I35">
        <f>N34</f>
        <v/>
      </c>
      <c r="J35">
        <f>I35*Plan!D7/100/12</f>
        <v/>
      </c>
      <c r="K35">
        <f>MIN(Plan!E7,I35+J35)</f>
        <v/>
      </c>
      <c r="L35">
        <f>I35+J35-K35</f>
        <v/>
      </c>
      <c r="M35">
        <f>MIN(L35,MAX(0,$B35-((E$5&lt;K$5)*F35+(Q$5&lt;K$5)*R35+(W$5&lt;K$5)*X35+(AC$5&lt;K$5)*AD35+(AI$5&lt;K$5)*AJ35+(AO$5&lt;K$5)*AP35+(AU$5&lt;K$5)*AV35)))</f>
        <v/>
      </c>
      <c r="N35">
        <f>IF(L35-M35&lt;0.005,0,L35-M35)</f>
        <v/>
      </c>
      <c r="O35">
        <f>T34</f>
        <v/>
      </c>
      <c r="P35">
        <f>O35*Plan!D8/100/12</f>
        <v/>
      </c>
      <c r="Q35">
        <f>MIN(Plan!E8,O35+P35)</f>
        <v/>
      </c>
      <c r="R35">
        <f>O35+P35-Q35</f>
        <v/>
      </c>
      <c r="S35">
        <f>MIN(R35,MAX(0,$B35-((E$5&lt;Q$5)*F35+(K$5&lt;Q$5)*L35+(W$5&lt;Q$5)*X35+(AC$5&lt;Q$5)*AD35+(AI$5&lt;Q$5)*AJ35+(AO$5&lt;Q$5)*AP35+(AU$5&lt;Q$5)*AV35)))</f>
        <v/>
      </c>
      <c r="T35">
        <f>IF(R35-S35&lt;0.005,0,R35-S35)</f>
        <v/>
      </c>
      <c r="U35">
        <f>Z34</f>
        <v/>
      </c>
      <c r="V35">
        <f>U35*Plan!D9/100/12</f>
        <v/>
      </c>
      <c r="W35">
        <f>MIN(Plan!E9,U35+V35)</f>
        <v/>
      </c>
      <c r="X35">
        <f>U35+V35-W35</f>
        <v/>
      </c>
      <c r="Y35">
        <f>MIN(X35,MAX(0,$B35-((E$5&lt;W$5)*F35+(K$5&lt;W$5)*L35+(Q$5&lt;W$5)*R35+(AC$5&lt;W$5)*AD35+(AI$5&lt;W$5)*AJ35+(AO$5&lt;W$5)*AP35+(AU$5&lt;W$5)*AV35)))</f>
        <v/>
      </c>
      <c r="Z35">
        <f>IF(X35-Y35&lt;0.005,0,X35-Y35)</f>
        <v/>
      </c>
      <c r="AA35">
        <f>AF34</f>
        <v/>
      </c>
      <c r="AB35">
        <f>AA35*Plan!D10/100/12</f>
        <v/>
      </c>
      <c r="AC35">
        <f>MIN(Plan!E10,AA35+AB35)</f>
        <v/>
      </c>
      <c r="AD35">
        <f>AA35+AB35-AC35</f>
        <v/>
      </c>
      <c r="AE35">
        <f>MIN(AD35,MAX(0,$B35-((E$5&lt;AC$5)*F35+(K$5&lt;AC$5)*L35+(Q$5&lt;AC$5)*R35+(W$5&lt;AC$5)*X35+(AI$5&lt;AC$5)*AJ35+(AO$5&lt;AC$5)*AP35+(AU$5&lt;AC$5)*AV35)))</f>
        <v/>
      </c>
      <c r="AF35">
        <f>IF(AD35-AE35&lt;0.005,0,AD35-AE35)</f>
        <v/>
      </c>
      <c r="AG35">
        <f>AL34</f>
        <v/>
      </c>
      <c r="AH35">
        <f>AG35*Plan!D11/100/12</f>
        <v/>
      </c>
      <c r="AI35">
        <f>MIN(Plan!E11,AG35+AH35)</f>
        <v/>
      </c>
      <c r="AJ35">
        <f>AG35+AH35-AI35</f>
        <v/>
      </c>
      <c r="AK35">
        <f>MIN(AJ35,MAX(0,$B35-((E$5&lt;AI$5)*F35+(K$5&lt;AI$5)*L35+(Q$5&lt;AI$5)*R35+(W$5&lt;AI$5)*X35+(AC$5&lt;AI$5)*AD35+(AO$5&lt;AI$5)*AP35+(AU$5&lt;AI$5)*AV35)))</f>
        <v/>
      </c>
      <c r="AL35">
        <f>IF(AJ35-AK35&lt;0.005,0,AJ35-AK35)</f>
        <v/>
      </c>
      <c r="AM35">
        <f>AR34</f>
        <v/>
      </c>
      <c r="AN35">
        <f>AM35*Plan!D12/100/12</f>
        <v/>
      </c>
      <c r="AO35">
        <f>MIN(Plan!E12,AM35+AN35)</f>
        <v/>
      </c>
      <c r="AP35">
        <f>AM35+AN35-AO35</f>
        <v/>
      </c>
      <c r="AQ35">
        <f>MIN(AP35,MAX(0,$B35-((E$5&lt;AO$5)*F35+(K$5&lt;AO$5)*L35+(Q$5&lt;AO$5)*R35+(W$5&lt;AO$5)*X35+(AC$5&lt;AO$5)*AD35+(AI$5&lt;AO$5)*AJ35+(AU$5&lt;AO$5)*AV35)))</f>
        <v/>
      </c>
      <c r="AR35">
        <f>IF(AP35-AQ35&lt;0.005,0,AP35-AQ35)</f>
        <v/>
      </c>
      <c r="AS35">
        <f>AX34</f>
        <v/>
      </c>
      <c r="AT35">
        <f>AS35*Plan!D13/100/12</f>
        <v/>
      </c>
      <c r="AU35">
        <f>MIN(Plan!E13,AS35+AT35)</f>
        <v/>
      </c>
      <c r="AV35">
        <f>AS35+AT35-AU35</f>
        <v/>
      </c>
      <c r="AW35">
        <f>MIN(AV35,MAX(0,$B35-((E$5&lt;AU$5)*F35+(K$5&lt;AU$5)*L35+(Q$5&lt;AU$5)*R35+(W$5&lt;AU$5)*X35+(AC$5&lt;AU$5)*AD35+(AI$5&lt;AU$5)*AJ35+(AO$5&lt;AU$5)*AP35)))</f>
        <v/>
      </c>
      <c r="AX35">
        <f>IF(AV35-AW35&lt;0.005,0,AV35-AW35)</f>
        <v/>
      </c>
      <c r="BC35">
        <f>H35+N35+T35+Z35+AF35+AL35+AR35+AX35</f>
        <v/>
      </c>
    </row>
    <row r="36">
      <c r="A36" t="n">
        <v>30</v>
      </c>
      <c r="B36" s="19">
        <f>MAX(0,$B$3-(E36+K36+Q36+W36+AC36+AI36+AO36+AU36))</f>
        <v/>
      </c>
      <c r="C36">
        <f>H35</f>
        <v/>
      </c>
      <c r="D36">
        <f>C36*Plan!D6/100/12</f>
        <v/>
      </c>
      <c r="E36">
        <f>MIN(Plan!E6,C36+D36)</f>
        <v/>
      </c>
      <c r="F36">
        <f>C36+D36-E36</f>
        <v/>
      </c>
      <c r="G36">
        <f>MIN(F36,MAX(0,$B36-((K$5&lt;E$5)*L36+(Q$5&lt;E$5)*R36+(W$5&lt;E$5)*X36+(AC$5&lt;E$5)*AD36+(AI$5&lt;E$5)*AJ36+(AO$5&lt;E$5)*AP36+(AU$5&lt;E$5)*AV36)))</f>
        <v/>
      </c>
      <c r="H36">
        <f>IF(F36-G36&lt;0.005,0,F36-G36)</f>
        <v/>
      </c>
      <c r="I36">
        <f>N35</f>
        <v/>
      </c>
      <c r="J36">
        <f>I36*Plan!D7/100/12</f>
        <v/>
      </c>
      <c r="K36">
        <f>MIN(Plan!E7,I36+J36)</f>
        <v/>
      </c>
      <c r="L36">
        <f>I36+J36-K36</f>
        <v/>
      </c>
      <c r="M36">
        <f>MIN(L36,MAX(0,$B36-((E$5&lt;K$5)*F36+(Q$5&lt;K$5)*R36+(W$5&lt;K$5)*X36+(AC$5&lt;K$5)*AD36+(AI$5&lt;K$5)*AJ36+(AO$5&lt;K$5)*AP36+(AU$5&lt;K$5)*AV36)))</f>
        <v/>
      </c>
      <c r="N36">
        <f>IF(L36-M36&lt;0.005,0,L36-M36)</f>
        <v/>
      </c>
      <c r="O36">
        <f>T35</f>
        <v/>
      </c>
      <c r="P36">
        <f>O36*Plan!D8/100/12</f>
        <v/>
      </c>
      <c r="Q36">
        <f>MIN(Plan!E8,O36+P36)</f>
        <v/>
      </c>
      <c r="R36">
        <f>O36+P36-Q36</f>
        <v/>
      </c>
      <c r="S36">
        <f>MIN(R36,MAX(0,$B36-((E$5&lt;Q$5)*F36+(K$5&lt;Q$5)*L36+(W$5&lt;Q$5)*X36+(AC$5&lt;Q$5)*AD36+(AI$5&lt;Q$5)*AJ36+(AO$5&lt;Q$5)*AP36+(AU$5&lt;Q$5)*AV36)))</f>
        <v/>
      </c>
      <c r="T36">
        <f>IF(R36-S36&lt;0.005,0,R36-S36)</f>
        <v/>
      </c>
      <c r="U36">
        <f>Z35</f>
        <v/>
      </c>
      <c r="V36">
        <f>U36*Plan!D9/100/12</f>
        <v/>
      </c>
      <c r="W36">
        <f>MIN(Plan!E9,U36+V36)</f>
        <v/>
      </c>
      <c r="X36">
        <f>U36+V36-W36</f>
        <v/>
      </c>
      <c r="Y36">
        <f>MIN(X36,MAX(0,$B36-((E$5&lt;W$5)*F36+(K$5&lt;W$5)*L36+(Q$5&lt;W$5)*R36+(AC$5&lt;W$5)*AD36+(AI$5&lt;W$5)*AJ36+(AO$5&lt;W$5)*AP36+(AU$5&lt;W$5)*AV36)))</f>
        <v/>
      </c>
      <c r="Z36">
        <f>IF(X36-Y36&lt;0.005,0,X36-Y36)</f>
        <v/>
      </c>
      <c r="AA36">
        <f>AF35</f>
        <v/>
      </c>
      <c r="AB36">
        <f>AA36*Plan!D10/100/12</f>
        <v/>
      </c>
      <c r="AC36">
        <f>MIN(Plan!E10,AA36+AB36)</f>
        <v/>
      </c>
      <c r="AD36">
        <f>AA36+AB36-AC36</f>
        <v/>
      </c>
      <c r="AE36">
        <f>MIN(AD36,MAX(0,$B36-((E$5&lt;AC$5)*F36+(K$5&lt;AC$5)*L36+(Q$5&lt;AC$5)*R36+(W$5&lt;AC$5)*X36+(AI$5&lt;AC$5)*AJ36+(AO$5&lt;AC$5)*AP36+(AU$5&lt;AC$5)*AV36)))</f>
        <v/>
      </c>
      <c r="AF36">
        <f>IF(AD36-AE36&lt;0.005,0,AD36-AE36)</f>
        <v/>
      </c>
      <c r="AG36">
        <f>AL35</f>
        <v/>
      </c>
      <c r="AH36">
        <f>AG36*Plan!D11/100/12</f>
        <v/>
      </c>
      <c r="AI36">
        <f>MIN(Plan!E11,AG36+AH36)</f>
        <v/>
      </c>
      <c r="AJ36">
        <f>AG36+AH36-AI36</f>
        <v/>
      </c>
      <c r="AK36">
        <f>MIN(AJ36,MAX(0,$B36-((E$5&lt;AI$5)*F36+(K$5&lt;AI$5)*L36+(Q$5&lt;AI$5)*R36+(W$5&lt;AI$5)*X36+(AC$5&lt;AI$5)*AD36+(AO$5&lt;AI$5)*AP36+(AU$5&lt;AI$5)*AV36)))</f>
        <v/>
      </c>
      <c r="AL36">
        <f>IF(AJ36-AK36&lt;0.005,0,AJ36-AK36)</f>
        <v/>
      </c>
      <c r="AM36">
        <f>AR35</f>
        <v/>
      </c>
      <c r="AN36">
        <f>AM36*Plan!D12/100/12</f>
        <v/>
      </c>
      <c r="AO36">
        <f>MIN(Plan!E12,AM36+AN36)</f>
        <v/>
      </c>
      <c r="AP36">
        <f>AM36+AN36-AO36</f>
        <v/>
      </c>
      <c r="AQ36">
        <f>MIN(AP36,MAX(0,$B36-((E$5&lt;AO$5)*F36+(K$5&lt;AO$5)*L36+(Q$5&lt;AO$5)*R36+(W$5&lt;AO$5)*X36+(AC$5&lt;AO$5)*AD36+(AI$5&lt;AO$5)*AJ36+(AU$5&lt;AO$5)*AV36)))</f>
        <v/>
      </c>
      <c r="AR36">
        <f>IF(AP36-AQ36&lt;0.005,0,AP36-AQ36)</f>
        <v/>
      </c>
      <c r="AS36">
        <f>AX35</f>
        <v/>
      </c>
      <c r="AT36">
        <f>AS36*Plan!D13/100/12</f>
        <v/>
      </c>
      <c r="AU36">
        <f>MIN(Plan!E13,AS36+AT36)</f>
        <v/>
      </c>
      <c r="AV36">
        <f>AS36+AT36-AU36</f>
        <v/>
      </c>
      <c r="AW36">
        <f>MIN(AV36,MAX(0,$B36-((E$5&lt;AU$5)*F36+(K$5&lt;AU$5)*L36+(Q$5&lt;AU$5)*R36+(W$5&lt;AU$5)*X36+(AC$5&lt;AU$5)*AD36+(AI$5&lt;AU$5)*AJ36+(AO$5&lt;AU$5)*AP36)))</f>
        <v/>
      </c>
      <c r="AX36">
        <f>IF(AV36-AW36&lt;0.005,0,AV36-AW36)</f>
        <v/>
      </c>
      <c r="BC36">
        <f>H36+N36+T36+Z36+AF36+AL36+AR36+AX36</f>
        <v/>
      </c>
    </row>
    <row r="37">
      <c r="A37" t="n">
        <v>31</v>
      </c>
      <c r="B37" s="19">
        <f>MAX(0,$B$3-(E37+K37+Q37+W37+AC37+AI37+AO37+AU37))</f>
        <v/>
      </c>
      <c r="C37">
        <f>H36</f>
        <v/>
      </c>
      <c r="D37">
        <f>C37*Plan!D6/100/12</f>
        <v/>
      </c>
      <c r="E37">
        <f>MIN(Plan!E6,C37+D37)</f>
        <v/>
      </c>
      <c r="F37">
        <f>C37+D37-E37</f>
        <v/>
      </c>
      <c r="G37">
        <f>MIN(F37,MAX(0,$B37-((K$5&lt;E$5)*L37+(Q$5&lt;E$5)*R37+(W$5&lt;E$5)*X37+(AC$5&lt;E$5)*AD37+(AI$5&lt;E$5)*AJ37+(AO$5&lt;E$5)*AP37+(AU$5&lt;E$5)*AV37)))</f>
        <v/>
      </c>
      <c r="H37">
        <f>IF(F37-G37&lt;0.005,0,F37-G37)</f>
        <v/>
      </c>
      <c r="I37">
        <f>N36</f>
        <v/>
      </c>
      <c r="J37">
        <f>I37*Plan!D7/100/12</f>
        <v/>
      </c>
      <c r="K37">
        <f>MIN(Plan!E7,I37+J37)</f>
        <v/>
      </c>
      <c r="L37">
        <f>I37+J37-K37</f>
        <v/>
      </c>
      <c r="M37">
        <f>MIN(L37,MAX(0,$B37-((E$5&lt;K$5)*F37+(Q$5&lt;K$5)*R37+(W$5&lt;K$5)*X37+(AC$5&lt;K$5)*AD37+(AI$5&lt;K$5)*AJ37+(AO$5&lt;K$5)*AP37+(AU$5&lt;K$5)*AV37)))</f>
        <v/>
      </c>
      <c r="N37">
        <f>IF(L37-M37&lt;0.005,0,L37-M37)</f>
        <v/>
      </c>
      <c r="O37">
        <f>T36</f>
        <v/>
      </c>
      <c r="P37">
        <f>O37*Plan!D8/100/12</f>
        <v/>
      </c>
      <c r="Q37">
        <f>MIN(Plan!E8,O37+P37)</f>
        <v/>
      </c>
      <c r="R37">
        <f>O37+P37-Q37</f>
        <v/>
      </c>
      <c r="S37">
        <f>MIN(R37,MAX(0,$B37-((E$5&lt;Q$5)*F37+(K$5&lt;Q$5)*L37+(W$5&lt;Q$5)*X37+(AC$5&lt;Q$5)*AD37+(AI$5&lt;Q$5)*AJ37+(AO$5&lt;Q$5)*AP37+(AU$5&lt;Q$5)*AV37)))</f>
        <v/>
      </c>
      <c r="T37">
        <f>IF(R37-S37&lt;0.005,0,R37-S37)</f>
        <v/>
      </c>
      <c r="U37">
        <f>Z36</f>
        <v/>
      </c>
      <c r="V37">
        <f>U37*Plan!D9/100/12</f>
        <v/>
      </c>
      <c r="W37">
        <f>MIN(Plan!E9,U37+V37)</f>
        <v/>
      </c>
      <c r="X37">
        <f>U37+V37-W37</f>
        <v/>
      </c>
      <c r="Y37">
        <f>MIN(X37,MAX(0,$B37-((E$5&lt;W$5)*F37+(K$5&lt;W$5)*L37+(Q$5&lt;W$5)*R37+(AC$5&lt;W$5)*AD37+(AI$5&lt;W$5)*AJ37+(AO$5&lt;W$5)*AP37+(AU$5&lt;W$5)*AV37)))</f>
        <v/>
      </c>
      <c r="Z37">
        <f>IF(X37-Y37&lt;0.005,0,X37-Y37)</f>
        <v/>
      </c>
      <c r="AA37">
        <f>AF36</f>
        <v/>
      </c>
      <c r="AB37">
        <f>AA37*Plan!D10/100/12</f>
        <v/>
      </c>
      <c r="AC37">
        <f>MIN(Plan!E10,AA37+AB37)</f>
        <v/>
      </c>
      <c r="AD37">
        <f>AA37+AB37-AC37</f>
        <v/>
      </c>
      <c r="AE37">
        <f>MIN(AD37,MAX(0,$B37-((E$5&lt;AC$5)*F37+(K$5&lt;AC$5)*L37+(Q$5&lt;AC$5)*R37+(W$5&lt;AC$5)*X37+(AI$5&lt;AC$5)*AJ37+(AO$5&lt;AC$5)*AP37+(AU$5&lt;AC$5)*AV37)))</f>
        <v/>
      </c>
      <c r="AF37">
        <f>IF(AD37-AE37&lt;0.005,0,AD37-AE37)</f>
        <v/>
      </c>
      <c r="AG37">
        <f>AL36</f>
        <v/>
      </c>
      <c r="AH37">
        <f>AG37*Plan!D11/100/12</f>
        <v/>
      </c>
      <c r="AI37">
        <f>MIN(Plan!E11,AG37+AH37)</f>
        <v/>
      </c>
      <c r="AJ37">
        <f>AG37+AH37-AI37</f>
        <v/>
      </c>
      <c r="AK37">
        <f>MIN(AJ37,MAX(0,$B37-((E$5&lt;AI$5)*F37+(K$5&lt;AI$5)*L37+(Q$5&lt;AI$5)*R37+(W$5&lt;AI$5)*X37+(AC$5&lt;AI$5)*AD37+(AO$5&lt;AI$5)*AP37+(AU$5&lt;AI$5)*AV37)))</f>
        <v/>
      </c>
      <c r="AL37">
        <f>IF(AJ37-AK37&lt;0.005,0,AJ37-AK37)</f>
        <v/>
      </c>
      <c r="AM37">
        <f>AR36</f>
        <v/>
      </c>
      <c r="AN37">
        <f>AM37*Plan!D12/100/12</f>
        <v/>
      </c>
      <c r="AO37">
        <f>MIN(Plan!E12,AM37+AN37)</f>
        <v/>
      </c>
      <c r="AP37">
        <f>AM37+AN37-AO37</f>
        <v/>
      </c>
      <c r="AQ37">
        <f>MIN(AP37,MAX(0,$B37-((E$5&lt;AO$5)*F37+(K$5&lt;AO$5)*L37+(Q$5&lt;AO$5)*R37+(W$5&lt;AO$5)*X37+(AC$5&lt;AO$5)*AD37+(AI$5&lt;AO$5)*AJ37+(AU$5&lt;AO$5)*AV37)))</f>
        <v/>
      </c>
      <c r="AR37">
        <f>IF(AP37-AQ37&lt;0.005,0,AP37-AQ37)</f>
        <v/>
      </c>
      <c r="AS37">
        <f>AX36</f>
        <v/>
      </c>
      <c r="AT37">
        <f>AS37*Plan!D13/100/12</f>
        <v/>
      </c>
      <c r="AU37">
        <f>MIN(Plan!E13,AS37+AT37)</f>
        <v/>
      </c>
      <c r="AV37">
        <f>AS37+AT37-AU37</f>
        <v/>
      </c>
      <c r="AW37">
        <f>MIN(AV37,MAX(0,$B37-((E$5&lt;AU$5)*F37+(K$5&lt;AU$5)*L37+(Q$5&lt;AU$5)*R37+(W$5&lt;AU$5)*X37+(AC$5&lt;AU$5)*AD37+(AI$5&lt;AU$5)*AJ37+(AO$5&lt;AU$5)*AP37)))</f>
        <v/>
      </c>
      <c r="AX37">
        <f>IF(AV37-AW37&lt;0.005,0,AV37-AW37)</f>
        <v/>
      </c>
      <c r="BC37">
        <f>H37+N37+T37+Z37+AF37+AL37+AR37+AX37</f>
        <v/>
      </c>
    </row>
    <row r="38">
      <c r="A38" t="n">
        <v>32</v>
      </c>
      <c r="B38" s="19">
        <f>MAX(0,$B$3-(E38+K38+Q38+W38+AC38+AI38+AO38+AU38))</f>
        <v/>
      </c>
      <c r="C38">
        <f>H37</f>
        <v/>
      </c>
      <c r="D38">
        <f>C38*Plan!D6/100/12</f>
        <v/>
      </c>
      <c r="E38">
        <f>MIN(Plan!E6,C38+D38)</f>
        <v/>
      </c>
      <c r="F38">
        <f>C38+D38-E38</f>
        <v/>
      </c>
      <c r="G38">
        <f>MIN(F38,MAX(0,$B38-((K$5&lt;E$5)*L38+(Q$5&lt;E$5)*R38+(W$5&lt;E$5)*X38+(AC$5&lt;E$5)*AD38+(AI$5&lt;E$5)*AJ38+(AO$5&lt;E$5)*AP38+(AU$5&lt;E$5)*AV38)))</f>
        <v/>
      </c>
      <c r="H38">
        <f>IF(F38-G38&lt;0.005,0,F38-G38)</f>
        <v/>
      </c>
      <c r="I38">
        <f>N37</f>
        <v/>
      </c>
      <c r="J38">
        <f>I38*Plan!D7/100/12</f>
        <v/>
      </c>
      <c r="K38">
        <f>MIN(Plan!E7,I38+J38)</f>
        <v/>
      </c>
      <c r="L38">
        <f>I38+J38-K38</f>
        <v/>
      </c>
      <c r="M38">
        <f>MIN(L38,MAX(0,$B38-((E$5&lt;K$5)*F38+(Q$5&lt;K$5)*R38+(W$5&lt;K$5)*X38+(AC$5&lt;K$5)*AD38+(AI$5&lt;K$5)*AJ38+(AO$5&lt;K$5)*AP38+(AU$5&lt;K$5)*AV38)))</f>
        <v/>
      </c>
      <c r="N38">
        <f>IF(L38-M38&lt;0.005,0,L38-M38)</f>
        <v/>
      </c>
      <c r="O38">
        <f>T37</f>
        <v/>
      </c>
      <c r="P38">
        <f>O38*Plan!D8/100/12</f>
        <v/>
      </c>
      <c r="Q38">
        <f>MIN(Plan!E8,O38+P38)</f>
        <v/>
      </c>
      <c r="R38">
        <f>O38+P38-Q38</f>
        <v/>
      </c>
      <c r="S38">
        <f>MIN(R38,MAX(0,$B38-((E$5&lt;Q$5)*F38+(K$5&lt;Q$5)*L38+(W$5&lt;Q$5)*X38+(AC$5&lt;Q$5)*AD38+(AI$5&lt;Q$5)*AJ38+(AO$5&lt;Q$5)*AP38+(AU$5&lt;Q$5)*AV38)))</f>
        <v/>
      </c>
      <c r="T38">
        <f>IF(R38-S38&lt;0.005,0,R38-S38)</f>
        <v/>
      </c>
      <c r="U38">
        <f>Z37</f>
        <v/>
      </c>
      <c r="V38">
        <f>U38*Plan!D9/100/12</f>
        <v/>
      </c>
      <c r="W38">
        <f>MIN(Plan!E9,U38+V38)</f>
        <v/>
      </c>
      <c r="X38">
        <f>U38+V38-W38</f>
        <v/>
      </c>
      <c r="Y38">
        <f>MIN(X38,MAX(0,$B38-((E$5&lt;W$5)*F38+(K$5&lt;W$5)*L38+(Q$5&lt;W$5)*R38+(AC$5&lt;W$5)*AD38+(AI$5&lt;W$5)*AJ38+(AO$5&lt;W$5)*AP38+(AU$5&lt;W$5)*AV38)))</f>
        <v/>
      </c>
      <c r="Z38">
        <f>IF(X38-Y38&lt;0.005,0,X38-Y38)</f>
        <v/>
      </c>
      <c r="AA38">
        <f>AF37</f>
        <v/>
      </c>
      <c r="AB38">
        <f>AA38*Plan!D10/100/12</f>
        <v/>
      </c>
      <c r="AC38">
        <f>MIN(Plan!E10,AA38+AB38)</f>
        <v/>
      </c>
      <c r="AD38">
        <f>AA38+AB38-AC38</f>
        <v/>
      </c>
      <c r="AE38">
        <f>MIN(AD38,MAX(0,$B38-((E$5&lt;AC$5)*F38+(K$5&lt;AC$5)*L38+(Q$5&lt;AC$5)*R38+(W$5&lt;AC$5)*X38+(AI$5&lt;AC$5)*AJ38+(AO$5&lt;AC$5)*AP38+(AU$5&lt;AC$5)*AV38)))</f>
        <v/>
      </c>
      <c r="AF38">
        <f>IF(AD38-AE38&lt;0.005,0,AD38-AE38)</f>
        <v/>
      </c>
      <c r="AG38">
        <f>AL37</f>
        <v/>
      </c>
      <c r="AH38">
        <f>AG38*Plan!D11/100/12</f>
        <v/>
      </c>
      <c r="AI38">
        <f>MIN(Plan!E11,AG38+AH38)</f>
        <v/>
      </c>
      <c r="AJ38">
        <f>AG38+AH38-AI38</f>
        <v/>
      </c>
      <c r="AK38">
        <f>MIN(AJ38,MAX(0,$B38-((E$5&lt;AI$5)*F38+(K$5&lt;AI$5)*L38+(Q$5&lt;AI$5)*R38+(W$5&lt;AI$5)*X38+(AC$5&lt;AI$5)*AD38+(AO$5&lt;AI$5)*AP38+(AU$5&lt;AI$5)*AV38)))</f>
        <v/>
      </c>
      <c r="AL38">
        <f>IF(AJ38-AK38&lt;0.005,0,AJ38-AK38)</f>
        <v/>
      </c>
      <c r="AM38">
        <f>AR37</f>
        <v/>
      </c>
      <c r="AN38">
        <f>AM38*Plan!D12/100/12</f>
        <v/>
      </c>
      <c r="AO38">
        <f>MIN(Plan!E12,AM38+AN38)</f>
        <v/>
      </c>
      <c r="AP38">
        <f>AM38+AN38-AO38</f>
        <v/>
      </c>
      <c r="AQ38">
        <f>MIN(AP38,MAX(0,$B38-((E$5&lt;AO$5)*F38+(K$5&lt;AO$5)*L38+(Q$5&lt;AO$5)*R38+(W$5&lt;AO$5)*X38+(AC$5&lt;AO$5)*AD38+(AI$5&lt;AO$5)*AJ38+(AU$5&lt;AO$5)*AV38)))</f>
        <v/>
      </c>
      <c r="AR38">
        <f>IF(AP38-AQ38&lt;0.005,0,AP38-AQ38)</f>
        <v/>
      </c>
      <c r="AS38">
        <f>AX37</f>
        <v/>
      </c>
      <c r="AT38">
        <f>AS38*Plan!D13/100/12</f>
        <v/>
      </c>
      <c r="AU38">
        <f>MIN(Plan!E13,AS38+AT38)</f>
        <v/>
      </c>
      <c r="AV38">
        <f>AS38+AT38-AU38</f>
        <v/>
      </c>
      <c r="AW38">
        <f>MIN(AV38,MAX(0,$B38-((E$5&lt;AU$5)*F38+(K$5&lt;AU$5)*L38+(Q$5&lt;AU$5)*R38+(W$5&lt;AU$5)*X38+(AC$5&lt;AU$5)*AD38+(AI$5&lt;AU$5)*AJ38+(AO$5&lt;AU$5)*AP38)))</f>
        <v/>
      </c>
      <c r="AX38">
        <f>IF(AV38-AW38&lt;0.005,0,AV38-AW38)</f>
        <v/>
      </c>
      <c r="BC38">
        <f>H38+N38+T38+Z38+AF38+AL38+AR38+AX38</f>
        <v/>
      </c>
    </row>
    <row r="39">
      <c r="A39" t="n">
        <v>33</v>
      </c>
      <c r="B39" s="19">
        <f>MAX(0,$B$3-(E39+K39+Q39+W39+AC39+AI39+AO39+AU39))</f>
        <v/>
      </c>
      <c r="C39">
        <f>H38</f>
        <v/>
      </c>
      <c r="D39">
        <f>C39*Plan!D6/100/12</f>
        <v/>
      </c>
      <c r="E39">
        <f>MIN(Plan!E6,C39+D39)</f>
        <v/>
      </c>
      <c r="F39">
        <f>C39+D39-E39</f>
        <v/>
      </c>
      <c r="G39">
        <f>MIN(F39,MAX(0,$B39-((K$5&lt;E$5)*L39+(Q$5&lt;E$5)*R39+(W$5&lt;E$5)*X39+(AC$5&lt;E$5)*AD39+(AI$5&lt;E$5)*AJ39+(AO$5&lt;E$5)*AP39+(AU$5&lt;E$5)*AV39)))</f>
        <v/>
      </c>
      <c r="H39">
        <f>IF(F39-G39&lt;0.005,0,F39-G39)</f>
        <v/>
      </c>
      <c r="I39">
        <f>N38</f>
        <v/>
      </c>
      <c r="J39">
        <f>I39*Plan!D7/100/12</f>
        <v/>
      </c>
      <c r="K39">
        <f>MIN(Plan!E7,I39+J39)</f>
        <v/>
      </c>
      <c r="L39">
        <f>I39+J39-K39</f>
        <v/>
      </c>
      <c r="M39">
        <f>MIN(L39,MAX(0,$B39-((E$5&lt;K$5)*F39+(Q$5&lt;K$5)*R39+(W$5&lt;K$5)*X39+(AC$5&lt;K$5)*AD39+(AI$5&lt;K$5)*AJ39+(AO$5&lt;K$5)*AP39+(AU$5&lt;K$5)*AV39)))</f>
        <v/>
      </c>
      <c r="N39">
        <f>IF(L39-M39&lt;0.005,0,L39-M39)</f>
        <v/>
      </c>
      <c r="O39">
        <f>T38</f>
        <v/>
      </c>
      <c r="P39">
        <f>O39*Plan!D8/100/12</f>
        <v/>
      </c>
      <c r="Q39">
        <f>MIN(Plan!E8,O39+P39)</f>
        <v/>
      </c>
      <c r="R39">
        <f>O39+P39-Q39</f>
        <v/>
      </c>
      <c r="S39">
        <f>MIN(R39,MAX(0,$B39-((E$5&lt;Q$5)*F39+(K$5&lt;Q$5)*L39+(W$5&lt;Q$5)*X39+(AC$5&lt;Q$5)*AD39+(AI$5&lt;Q$5)*AJ39+(AO$5&lt;Q$5)*AP39+(AU$5&lt;Q$5)*AV39)))</f>
        <v/>
      </c>
      <c r="T39">
        <f>IF(R39-S39&lt;0.005,0,R39-S39)</f>
        <v/>
      </c>
      <c r="U39">
        <f>Z38</f>
        <v/>
      </c>
      <c r="V39">
        <f>U39*Plan!D9/100/12</f>
        <v/>
      </c>
      <c r="W39">
        <f>MIN(Plan!E9,U39+V39)</f>
        <v/>
      </c>
      <c r="X39">
        <f>U39+V39-W39</f>
        <v/>
      </c>
      <c r="Y39">
        <f>MIN(X39,MAX(0,$B39-((E$5&lt;W$5)*F39+(K$5&lt;W$5)*L39+(Q$5&lt;W$5)*R39+(AC$5&lt;W$5)*AD39+(AI$5&lt;W$5)*AJ39+(AO$5&lt;W$5)*AP39+(AU$5&lt;W$5)*AV39)))</f>
        <v/>
      </c>
      <c r="Z39">
        <f>IF(X39-Y39&lt;0.005,0,X39-Y39)</f>
        <v/>
      </c>
      <c r="AA39">
        <f>AF38</f>
        <v/>
      </c>
      <c r="AB39">
        <f>AA39*Plan!D10/100/12</f>
        <v/>
      </c>
      <c r="AC39">
        <f>MIN(Plan!E10,AA39+AB39)</f>
        <v/>
      </c>
      <c r="AD39">
        <f>AA39+AB39-AC39</f>
        <v/>
      </c>
      <c r="AE39">
        <f>MIN(AD39,MAX(0,$B39-((E$5&lt;AC$5)*F39+(K$5&lt;AC$5)*L39+(Q$5&lt;AC$5)*R39+(W$5&lt;AC$5)*X39+(AI$5&lt;AC$5)*AJ39+(AO$5&lt;AC$5)*AP39+(AU$5&lt;AC$5)*AV39)))</f>
        <v/>
      </c>
      <c r="AF39">
        <f>IF(AD39-AE39&lt;0.005,0,AD39-AE39)</f>
        <v/>
      </c>
      <c r="AG39">
        <f>AL38</f>
        <v/>
      </c>
      <c r="AH39">
        <f>AG39*Plan!D11/100/12</f>
        <v/>
      </c>
      <c r="AI39">
        <f>MIN(Plan!E11,AG39+AH39)</f>
        <v/>
      </c>
      <c r="AJ39">
        <f>AG39+AH39-AI39</f>
        <v/>
      </c>
      <c r="AK39">
        <f>MIN(AJ39,MAX(0,$B39-((E$5&lt;AI$5)*F39+(K$5&lt;AI$5)*L39+(Q$5&lt;AI$5)*R39+(W$5&lt;AI$5)*X39+(AC$5&lt;AI$5)*AD39+(AO$5&lt;AI$5)*AP39+(AU$5&lt;AI$5)*AV39)))</f>
        <v/>
      </c>
      <c r="AL39">
        <f>IF(AJ39-AK39&lt;0.005,0,AJ39-AK39)</f>
        <v/>
      </c>
      <c r="AM39">
        <f>AR38</f>
        <v/>
      </c>
      <c r="AN39">
        <f>AM39*Plan!D12/100/12</f>
        <v/>
      </c>
      <c r="AO39">
        <f>MIN(Plan!E12,AM39+AN39)</f>
        <v/>
      </c>
      <c r="AP39">
        <f>AM39+AN39-AO39</f>
        <v/>
      </c>
      <c r="AQ39">
        <f>MIN(AP39,MAX(0,$B39-((E$5&lt;AO$5)*F39+(K$5&lt;AO$5)*L39+(Q$5&lt;AO$5)*R39+(W$5&lt;AO$5)*X39+(AC$5&lt;AO$5)*AD39+(AI$5&lt;AO$5)*AJ39+(AU$5&lt;AO$5)*AV39)))</f>
        <v/>
      </c>
      <c r="AR39">
        <f>IF(AP39-AQ39&lt;0.005,0,AP39-AQ39)</f>
        <v/>
      </c>
      <c r="AS39">
        <f>AX38</f>
        <v/>
      </c>
      <c r="AT39">
        <f>AS39*Plan!D13/100/12</f>
        <v/>
      </c>
      <c r="AU39">
        <f>MIN(Plan!E13,AS39+AT39)</f>
        <v/>
      </c>
      <c r="AV39">
        <f>AS39+AT39-AU39</f>
        <v/>
      </c>
      <c r="AW39">
        <f>MIN(AV39,MAX(0,$B39-((E$5&lt;AU$5)*F39+(K$5&lt;AU$5)*L39+(Q$5&lt;AU$5)*R39+(W$5&lt;AU$5)*X39+(AC$5&lt;AU$5)*AD39+(AI$5&lt;AU$5)*AJ39+(AO$5&lt;AU$5)*AP39)))</f>
        <v/>
      </c>
      <c r="AX39">
        <f>IF(AV39-AW39&lt;0.005,0,AV39-AW39)</f>
        <v/>
      </c>
      <c r="BC39">
        <f>H39+N39+T39+Z39+AF39+AL39+AR39+AX39</f>
        <v/>
      </c>
    </row>
    <row r="40">
      <c r="A40" t="n">
        <v>34</v>
      </c>
      <c r="B40" s="19">
        <f>MAX(0,$B$3-(E40+K40+Q40+W40+AC40+AI40+AO40+AU40))</f>
        <v/>
      </c>
      <c r="C40">
        <f>H39</f>
        <v/>
      </c>
      <c r="D40">
        <f>C40*Plan!D6/100/12</f>
        <v/>
      </c>
      <c r="E40">
        <f>MIN(Plan!E6,C40+D40)</f>
        <v/>
      </c>
      <c r="F40">
        <f>C40+D40-E40</f>
        <v/>
      </c>
      <c r="G40">
        <f>MIN(F40,MAX(0,$B40-((K$5&lt;E$5)*L40+(Q$5&lt;E$5)*R40+(W$5&lt;E$5)*X40+(AC$5&lt;E$5)*AD40+(AI$5&lt;E$5)*AJ40+(AO$5&lt;E$5)*AP40+(AU$5&lt;E$5)*AV40)))</f>
        <v/>
      </c>
      <c r="H40">
        <f>IF(F40-G40&lt;0.005,0,F40-G40)</f>
        <v/>
      </c>
      <c r="I40">
        <f>N39</f>
        <v/>
      </c>
      <c r="J40">
        <f>I40*Plan!D7/100/12</f>
        <v/>
      </c>
      <c r="K40">
        <f>MIN(Plan!E7,I40+J40)</f>
        <v/>
      </c>
      <c r="L40">
        <f>I40+J40-K40</f>
        <v/>
      </c>
      <c r="M40">
        <f>MIN(L40,MAX(0,$B40-((E$5&lt;K$5)*F40+(Q$5&lt;K$5)*R40+(W$5&lt;K$5)*X40+(AC$5&lt;K$5)*AD40+(AI$5&lt;K$5)*AJ40+(AO$5&lt;K$5)*AP40+(AU$5&lt;K$5)*AV40)))</f>
        <v/>
      </c>
      <c r="N40">
        <f>IF(L40-M40&lt;0.005,0,L40-M40)</f>
        <v/>
      </c>
      <c r="O40">
        <f>T39</f>
        <v/>
      </c>
      <c r="P40">
        <f>O40*Plan!D8/100/12</f>
        <v/>
      </c>
      <c r="Q40">
        <f>MIN(Plan!E8,O40+P40)</f>
        <v/>
      </c>
      <c r="R40">
        <f>O40+P40-Q40</f>
        <v/>
      </c>
      <c r="S40">
        <f>MIN(R40,MAX(0,$B40-((E$5&lt;Q$5)*F40+(K$5&lt;Q$5)*L40+(W$5&lt;Q$5)*X40+(AC$5&lt;Q$5)*AD40+(AI$5&lt;Q$5)*AJ40+(AO$5&lt;Q$5)*AP40+(AU$5&lt;Q$5)*AV40)))</f>
        <v/>
      </c>
      <c r="T40">
        <f>IF(R40-S40&lt;0.005,0,R40-S40)</f>
        <v/>
      </c>
      <c r="U40">
        <f>Z39</f>
        <v/>
      </c>
      <c r="V40">
        <f>U40*Plan!D9/100/12</f>
        <v/>
      </c>
      <c r="W40">
        <f>MIN(Plan!E9,U40+V40)</f>
        <v/>
      </c>
      <c r="X40">
        <f>U40+V40-W40</f>
        <v/>
      </c>
      <c r="Y40">
        <f>MIN(X40,MAX(0,$B40-((E$5&lt;W$5)*F40+(K$5&lt;W$5)*L40+(Q$5&lt;W$5)*R40+(AC$5&lt;W$5)*AD40+(AI$5&lt;W$5)*AJ40+(AO$5&lt;W$5)*AP40+(AU$5&lt;W$5)*AV40)))</f>
        <v/>
      </c>
      <c r="Z40">
        <f>IF(X40-Y40&lt;0.005,0,X40-Y40)</f>
        <v/>
      </c>
      <c r="AA40">
        <f>AF39</f>
        <v/>
      </c>
      <c r="AB40">
        <f>AA40*Plan!D10/100/12</f>
        <v/>
      </c>
      <c r="AC40">
        <f>MIN(Plan!E10,AA40+AB40)</f>
        <v/>
      </c>
      <c r="AD40">
        <f>AA40+AB40-AC40</f>
        <v/>
      </c>
      <c r="AE40">
        <f>MIN(AD40,MAX(0,$B40-((E$5&lt;AC$5)*F40+(K$5&lt;AC$5)*L40+(Q$5&lt;AC$5)*R40+(W$5&lt;AC$5)*X40+(AI$5&lt;AC$5)*AJ40+(AO$5&lt;AC$5)*AP40+(AU$5&lt;AC$5)*AV40)))</f>
        <v/>
      </c>
      <c r="AF40">
        <f>IF(AD40-AE40&lt;0.005,0,AD40-AE40)</f>
        <v/>
      </c>
      <c r="AG40">
        <f>AL39</f>
        <v/>
      </c>
      <c r="AH40">
        <f>AG40*Plan!D11/100/12</f>
        <v/>
      </c>
      <c r="AI40">
        <f>MIN(Plan!E11,AG40+AH40)</f>
        <v/>
      </c>
      <c r="AJ40">
        <f>AG40+AH40-AI40</f>
        <v/>
      </c>
      <c r="AK40">
        <f>MIN(AJ40,MAX(0,$B40-((E$5&lt;AI$5)*F40+(K$5&lt;AI$5)*L40+(Q$5&lt;AI$5)*R40+(W$5&lt;AI$5)*X40+(AC$5&lt;AI$5)*AD40+(AO$5&lt;AI$5)*AP40+(AU$5&lt;AI$5)*AV40)))</f>
        <v/>
      </c>
      <c r="AL40">
        <f>IF(AJ40-AK40&lt;0.005,0,AJ40-AK40)</f>
        <v/>
      </c>
      <c r="AM40">
        <f>AR39</f>
        <v/>
      </c>
      <c r="AN40">
        <f>AM40*Plan!D12/100/12</f>
        <v/>
      </c>
      <c r="AO40">
        <f>MIN(Plan!E12,AM40+AN40)</f>
        <v/>
      </c>
      <c r="AP40">
        <f>AM40+AN40-AO40</f>
        <v/>
      </c>
      <c r="AQ40">
        <f>MIN(AP40,MAX(0,$B40-((E$5&lt;AO$5)*F40+(K$5&lt;AO$5)*L40+(Q$5&lt;AO$5)*R40+(W$5&lt;AO$5)*X40+(AC$5&lt;AO$5)*AD40+(AI$5&lt;AO$5)*AJ40+(AU$5&lt;AO$5)*AV40)))</f>
        <v/>
      </c>
      <c r="AR40">
        <f>IF(AP40-AQ40&lt;0.005,0,AP40-AQ40)</f>
        <v/>
      </c>
      <c r="AS40">
        <f>AX39</f>
        <v/>
      </c>
      <c r="AT40">
        <f>AS40*Plan!D13/100/12</f>
        <v/>
      </c>
      <c r="AU40">
        <f>MIN(Plan!E13,AS40+AT40)</f>
        <v/>
      </c>
      <c r="AV40">
        <f>AS40+AT40-AU40</f>
        <v/>
      </c>
      <c r="AW40">
        <f>MIN(AV40,MAX(0,$B40-((E$5&lt;AU$5)*F40+(K$5&lt;AU$5)*L40+(Q$5&lt;AU$5)*R40+(W$5&lt;AU$5)*X40+(AC$5&lt;AU$5)*AD40+(AI$5&lt;AU$5)*AJ40+(AO$5&lt;AU$5)*AP40)))</f>
        <v/>
      </c>
      <c r="AX40">
        <f>IF(AV40-AW40&lt;0.005,0,AV40-AW40)</f>
        <v/>
      </c>
      <c r="BC40">
        <f>H40+N40+T40+Z40+AF40+AL40+AR40+AX40</f>
        <v/>
      </c>
    </row>
    <row r="41">
      <c r="A41" t="n">
        <v>35</v>
      </c>
      <c r="B41" s="19">
        <f>MAX(0,$B$3-(E41+K41+Q41+W41+AC41+AI41+AO41+AU41))</f>
        <v/>
      </c>
      <c r="C41">
        <f>H40</f>
        <v/>
      </c>
      <c r="D41">
        <f>C41*Plan!D6/100/12</f>
        <v/>
      </c>
      <c r="E41">
        <f>MIN(Plan!E6,C41+D41)</f>
        <v/>
      </c>
      <c r="F41">
        <f>C41+D41-E41</f>
        <v/>
      </c>
      <c r="G41">
        <f>MIN(F41,MAX(0,$B41-((K$5&lt;E$5)*L41+(Q$5&lt;E$5)*R41+(W$5&lt;E$5)*X41+(AC$5&lt;E$5)*AD41+(AI$5&lt;E$5)*AJ41+(AO$5&lt;E$5)*AP41+(AU$5&lt;E$5)*AV41)))</f>
        <v/>
      </c>
      <c r="H41">
        <f>IF(F41-G41&lt;0.005,0,F41-G41)</f>
        <v/>
      </c>
      <c r="I41">
        <f>N40</f>
        <v/>
      </c>
      <c r="J41">
        <f>I41*Plan!D7/100/12</f>
        <v/>
      </c>
      <c r="K41">
        <f>MIN(Plan!E7,I41+J41)</f>
        <v/>
      </c>
      <c r="L41">
        <f>I41+J41-K41</f>
        <v/>
      </c>
      <c r="M41">
        <f>MIN(L41,MAX(0,$B41-((E$5&lt;K$5)*F41+(Q$5&lt;K$5)*R41+(W$5&lt;K$5)*X41+(AC$5&lt;K$5)*AD41+(AI$5&lt;K$5)*AJ41+(AO$5&lt;K$5)*AP41+(AU$5&lt;K$5)*AV41)))</f>
        <v/>
      </c>
      <c r="N41">
        <f>IF(L41-M41&lt;0.005,0,L41-M41)</f>
        <v/>
      </c>
      <c r="O41">
        <f>T40</f>
        <v/>
      </c>
      <c r="P41">
        <f>O41*Plan!D8/100/12</f>
        <v/>
      </c>
      <c r="Q41">
        <f>MIN(Plan!E8,O41+P41)</f>
        <v/>
      </c>
      <c r="R41">
        <f>O41+P41-Q41</f>
        <v/>
      </c>
      <c r="S41">
        <f>MIN(R41,MAX(0,$B41-((E$5&lt;Q$5)*F41+(K$5&lt;Q$5)*L41+(W$5&lt;Q$5)*X41+(AC$5&lt;Q$5)*AD41+(AI$5&lt;Q$5)*AJ41+(AO$5&lt;Q$5)*AP41+(AU$5&lt;Q$5)*AV41)))</f>
        <v/>
      </c>
      <c r="T41">
        <f>IF(R41-S41&lt;0.005,0,R41-S41)</f>
        <v/>
      </c>
      <c r="U41">
        <f>Z40</f>
        <v/>
      </c>
      <c r="V41">
        <f>U41*Plan!D9/100/12</f>
        <v/>
      </c>
      <c r="W41">
        <f>MIN(Plan!E9,U41+V41)</f>
        <v/>
      </c>
      <c r="X41">
        <f>U41+V41-W41</f>
        <v/>
      </c>
      <c r="Y41">
        <f>MIN(X41,MAX(0,$B41-((E$5&lt;W$5)*F41+(K$5&lt;W$5)*L41+(Q$5&lt;W$5)*R41+(AC$5&lt;W$5)*AD41+(AI$5&lt;W$5)*AJ41+(AO$5&lt;W$5)*AP41+(AU$5&lt;W$5)*AV41)))</f>
        <v/>
      </c>
      <c r="Z41">
        <f>IF(X41-Y41&lt;0.005,0,X41-Y41)</f>
        <v/>
      </c>
      <c r="AA41">
        <f>AF40</f>
        <v/>
      </c>
      <c r="AB41">
        <f>AA41*Plan!D10/100/12</f>
        <v/>
      </c>
      <c r="AC41">
        <f>MIN(Plan!E10,AA41+AB41)</f>
        <v/>
      </c>
      <c r="AD41">
        <f>AA41+AB41-AC41</f>
        <v/>
      </c>
      <c r="AE41">
        <f>MIN(AD41,MAX(0,$B41-((E$5&lt;AC$5)*F41+(K$5&lt;AC$5)*L41+(Q$5&lt;AC$5)*R41+(W$5&lt;AC$5)*X41+(AI$5&lt;AC$5)*AJ41+(AO$5&lt;AC$5)*AP41+(AU$5&lt;AC$5)*AV41)))</f>
        <v/>
      </c>
      <c r="AF41">
        <f>IF(AD41-AE41&lt;0.005,0,AD41-AE41)</f>
        <v/>
      </c>
      <c r="AG41">
        <f>AL40</f>
        <v/>
      </c>
      <c r="AH41">
        <f>AG41*Plan!D11/100/12</f>
        <v/>
      </c>
      <c r="AI41">
        <f>MIN(Plan!E11,AG41+AH41)</f>
        <v/>
      </c>
      <c r="AJ41">
        <f>AG41+AH41-AI41</f>
        <v/>
      </c>
      <c r="AK41">
        <f>MIN(AJ41,MAX(0,$B41-((E$5&lt;AI$5)*F41+(K$5&lt;AI$5)*L41+(Q$5&lt;AI$5)*R41+(W$5&lt;AI$5)*X41+(AC$5&lt;AI$5)*AD41+(AO$5&lt;AI$5)*AP41+(AU$5&lt;AI$5)*AV41)))</f>
        <v/>
      </c>
      <c r="AL41">
        <f>IF(AJ41-AK41&lt;0.005,0,AJ41-AK41)</f>
        <v/>
      </c>
      <c r="AM41">
        <f>AR40</f>
        <v/>
      </c>
      <c r="AN41">
        <f>AM41*Plan!D12/100/12</f>
        <v/>
      </c>
      <c r="AO41">
        <f>MIN(Plan!E12,AM41+AN41)</f>
        <v/>
      </c>
      <c r="AP41">
        <f>AM41+AN41-AO41</f>
        <v/>
      </c>
      <c r="AQ41">
        <f>MIN(AP41,MAX(0,$B41-((E$5&lt;AO$5)*F41+(K$5&lt;AO$5)*L41+(Q$5&lt;AO$5)*R41+(W$5&lt;AO$5)*X41+(AC$5&lt;AO$5)*AD41+(AI$5&lt;AO$5)*AJ41+(AU$5&lt;AO$5)*AV41)))</f>
        <v/>
      </c>
      <c r="AR41">
        <f>IF(AP41-AQ41&lt;0.005,0,AP41-AQ41)</f>
        <v/>
      </c>
      <c r="AS41">
        <f>AX40</f>
        <v/>
      </c>
      <c r="AT41">
        <f>AS41*Plan!D13/100/12</f>
        <v/>
      </c>
      <c r="AU41">
        <f>MIN(Plan!E13,AS41+AT41)</f>
        <v/>
      </c>
      <c r="AV41">
        <f>AS41+AT41-AU41</f>
        <v/>
      </c>
      <c r="AW41">
        <f>MIN(AV41,MAX(0,$B41-((E$5&lt;AU$5)*F41+(K$5&lt;AU$5)*L41+(Q$5&lt;AU$5)*R41+(W$5&lt;AU$5)*X41+(AC$5&lt;AU$5)*AD41+(AI$5&lt;AU$5)*AJ41+(AO$5&lt;AU$5)*AP41)))</f>
        <v/>
      </c>
      <c r="AX41">
        <f>IF(AV41-AW41&lt;0.005,0,AV41-AW41)</f>
        <v/>
      </c>
      <c r="BC41">
        <f>H41+N41+T41+Z41+AF41+AL41+AR41+AX41</f>
        <v/>
      </c>
    </row>
    <row r="42">
      <c r="A42" t="n">
        <v>36</v>
      </c>
      <c r="B42" s="19">
        <f>MAX(0,$B$3-(E42+K42+Q42+W42+AC42+AI42+AO42+AU42))</f>
        <v/>
      </c>
      <c r="C42">
        <f>H41</f>
        <v/>
      </c>
      <c r="D42">
        <f>C42*Plan!D6/100/12</f>
        <v/>
      </c>
      <c r="E42">
        <f>MIN(Plan!E6,C42+D42)</f>
        <v/>
      </c>
      <c r="F42">
        <f>C42+D42-E42</f>
        <v/>
      </c>
      <c r="G42">
        <f>MIN(F42,MAX(0,$B42-((K$5&lt;E$5)*L42+(Q$5&lt;E$5)*R42+(W$5&lt;E$5)*X42+(AC$5&lt;E$5)*AD42+(AI$5&lt;E$5)*AJ42+(AO$5&lt;E$5)*AP42+(AU$5&lt;E$5)*AV42)))</f>
        <v/>
      </c>
      <c r="H42">
        <f>IF(F42-G42&lt;0.005,0,F42-G42)</f>
        <v/>
      </c>
      <c r="I42">
        <f>N41</f>
        <v/>
      </c>
      <c r="J42">
        <f>I42*Plan!D7/100/12</f>
        <v/>
      </c>
      <c r="K42">
        <f>MIN(Plan!E7,I42+J42)</f>
        <v/>
      </c>
      <c r="L42">
        <f>I42+J42-K42</f>
        <v/>
      </c>
      <c r="M42">
        <f>MIN(L42,MAX(0,$B42-((E$5&lt;K$5)*F42+(Q$5&lt;K$5)*R42+(W$5&lt;K$5)*X42+(AC$5&lt;K$5)*AD42+(AI$5&lt;K$5)*AJ42+(AO$5&lt;K$5)*AP42+(AU$5&lt;K$5)*AV42)))</f>
        <v/>
      </c>
      <c r="N42">
        <f>IF(L42-M42&lt;0.005,0,L42-M42)</f>
        <v/>
      </c>
      <c r="O42">
        <f>T41</f>
        <v/>
      </c>
      <c r="P42">
        <f>O42*Plan!D8/100/12</f>
        <v/>
      </c>
      <c r="Q42">
        <f>MIN(Plan!E8,O42+P42)</f>
        <v/>
      </c>
      <c r="R42">
        <f>O42+P42-Q42</f>
        <v/>
      </c>
      <c r="S42">
        <f>MIN(R42,MAX(0,$B42-((E$5&lt;Q$5)*F42+(K$5&lt;Q$5)*L42+(W$5&lt;Q$5)*X42+(AC$5&lt;Q$5)*AD42+(AI$5&lt;Q$5)*AJ42+(AO$5&lt;Q$5)*AP42+(AU$5&lt;Q$5)*AV42)))</f>
        <v/>
      </c>
      <c r="T42">
        <f>IF(R42-S42&lt;0.005,0,R42-S42)</f>
        <v/>
      </c>
      <c r="U42">
        <f>Z41</f>
        <v/>
      </c>
      <c r="V42">
        <f>U42*Plan!D9/100/12</f>
        <v/>
      </c>
      <c r="W42">
        <f>MIN(Plan!E9,U42+V42)</f>
        <v/>
      </c>
      <c r="X42">
        <f>U42+V42-W42</f>
        <v/>
      </c>
      <c r="Y42">
        <f>MIN(X42,MAX(0,$B42-((E$5&lt;W$5)*F42+(K$5&lt;W$5)*L42+(Q$5&lt;W$5)*R42+(AC$5&lt;W$5)*AD42+(AI$5&lt;W$5)*AJ42+(AO$5&lt;W$5)*AP42+(AU$5&lt;W$5)*AV42)))</f>
        <v/>
      </c>
      <c r="Z42">
        <f>IF(X42-Y42&lt;0.005,0,X42-Y42)</f>
        <v/>
      </c>
      <c r="AA42">
        <f>AF41</f>
        <v/>
      </c>
      <c r="AB42">
        <f>AA42*Plan!D10/100/12</f>
        <v/>
      </c>
      <c r="AC42">
        <f>MIN(Plan!E10,AA42+AB42)</f>
        <v/>
      </c>
      <c r="AD42">
        <f>AA42+AB42-AC42</f>
        <v/>
      </c>
      <c r="AE42">
        <f>MIN(AD42,MAX(0,$B42-((E$5&lt;AC$5)*F42+(K$5&lt;AC$5)*L42+(Q$5&lt;AC$5)*R42+(W$5&lt;AC$5)*X42+(AI$5&lt;AC$5)*AJ42+(AO$5&lt;AC$5)*AP42+(AU$5&lt;AC$5)*AV42)))</f>
        <v/>
      </c>
      <c r="AF42">
        <f>IF(AD42-AE42&lt;0.005,0,AD42-AE42)</f>
        <v/>
      </c>
      <c r="AG42">
        <f>AL41</f>
        <v/>
      </c>
      <c r="AH42">
        <f>AG42*Plan!D11/100/12</f>
        <v/>
      </c>
      <c r="AI42">
        <f>MIN(Plan!E11,AG42+AH42)</f>
        <v/>
      </c>
      <c r="AJ42">
        <f>AG42+AH42-AI42</f>
        <v/>
      </c>
      <c r="AK42">
        <f>MIN(AJ42,MAX(0,$B42-((E$5&lt;AI$5)*F42+(K$5&lt;AI$5)*L42+(Q$5&lt;AI$5)*R42+(W$5&lt;AI$5)*X42+(AC$5&lt;AI$5)*AD42+(AO$5&lt;AI$5)*AP42+(AU$5&lt;AI$5)*AV42)))</f>
        <v/>
      </c>
      <c r="AL42">
        <f>IF(AJ42-AK42&lt;0.005,0,AJ42-AK42)</f>
        <v/>
      </c>
      <c r="AM42">
        <f>AR41</f>
        <v/>
      </c>
      <c r="AN42">
        <f>AM42*Plan!D12/100/12</f>
        <v/>
      </c>
      <c r="AO42">
        <f>MIN(Plan!E12,AM42+AN42)</f>
        <v/>
      </c>
      <c r="AP42">
        <f>AM42+AN42-AO42</f>
        <v/>
      </c>
      <c r="AQ42">
        <f>MIN(AP42,MAX(0,$B42-((E$5&lt;AO$5)*F42+(K$5&lt;AO$5)*L42+(Q$5&lt;AO$5)*R42+(W$5&lt;AO$5)*X42+(AC$5&lt;AO$5)*AD42+(AI$5&lt;AO$5)*AJ42+(AU$5&lt;AO$5)*AV42)))</f>
        <v/>
      </c>
      <c r="AR42">
        <f>IF(AP42-AQ42&lt;0.005,0,AP42-AQ42)</f>
        <v/>
      </c>
      <c r="AS42">
        <f>AX41</f>
        <v/>
      </c>
      <c r="AT42">
        <f>AS42*Plan!D13/100/12</f>
        <v/>
      </c>
      <c r="AU42">
        <f>MIN(Plan!E13,AS42+AT42)</f>
        <v/>
      </c>
      <c r="AV42">
        <f>AS42+AT42-AU42</f>
        <v/>
      </c>
      <c r="AW42">
        <f>MIN(AV42,MAX(0,$B42-((E$5&lt;AU$5)*F42+(K$5&lt;AU$5)*L42+(Q$5&lt;AU$5)*R42+(W$5&lt;AU$5)*X42+(AC$5&lt;AU$5)*AD42+(AI$5&lt;AU$5)*AJ42+(AO$5&lt;AU$5)*AP42)))</f>
        <v/>
      </c>
      <c r="AX42">
        <f>IF(AV42-AW42&lt;0.005,0,AV42-AW42)</f>
        <v/>
      </c>
      <c r="BC42">
        <f>H42+N42+T42+Z42+AF42+AL42+AR42+AX42</f>
        <v/>
      </c>
    </row>
    <row r="43">
      <c r="A43" t="n">
        <v>37</v>
      </c>
      <c r="B43" s="19">
        <f>MAX(0,$B$3-(E43+K43+Q43+W43+AC43+AI43+AO43+AU43))</f>
        <v/>
      </c>
      <c r="C43">
        <f>H42</f>
        <v/>
      </c>
      <c r="D43">
        <f>C43*Plan!D6/100/12</f>
        <v/>
      </c>
      <c r="E43">
        <f>MIN(Plan!E6,C43+D43)</f>
        <v/>
      </c>
      <c r="F43">
        <f>C43+D43-E43</f>
        <v/>
      </c>
      <c r="G43">
        <f>MIN(F43,MAX(0,$B43-((K$5&lt;E$5)*L43+(Q$5&lt;E$5)*R43+(W$5&lt;E$5)*X43+(AC$5&lt;E$5)*AD43+(AI$5&lt;E$5)*AJ43+(AO$5&lt;E$5)*AP43+(AU$5&lt;E$5)*AV43)))</f>
        <v/>
      </c>
      <c r="H43">
        <f>IF(F43-G43&lt;0.005,0,F43-G43)</f>
        <v/>
      </c>
      <c r="I43">
        <f>N42</f>
        <v/>
      </c>
      <c r="J43">
        <f>I43*Plan!D7/100/12</f>
        <v/>
      </c>
      <c r="K43">
        <f>MIN(Plan!E7,I43+J43)</f>
        <v/>
      </c>
      <c r="L43">
        <f>I43+J43-K43</f>
        <v/>
      </c>
      <c r="M43">
        <f>MIN(L43,MAX(0,$B43-((E$5&lt;K$5)*F43+(Q$5&lt;K$5)*R43+(W$5&lt;K$5)*X43+(AC$5&lt;K$5)*AD43+(AI$5&lt;K$5)*AJ43+(AO$5&lt;K$5)*AP43+(AU$5&lt;K$5)*AV43)))</f>
        <v/>
      </c>
      <c r="N43">
        <f>IF(L43-M43&lt;0.005,0,L43-M43)</f>
        <v/>
      </c>
      <c r="O43">
        <f>T42</f>
        <v/>
      </c>
      <c r="P43">
        <f>O43*Plan!D8/100/12</f>
        <v/>
      </c>
      <c r="Q43">
        <f>MIN(Plan!E8,O43+P43)</f>
        <v/>
      </c>
      <c r="R43">
        <f>O43+P43-Q43</f>
        <v/>
      </c>
      <c r="S43">
        <f>MIN(R43,MAX(0,$B43-((E$5&lt;Q$5)*F43+(K$5&lt;Q$5)*L43+(W$5&lt;Q$5)*X43+(AC$5&lt;Q$5)*AD43+(AI$5&lt;Q$5)*AJ43+(AO$5&lt;Q$5)*AP43+(AU$5&lt;Q$5)*AV43)))</f>
        <v/>
      </c>
      <c r="T43">
        <f>IF(R43-S43&lt;0.005,0,R43-S43)</f>
        <v/>
      </c>
      <c r="U43">
        <f>Z42</f>
        <v/>
      </c>
      <c r="V43">
        <f>U43*Plan!D9/100/12</f>
        <v/>
      </c>
      <c r="W43">
        <f>MIN(Plan!E9,U43+V43)</f>
        <v/>
      </c>
      <c r="X43">
        <f>U43+V43-W43</f>
        <v/>
      </c>
      <c r="Y43">
        <f>MIN(X43,MAX(0,$B43-((E$5&lt;W$5)*F43+(K$5&lt;W$5)*L43+(Q$5&lt;W$5)*R43+(AC$5&lt;W$5)*AD43+(AI$5&lt;W$5)*AJ43+(AO$5&lt;W$5)*AP43+(AU$5&lt;W$5)*AV43)))</f>
        <v/>
      </c>
      <c r="Z43">
        <f>IF(X43-Y43&lt;0.005,0,X43-Y43)</f>
        <v/>
      </c>
      <c r="AA43">
        <f>AF42</f>
        <v/>
      </c>
      <c r="AB43">
        <f>AA43*Plan!D10/100/12</f>
        <v/>
      </c>
      <c r="AC43">
        <f>MIN(Plan!E10,AA43+AB43)</f>
        <v/>
      </c>
      <c r="AD43">
        <f>AA43+AB43-AC43</f>
        <v/>
      </c>
      <c r="AE43">
        <f>MIN(AD43,MAX(0,$B43-((E$5&lt;AC$5)*F43+(K$5&lt;AC$5)*L43+(Q$5&lt;AC$5)*R43+(W$5&lt;AC$5)*X43+(AI$5&lt;AC$5)*AJ43+(AO$5&lt;AC$5)*AP43+(AU$5&lt;AC$5)*AV43)))</f>
        <v/>
      </c>
      <c r="AF43">
        <f>IF(AD43-AE43&lt;0.005,0,AD43-AE43)</f>
        <v/>
      </c>
      <c r="AG43">
        <f>AL42</f>
        <v/>
      </c>
      <c r="AH43">
        <f>AG43*Plan!D11/100/12</f>
        <v/>
      </c>
      <c r="AI43">
        <f>MIN(Plan!E11,AG43+AH43)</f>
        <v/>
      </c>
      <c r="AJ43">
        <f>AG43+AH43-AI43</f>
        <v/>
      </c>
      <c r="AK43">
        <f>MIN(AJ43,MAX(0,$B43-((E$5&lt;AI$5)*F43+(K$5&lt;AI$5)*L43+(Q$5&lt;AI$5)*R43+(W$5&lt;AI$5)*X43+(AC$5&lt;AI$5)*AD43+(AO$5&lt;AI$5)*AP43+(AU$5&lt;AI$5)*AV43)))</f>
        <v/>
      </c>
      <c r="AL43">
        <f>IF(AJ43-AK43&lt;0.005,0,AJ43-AK43)</f>
        <v/>
      </c>
      <c r="AM43">
        <f>AR42</f>
        <v/>
      </c>
      <c r="AN43">
        <f>AM43*Plan!D12/100/12</f>
        <v/>
      </c>
      <c r="AO43">
        <f>MIN(Plan!E12,AM43+AN43)</f>
        <v/>
      </c>
      <c r="AP43">
        <f>AM43+AN43-AO43</f>
        <v/>
      </c>
      <c r="AQ43">
        <f>MIN(AP43,MAX(0,$B43-((E$5&lt;AO$5)*F43+(K$5&lt;AO$5)*L43+(Q$5&lt;AO$5)*R43+(W$5&lt;AO$5)*X43+(AC$5&lt;AO$5)*AD43+(AI$5&lt;AO$5)*AJ43+(AU$5&lt;AO$5)*AV43)))</f>
        <v/>
      </c>
      <c r="AR43">
        <f>IF(AP43-AQ43&lt;0.005,0,AP43-AQ43)</f>
        <v/>
      </c>
      <c r="AS43">
        <f>AX42</f>
        <v/>
      </c>
      <c r="AT43">
        <f>AS43*Plan!D13/100/12</f>
        <v/>
      </c>
      <c r="AU43">
        <f>MIN(Plan!E13,AS43+AT43)</f>
        <v/>
      </c>
      <c r="AV43">
        <f>AS43+AT43-AU43</f>
        <v/>
      </c>
      <c r="AW43">
        <f>MIN(AV43,MAX(0,$B43-((E$5&lt;AU$5)*F43+(K$5&lt;AU$5)*L43+(Q$5&lt;AU$5)*R43+(W$5&lt;AU$5)*X43+(AC$5&lt;AU$5)*AD43+(AI$5&lt;AU$5)*AJ43+(AO$5&lt;AU$5)*AP43)))</f>
        <v/>
      </c>
      <c r="AX43">
        <f>IF(AV43-AW43&lt;0.005,0,AV43-AW43)</f>
        <v/>
      </c>
      <c r="BC43">
        <f>H43+N43+T43+Z43+AF43+AL43+AR43+AX43</f>
        <v/>
      </c>
    </row>
    <row r="44">
      <c r="A44" t="n">
        <v>38</v>
      </c>
      <c r="B44" s="19">
        <f>MAX(0,$B$3-(E44+K44+Q44+W44+AC44+AI44+AO44+AU44))</f>
        <v/>
      </c>
      <c r="C44">
        <f>H43</f>
        <v/>
      </c>
      <c r="D44">
        <f>C44*Plan!D6/100/12</f>
        <v/>
      </c>
      <c r="E44">
        <f>MIN(Plan!E6,C44+D44)</f>
        <v/>
      </c>
      <c r="F44">
        <f>C44+D44-E44</f>
        <v/>
      </c>
      <c r="G44">
        <f>MIN(F44,MAX(0,$B44-((K$5&lt;E$5)*L44+(Q$5&lt;E$5)*R44+(W$5&lt;E$5)*X44+(AC$5&lt;E$5)*AD44+(AI$5&lt;E$5)*AJ44+(AO$5&lt;E$5)*AP44+(AU$5&lt;E$5)*AV44)))</f>
        <v/>
      </c>
      <c r="H44">
        <f>IF(F44-G44&lt;0.005,0,F44-G44)</f>
        <v/>
      </c>
      <c r="I44">
        <f>N43</f>
        <v/>
      </c>
      <c r="J44">
        <f>I44*Plan!D7/100/12</f>
        <v/>
      </c>
      <c r="K44">
        <f>MIN(Plan!E7,I44+J44)</f>
        <v/>
      </c>
      <c r="L44">
        <f>I44+J44-K44</f>
        <v/>
      </c>
      <c r="M44">
        <f>MIN(L44,MAX(0,$B44-((E$5&lt;K$5)*F44+(Q$5&lt;K$5)*R44+(W$5&lt;K$5)*X44+(AC$5&lt;K$5)*AD44+(AI$5&lt;K$5)*AJ44+(AO$5&lt;K$5)*AP44+(AU$5&lt;K$5)*AV44)))</f>
        <v/>
      </c>
      <c r="N44">
        <f>IF(L44-M44&lt;0.005,0,L44-M44)</f>
        <v/>
      </c>
      <c r="O44">
        <f>T43</f>
        <v/>
      </c>
      <c r="P44">
        <f>O44*Plan!D8/100/12</f>
        <v/>
      </c>
      <c r="Q44">
        <f>MIN(Plan!E8,O44+P44)</f>
        <v/>
      </c>
      <c r="R44">
        <f>O44+P44-Q44</f>
        <v/>
      </c>
      <c r="S44">
        <f>MIN(R44,MAX(0,$B44-((E$5&lt;Q$5)*F44+(K$5&lt;Q$5)*L44+(W$5&lt;Q$5)*X44+(AC$5&lt;Q$5)*AD44+(AI$5&lt;Q$5)*AJ44+(AO$5&lt;Q$5)*AP44+(AU$5&lt;Q$5)*AV44)))</f>
        <v/>
      </c>
      <c r="T44">
        <f>IF(R44-S44&lt;0.005,0,R44-S44)</f>
        <v/>
      </c>
      <c r="U44">
        <f>Z43</f>
        <v/>
      </c>
      <c r="V44">
        <f>U44*Plan!D9/100/12</f>
        <v/>
      </c>
      <c r="W44">
        <f>MIN(Plan!E9,U44+V44)</f>
        <v/>
      </c>
      <c r="X44">
        <f>U44+V44-W44</f>
        <v/>
      </c>
      <c r="Y44">
        <f>MIN(X44,MAX(0,$B44-((E$5&lt;W$5)*F44+(K$5&lt;W$5)*L44+(Q$5&lt;W$5)*R44+(AC$5&lt;W$5)*AD44+(AI$5&lt;W$5)*AJ44+(AO$5&lt;W$5)*AP44+(AU$5&lt;W$5)*AV44)))</f>
        <v/>
      </c>
      <c r="Z44">
        <f>IF(X44-Y44&lt;0.005,0,X44-Y44)</f>
        <v/>
      </c>
      <c r="AA44">
        <f>AF43</f>
        <v/>
      </c>
      <c r="AB44">
        <f>AA44*Plan!D10/100/12</f>
        <v/>
      </c>
      <c r="AC44">
        <f>MIN(Plan!E10,AA44+AB44)</f>
        <v/>
      </c>
      <c r="AD44">
        <f>AA44+AB44-AC44</f>
        <v/>
      </c>
      <c r="AE44">
        <f>MIN(AD44,MAX(0,$B44-((E$5&lt;AC$5)*F44+(K$5&lt;AC$5)*L44+(Q$5&lt;AC$5)*R44+(W$5&lt;AC$5)*X44+(AI$5&lt;AC$5)*AJ44+(AO$5&lt;AC$5)*AP44+(AU$5&lt;AC$5)*AV44)))</f>
        <v/>
      </c>
      <c r="AF44">
        <f>IF(AD44-AE44&lt;0.005,0,AD44-AE44)</f>
        <v/>
      </c>
      <c r="AG44">
        <f>AL43</f>
        <v/>
      </c>
      <c r="AH44">
        <f>AG44*Plan!D11/100/12</f>
        <v/>
      </c>
      <c r="AI44">
        <f>MIN(Plan!E11,AG44+AH44)</f>
        <v/>
      </c>
      <c r="AJ44">
        <f>AG44+AH44-AI44</f>
        <v/>
      </c>
      <c r="AK44">
        <f>MIN(AJ44,MAX(0,$B44-((E$5&lt;AI$5)*F44+(K$5&lt;AI$5)*L44+(Q$5&lt;AI$5)*R44+(W$5&lt;AI$5)*X44+(AC$5&lt;AI$5)*AD44+(AO$5&lt;AI$5)*AP44+(AU$5&lt;AI$5)*AV44)))</f>
        <v/>
      </c>
      <c r="AL44">
        <f>IF(AJ44-AK44&lt;0.005,0,AJ44-AK44)</f>
        <v/>
      </c>
      <c r="AM44">
        <f>AR43</f>
        <v/>
      </c>
      <c r="AN44">
        <f>AM44*Plan!D12/100/12</f>
        <v/>
      </c>
      <c r="AO44">
        <f>MIN(Plan!E12,AM44+AN44)</f>
        <v/>
      </c>
      <c r="AP44">
        <f>AM44+AN44-AO44</f>
        <v/>
      </c>
      <c r="AQ44">
        <f>MIN(AP44,MAX(0,$B44-((E$5&lt;AO$5)*F44+(K$5&lt;AO$5)*L44+(Q$5&lt;AO$5)*R44+(W$5&lt;AO$5)*X44+(AC$5&lt;AO$5)*AD44+(AI$5&lt;AO$5)*AJ44+(AU$5&lt;AO$5)*AV44)))</f>
        <v/>
      </c>
      <c r="AR44">
        <f>IF(AP44-AQ44&lt;0.005,0,AP44-AQ44)</f>
        <v/>
      </c>
      <c r="AS44">
        <f>AX43</f>
        <v/>
      </c>
      <c r="AT44">
        <f>AS44*Plan!D13/100/12</f>
        <v/>
      </c>
      <c r="AU44">
        <f>MIN(Plan!E13,AS44+AT44)</f>
        <v/>
      </c>
      <c r="AV44">
        <f>AS44+AT44-AU44</f>
        <v/>
      </c>
      <c r="AW44">
        <f>MIN(AV44,MAX(0,$B44-((E$5&lt;AU$5)*F44+(K$5&lt;AU$5)*L44+(Q$5&lt;AU$5)*R44+(W$5&lt;AU$5)*X44+(AC$5&lt;AU$5)*AD44+(AI$5&lt;AU$5)*AJ44+(AO$5&lt;AU$5)*AP44)))</f>
        <v/>
      </c>
      <c r="AX44">
        <f>IF(AV44-AW44&lt;0.005,0,AV44-AW44)</f>
        <v/>
      </c>
      <c r="BC44">
        <f>H44+N44+T44+Z44+AF44+AL44+AR44+AX44</f>
        <v/>
      </c>
    </row>
    <row r="45">
      <c r="A45" t="n">
        <v>39</v>
      </c>
      <c r="B45" s="19">
        <f>MAX(0,$B$3-(E45+K45+Q45+W45+AC45+AI45+AO45+AU45))</f>
        <v/>
      </c>
      <c r="C45">
        <f>H44</f>
        <v/>
      </c>
      <c r="D45">
        <f>C45*Plan!D6/100/12</f>
        <v/>
      </c>
      <c r="E45">
        <f>MIN(Plan!E6,C45+D45)</f>
        <v/>
      </c>
      <c r="F45">
        <f>C45+D45-E45</f>
        <v/>
      </c>
      <c r="G45">
        <f>MIN(F45,MAX(0,$B45-((K$5&lt;E$5)*L45+(Q$5&lt;E$5)*R45+(W$5&lt;E$5)*X45+(AC$5&lt;E$5)*AD45+(AI$5&lt;E$5)*AJ45+(AO$5&lt;E$5)*AP45+(AU$5&lt;E$5)*AV45)))</f>
        <v/>
      </c>
      <c r="H45">
        <f>IF(F45-G45&lt;0.005,0,F45-G45)</f>
        <v/>
      </c>
      <c r="I45">
        <f>N44</f>
        <v/>
      </c>
      <c r="J45">
        <f>I45*Plan!D7/100/12</f>
        <v/>
      </c>
      <c r="K45">
        <f>MIN(Plan!E7,I45+J45)</f>
        <v/>
      </c>
      <c r="L45">
        <f>I45+J45-K45</f>
        <v/>
      </c>
      <c r="M45">
        <f>MIN(L45,MAX(0,$B45-((E$5&lt;K$5)*F45+(Q$5&lt;K$5)*R45+(W$5&lt;K$5)*X45+(AC$5&lt;K$5)*AD45+(AI$5&lt;K$5)*AJ45+(AO$5&lt;K$5)*AP45+(AU$5&lt;K$5)*AV45)))</f>
        <v/>
      </c>
      <c r="N45">
        <f>IF(L45-M45&lt;0.005,0,L45-M45)</f>
        <v/>
      </c>
      <c r="O45">
        <f>T44</f>
        <v/>
      </c>
      <c r="P45">
        <f>O45*Plan!D8/100/12</f>
        <v/>
      </c>
      <c r="Q45">
        <f>MIN(Plan!E8,O45+P45)</f>
        <v/>
      </c>
      <c r="R45">
        <f>O45+P45-Q45</f>
        <v/>
      </c>
      <c r="S45">
        <f>MIN(R45,MAX(0,$B45-((E$5&lt;Q$5)*F45+(K$5&lt;Q$5)*L45+(W$5&lt;Q$5)*X45+(AC$5&lt;Q$5)*AD45+(AI$5&lt;Q$5)*AJ45+(AO$5&lt;Q$5)*AP45+(AU$5&lt;Q$5)*AV45)))</f>
        <v/>
      </c>
      <c r="T45">
        <f>IF(R45-S45&lt;0.005,0,R45-S45)</f>
        <v/>
      </c>
      <c r="U45">
        <f>Z44</f>
        <v/>
      </c>
      <c r="V45">
        <f>U45*Plan!D9/100/12</f>
        <v/>
      </c>
      <c r="W45">
        <f>MIN(Plan!E9,U45+V45)</f>
        <v/>
      </c>
      <c r="X45">
        <f>U45+V45-W45</f>
        <v/>
      </c>
      <c r="Y45">
        <f>MIN(X45,MAX(0,$B45-((E$5&lt;W$5)*F45+(K$5&lt;W$5)*L45+(Q$5&lt;W$5)*R45+(AC$5&lt;W$5)*AD45+(AI$5&lt;W$5)*AJ45+(AO$5&lt;W$5)*AP45+(AU$5&lt;W$5)*AV45)))</f>
        <v/>
      </c>
      <c r="Z45">
        <f>IF(X45-Y45&lt;0.005,0,X45-Y45)</f>
        <v/>
      </c>
      <c r="AA45">
        <f>AF44</f>
        <v/>
      </c>
      <c r="AB45">
        <f>AA45*Plan!D10/100/12</f>
        <v/>
      </c>
      <c r="AC45">
        <f>MIN(Plan!E10,AA45+AB45)</f>
        <v/>
      </c>
      <c r="AD45">
        <f>AA45+AB45-AC45</f>
        <v/>
      </c>
      <c r="AE45">
        <f>MIN(AD45,MAX(0,$B45-((E$5&lt;AC$5)*F45+(K$5&lt;AC$5)*L45+(Q$5&lt;AC$5)*R45+(W$5&lt;AC$5)*X45+(AI$5&lt;AC$5)*AJ45+(AO$5&lt;AC$5)*AP45+(AU$5&lt;AC$5)*AV45)))</f>
        <v/>
      </c>
      <c r="AF45">
        <f>IF(AD45-AE45&lt;0.005,0,AD45-AE45)</f>
        <v/>
      </c>
      <c r="AG45">
        <f>AL44</f>
        <v/>
      </c>
      <c r="AH45">
        <f>AG45*Plan!D11/100/12</f>
        <v/>
      </c>
      <c r="AI45">
        <f>MIN(Plan!E11,AG45+AH45)</f>
        <v/>
      </c>
      <c r="AJ45">
        <f>AG45+AH45-AI45</f>
        <v/>
      </c>
      <c r="AK45">
        <f>MIN(AJ45,MAX(0,$B45-((E$5&lt;AI$5)*F45+(K$5&lt;AI$5)*L45+(Q$5&lt;AI$5)*R45+(W$5&lt;AI$5)*X45+(AC$5&lt;AI$5)*AD45+(AO$5&lt;AI$5)*AP45+(AU$5&lt;AI$5)*AV45)))</f>
        <v/>
      </c>
      <c r="AL45">
        <f>IF(AJ45-AK45&lt;0.005,0,AJ45-AK45)</f>
        <v/>
      </c>
      <c r="AM45">
        <f>AR44</f>
        <v/>
      </c>
      <c r="AN45">
        <f>AM45*Plan!D12/100/12</f>
        <v/>
      </c>
      <c r="AO45">
        <f>MIN(Plan!E12,AM45+AN45)</f>
        <v/>
      </c>
      <c r="AP45">
        <f>AM45+AN45-AO45</f>
        <v/>
      </c>
      <c r="AQ45">
        <f>MIN(AP45,MAX(0,$B45-((E$5&lt;AO$5)*F45+(K$5&lt;AO$5)*L45+(Q$5&lt;AO$5)*R45+(W$5&lt;AO$5)*X45+(AC$5&lt;AO$5)*AD45+(AI$5&lt;AO$5)*AJ45+(AU$5&lt;AO$5)*AV45)))</f>
        <v/>
      </c>
      <c r="AR45">
        <f>IF(AP45-AQ45&lt;0.005,0,AP45-AQ45)</f>
        <v/>
      </c>
      <c r="AS45">
        <f>AX44</f>
        <v/>
      </c>
      <c r="AT45">
        <f>AS45*Plan!D13/100/12</f>
        <v/>
      </c>
      <c r="AU45">
        <f>MIN(Plan!E13,AS45+AT45)</f>
        <v/>
      </c>
      <c r="AV45">
        <f>AS45+AT45-AU45</f>
        <v/>
      </c>
      <c r="AW45">
        <f>MIN(AV45,MAX(0,$B45-((E$5&lt;AU$5)*F45+(K$5&lt;AU$5)*L45+(Q$5&lt;AU$5)*R45+(W$5&lt;AU$5)*X45+(AC$5&lt;AU$5)*AD45+(AI$5&lt;AU$5)*AJ45+(AO$5&lt;AU$5)*AP45)))</f>
        <v/>
      </c>
      <c r="AX45">
        <f>IF(AV45-AW45&lt;0.005,0,AV45-AW45)</f>
        <v/>
      </c>
      <c r="BC45">
        <f>H45+N45+T45+Z45+AF45+AL45+AR45+AX45</f>
        <v/>
      </c>
    </row>
    <row r="46">
      <c r="A46" t="n">
        <v>40</v>
      </c>
      <c r="B46" s="19">
        <f>MAX(0,$B$3-(E46+K46+Q46+W46+AC46+AI46+AO46+AU46))</f>
        <v/>
      </c>
      <c r="C46">
        <f>H45</f>
        <v/>
      </c>
      <c r="D46">
        <f>C46*Plan!D6/100/12</f>
        <v/>
      </c>
      <c r="E46">
        <f>MIN(Plan!E6,C46+D46)</f>
        <v/>
      </c>
      <c r="F46">
        <f>C46+D46-E46</f>
        <v/>
      </c>
      <c r="G46">
        <f>MIN(F46,MAX(0,$B46-((K$5&lt;E$5)*L46+(Q$5&lt;E$5)*R46+(W$5&lt;E$5)*X46+(AC$5&lt;E$5)*AD46+(AI$5&lt;E$5)*AJ46+(AO$5&lt;E$5)*AP46+(AU$5&lt;E$5)*AV46)))</f>
        <v/>
      </c>
      <c r="H46">
        <f>IF(F46-G46&lt;0.005,0,F46-G46)</f>
        <v/>
      </c>
      <c r="I46">
        <f>N45</f>
        <v/>
      </c>
      <c r="J46">
        <f>I46*Plan!D7/100/12</f>
        <v/>
      </c>
      <c r="K46">
        <f>MIN(Plan!E7,I46+J46)</f>
        <v/>
      </c>
      <c r="L46">
        <f>I46+J46-K46</f>
        <v/>
      </c>
      <c r="M46">
        <f>MIN(L46,MAX(0,$B46-((E$5&lt;K$5)*F46+(Q$5&lt;K$5)*R46+(W$5&lt;K$5)*X46+(AC$5&lt;K$5)*AD46+(AI$5&lt;K$5)*AJ46+(AO$5&lt;K$5)*AP46+(AU$5&lt;K$5)*AV46)))</f>
        <v/>
      </c>
      <c r="N46">
        <f>IF(L46-M46&lt;0.005,0,L46-M46)</f>
        <v/>
      </c>
      <c r="O46">
        <f>T45</f>
        <v/>
      </c>
      <c r="P46">
        <f>O46*Plan!D8/100/12</f>
        <v/>
      </c>
      <c r="Q46">
        <f>MIN(Plan!E8,O46+P46)</f>
        <v/>
      </c>
      <c r="R46">
        <f>O46+P46-Q46</f>
        <v/>
      </c>
      <c r="S46">
        <f>MIN(R46,MAX(0,$B46-((E$5&lt;Q$5)*F46+(K$5&lt;Q$5)*L46+(W$5&lt;Q$5)*X46+(AC$5&lt;Q$5)*AD46+(AI$5&lt;Q$5)*AJ46+(AO$5&lt;Q$5)*AP46+(AU$5&lt;Q$5)*AV46)))</f>
        <v/>
      </c>
      <c r="T46">
        <f>IF(R46-S46&lt;0.005,0,R46-S46)</f>
        <v/>
      </c>
      <c r="U46">
        <f>Z45</f>
        <v/>
      </c>
      <c r="V46">
        <f>U46*Plan!D9/100/12</f>
        <v/>
      </c>
      <c r="W46">
        <f>MIN(Plan!E9,U46+V46)</f>
        <v/>
      </c>
      <c r="X46">
        <f>U46+V46-W46</f>
        <v/>
      </c>
      <c r="Y46">
        <f>MIN(X46,MAX(0,$B46-((E$5&lt;W$5)*F46+(K$5&lt;W$5)*L46+(Q$5&lt;W$5)*R46+(AC$5&lt;W$5)*AD46+(AI$5&lt;W$5)*AJ46+(AO$5&lt;W$5)*AP46+(AU$5&lt;W$5)*AV46)))</f>
        <v/>
      </c>
      <c r="Z46">
        <f>IF(X46-Y46&lt;0.005,0,X46-Y46)</f>
        <v/>
      </c>
      <c r="AA46">
        <f>AF45</f>
        <v/>
      </c>
      <c r="AB46">
        <f>AA46*Plan!D10/100/12</f>
        <v/>
      </c>
      <c r="AC46">
        <f>MIN(Plan!E10,AA46+AB46)</f>
        <v/>
      </c>
      <c r="AD46">
        <f>AA46+AB46-AC46</f>
        <v/>
      </c>
      <c r="AE46">
        <f>MIN(AD46,MAX(0,$B46-((E$5&lt;AC$5)*F46+(K$5&lt;AC$5)*L46+(Q$5&lt;AC$5)*R46+(W$5&lt;AC$5)*X46+(AI$5&lt;AC$5)*AJ46+(AO$5&lt;AC$5)*AP46+(AU$5&lt;AC$5)*AV46)))</f>
        <v/>
      </c>
      <c r="AF46">
        <f>IF(AD46-AE46&lt;0.005,0,AD46-AE46)</f>
        <v/>
      </c>
      <c r="AG46">
        <f>AL45</f>
        <v/>
      </c>
      <c r="AH46">
        <f>AG46*Plan!D11/100/12</f>
        <v/>
      </c>
      <c r="AI46">
        <f>MIN(Plan!E11,AG46+AH46)</f>
        <v/>
      </c>
      <c r="AJ46">
        <f>AG46+AH46-AI46</f>
        <v/>
      </c>
      <c r="AK46">
        <f>MIN(AJ46,MAX(0,$B46-((E$5&lt;AI$5)*F46+(K$5&lt;AI$5)*L46+(Q$5&lt;AI$5)*R46+(W$5&lt;AI$5)*X46+(AC$5&lt;AI$5)*AD46+(AO$5&lt;AI$5)*AP46+(AU$5&lt;AI$5)*AV46)))</f>
        <v/>
      </c>
      <c r="AL46">
        <f>IF(AJ46-AK46&lt;0.005,0,AJ46-AK46)</f>
        <v/>
      </c>
      <c r="AM46">
        <f>AR45</f>
        <v/>
      </c>
      <c r="AN46">
        <f>AM46*Plan!D12/100/12</f>
        <v/>
      </c>
      <c r="AO46">
        <f>MIN(Plan!E12,AM46+AN46)</f>
        <v/>
      </c>
      <c r="AP46">
        <f>AM46+AN46-AO46</f>
        <v/>
      </c>
      <c r="AQ46">
        <f>MIN(AP46,MAX(0,$B46-((E$5&lt;AO$5)*F46+(K$5&lt;AO$5)*L46+(Q$5&lt;AO$5)*R46+(W$5&lt;AO$5)*X46+(AC$5&lt;AO$5)*AD46+(AI$5&lt;AO$5)*AJ46+(AU$5&lt;AO$5)*AV46)))</f>
        <v/>
      </c>
      <c r="AR46">
        <f>IF(AP46-AQ46&lt;0.005,0,AP46-AQ46)</f>
        <v/>
      </c>
      <c r="AS46">
        <f>AX45</f>
        <v/>
      </c>
      <c r="AT46">
        <f>AS46*Plan!D13/100/12</f>
        <v/>
      </c>
      <c r="AU46">
        <f>MIN(Plan!E13,AS46+AT46)</f>
        <v/>
      </c>
      <c r="AV46">
        <f>AS46+AT46-AU46</f>
        <v/>
      </c>
      <c r="AW46">
        <f>MIN(AV46,MAX(0,$B46-((E$5&lt;AU$5)*F46+(K$5&lt;AU$5)*L46+(Q$5&lt;AU$5)*R46+(W$5&lt;AU$5)*X46+(AC$5&lt;AU$5)*AD46+(AI$5&lt;AU$5)*AJ46+(AO$5&lt;AU$5)*AP46)))</f>
        <v/>
      </c>
      <c r="AX46">
        <f>IF(AV46-AW46&lt;0.005,0,AV46-AW46)</f>
        <v/>
      </c>
      <c r="BC46">
        <f>H46+N46+T46+Z46+AF46+AL46+AR46+AX46</f>
        <v/>
      </c>
    </row>
    <row r="47">
      <c r="A47" t="n">
        <v>41</v>
      </c>
      <c r="B47" s="19">
        <f>MAX(0,$B$3-(E47+K47+Q47+W47+AC47+AI47+AO47+AU47))</f>
        <v/>
      </c>
      <c r="C47">
        <f>H46</f>
        <v/>
      </c>
      <c r="D47">
        <f>C47*Plan!D6/100/12</f>
        <v/>
      </c>
      <c r="E47">
        <f>MIN(Plan!E6,C47+D47)</f>
        <v/>
      </c>
      <c r="F47">
        <f>C47+D47-E47</f>
        <v/>
      </c>
      <c r="G47">
        <f>MIN(F47,MAX(0,$B47-((K$5&lt;E$5)*L47+(Q$5&lt;E$5)*R47+(W$5&lt;E$5)*X47+(AC$5&lt;E$5)*AD47+(AI$5&lt;E$5)*AJ47+(AO$5&lt;E$5)*AP47+(AU$5&lt;E$5)*AV47)))</f>
        <v/>
      </c>
      <c r="H47">
        <f>IF(F47-G47&lt;0.005,0,F47-G47)</f>
        <v/>
      </c>
      <c r="I47">
        <f>N46</f>
        <v/>
      </c>
      <c r="J47">
        <f>I47*Plan!D7/100/12</f>
        <v/>
      </c>
      <c r="K47">
        <f>MIN(Plan!E7,I47+J47)</f>
        <v/>
      </c>
      <c r="L47">
        <f>I47+J47-K47</f>
        <v/>
      </c>
      <c r="M47">
        <f>MIN(L47,MAX(0,$B47-((E$5&lt;K$5)*F47+(Q$5&lt;K$5)*R47+(W$5&lt;K$5)*X47+(AC$5&lt;K$5)*AD47+(AI$5&lt;K$5)*AJ47+(AO$5&lt;K$5)*AP47+(AU$5&lt;K$5)*AV47)))</f>
        <v/>
      </c>
      <c r="N47">
        <f>IF(L47-M47&lt;0.005,0,L47-M47)</f>
        <v/>
      </c>
      <c r="O47">
        <f>T46</f>
        <v/>
      </c>
      <c r="P47">
        <f>O47*Plan!D8/100/12</f>
        <v/>
      </c>
      <c r="Q47">
        <f>MIN(Plan!E8,O47+P47)</f>
        <v/>
      </c>
      <c r="R47">
        <f>O47+P47-Q47</f>
        <v/>
      </c>
      <c r="S47">
        <f>MIN(R47,MAX(0,$B47-((E$5&lt;Q$5)*F47+(K$5&lt;Q$5)*L47+(W$5&lt;Q$5)*X47+(AC$5&lt;Q$5)*AD47+(AI$5&lt;Q$5)*AJ47+(AO$5&lt;Q$5)*AP47+(AU$5&lt;Q$5)*AV47)))</f>
        <v/>
      </c>
      <c r="T47">
        <f>IF(R47-S47&lt;0.005,0,R47-S47)</f>
        <v/>
      </c>
      <c r="U47">
        <f>Z46</f>
        <v/>
      </c>
      <c r="V47">
        <f>U47*Plan!D9/100/12</f>
        <v/>
      </c>
      <c r="W47">
        <f>MIN(Plan!E9,U47+V47)</f>
        <v/>
      </c>
      <c r="X47">
        <f>U47+V47-W47</f>
        <v/>
      </c>
      <c r="Y47">
        <f>MIN(X47,MAX(0,$B47-((E$5&lt;W$5)*F47+(K$5&lt;W$5)*L47+(Q$5&lt;W$5)*R47+(AC$5&lt;W$5)*AD47+(AI$5&lt;W$5)*AJ47+(AO$5&lt;W$5)*AP47+(AU$5&lt;W$5)*AV47)))</f>
        <v/>
      </c>
      <c r="Z47">
        <f>IF(X47-Y47&lt;0.005,0,X47-Y47)</f>
        <v/>
      </c>
      <c r="AA47">
        <f>AF46</f>
        <v/>
      </c>
      <c r="AB47">
        <f>AA47*Plan!D10/100/12</f>
        <v/>
      </c>
      <c r="AC47">
        <f>MIN(Plan!E10,AA47+AB47)</f>
        <v/>
      </c>
      <c r="AD47">
        <f>AA47+AB47-AC47</f>
        <v/>
      </c>
      <c r="AE47">
        <f>MIN(AD47,MAX(0,$B47-((E$5&lt;AC$5)*F47+(K$5&lt;AC$5)*L47+(Q$5&lt;AC$5)*R47+(W$5&lt;AC$5)*X47+(AI$5&lt;AC$5)*AJ47+(AO$5&lt;AC$5)*AP47+(AU$5&lt;AC$5)*AV47)))</f>
        <v/>
      </c>
      <c r="AF47">
        <f>IF(AD47-AE47&lt;0.005,0,AD47-AE47)</f>
        <v/>
      </c>
      <c r="AG47">
        <f>AL46</f>
        <v/>
      </c>
      <c r="AH47">
        <f>AG47*Plan!D11/100/12</f>
        <v/>
      </c>
      <c r="AI47">
        <f>MIN(Plan!E11,AG47+AH47)</f>
        <v/>
      </c>
      <c r="AJ47">
        <f>AG47+AH47-AI47</f>
        <v/>
      </c>
      <c r="AK47">
        <f>MIN(AJ47,MAX(0,$B47-((E$5&lt;AI$5)*F47+(K$5&lt;AI$5)*L47+(Q$5&lt;AI$5)*R47+(W$5&lt;AI$5)*X47+(AC$5&lt;AI$5)*AD47+(AO$5&lt;AI$5)*AP47+(AU$5&lt;AI$5)*AV47)))</f>
        <v/>
      </c>
      <c r="AL47">
        <f>IF(AJ47-AK47&lt;0.005,0,AJ47-AK47)</f>
        <v/>
      </c>
      <c r="AM47">
        <f>AR46</f>
        <v/>
      </c>
      <c r="AN47">
        <f>AM47*Plan!D12/100/12</f>
        <v/>
      </c>
      <c r="AO47">
        <f>MIN(Plan!E12,AM47+AN47)</f>
        <v/>
      </c>
      <c r="AP47">
        <f>AM47+AN47-AO47</f>
        <v/>
      </c>
      <c r="AQ47">
        <f>MIN(AP47,MAX(0,$B47-((E$5&lt;AO$5)*F47+(K$5&lt;AO$5)*L47+(Q$5&lt;AO$5)*R47+(W$5&lt;AO$5)*X47+(AC$5&lt;AO$5)*AD47+(AI$5&lt;AO$5)*AJ47+(AU$5&lt;AO$5)*AV47)))</f>
        <v/>
      </c>
      <c r="AR47">
        <f>IF(AP47-AQ47&lt;0.005,0,AP47-AQ47)</f>
        <v/>
      </c>
      <c r="AS47">
        <f>AX46</f>
        <v/>
      </c>
      <c r="AT47">
        <f>AS47*Plan!D13/100/12</f>
        <v/>
      </c>
      <c r="AU47">
        <f>MIN(Plan!E13,AS47+AT47)</f>
        <v/>
      </c>
      <c r="AV47">
        <f>AS47+AT47-AU47</f>
        <v/>
      </c>
      <c r="AW47">
        <f>MIN(AV47,MAX(0,$B47-((E$5&lt;AU$5)*F47+(K$5&lt;AU$5)*L47+(Q$5&lt;AU$5)*R47+(W$5&lt;AU$5)*X47+(AC$5&lt;AU$5)*AD47+(AI$5&lt;AU$5)*AJ47+(AO$5&lt;AU$5)*AP47)))</f>
        <v/>
      </c>
      <c r="AX47">
        <f>IF(AV47-AW47&lt;0.005,0,AV47-AW47)</f>
        <v/>
      </c>
      <c r="BC47">
        <f>H47+N47+T47+Z47+AF47+AL47+AR47+AX47</f>
        <v/>
      </c>
    </row>
    <row r="48">
      <c r="A48" t="n">
        <v>42</v>
      </c>
      <c r="B48" s="19">
        <f>MAX(0,$B$3-(E48+K48+Q48+W48+AC48+AI48+AO48+AU48))</f>
        <v/>
      </c>
      <c r="C48">
        <f>H47</f>
        <v/>
      </c>
      <c r="D48">
        <f>C48*Plan!D6/100/12</f>
        <v/>
      </c>
      <c r="E48">
        <f>MIN(Plan!E6,C48+D48)</f>
        <v/>
      </c>
      <c r="F48">
        <f>C48+D48-E48</f>
        <v/>
      </c>
      <c r="G48">
        <f>MIN(F48,MAX(0,$B48-((K$5&lt;E$5)*L48+(Q$5&lt;E$5)*R48+(W$5&lt;E$5)*X48+(AC$5&lt;E$5)*AD48+(AI$5&lt;E$5)*AJ48+(AO$5&lt;E$5)*AP48+(AU$5&lt;E$5)*AV48)))</f>
        <v/>
      </c>
      <c r="H48">
        <f>IF(F48-G48&lt;0.005,0,F48-G48)</f>
        <v/>
      </c>
      <c r="I48">
        <f>N47</f>
        <v/>
      </c>
      <c r="J48">
        <f>I48*Plan!D7/100/12</f>
        <v/>
      </c>
      <c r="K48">
        <f>MIN(Plan!E7,I48+J48)</f>
        <v/>
      </c>
      <c r="L48">
        <f>I48+J48-K48</f>
        <v/>
      </c>
      <c r="M48">
        <f>MIN(L48,MAX(0,$B48-((E$5&lt;K$5)*F48+(Q$5&lt;K$5)*R48+(W$5&lt;K$5)*X48+(AC$5&lt;K$5)*AD48+(AI$5&lt;K$5)*AJ48+(AO$5&lt;K$5)*AP48+(AU$5&lt;K$5)*AV48)))</f>
        <v/>
      </c>
      <c r="N48">
        <f>IF(L48-M48&lt;0.005,0,L48-M48)</f>
        <v/>
      </c>
      <c r="O48">
        <f>T47</f>
        <v/>
      </c>
      <c r="P48">
        <f>O48*Plan!D8/100/12</f>
        <v/>
      </c>
      <c r="Q48">
        <f>MIN(Plan!E8,O48+P48)</f>
        <v/>
      </c>
      <c r="R48">
        <f>O48+P48-Q48</f>
        <v/>
      </c>
      <c r="S48">
        <f>MIN(R48,MAX(0,$B48-((E$5&lt;Q$5)*F48+(K$5&lt;Q$5)*L48+(W$5&lt;Q$5)*X48+(AC$5&lt;Q$5)*AD48+(AI$5&lt;Q$5)*AJ48+(AO$5&lt;Q$5)*AP48+(AU$5&lt;Q$5)*AV48)))</f>
        <v/>
      </c>
      <c r="T48">
        <f>IF(R48-S48&lt;0.005,0,R48-S48)</f>
        <v/>
      </c>
      <c r="U48">
        <f>Z47</f>
        <v/>
      </c>
      <c r="V48">
        <f>U48*Plan!D9/100/12</f>
        <v/>
      </c>
      <c r="W48">
        <f>MIN(Plan!E9,U48+V48)</f>
        <v/>
      </c>
      <c r="X48">
        <f>U48+V48-W48</f>
        <v/>
      </c>
      <c r="Y48">
        <f>MIN(X48,MAX(0,$B48-((E$5&lt;W$5)*F48+(K$5&lt;W$5)*L48+(Q$5&lt;W$5)*R48+(AC$5&lt;W$5)*AD48+(AI$5&lt;W$5)*AJ48+(AO$5&lt;W$5)*AP48+(AU$5&lt;W$5)*AV48)))</f>
        <v/>
      </c>
      <c r="Z48">
        <f>IF(X48-Y48&lt;0.005,0,X48-Y48)</f>
        <v/>
      </c>
      <c r="AA48">
        <f>AF47</f>
        <v/>
      </c>
      <c r="AB48">
        <f>AA48*Plan!D10/100/12</f>
        <v/>
      </c>
      <c r="AC48">
        <f>MIN(Plan!E10,AA48+AB48)</f>
        <v/>
      </c>
      <c r="AD48">
        <f>AA48+AB48-AC48</f>
        <v/>
      </c>
      <c r="AE48">
        <f>MIN(AD48,MAX(0,$B48-((E$5&lt;AC$5)*F48+(K$5&lt;AC$5)*L48+(Q$5&lt;AC$5)*R48+(W$5&lt;AC$5)*X48+(AI$5&lt;AC$5)*AJ48+(AO$5&lt;AC$5)*AP48+(AU$5&lt;AC$5)*AV48)))</f>
        <v/>
      </c>
      <c r="AF48">
        <f>IF(AD48-AE48&lt;0.005,0,AD48-AE48)</f>
        <v/>
      </c>
      <c r="AG48">
        <f>AL47</f>
        <v/>
      </c>
      <c r="AH48">
        <f>AG48*Plan!D11/100/12</f>
        <v/>
      </c>
      <c r="AI48">
        <f>MIN(Plan!E11,AG48+AH48)</f>
        <v/>
      </c>
      <c r="AJ48">
        <f>AG48+AH48-AI48</f>
        <v/>
      </c>
      <c r="AK48">
        <f>MIN(AJ48,MAX(0,$B48-((E$5&lt;AI$5)*F48+(K$5&lt;AI$5)*L48+(Q$5&lt;AI$5)*R48+(W$5&lt;AI$5)*X48+(AC$5&lt;AI$5)*AD48+(AO$5&lt;AI$5)*AP48+(AU$5&lt;AI$5)*AV48)))</f>
        <v/>
      </c>
      <c r="AL48">
        <f>IF(AJ48-AK48&lt;0.005,0,AJ48-AK48)</f>
        <v/>
      </c>
      <c r="AM48">
        <f>AR47</f>
        <v/>
      </c>
      <c r="AN48">
        <f>AM48*Plan!D12/100/12</f>
        <v/>
      </c>
      <c r="AO48">
        <f>MIN(Plan!E12,AM48+AN48)</f>
        <v/>
      </c>
      <c r="AP48">
        <f>AM48+AN48-AO48</f>
        <v/>
      </c>
      <c r="AQ48">
        <f>MIN(AP48,MAX(0,$B48-((E$5&lt;AO$5)*F48+(K$5&lt;AO$5)*L48+(Q$5&lt;AO$5)*R48+(W$5&lt;AO$5)*X48+(AC$5&lt;AO$5)*AD48+(AI$5&lt;AO$5)*AJ48+(AU$5&lt;AO$5)*AV48)))</f>
        <v/>
      </c>
      <c r="AR48">
        <f>IF(AP48-AQ48&lt;0.005,0,AP48-AQ48)</f>
        <v/>
      </c>
      <c r="AS48">
        <f>AX47</f>
        <v/>
      </c>
      <c r="AT48">
        <f>AS48*Plan!D13/100/12</f>
        <v/>
      </c>
      <c r="AU48">
        <f>MIN(Plan!E13,AS48+AT48)</f>
        <v/>
      </c>
      <c r="AV48">
        <f>AS48+AT48-AU48</f>
        <v/>
      </c>
      <c r="AW48">
        <f>MIN(AV48,MAX(0,$B48-((E$5&lt;AU$5)*F48+(K$5&lt;AU$5)*L48+(Q$5&lt;AU$5)*R48+(W$5&lt;AU$5)*X48+(AC$5&lt;AU$5)*AD48+(AI$5&lt;AU$5)*AJ48+(AO$5&lt;AU$5)*AP48)))</f>
        <v/>
      </c>
      <c r="AX48">
        <f>IF(AV48-AW48&lt;0.005,0,AV48-AW48)</f>
        <v/>
      </c>
      <c r="BC48">
        <f>H48+N48+T48+Z48+AF48+AL48+AR48+AX48</f>
        <v/>
      </c>
    </row>
    <row r="49">
      <c r="A49" t="n">
        <v>43</v>
      </c>
      <c r="B49" s="19">
        <f>MAX(0,$B$3-(E49+K49+Q49+W49+AC49+AI49+AO49+AU49))</f>
        <v/>
      </c>
      <c r="C49">
        <f>H48</f>
        <v/>
      </c>
      <c r="D49">
        <f>C49*Plan!D6/100/12</f>
        <v/>
      </c>
      <c r="E49">
        <f>MIN(Plan!E6,C49+D49)</f>
        <v/>
      </c>
      <c r="F49">
        <f>C49+D49-E49</f>
        <v/>
      </c>
      <c r="G49">
        <f>MIN(F49,MAX(0,$B49-((K$5&lt;E$5)*L49+(Q$5&lt;E$5)*R49+(W$5&lt;E$5)*X49+(AC$5&lt;E$5)*AD49+(AI$5&lt;E$5)*AJ49+(AO$5&lt;E$5)*AP49+(AU$5&lt;E$5)*AV49)))</f>
        <v/>
      </c>
      <c r="H49">
        <f>IF(F49-G49&lt;0.005,0,F49-G49)</f>
        <v/>
      </c>
      <c r="I49">
        <f>N48</f>
        <v/>
      </c>
      <c r="J49">
        <f>I49*Plan!D7/100/12</f>
        <v/>
      </c>
      <c r="K49">
        <f>MIN(Plan!E7,I49+J49)</f>
        <v/>
      </c>
      <c r="L49">
        <f>I49+J49-K49</f>
        <v/>
      </c>
      <c r="M49">
        <f>MIN(L49,MAX(0,$B49-((E$5&lt;K$5)*F49+(Q$5&lt;K$5)*R49+(W$5&lt;K$5)*X49+(AC$5&lt;K$5)*AD49+(AI$5&lt;K$5)*AJ49+(AO$5&lt;K$5)*AP49+(AU$5&lt;K$5)*AV49)))</f>
        <v/>
      </c>
      <c r="N49">
        <f>IF(L49-M49&lt;0.005,0,L49-M49)</f>
        <v/>
      </c>
      <c r="O49">
        <f>T48</f>
        <v/>
      </c>
      <c r="P49">
        <f>O49*Plan!D8/100/12</f>
        <v/>
      </c>
      <c r="Q49">
        <f>MIN(Plan!E8,O49+P49)</f>
        <v/>
      </c>
      <c r="R49">
        <f>O49+P49-Q49</f>
        <v/>
      </c>
      <c r="S49">
        <f>MIN(R49,MAX(0,$B49-((E$5&lt;Q$5)*F49+(K$5&lt;Q$5)*L49+(W$5&lt;Q$5)*X49+(AC$5&lt;Q$5)*AD49+(AI$5&lt;Q$5)*AJ49+(AO$5&lt;Q$5)*AP49+(AU$5&lt;Q$5)*AV49)))</f>
        <v/>
      </c>
      <c r="T49">
        <f>IF(R49-S49&lt;0.005,0,R49-S49)</f>
        <v/>
      </c>
      <c r="U49">
        <f>Z48</f>
        <v/>
      </c>
      <c r="V49">
        <f>U49*Plan!D9/100/12</f>
        <v/>
      </c>
      <c r="W49">
        <f>MIN(Plan!E9,U49+V49)</f>
        <v/>
      </c>
      <c r="X49">
        <f>U49+V49-W49</f>
        <v/>
      </c>
      <c r="Y49">
        <f>MIN(X49,MAX(0,$B49-((E$5&lt;W$5)*F49+(K$5&lt;W$5)*L49+(Q$5&lt;W$5)*R49+(AC$5&lt;W$5)*AD49+(AI$5&lt;W$5)*AJ49+(AO$5&lt;W$5)*AP49+(AU$5&lt;W$5)*AV49)))</f>
        <v/>
      </c>
      <c r="Z49">
        <f>IF(X49-Y49&lt;0.005,0,X49-Y49)</f>
        <v/>
      </c>
      <c r="AA49">
        <f>AF48</f>
        <v/>
      </c>
      <c r="AB49">
        <f>AA49*Plan!D10/100/12</f>
        <v/>
      </c>
      <c r="AC49">
        <f>MIN(Plan!E10,AA49+AB49)</f>
        <v/>
      </c>
      <c r="AD49">
        <f>AA49+AB49-AC49</f>
        <v/>
      </c>
      <c r="AE49">
        <f>MIN(AD49,MAX(0,$B49-((E$5&lt;AC$5)*F49+(K$5&lt;AC$5)*L49+(Q$5&lt;AC$5)*R49+(W$5&lt;AC$5)*X49+(AI$5&lt;AC$5)*AJ49+(AO$5&lt;AC$5)*AP49+(AU$5&lt;AC$5)*AV49)))</f>
        <v/>
      </c>
      <c r="AF49">
        <f>IF(AD49-AE49&lt;0.005,0,AD49-AE49)</f>
        <v/>
      </c>
      <c r="AG49">
        <f>AL48</f>
        <v/>
      </c>
      <c r="AH49">
        <f>AG49*Plan!D11/100/12</f>
        <v/>
      </c>
      <c r="AI49">
        <f>MIN(Plan!E11,AG49+AH49)</f>
        <v/>
      </c>
      <c r="AJ49">
        <f>AG49+AH49-AI49</f>
        <v/>
      </c>
      <c r="AK49">
        <f>MIN(AJ49,MAX(0,$B49-((E$5&lt;AI$5)*F49+(K$5&lt;AI$5)*L49+(Q$5&lt;AI$5)*R49+(W$5&lt;AI$5)*X49+(AC$5&lt;AI$5)*AD49+(AO$5&lt;AI$5)*AP49+(AU$5&lt;AI$5)*AV49)))</f>
        <v/>
      </c>
      <c r="AL49">
        <f>IF(AJ49-AK49&lt;0.005,0,AJ49-AK49)</f>
        <v/>
      </c>
      <c r="AM49">
        <f>AR48</f>
        <v/>
      </c>
      <c r="AN49">
        <f>AM49*Plan!D12/100/12</f>
        <v/>
      </c>
      <c r="AO49">
        <f>MIN(Plan!E12,AM49+AN49)</f>
        <v/>
      </c>
      <c r="AP49">
        <f>AM49+AN49-AO49</f>
        <v/>
      </c>
      <c r="AQ49">
        <f>MIN(AP49,MAX(0,$B49-((E$5&lt;AO$5)*F49+(K$5&lt;AO$5)*L49+(Q$5&lt;AO$5)*R49+(W$5&lt;AO$5)*X49+(AC$5&lt;AO$5)*AD49+(AI$5&lt;AO$5)*AJ49+(AU$5&lt;AO$5)*AV49)))</f>
        <v/>
      </c>
      <c r="AR49">
        <f>IF(AP49-AQ49&lt;0.005,0,AP49-AQ49)</f>
        <v/>
      </c>
      <c r="AS49">
        <f>AX48</f>
        <v/>
      </c>
      <c r="AT49">
        <f>AS49*Plan!D13/100/12</f>
        <v/>
      </c>
      <c r="AU49">
        <f>MIN(Plan!E13,AS49+AT49)</f>
        <v/>
      </c>
      <c r="AV49">
        <f>AS49+AT49-AU49</f>
        <v/>
      </c>
      <c r="AW49">
        <f>MIN(AV49,MAX(0,$B49-((E$5&lt;AU$5)*F49+(K$5&lt;AU$5)*L49+(Q$5&lt;AU$5)*R49+(W$5&lt;AU$5)*X49+(AC$5&lt;AU$5)*AD49+(AI$5&lt;AU$5)*AJ49+(AO$5&lt;AU$5)*AP49)))</f>
        <v/>
      </c>
      <c r="AX49">
        <f>IF(AV49-AW49&lt;0.005,0,AV49-AW49)</f>
        <v/>
      </c>
      <c r="BC49">
        <f>H49+N49+T49+Z49+AF49+AL49+AR49+AX49</f>
        <v/>
      </c>
    </row>
    <row r="50">
      <c r="A50" t="n">
        <v>44</v>
      </c>
      <c r="B50" s="19">
        <f>MAX(0,$B$3-(E50+K50+Q50+W50+AC50+AI50+AO50+AU50))</f>
        <v/>
      </c>
      <c r="C50">
        <f>H49</f>
        <v/>
      </c>
      <c r="D50">
        <f>C50*Plan!D6/100/12</f>
        <v/>
      </c>
      <c r="E50">
        <f>MIN(Plan!E6,C50+D50)</f>
        <v/>
      </c>
      <c r="F50">
        <f>C50+D50-E50</f>
        <v/>
      </c>
      <c r="G50">
        <f>MIN(F50,MAX(0,$B50-((K$5&lt;E$5)*L50+(Q$5&lt;E$5)*R50+(W$5&lt;E$5)*X50+(AC$5&lt;E$5)*AD50+(AI$5&lt;E$5)*AJ50+(AO$5&lt;E$5)*AP50+(AU$5&lt;E$5)*AV50)))</f>
        <v/>
      </c>
      <c r="H50">
        <f>IF(F50-G50&lt;0.005,0,F50-G50)</f>
        <v/>
      </c>
      <c r="I50">
        <f>N49</f>
        <v/>
      </c>
      <c r="J50">
        <f>I50*Plan!D7/100/12</f>
        <v/>
      </c>
      <c r="K50">
        <f>MIN(Plan!E7,I50+J50)</f>
        <v/>
      </c>
      <c r="L50">
        <f>I50+J50-K50</f>
        <v/>
      </c>
      <c r="M50">
        <f>MIN(L50,MAX(0,$B50-((E$5&lt;K$5)*F50+(Q$5&lt;K$5)*R50+(W$5&lt;K$5)*X50+(AC$5&lt;K$5)*AD50+(AI$5&lt;K$5)*AJ50+(AO$5&lt;K$5)*AP50+(AU$5&lt;K$5)*AV50)))</f>
        <v/>
      </c>
      <c r="N50">
        <f>IF(L50-M50&lt;0.005,0,L50-M50)</f>
        <v/>
      </c>
      <c r="O50">
        <f>T49</f>
        <v/>
      </c>
      <c r="P50">
        <f>O50*Plan!D8/100/12</f>
        <v/>
      </c>
      <c r="Q50">
        <f>MIN(Plan!E8,O50+P50)</f>
        <v/>
      </c>
      <c r="R50">
        <f>O50+P50-Q50</f>
        <v/>
      </c>
      <c r="S50">
        <f>MIN(R50,MAX(0,$B50-((E$5&lt;Q$5)*F50+(K$5&lt;Q$5)*L50+(W$5&lt;Q$5)*X50+(AC$5&lt;Q$5)*AD50+(AI$5&lt;Q$5)*AJ50+(AO$5&lt;Q$5)*AP50+(AU$5&lt;Q$5)*AV50)))</f>
        <v/>
      </c>
      <c r="T50">
        <f>IF(R50-S50&lt;0.005,0,R50-S50)</f>
        <v/>
      </c>
      <c r="U50">
        <f>Z49</f>
        <v/>
      </c>
      <c r="V50">
        <f>U50*Plan!D9/100/12</f>
        <v/>
      </c>
      <c r="W50">
        <f>MIN(Plan!E9,U50+V50)</f>
        <v/>
      </c>
      <c r="X50">
        <f>U50+V50-W50</f>
        <v/>
      </c>
      <c r="Y50">
        <f>MIN(X50,MAX(0,$B50-((E$5&lt;W$5)*F50+(K$5&lt;W$5)*L50+(Q$5&lt;W$5)*R50+(AC$5&lt;W$5)*AD50+(AI$5&lt;W$5)*AJ50+(AO$5&lt;W$5)*AP50+(AU$5&lt;W$5)*AV50)))</f>
        <v/>
      </c>
      <c r="Z50">
        <f>IF(X50-Y50&lt;0.005,0,X50-Y50)</f>
        <v/>
      </c>
      <c r="AA50">
        <f>AF49</f>
        <v/>
      </c>
      <c r="AB50">
        <f>AA50*Plan!D10/100/12</f>
        <v/>
      </c>
      <c r="AC50">
        <f>MIN(Plan!E10,AA50+AB50)</f>
        <v/>
      </c>
      <c r="AD50">
        <f>AA50+AB50-AC50</f>
        <v/>
      </c>
      <c r="AE50">
        <f>MIN(AD50,MAX(0,$B50-((E$5&lt;AC$5)*F50+(K$5&lt;AC$5)*L50+(Q$5&lt;AC$5)*R50+(W$5&lt;AC$5)*X50+(AI$5&lt;AC$5)*AJ50+(AO$5&lt;AC$5)*AP50+(AU$5&lt;AC$5)*AV50)))</f>
        <v/>
      </c>
      <c r="AF50">
        <f>IF(AD50-AE50&lt;0.005,0,AD50-AE50)</f>
        <v/>
      </c>
      <c r="AG50">
        <f>AL49</f>
        <v/>
      </c>
      <c r="AH50">
        <f>AG50*Plan!D11/100/12</f>
        <v/>
      </c>
      <c r="AI50">
        <f>MIN(Plan!E11,AG50+AH50)</f>
        <v/>
      </c>
      <c r="AJ50">
        <f>AG50+AH50-AI50</f>
        <v/>
      </c>
      <c r="AK50">
        <f>MIN(AJ50,MAX(0,$B50-((E$5&lt;AI$5)*F50+(K$5&lt;AI$5)*L50+(Q$5&lt;AI$5)*R50+(W$5&lt;AI$5)*X50+(AC$5&lt;AI$5)*AD50+(AO$5&lt;AI$5)*AP50+(AU$5&lt;AI$5)*AV50)))</f>
        <v/>
      </c>
      <c r="AL50">
        <f>IF(AJ50-AK50&lt;0.005,0,AJ50-AK50)</f>
        <v/>
      </c>
      <c r="AM50">
        <f>AR49</f>
        <v/>
      </c>
      <c r="AN50">
        <f>AM50*Plan!D12/100/12</f>
        <v/>
      </c>
      <c r="AO50">
        <f>MIN(Plan!E12,AM50+AN50)</f>
        <v/>
      </c>
      <c r="AP50">
        <f>AM50+AN50-AO50</f>
        <v/>
      </c>
      <c r="AQ50">
        <f>MIN(AP50,MAX(0,$B50-((E$5&lt;AO$5)*F50+(K$5&lt;AO$5)*L50+(Q$5&lt;AO$5)*R50+(W$5&lt;AO$5)*X50+(AC$5&lt;AO$5)*AD50+(AI$5&lt;AO$5)*AJ50+(AU$5&lt;AO$5)*AV50)))</f>
        <v/>
      </c>
      <c r="AR50">
        <f>IF(AP50-AQ50&lt;0.005,0,AP50-AQ50)</f>
        <v/>
      </c>
      <c r="AS50">
        <f>AX49</f>
        <v/>
      </c>
      <c r="AT50">
        <f>AS50*Plan!D13/100/12</f>
        <v/>
      </c>
      <c r="AU50">
        <f>MIN(Plan!E13,AS50+AT50)</f>
        <v/>
      </c>
      <c r="AV50">
        <f>AS50+AT50-AU50</f>
        <v/>
      </c>
      <c r="AW50">
        <f>MIN(AV50,MAX(0,$B50-((E$5&lt;AU$5)*F50+(K$5&lt;AU$5)*L50+(Q$5&lt;AU$5)*R50+(W$5&lt;AU$5)*X50+(AC$5&lt;AU$5)*AD50+(AI$5&lt;AU$5)*AJ50+(AO$5&lt;AU$5)*AP50)))</f>
        <v/>
      </c>
      <c r="AX50">
        <f>IF(AV50-AW50&lt;0.005,0,AV50-AW50)</f>
        <v/>
      </c>
      <c r="BC50">
        <f>H50+N50+T50+Z50+AF50+AL50+AR50+AX50</f>
        <v/>
      </c>
    </row>
    <row r="51">
      <c r="A51" t="n">
        <v>45</v>
      </c>
      <c r="B51" s="19">
        <f>MAX(0,$B$3-(E51+K51+Q51+W51+AC51+AI51+AO51+AU51))</f>
        <v/>
      </c>
      <c r="C51">
        <f>H50</f>
        <v/>
      </c>
      <c r="D51">
        <f>C51*Plan!D6/100/12</f>
        <v/>
      </c>
      <c r="E51">
        <f>MIN(Plan!E6,C51+D51)</f>
        <v/>
      </c>
      <c r="F51">
        <f>C51+D51-E51</f>
        <v/>
      </c>
      <c r="G51">
        <f>MIN(F51,MAX(0,$B51-((K$5&lt;E$5)*L51+(Q$5&lt;E$5)*R51+(W$5&lt;E$5)*X51+(AC$5&lt;E$5)*AD51+(AI$5&lt;E$5)*AJ51+(AO$5&lt;E$5)*AP51+(AU$5&lt;E$5)*AV51)))</f>
        <v/>
      </c>
      <c r="H51">
        <f>IF(F51-G51&lt;0.005,0,F51-G51)</f>
        <v/>
      </c>
      <c r="I51">
        <f>N50</f>
        <v/>
      </c>
      <c r="J51">
        <f>I51*Plan!D7/100/12</f>
        <v/>
      </c>
      <c r="K51">
        <f>MIN(Plan!E7,I51+J51)</f>
        <v/>
      </c>
      <c r="L51">
        <f>I51+J51-K51</f>
        <v/>
      </c>
      <c r="M51">
        <f>MIN(L51,MAX(0,$B51-((E$5&lt;K$5)*F51+(Q$5&lt;K$5)*R51+(W$5&lt;K$5)*X51+(AC$5&lt;K$5)*AD51+(AI$5&lt;K$5)*AJ51+(AO$5&lt;K$5)*AP51+(AU$5&lt;K$5)*AV51)))</f>
        <v/>
      </c>
      <c r="N51">
        <f>IF(L51-M51&lt;0.005,0,L51-M51)</f>
        <v/>
      </c>
      <c r="O51">
        <f>T50</f>
        <v/>
      </c>
      <c r="P51">
        <f>O51*Plan!D8/100/12</f>
        <v/>
      </c>
      <c r="Q51">
        <f>MIN(Plan!E8,O51+P51)</f>
        <v/>
      </c>
      <c r="R51">
        <f>O51+P51-Q51</f>
        <v/>
      </c>
      <c r="S51">
        <f>MIN(R51,MAX(0,$B51-((E$5&lt;Q$5)*F51+(K$5&lt;Q$5)*L51+(W$5&lt;Q$5)*X51+(AC$5&lt;Q$5)*AD51+(AI$5&lt;Q$5)*AJ51+(AO$5&lt;Q$5)*AP51+(AU$5&lt;Q$5)*AV51)))</f>
        <v/>
      </c>
      <c r="T51">
        <f>IF(R51-S51&lt;0.005,0,R51-S51)</f>
        <v/>
      </c>
      <c r="U51">
        <f>Z50</f>
        <v/>
      </c>
      <c r="V51">
        <f>U51*Plan!D9/100/12</f>
        <v/>
      </c>
      <c r="W51">
        <f>MIN(Plan!E9,U51+V51)</f>
        <v/>
      </c>
      <c r="X51">
        <f>U51+V51-W51</f>
        <v/>
      </c>
      <c r="Y51">
        <f>MIN(X51,MAX(0,$B51-((E$5&lt;W$5)*F51+(K$5&lt;W$5)*L51+(Q$5&lt;W$5)*R51+(AC$5&lt;W$5)*AD51+(AI$5&lt;W$5)*AJ51+(AO$5&lt;W$5)*AP51+(AU$5&lt;W$5)*AV51)))</f>
        <v/>
      </c>
      <c r="Z51">
        <f>IF(X51-Y51&lt;0.005,0,X51-Y51)</f>
        <v/>
      </c>
      <c r="AA51">
        <f>AF50</f>
        <v/>
      </c>
      <c r="AB51">
        <f>AA51*Plan!D10/100/12</f>
        <v/>
      </c>
      <c r="AC51">
        <f>MIN(Plan!E10,AA51+AB51)</f>
        <v/>
      </c>
      <c r="AD51">
        <f>AA51+AB51-AC51</f>
        <v/>
      </c>
      <c r="AE51">
        <f>MIN(AD51,MAX(0,$B51-((E$5&lt;AC$5)*F51+(K$5&lt;AC$5)*L51+(Q$5&lt;AC$5)*R51+(W$5&lt;AC$5)*X51+(AI$5&lt;AC$5)*AJ51+(AO$5&lt;AC$5)*AP51+(AU$5&lt;AC$5)*AV51)))</f>
        <v/>
      </c>
      <c r="AF51">
        <f>IF(AD51-AE51&lt;0.005,0,AD51-AE51)</f>
        <v/>
      </c>
      <c r="AG51">
        <f>AL50</f>
        <v/>
      </c>
      <c r="AH51">
        <f>AG51*Plan!D11/100/12</f>
        <v/>
      </c>
      <c r="AI51">
        <f>MIN(Plan!E11,AG51+AH51)</f>
        <v/>
      </c>
      <c r="AJ51">
        <f>AG51+AH51-AI51</f>
        <v/>
      </c>
      <c r="AK51">
        <f>MIN(AJ51,MAX(0,$B51-((E$5&lt;AI$5)*F51+(K$5&lt;AI$5)*L51+(Q$5&lt;AI$5)*R51+(W$5&lt;AI$5)*X51+(AC$5&lt;AI$5)*AD51+(AO$5&lt;AI$5)*AP51+(AU$5&lt;AI$5)*AV51)))</f>
        <v/>
      </c>
      <c r="AL51">
        <f>IF(AJ51-AK51&lt;0.005,0,AJ51-AK51)</f>
        <v/>
      </c>
      <c r="AM51">
        <f>AR50</f>
        <v/>
      </c>
      <c r="AN51">
        <f>AM51*Plan!D12/100/12</f>
        <v/>
      </c>
      <c r="AO51">
        <f>MIN(Plan!E12,AM51+AN51)</f>
        <v/>
      </c>
      <c r="AP51">
        <f>AM51+AN51-AO51</f>
        <v/>
      </c>
      <c r="AQ51">
        <f>MIN(AP51,MAX(0,$B51-((E$5&lt;AO$5)*F51+(K$5&lt;AO$5)*L51+(Q$5&lt;AO$5)*R51+(W$5&lt;AO$5)*X51+(AC$5&lt;AO$5)*AD51+(AI$5&lt;AO$5)*AJ51+(AU$5&lt;AO$5)*AV51)))</f>
        <v/>
      </c>
      <c r="AR51">
        <f>IF(AP51-AQ51&lt;0.005,0,AP51-AQ51)</f>
        <v/>
      </c>
      <c r="AS51">
        <f>AX50</f>
        <v/>
      </c>
      <c r="AT51">
        <f>AS51*Plan!D13/100/12</f>
        <v/>
      </c>
      <c r="AU51">
        <f>MIN(Plan!E13,AS51+AT51)</f>
        <v/>
      </c>
      <c r="AV51">
        <f>AS51+AT51-AU51</f>
        <v/>
      </c>
      <c r="AW51">
        <f>MIN(AV51,MAX(0,$B51-((E$5&lt;AU$5)*F51+(K$5&lt;AU$5)*L51+(Q$5&lt;AU$5)*R51+(W$5&lt;AU$5)*X51+(AC$5&lt;AU$5)*AD51+(AI$5&lt;AU$5)*AJ51+(AO$5&lt;AU$5)*AP51)))</f>
        <v/>
      </c>
      <c r="AX51">
        <f>IF(AV51-AW51&lt;0.005,0,AV51-AW51)</f>
        <v/>
      </c>
      <c r="BC51">
        <f>H51+N51+T51+Z51+AF51+AL51+AR51+AX51</f>
        <v/>
      </c>
    </row>
    <row r="52">
      <c r="A52" t="n">
        <v>46</v>
      </c>
      <c r="B52" s="19">
        <f>MAX(0,$B$3-(E52+K52+Q52+W52+AC52+AI52+AO52+AU52))</f>
        <v/>
      </c>
      <c r="C52">
        <f>H51</f>
        <v/>
      </c>
      <c r="D52">
        <f>C52*Plan!D6/100/12</f>
        <v/>
      </c>
      <c r="E52">
        <f>MIN(Plan!E6,C52+D52)</f>
        <v/>
      </c>
      <c r="F52">
        <f>C52+D52-E52</f>
        <v/>
      </c>
      <c r="G52">
        <f>MIN(F52,MAX(0,$B52-((K$5&lt;E$5)*L52+(Q$5&lt;E$5)*R52+(W$5&lt;E$5)*X52+(AC$5&lt;E$5)*AD52+(AI$5&lt;E$5)*AJ52+(AO$5&lt;E$5)*AP52+(AU$5&lt;E$5)*AV52)))</f>
        <v/>
      </c>
      <c r="H52">
        <f>IF(F52-G52&lt;0.005,0,F52-G52)</f>
        <v/>
      </c>
      <c r="I52">
        <f>N51</f>
        <v/>
      </c>
      <c r="J52">
        <f>I52*Plan!D7/100/12</f>
        <v/>
      </c>
      <c r="K52">
        <f>MIN(Plan!E7,I52+J52)</f>
        <v/>
      </c>
      <c r="L52">
        <f>I52+J52-K52</f>
        <v/>
      </c>
      <c r="M52">
        <f>MIN(L52,MAX(0,$B52-((E$5&lt;K$5)*F52+(Q$5&lt;K$5)*R52+(W$5&lt;K$5)*X52+(AC$5&lt;K$5)*AD52+(AI$5&lt;K$5)*AJ52+(AO$5&lt;K$5)*AP52+(AU$5&lt;K$5)*AV52)))</f>
        <v/>
      </c>
      <c r="N52">
        <f>IF(L52-M52&lt;0.005,0,L52-M52)</f>
        <v/>
      </c>
      <c r="O52">
        <f>T51</f>
        <v/>
      </c>
      <c r="P52">
        <f>O52*Plan!D8/100/12</f>
        <v/>
      </c>
      <c r="Q52">
        <f>MIN(Plan!E8,O52+P52)</f>
        <v/>
      </c>
      <c r="R52">
        <f>O52+P52-Q52</f>
        <v/>
      </c>
      <c r="S52">
        <f>MIN(R52,MAX(0,$B52-((E$5&lt;Q$5)*F52+(K$5&lt;Q$5)*L52+(W$5&lt;Q$5)*X52+(AC$5&lt;Q$5)*AD52+(AI$5&lt;Q$5)*AJ52+(AO$5&lt;Q$5)*AP52+(AU$5&lt;Q$5)*AV52)))</f>
        <v/>
      </c>
      <c r="T52">
        <f>IF(R52-S52&lt;0.005,0,R52-S52)</f>
        <v/>
      </c>
      <c r="U52">
        <f>Z51</f>
        <v/>
      </c>
      <c r="V52">
        <f>U52*Plan!D9/100/12</f>
        <v/>
      </c>
      <c r="W52">
        <f>MIN(Plan!E9,U52+V52)</f>
        <v/>
      </c>
      <c r="X52">
        <f>U52+V52-W52</f>
        <v/>
      </c>
      <c r="Y52">
        <f>MIN(X52,MAX(0,$B52-((E$5&lt;W$5)*F52+(K$5&lt;W$5)*L52+(Q$5&lt;W$5)*R52+(AC$5&lt;W$5)*AD52+(AI$5&lt;W$5)*AJ52+(AO$5&lt;W$5)*AP52+(AU$5&lt;W$5)*AV52)))</f>
        <v/>
      </c>
      <c r="Z52">
        <f>IF(X52-Y52&lt;0.005,0,X52-Y52)</f>
        <v/>
      </c>
      <c r="AA52">
        <f>AF51</f>
        <v/>
      </c>
      <c r="AB52">
        <f>AA52*Plan!D10/100/12</f>
        <v/>
      </c>
      <c r="AC52">
        <f>MIN(Plan!E10,AA52+AB52)</f>
        <v/>
      </c>
      <c r="AD52">
        <f>AA52+AB52-AC52</f>
        <v/>
      </c>
      <c r="AE52">
        <f>MIN(AD52,MAX(0,$B52-((E$5&lt;AC$5)*F52+(K$5&lt;AC$5)*L52+(Q$5&lt;AC$5)*R52+(W$5&lt;AC$5)*X52+(AI$5&lt;AC$5)*AJ52+(AO$5&lt;AC$5)*AP52+(AU$5&lt;AC$5)*AV52)))</f>
        <v/>
      </c>
      <c r="AF52">
        <f>IF(AD52-AE52&lt;0.005,0,AD52-AE52)</f>
        <v/>
      </c>
      <c r="AG52">
        <f>AL51</f>
        <v/>
      </c>
      <c r="AH52">
        <f>AG52*Plan!D11/100/12</f>
        <v/>
      </c>
      <c r="AI52">
        <f>MIN(Plan!E11,AG52+AH52)</f>
        <v/>
      </c>
      <c r="AJ52">
        <f>AG52+AH52-AI52</f>
        <v/>
      </c>
      <c r="AK52">
        <f>MIN(AJ52,MAX(0,$B52-((E$5&lt;AI$5)*F52+(K$5&lt;AI$5)*L52+(Q$5&lt;AI$5)*R52+(W$5&lt;AI$5)*X52+(AC$5&lt;AI$5)*AD52+(AO$5&lt;AI$5)*AP52+(AU$5&lt;AI$5)*AV52)))</f>
        <v/>
      </c>
      <c r="AL52">
        <f>IF(AJ52-AK52&lt;0.005,0,AJ52-AK52)</f>
        <v/>
      </c>
      <c r="AM52">
        <f>AR51</f>
        <v/>
      </c>
      <c r="AN52">
        <f>AM52*Plan!D12/100/12</f>
        <v/>
      </c>
      <c r="AO52">
        <f>MIN(Plan!E12,AM52+AN52)</f>
        <v/>
      </c>
      <c r="AP52">
        <f>AM52+AN52-AO52</f>
        <v/>
      </c>
      <c r="AQ52">
        <f>MIN(AP52,MAX(0,$B52-((E$5&lt;AO$5)*F52+(K$5&lt;AO$5)*L52+(Q$5&lt;AO$5)*R52+(W$5&lt;AO$5)*X52+(AC$5&lt;AO$5)*AD52+(AI$5&lt;AO$5)*AJ52+(AU$5&lt;AO$5)*AV52)))</f>
        <v/>
      </c>
      <c r="AR52">
        <f>IF(AP52-AQ52&lt;0.005,0,AP52-AQ52)</f>
        <v/>
      </c>
      <c r="AS52">
        <f>AX51</f>
        <v/>
      </c>
      <c r="AT52">
        <f>AS52*Plan!D13/100/12</f>
        <v/>
      </c>
      <c r="AU52">
        <f>MIN(Plan!E13,AS52+AT52)</f>
        <v/>
      </c>
      <c r="AV52">
        <f>AS52+AT52-AU52</f>
        <v/>
      </c>
      <c r="AW52">
        <f>MIN(AV52,MAX(0,$B52-((E$5&lt;AU$5)*F52+(K$5&lt;AU$5)*L52+(Q$5&lt;AU$5)*R52+(W$5&lt;AU$5)*X52+(AC$5&lt;AU$5)*AD52+(AI$5&lt;AU$5)*AJ52+(AO$5&lt;AU$5)*AP52)))</f>
        <v/>
      </c>
      <c r="AX52">
        <f>IF(AV52-AW52&lt;0.005,0,AV52-AW52)</f>
        <v/>
      </c>
      <c r="BC52">
        <f>H52+N52+T52+Z52+AF52+AL52+AR52+AX52</f>
        <v/>
      </c>
    </row>
    <row r="53">
      <c r="A53" t="n">
        <v>47</v>
      </c>
      <c r="B53" s="19">
        <f>MAX(0,$B$3-(E53+K53+Q53+W53+AC53+AI53+AO53+AU53))</f>
        <v/>
      </c>
      <c r="C53">
        <f>H52</f>
        <v/>
      </c>
      <c r="D53">
        <f>C53*Plan!D6/100/12</f>
        <v/>
      </c>
      <c r="E53">
        <f>MIN(Plan!E6,C53+D53)</f>
        <v/>
      </c>
      <c r="F53">
        <f>C53+D53-E53</f>
        <v/>
      </c>
      <c r="G53">
        <f>MIN(F53,MAX(0,$B53-((K$5&lt;E$5)*L53+(Q$5&lt;E$5)*R53+(W$5&lt;E$5)*X53+(AC$5&lt;E$5)*AD53+(AI$5&lt;E$5)*AJ53+(AO$5&lt;E$5)*AP53+(AU$5&lt;E$5)*AV53)))</f>
        <v/>
      </c>
      <c r="H53">
        <f>IF(F53-G53&lt;0.005,0,F53-G53)</f>
        <v/>
      </c>
      <c r="I53">
        <f>N52</f>
        <v/>
      </c>
      <c r="J53">
        <f>I53*Plan!D7/100/12</f>
        <v/>
      </c>
      <c r="K53">
        <f>MIN(Plan!E7,I53+J53)</f>
        <v/>
      </c>
      <c r="L53">
        <f>I53+J53-K53</f>
        <v/>
      </c>
      <c r="M53">
        <f>MIN(L53,MAX(0,$B53-((E$5&lt;K$5)*F53+(Q$5&lt;K$5)*R53+(W$5&lt;K$5)*X53+(AC$5&lt;K$5)*AD53+(AI$5&lt;K$5)*AJ53+(AO$5&lt;K$5)*AP53+(AU$5&lt;K$5)*AV53)))</f>
        <v/>
      </c>
      <c r="N53">
        <f>IF(L53-M53&lt;0.005,0,L53-M53)</f>
        <v/>
      </c>
      <c r="O53">
        <f>T52</f>
        <v/>
      </c>
      <c r="P53">
        <f>O53*Plan!D8/100/12</f>
        <v/>
      </c>
      <c r="Q53">
        <f>MIN(Plan!E8,O53+P53)</f>
        <v/>
      </c>
      <c r="R53">
        <f>O53+P53-Q53</f>
        <v/>
      </c>
      <c r="S53">
        <f>MIN(R53,MAX(0,$B53-((E$5&lt;Q$5)*F53+(K$5&lt;Q$5)*L53+(W$5&lt;Q$5)*X53+(AC$5&lt;Q$5)*AD53+(AI$5&lt;Q$5)*AJ53+(AO$5&lt;Q$5)*AP53+(AU$5&lt;Q$5)*AV53)))</f>
        <v/>
      </c>
      <c r="T53">
        <f>IF(R53-S53&lt;0.005,0,R53-S53)</f>
        <v/>
      </c>
      <c r="U53">
        <f>Z52</f>
        <v/>
      </c>
      <c r="V53">
        <f>U53*Plan!D9/100/12</f>
        <v/>
      </c>
      <c r="W53">
        <f>MIN(Plan!E9,U53+V53)</f>
        <v/>
      </c>
      <c r="X53">
        <f>U53+V53-W53</f>
        <v/>
      </c>
      <c r="Y53">
        <f>MIN(X53,MAX(0,$B53-((E$5&lt;W$5)*F53+(K$5&lt;W$5)*L53+(Q$5&lt;W$5)*R53+(AC$5&lt;W$5)*AD53+(AI$5&lt;W$5)*AJ53+(AO$5&lt;W$5)*AP53+(AU$5&lt;W$5)*AV53)))</f>
        <v/>
      </c>
      <c r="Z53">
        <f>IF(X53-Y53&lt;0.005,0,X53-Y53)</f>
        <v/>
      </c>
      <c r="AA53">
        <f>AF52</f>
        <v/>
      </c>
      <c r="AB53">
        <f>AA53*Plan!D10/100/12</f>
        <v/>
      </c>
      <c r="AC53">
        <f>MIN(Plan!E10,AA53+AB53)</f>
        <v/>
      </c>
      <c r="AD53">
        <f>AA53+AB53-AC53</f>
        <v/>
      </c>
      <c r="AE53">
        <f>MIN(AD53,MAX(0,$B53-((E$5&lt;AC$5)*F53+(K$5&lt;AC$5)*L53+(Q$5&lt;AC$5)*R53+(W$5&lt;AC$5)*X53+(AI$5&lt;AC$5)*AJ53+(AO$5&lt;AC$5)*AP53+(AU$5&lt;AC$5)*AV53)))</f>
        <v/>
      </c>
      <c r="AF53">
        <f>IF(AD53-AE53&lt;0.005,0,AD53-AE53)</f>
        <v/>
      </c>
      <c r="AG53">
        <f>AL52</f>
        <v/>
      </c>
      <c r="AH53">
        <f>AG53*Plan!D11/100/12</f>
        <v/>
      </c>
      <c r="AI53">
        <f>MIN(Plan!E11,AG53+AH53)</f>
        <v/>
      </c>
      <c r="AJ53">
        <f>AG53+AH53-AI53</f>
        <v/>
      </c>
      <c r="AK53">
        <f>MIN(AJ53,MAX(0,$B53-((E$5&lt;AI$5)*F53+(K$5&lt;AI$5)*L53+(Q$5&lt;AI$5)*R53+(W$5&lt;AI$5)*X53+(AC$5&lt;AI$5)*AD53+(AO$5&lt;AI$5)*AP53+(AU$5&lt;AI$5)*AV53)))</f>
        <v/>
      </c>
      <c r="AL53">
        <f>IF(AJ53-AK53&lt;0.005,0,AJ53-AK53)</f>
        <v/>
      </c>
      <c r="AM53">
        <f>AR52</f>
        <v/>
      </c>
      <c r="AN53">
        <f>AM53*Plan!D12/100/12</f>
        <v/>
      </c>
      <c r="AO53">
        <f>MIN(Plan!E12,AM53+AN53)</f>
        <v/>
      </c>
      <c r="AP53">
        <f>AM53+AN53-AO53</f>
        <v/>
      </c>
      <c r="AQ53">
        <f>MIN(AP53,MAX(0,$B53-((E$5&lt;AO$5)*F53+(K$5&lt;AO$5)*L53+(Q$5&lt;AO$5)*R53+(W$5&lt;AO$5)*X53+(AC$5&lt;AO$5)*AD53+(AI$5&lt;AO$5)*AJ53+(AU$5&lt;AO$5)*AV53)))</f>
        <v/>
      </c>
      <c r="AR53">
        <f>IF(AP53-AQ53&lt;0.005,0,AP53-AQ53)</f>
        <v/>
      </c>
      <c r="AS53">
        <f>AX52</f>
        <v/>
      </c>
      <c r="AT53">
        <f>AS53*Plan!D13/100/12</f>
        <v/>
      </c>
      <c r="AU53">
        <f>MIN(Plan!E13,AS53+AT53)</f>
        <v/>
      </c>
      <c r="AV53">
        <f>AS53+AT53-AU53</f>
        <v/>
      </c>
      <c r="AW53">
        <f>MIN(AV53,MAX(0,$B53-((E$5&lt;AU$5)*F53+(K$5&lt;AU$5)*L53+(Q$5&lt;AU$5)*R53+(W$5&lt;AU$5)*X53+(AC$5&lt;AU$5)*AD53+(AI$5&lt;AU$5)*AJ53+(AO$5&lt;AU$5)*AP53)))</f>
        <v/>
      </c>
      <c r="AX53">
        <f>IF(AV53-AW53&lt;0.005,0,AV53-AW53)</f>
        <v/>
      </c>
      <c r="BC53">
        <f>H53+N53+T53+Z53+AF53+AL53+AR53+AX53</f>
        <v/>
      </c>
    </row>
    <row r="54">
      <c r="A54" t="n">
        <v>48</v>
      </c>
      <c r="B54" s="19">
        <f>MAX(0,$B$3-(E54+K54+Q54+W54+AC54+AI54+AO54+AU54))</f>
        <v/>
      </c>
      <c r="C54">
        <f>H53</f>
        <v/>
      </c>
      <c r="D54">
        <f>C54*Plan!D6/100/12</f>
        <v/>
      </c>
      <c r="E54">
        <f>MIN(Plan!E6,C54+D54)</f>
        <v/>
      </c>
      <c r="F54">
        <f>C54+D54-E54</f>
        <v/>
      </c>
      <c r="G54">
        <f>MIN(F54,MAX(0,$B54-((K$5&lt;E$5)*L54+(Q$5&lt;E$5)*R54+(W$5&lt;E$5)*X54+(AC$5&lt;E$5)*AD54+(AI$5&lt;E$5)*AJ54+(AO$5&lt;E$5)*AP54+(AU$5&lt;E$5)*AV54)))</f>
        <v/>
      </c>
      <c r="H54">
        <f>IF(F54-G54&lt;0.005,0,F54-G54)</f>
        <v/>
      </c>
      <c r="I54">
        <f>N53</f>
        <v/>
      </c>
      <c r="J54">
        <f>I54*Plan!D7/100/12</f>
        <v/>
      </c>
      <c r="K54">
        <f>MIN(Plan!E7,I54+J54)</f>
        <v/>
      </c>
      <c r="L54">
        <f>I54+J54-K54</f>
        <v/>
      </c>
      <c r="M54">
        <f>MIN(L54,MAX(0,$B54-((E$5&lt;K$5)*F54+(Q$5&lt;K$5)*R54+(W$5&lt;K$5)*X54+(AC$5&lt;K$5)*AD54+(AI$5&lt;K$5)*AJ54+(AO$5&lt;K$5)*AP54+(AU$5&lt;K$5)*AV54)))</f>
        <v/>
      </c>
      <c r="N54">
        <f>IF(L54-M54&lt;0.005,0,L54-M54)</f>
        <v/>
      </c>
      <c r="O54">
        <f>T53</f>
        <v/>
      </c>
      <c r="P54">
        <f>O54*Plan!D8/100/12</f>
        <v/>
      </c>
      <c r="Q54">
        <f>MIN(Plan!E8,O54+P54)</f>
        <v/>
      </c>
      <c r="R54">
        <f>O54+P54-Q54</f>
        <v/>
      </c>
      <c r="S54">
        <f>MIN(R54,MAX(0,$B54-((E$5&lt;Q$5)*F54+(K$5&lt;Q$5)*L54+(W$5&lt;Q$5)*X54+(AC$5&lt;Q$5)*AD54+(AI$5&lt;Q$5)*AJ54+(AO$5&lt;Q$5)*AP54+(AU$5&lt;Q$5)*AV54)))</f>
        <v/>
      </c>
      <c r="T54">
        <f>IF(R54-S54&lt;0.005,0,R54-S54)</f>
        <v/>
      </c>
      <c r="U54">
        <f>Z53</f>
        <v/>
      </c>
      <c r="V54">
        <f>U54*Plan!D9/100/12</f>
        <v/>
      </c>
      <c r="W54">
        <f>MIN(Plan!E9,U54+V54)</f>
        <v/>
      </c>
      <c r="X54">
        <f>U54+V54-W54</f>
        <v/>
      </c>
      <c r="Y54">
        <f>MIN(X54,MAX(0,$B54-((E$5&lt;W$5)*F54+(K$5&lt;W$5)*L54+(Q$5&lt;W$5)*R54+(AC$5&lt;W$5)*AD54+(AI$5&lt;W$5)*AJ54+(AO$5&lt;W$5)*AP54+(AU$5&lt;W$5)*AV54)))</f>
        <v/>
      </c>
      <c r="Z54">
        <f>IF(X54-Y54&lt;0.005,0,X54-Y54)</f>
        <v/>
      </c>
      <c r="AA54">
        <f>AF53</f>
        <v/>
      </c>
      <c r="AB54">
        <f>AA54*Plan!D10/100/12</f>
        <v/>
      </c>
      <c r="AC54">
        <f>MIN(Plan!E10,AA54+AB54)</f>
        <v/>
      </c>
      <c r="AD54">
        <f>AA54+AB54-AC54</f>
        <v/>
      </c>
      <c r="AE54">
        <f>MIN(AD54,MAX(0,$B54-((E$5&lt;AC$5)*F54+(K$5&lt;AC$5)*L54+(Q$5&lt;AC$5)*R54+(W$5&lt;AC$5)*X54+(AI$5&lt;AC$5)*AJ54+(AO$5&lt;AC$5)*AP54+(AU$5&lt;AC$5)*AV54)))</f>
        <v/>
      </c>
      <c r="AF54">
        <f>IF(AD54-AE54&lt;0.005,0,AD54-AE54)</f>
        <v/>
      </c>
      <c r="AG54">
        <f>AL53</f>
        <v/>
      </c>
      <c r="AH54">
        <f>AG54*Plan!D11/100/12</f>
        <v/>
      </c>
      <c r="AI54">
        <f>MIN(Plan!E11,AG54+AH54)</f>
        <v/>
      </c>
      <c r="AJ54">
        <f>AG54+AH54-AI54</f>
        <v/>
      </c>
      <c r="AK54">
        <f>MIN(AJ54,MAX(0,$B54-((E$5&lt;AI$5)*F54+(K$5&lt;AI$5)*L54+(Q$5&lt;AI$5)*R54+(W$5&lt;AI$5)*X54+(AC$5&lt;AI$5)*AD54+(AO$5&lt;AI$5)*AP54+(AU$5&lt;AI$5)*AV54)))</f>
        <v/>
      </c>
      <c r="AL54">
        <f>IF(AJ54-AK54&lt;0.005,0,AJ54-AK54)</f>
        <v/>
      </c>
      <c r="AM54">
        <f>AR53</f>
        <v/>
      </c>
      <c r="AN54">
        <f>AM54*Plan!D12/100/12</f>
        <v/>
      </c>
      <c r="AO54">
        <f>MIN(Plan!E12,AM54+AN54)</f>
        <v/>
      </c>
      <c r="AP54">
        <f>AM54+AN54-AO54</f>
        <v/>
      </c>
      <c r="AQ54">
        <f>MIN(AP54,MAX(0,$B54-((E$5&lt;AO$5)*F54+(K$5&lt;AO$5)*L54+(Q$5&lt;AO$5)*R54+(W$5&lt;AO$5)*X54+(AC$5&lt;AO$5)*AD54+(AI$5&lt;AO$5)*AJ54+(AU$5&lt;AO$5)*AV54)))</f>
        <v/>
      </c>
      <c r="AR54">
        <f>IF(AP54-AQ54&lt;0.005,0,AP54-AQ54)</f>
        <v/>
      </c>
      <c r="AS54">
        <f>AX53</f>
        <v/>
      </c>
      <c r="AT54">
        <f>AS54*Plan!D13/100/12</f>
        <v/>
      </c>
      <c r="AU54">
        <f>MIN(Plan!E13,AS54+AT54)</f>
        <v/>
      </c>
      <c r="AV54">
        <f>AS54+AT54-AU54</f>
        <v/>
      </c>
      <c r="AW54">
        <f>MIN(AV54,MAX(0,$B54-((E$5&lt;AU$5)*F54+(K$5&lt;AU$5)*L54+(Q$5&lt;AU$5)*R54+(W$5&lt;AU$5)*X54+(AC$5&lt;AU$5)*AD54+(AI$5&lt;AU$5)*AJ54+(AO$5&lt;AU$5)*AP54)))</f>
        <v/>
      </c>
      <c r="AX54">
        <f>IF(AV54-AW54&lt;0.005,0,AV54-AW54)</f>
        <v/>
      </c>
      <c r="BC54">
        <f>H54+N54+T54+Z54+AF54+AL54+AR54+AX54</f>
        <v/>
      </c>
    </row>
    <row r="55">
      <c r="A55" t="n">
        <v>49</v>
      </c>
      <c r="B55" s="19">
        <f>MAX(0,$B$3-(E55+K55+Q55+W55+AC55+AI55+AO55+AU55))</f>
        <v/>
      </c>
      <c r="C55">
        <f>H54</f>
        <v/>
      </c>
      <c r="D55">
        <f>C55*Plan!D6/100/12</f>
        <v/>
      </c>
      <c r="E55">
        <f>MIN(Plan!E6,C55+D55)</f>
        <v/>
      </c>
      <c r="F55">
        <f>C55+D55-E55</f>
        <v/>
      </c>
      <c r="G55">
        <f>MIN(F55,MAX(0,$B55-((K$5&lt;E$5)*L55+(Q$5&lt;E$5)*R55+(W$5&lt;E$5)*X55+(AC$5&lt;E$5)*AD55+(AI$5&lt;E$5)*AJ55+(AO$5&lt;E$5)*AP55+(AU$5&lt;E$5)*AV55)))</f>
        <v/>
      </c>
      <c r="H55">
        <f>IF(F55-G55&lt;0.005,0,F55-G55)</f>
        <v/>
      </c>
      <c r="I55">
        <f>N54</f>
        <v/>
      </c>
      <c r="J55">
        <f>I55*Plan!D7/100/12</f>
        <v/>
      </c>
      <c r="K55">
        <f>MIN(Plan!E7,I55+J55)</f>
        <v/>
      </c>
      <c r="L55">
        <f>I55+J55-K55</f>
        <v/>
      </c>
      <c r="M55">
        <f>MIN(L55,MAX(0,$B55-((E$5&lt;K$5)*F55+(Q$5&lt;K$5)*R55+(W$5&lt;K$5)*X55+(AC$5&lt;K$5)*AD55+(AI$5&lt;K$5)*AJ55+(AO$5&lt;K$5)*AP55+(AU$5&lt;K$5)*AV55)))</f>
        <v/>
      </c>
      <c r="N55">
        <f>IF(L55-M55&lt;0.005,0,L55-M55)</f>
        <v/>
      </c>
      <c r="O55">
        <f>T54</f>
        <v/>
      </c>
      <c r="P55">
        <f>O55*Plan!D8/100/12</f>
        <v/>
      </c>
      <c r="Q55">
        <f>MIN(Plan!E8,O55+P55)</f>
        <v/>
      </c>
      <c r="R55">
        <f>O55+P55-Q55</f>
        <v/>
      </c>
      <c r="S55">
        <f>MIN(R55,MAX(0,$B55-((E$5&lt;Q$5)*F55+(K$5&lt;Q$5)*L55+(W$5&lt;Q$5)*X55+(AC$5&lt;Q$5)*AD55+(AI$5&lt;Q$5)*AJ55+(AO$5&lt;Q$5)*AP55+(AU$5&lt;Q$5)*AV55)))</f>
        <v/>
      </c>
      <c r="T55">
        <f>IF(R55-S55&lt;0.005,0,R55-S55)</f>
        <v/>
      </c>
      <c r="U55">
        <f>Z54</f>
        <v/>
      </c>
      <c r="V55">
        <f>U55*Plan!D9/100/12</f>
        <v/>
      </c>
      <c r="W55">
        <f>MIN(Plan!E9,U55+V55)</f>
        <v/>
      </c>
      <c r="X55">
        <f>U55+V55-W55</f>
        <v/>
      </c>
      <c r="Y55">
        <f>MIN(X55,MAX(0,$B55-((E$5&lt;W$5)*F55+(K$5&lt;W$5)*L55+(Q$5&lt;W$5)*R55+(AC$5&lt;W$5)*AD55+(AI$5&lt;W$5)*AJ55+(AO$5&lt;W$5)*AP55+(AU$5&lt;W$5)*AV55)))</f>
        <v/>
      </c>
      <c r="Z55">
        <f>IF(X55-Y55&lt;0.005,0,X55-Y55)</f>
        <v/>
      </c>
      <c r="AA55">
        <f>AF54</f>
        <v/>
      </c>
      <c r="AB55">
        <f>AA55*Plan!D10/100/12</f>
        <v/>
      </c>
      <c r="AC55">
        <f>MIN(Plan!E10,AA55+AB55)</f>
        <v/>
      </c>
      <c r="AD55">
        <f>AA55+AB55-AC55</f>
        <v/>
      </c>
      <c r="AE55">
        <f>MIN(AD55,MAX(0,$B55-((E$5&lt;AC$5)*F55+(K$5&lt;AC$5)*L55+(Q$5&lt;AC$5)*R55+(W$5&lt;AC$5)*X55+(AI$5&lt;AC$5)*AJ55+(AO$5&lt;AC$5)*AP55+(AU$5&lt;AC$5)*AV55)))</f>
        <v/>
      </c>
      <c r="AF55">
        <f>IF(AD55-AE55&lt;0.005,0,AD55-AE55)</f>
        <v/>
      </c>
      <c r="AG55">
        <f>AL54</f>
        <v/>
      </c>
      <c r="AH55">
        <f>AG55*Plan!D11/100/12</f>
        <v/>
      </c>
      <c r="AI55">
        <f>MIN(Plan!E11,AG55+AH55)</f>
        <v/>
      </c>
      <c r="AJ55">
        <f>AG55+AH55-AI55</f>
        <v/>
      </c>
      <c r="AK55">
        <f>MIN(AJ55,MAX(0,$B55-((E$5&lt;AI$5)*F55+(K$5&lt;AI$5)*L55+(Q$5&lt;AI$5)*R55+(W$5&lt;AI$5)*X55+(AC$5&lt;AI$5)*AD55+(AO$5&lt;AI$5)*AP55+(AU$5&lt;AI$5)*AV55)))</f>
        <v/>
      </c>
      <c r="AL55">
        <f>IF(AJ55-AK55&lt;0.005,0,AJ55-AK55)</f>
        <v/>
      </c>
      <c r="AM55">
        <f>AR54</f>
        <v/>
      </c>
      <c r="AN55">
        <f>AM55*Plan!D12/100/12</f>
        <v/>
      </c>
      <c r="AO55">
        <f>MIN(Plan!E12,AM55+AN55)</f>
        <v/>
      </c>
      <c r="AP55">
        <f>AM55+AN55-AO55</f>
        <v/>
      </c>
      <c r="AQ55">
        <f>MIN(AP55,MAX(0,$B55-((E$5&lt;AO$5)*F55+(K$5&lt;AO$5)*L55+(Q$5&lt;AO$5)*R55+(W$5&lt;AO$5)*X55+(AC$5&lt;AO$5)*AD55+(AI$5&lt;AO$5)*AJ55+(AU$5&lt;AO$5)*AV55)))</f>
        <v/>
      </c>
      <c r="AR55">
        <f>IF(AP55-AQ55&lt;0.005,0,AP55-AQ55)</f>
        <v/>
      </c>
      <c r="AS55">
        <f>AX54</f>
        <v/>
      </c>
      <c r="AT55">
        <f>AS55*Plan!D13/100/12</f>
        <v/>
      </c>
      <c r="AU55">
        <f>MIN(Plan!E13,AS55+AT55)</f>
        <v/>
      </c>
      <c r="AV55">
        <f>AS55+AT55-AU55</f>
        <v/>
      </c>
      <c r="AW55">
        <f>MIN(AV55,MAX(0,$B55-((E$5&lt;AU$5)*F55+(K$5&lt;AU$5)*L55+(Q$5&lt;AU$5)*R55+(W$5&lt;AU$5)*X55+(AC$5&lt;AU$5)*AD55+(AI$5&lt;AU$5)*AJ55+(AO$5&lt;AU$5)*AP55)))</f>
        <v/>
      </c>
      <c r="AX55">
        <f>IF(AV55-AW55&lt;0.005,0,AV55-AW55)</f>
        <v/>
      </c>
      <c r="BC55">
        <f>H55+N55+T55+Z55+AF55+AL55+AR55+AX55</f>
        <v/>
      </c>
    </row>
    <row r="56">
      <c r="A56" t="n">
        <v>50</v>
      </c>
      <c r="B56" s="19">
        <f>MAX(0,$B$3-(E56+K56+Q56+W56+AC56+AI56+AO56+AU56))</f>
        <v/>
      </c>
      <c r="C56">
        <f>H55</f>
        <v/>
      </c>
      <c r="D56">
        <f>C56*Plan!D6/100/12</f>
        <v/>
      </c>
      <c r="E56">
        <f>MIN(Plan!E6,C56+D56)</f>
        <v/>
      </c>
      <c r="F56">
        <f>C56+D56-E56</f>
        <v/>
      </c>
      <c r="G56">
        <f>MIN(F56,MAX(0,$B56-((K$5&lt;E$5)*L56+(Q$5&lt;E$5)*R56+(W$5&lt;E$5)*X56+(AC$5&lt;E$5)*AD56+(AI$5&lt;E$5)*AJ56+(AO$5&lt;E$5)*AP56+(AU$5&lt;E$5)*AV56)))</f>
        <v/>
      </c>
      <c r="H56">
        <f>IF(F56-G56&lt;0.005,0,F56-G56)</f>
        <v/>
      </c>
      <c r="I56">
        <f>N55</f>
        <v/>
      </c>
      <c r="J56">
        <f>I56*Plan!D7/100/12</f>
        <v/>
      </c>
      <c r="K56">
        <f>MIN(Plan!E7,I56+J56)</f>
        <v/>
      </c>
      <c r="L56">
        <f>I56+J56-K56</f>
        <v/>
      </c>
      <c r="M56">
        <f>MIN(L56,MAX(0,$B56-((E$5&lt;K$5)*F56+(Q$5&lt;K$5)*R56+(W$5&lt;K$5)*X56+(AC$5&lt;K$5)*AD56+(AI$5&lt;K$5)*AJ56+(AO$5&lt;K$5)*AP56+(AU$5&lt;K$5)*AV56)))</f>
        <v/>
      </c>
      <c r="N56">
        <f>IF(L56-M56&lt;0.005,0,L56-M56)</f>
        <v/>
      </c>
      <c r="O56">
        <f>T55</f>
        <v/>
      </c>
      <c r="P56">
        <f>O56*Plan!D8/100/12</f>
        <v/>
      </c>
      <c r="Q56">
        <f>MIN(Plan!E8,O56+P56)</f>
        <v/>
      </c>
      <c r="R56">
        <f>O56+P56-Q56</f>
        <v/>
      </c>
      <c r="S56">
        <f>MIN(R56,MAX(0,$B56-((E$5&lt;Q$5)*F56+(K$5&lt;Q$5)*L56+(W$5&lt;Q$5)*X56+(AC$5&lt;Q$5)*AD56+(AI$5&lt;Q$5)*AJ56+(AO$5&lt;Q$5)*AP56+(AU$5&lt;Q$5)*AV56)))</f>
        <v/>
      </c>
      <c r="T56">
        <f>IF(R56-S56&lt;0.005,0,R56-S56)</f>
        <v/>
      </c>
      <c r="U56">
        <f>Z55</f>
        <v/>
      </c>
      <c r="V56">
        <f>U56*Plan!D9/100/12</f>
        <v/>
      </c>
      <c r="W56">
        <f>MIN(Plan!E9,U56+V56)</f>
        <v/>
      </c>
      <c r="X56">
        <f>U56+V56-W56</f>
        <v/>
      </c>
      <c r="Y56">
        <f>MIN(X56,MAX(0,$B56-((E$5&lt;W$5)*F56+(K$5&lt;W$5)*L56+(Q$5&lt;W$5)*R56+(AC$5&lt;W$5)*AD56+(AI$5&lt;W$5)*AJ56+(AO$5&lt;W$5)*AP56+(AU$5&lt;W$5)*AV56)))</f>
        <v/>
      </c>
      <c r="Z56">
        <f>IF(X56-Y56&lt;0.005,0,X56-Y56)</f>
        <v/>
      </c>
      <c r="AA56">
        <f>AF55</f>
        <v/>
      </c>
      <c r="AB56">
        <f>AA56*Plan!D10/100/12</f>
        <v/>
      </c>
      <c r="AC56">
        <f>MIN(Plan!E10,AA56+AB56)</f>
        <v/>
      </c>
      <c r="AD56">
        <f>AA56+AB56-AC56</f>
        <v/>
      </c>
      <c r="AE56">
        <f>MIN(AD56,MAX(0,$B56-((E$5&lt;AC$5)*F56+(K$5&lt;AC$5)*L56+(Q$5&lt;AC$5)*R56+(W$5&lt;AC$5)*X56+(AI$5&lt;AC$5)*AJ56+(AO$5&lt;AC$5)*AP56+(AU$5&lt;AC$5)*AV56)))</f>
        <v/>
      </c>
      <c r="AF56">
        <f>IF(AD56-AE56&lt;0.005,0,AD56-AE56)</f>
        <v/>
      </c>
      <c r="AG56">
        <f>AL55</f>
        <v/>
      </c>
      <c r="AH56">
        <f>AG56*Plan!D11/100/12</f>
        <v/>
      </c>
      <c r="AI56">
        <f>MIN(Plan!E11,AG56+AH56)</f>
        <v/>
      </c>
      <c r="AJ56">
        <f>AG56+AH56-AI56</f>
        <v/>
      </c>
      <c r="AK56">
        <f>MIN(AJ56,MAX(0,$B56-((E$5&lt;AI$5)*F56+(K$5&lt;AI$5)*L56+(Q$5&lt;AI$5)*R56+(W$5&lt;AI$5)*X56+(AC$5&lt;AI$5)*AD56+(AO$5&lt;AI$5)*AP56+(AU$5&lt;AI$5)*AV56)))</f>
        <v/>
      </c>
      <c r="AL56">
        <f>IF(AJ56-AK56&lt;0.005,0,AJ56-AK56)</f>
        <v/>
      </c>
      <c r="AM56">
        <f>AR55</f>
        <v/>
      </c>
      <c r="AN56">
        <f>AM56*Plan!D12/100/12</f>
        <v/>
      </c>
      <c r="AO56">
        <f>MIN(Plan!E12,AM56+AN56)</f>
        <v/>
      </c>
      <c r="AP56">
        <f>AM56+AN56-AO56</f>
        <v/>
      </c>
      <c r="AQ56">
        <f>MIN(AP56,MAX(0,$B56-((E$5&lt;AO$5)*F56+(K$5&lt;AO$5)*L56+(Q$5&lt;AO$5)*R56+(W$5&lt;AO$5)*X56+(AC$5&lt;AO$5)*AD56+(AI$5&lt;AO$5)*AJ56+(AU$5&lt;AO$5)*AV56)))</f>
        <v/>
      </c>
      <c r="AR56">
        <f>IF(AP56-AQ56&lt;0.005,0,AP56-AQ56)</f>
        <v/>
      </c>
      <c r="AS56">
        <f>AX55</f>
        <v/>
      </c>
      <c r="AT56">
        <f>AS56*Plan!D13/100/12</f>
        <v/>
      </c>
      <c r="AU56">
        <f>MIN(Plan!E13,AS56+AT56)</f>
        <v/>
      </c>
      <c r="AV56">
        <f>AS56+AT56-AU56</f>
        <v/>
      </c>
      <c r="AW56">
        <f>MIN(AV56,MAX(0,$B56-((E$5&lt;AU$5)*F56+(K$5&lt;AU$5)*L56+(Q$5&lt;AU$5)*R56+(W$5&lt;AU$5)*X56+(AC$5&lt;AU$5)*AD56+(AI$5&lt;AU$5)*AJ56+(AO$5&lt;AU$5)*AP56)))</f>
        <v/>
      </c>
      <c r="AX56">
        <f>IF(AV56-AW56&lt;0.005,0,AV56-AW56)</f>
        <v/>
      </c>
      <c r="BC56">
        <f>H56+N56+T56+Z56+AF56+AL56+AR56+AX56</f>
        <v/>
      </c>
    </row>
    <row r="57">
      <c r="A57" t="n">
        <v>51</v>
      </c>
      <c r="B57" s="19">
        <f>MAX(0,$B$3-(E57+K57+Q57+W57+AC57+AI57+AO57+AU57))</f>
        <v/>
      </c>
      <c r="C57">
        <f>H56</f>
        <v/>
      </c>
      <c r="D57">
        <f>C57*Plan!D6/100/12</f>
        <v/>
      </c>
      <c r="E57">
        <f>MIN(Plan!E6,C57+D57)</f>
        <v/>
      </c>
      <c r="F57">
        <f>C57+D57-E57</f>
        <v/>
      </c>
      <c r="G57">
        <f>MIN(F57,MAX(0,$B57-((K$5&lt;E$5)*L57+(Q$5&lt;E$5)*R57+(W$5&lt;E$5)*X57+(AC$5&lt;E$5)*AD57+(AI$5&lt;E$5)*AJ57+(AO$5&lt;E$5)*AP57+(AU$5&lt;E$5)*AV57)))</f>
        <v/>
      </c>
      <c r="H57">
        <f>IF(F57-G57&lt;0.005,0,F57-G57)</f>
        <v/>
      </c>
      <c r="I57">
        <f>N56</f>
        <v/>
      </c>
      <c r="J57">
        <f>I57*Plan!D7/100/12</f>
        <v/>
      </c>
      <c r="K57">
        <f>MIN(Plan!E7,I57+J57)</f>
        <v/>
      </c>
      <c r="L57">
        <f>I57+J57-K57</f>
        <v/>
      </c>
      <c r="M57">
        <f>MIN(L57,MAX(0,$B57-((E$5&lt;K$5)*F57+(Q$5&lt;K$5)*R57+(W$5&lt;K$5)*X57+(AC$5&lt;K$5)*AD57+(AI$5&lt;K$5)*AJ57+(AO$5&lt;K$5)*AP57+(AU$5&lt;K$5)*AV57)))</f>
        <v/>
      </c>
      <c r="N57">
        <f>IF(L57-M57&lt;0.005,0,L57-M57)</f>
        <v/>
      </c>
      <c r="O57">
        <f>T56</f>
        <v/>
      </c>
      <c r="P57">
        <f>O57*Plan!D8/100/12</f>
        <v/>
      </c>
      <c r="Q57">
        <f>MIN(Plan!E8,O57+P57)</f>
        <v/>
      </c>
      <c r="R57">
        <f>O57+P57-Q57</f>
        <v/>
      </c>
      <c r="S57">
        <f>MIN(R57,MAX(0,$B57-((E$5&lt;Q$5)*F57+(K$5&lt;Q$5)*L57+(W$5&lt;Q$5)*X57+(AC$5&lt;Q$5)*AD57+(AI$5&lt;Q$5)*AJ57+(AO$5&lt;Q$5)*AP57+(AU$5&lt;Q$5)*AV57)))</f>
        <v/>
      </c>
      <c r="T57">
        <f>IF(R57-S57&lt;0.005,0,R57-S57)</f>
        <v/>
      </c>
      <c r="U57">
        <f>Z56</f>
        <v/>
      </c>
      <c r="V57">
        <f>U57*Plan!D9/100/12</f>
        <v/>
      </c>
      <c r="W57">
        <f>MIN(Plan!E9,U57+V57)</f>
        <v/>
      </c>
      <c r="X57">
        <f>U57+V57-W57</f>
        <v/>
      </c>
      <c r="Y57">
        <f>MIN(X57,MAX(0,$B57-((E$5&lt;W$5)*F57+(K$5&lt;W$5)*L57+(Q$5&lt;W$5)*R57+(AC$5&lt;W$5)*AD57+(AI$5&lt;W$5)*AJ57+(AO$5&lt;W$5)*AP57+(AU$5&lt;W$5)*AV57)))</f>
        <v/>
      </c>
      <c r="Z57">
        <f>IF(X57-Y57&lt;0.005,0,X57-Y57)</f>
        <v/>
      </c>
      <c r="AA57">
        <f>AF56</f>
        <v/>
      </c>
      <c r="AB57">
        <f>AA57*Plan!D10/100/12</f>
        <v/>
      </c>
      <c r="AC57">
        <f>MIN(Plan!E10,AA57+AB57)</f>
        <v/>
      </c>
      <c r="AD57">
        <f>AA57+AB57-AC57</f>
        <v/>
      </c>
      <c r="AE57">
        <f>MIN(AD57,MAX(0,$B57-((E$5&lt;AC$5)*F57+(K$5&lt;AC$5)*L57+(Q$5&lt;AC$5)*R57+(W$5&lt;AC$5)*X57+(AI$5&lt;AC$5)*AJ57+(AO$5&lt;AC$5)*AP57+(AU$5&lt;AC$5)*AV57)))</f>
        <v/>
      </c>
      <c r="AF57">
        <f>IF(AD57-AE57&lt;0.005,0,AD57-AE57)</f>
        <v/>
      </c>
      <c r="AG57">
        <f>AL56</f>
        <v/>
      </c>
      <c r="AH57">
        <f>AG57*Plan!D11/100/12</f>
        <v/>
      </c>
      <c r="AI57">
        <f>MIN(Plan!E11,AG57+AH57)</f>
        <v/>
      </c>
      <c r="AJ57">
        <f>AG57+AH57-AI57</f>
        <v/>
      </c>
      <c r="AK57">
        <f>MIN(AJ57,MAX(0,$B57-((E$5&lt;AI$5)*F57+(K$5&lt;AI$5)*L57+(Q$5&lt;AI$5)*R57+(W$5&lt;AI$5)*X57+(AC$5&lt;AI$5)*AD57+(AO$5&lt;AI$5)*AP57+(AU$5&lt;AI$5)*AV57)))</f>
        <v/>
      </c>
      <c r="AL57">
        <f>IF(AJ57-AK57&lt;0.005,0,AJ57-AK57)</f>
        <v/>
      </c>
      <c r="AM57">
        <f>AR56</f>
        <v/>
      </c>
      <c r="AN57">
        <f>AM57*Plan!D12/100/12</f>
        <v/>
      </c>
      <c r="AO57">
        <f>MIN(Plan!E12,AM57+AN57)</f>
        <v/>
      </c>
      <c r="AP57">
        <f>AM57+AN57-AO57</f>
        <v/>
      </c>
      <c r="AQ57">
        <f>MIN(AP57,MAX(0,$B57-((E$5&lt;AO$5)*F57+(K$5&lt;AO$5)*L57+(Q$5&lt;AO$5)*R57+(W$5&lt;AO$5)*X57+(AC$5&lt;AO$5)*AD57+(AI$5&lt;AO$5)*AJ57+(AU$5&lt;AO$5)*AV57)))</f>
        <v/>
      </c>
      <c r="AR57">
        <f>IF(AP57-AQ57&lt;0.005,0,AP57-AQ57)</f>
        <v/>
      </c>
      <c r="AS57">
        <f>AX56</f>
        <v/>
      </c>
      <c r="AT57">
        <f>AS57*Plan!D13/100/12</f>
        <v/>
      </c>
      <c r="AU57">
        <f>MIN(Plan!E13,AS57+AT57)</f>
        <v/>
      </c>
      <c r="AV57">
        <f>AS57+AT57-AU57</f>
        <v/>
      </c>
      <c r="AW57">
        <f>MIN(AV57,MAX(0,$B57-((E$5&lt;AU$5)*F57+(K$5&lt;AU$5)*L57+(Q$5&lt;AU$5)*R57+(W$5&lt;AU$5)*X57+(AC$5&lt;AU$5)*AD57+(AI$5&lt;AU$5)*AJ57+(AO$5&lt;AU$5)*AP57)))</f>
        <v/>
      </c>
      <c r="AX57">
        <f>IF(AV57-AW57&lt;0.005,0,AV57-AW57)</f>
        <v/>
      </c>
      <c r="BC57">
        <f>H57+N57+T57+Z57+AF57+AL57+AR57+AX57</f>
        <v/>
      </c>
    </row>
    <row r="58">
      <c r="A58" t="n">
        <v>52</v>
      </c>
      <c r="B58" s="19">
        <f>MAX(0,$B$3-(E58+K58+Q58+W58+AC58+AI58+AO58+AU58))</f>
        <v/>
      </c>
      <c r="C58">
        <f>H57</f>
        <v/>
      </c>
      <c r="D58">
        <f>C58*Plan!D6/100/12</f>
        <v/>
      </c>
      <c r="E58">
        <f>MIN(Plan!E6,C58+D58)</f>
        <v/>
      </c>
      <c r="F58">
        <f>C58+D58-E58</f>
        <v/>
      </c>
      <c r="G58">
        <f>MIN(F58,MAX(0,$B58-((K$5&lt;E$5)*L58+(Q$5&lt;E$5)*R58+(W$5&lt;E$5)*X58+(AC$5&lt;E$5)*AD58+(AI$5&lt;E$5)*AJ58+(AO$5&lt;E$5)*AP58+(AU$5&lt;E$5)*AV58)))</f>
        <v/>
      </c>
      <c r="H58">
        <f>IF(F58-G58&lt;0.005,0,F58-G58)</f>
        <v/>
      </c>
      <c r="I58">
        <f>N57</f>
        <v/>
      </c>
      <c r="J58">
        <f>I58*Plan!D7/100/12</f>
        <v/>
      </c>
      <c r="K58">
        <f>MIN(Plan!E7,I58+J58)</f>
        <v/>
      </c>
      <c r="L58">
        <f>I58+J58-K58</f>
        <v/>
      </c>
      <c r="M58">
        <f>MIN(L58,MAX(0,$B58-((E$5&lt;K$5)*F58+(Q$5&lt;K$5)*R58+(W$5&lt;K$5)*X58+(AC$5&lt;K$5)*AD58+(AI$5&lt;K$5)*AJ58+(AO$5&lt;K$5)*AP58+(AU$5&lt;K$5)*AV58)))</f>
        <v/>
      </c>
      <c r="N58">
        <f>IF(L58-M58&lt;0.005,0,L58-M58)</f>
        <v/>
      </c>
      <c r="O58">
        <f>T57</f>
        <v/>
      </c>
      <c r="P58">
        <f>O58*Plan!D8/100/12</f>
        <v/>
      </c>
      <c r="Q58">
        <f>MIN(Plan!E8,O58+P58)</f>
        <v/>
      </c>
      <c r="R58">
        <f>O58+P58-Q58</f>
        <v/>
      </c>
      <c r="S58">
        <f>MIN(R58,MAX(0,$B58-((E$5&lt;Q$5)*F58+(K$5&lt;Q$5)*L58+(W$5&lt;Q$5)*X58+(AC$5&lt;Q$5)*AD58+(AI$5&lt;Q$5)*AJ58+(AO$5&lt;Q$5)*AP58+(AU$5&lt;Q$5)*AV58)))</f>
        <v/>
      </c>
      <c r="T58">
        <f>IF(R58-S58&lt;0.005,0,R58-S58)</f>
        <v/>
      </c>
      <c r="U58">
        <f>Z57</f>
        <v/>
      </c>
      <c r="V58">
        <f>U58*Plan!D9/100/12</f>
        <v/>
      </c>
      <c r="W58">
        <f>MIN(Plan!E9,U58+V58)</f>
        <v/>
      </c>
      <c r="X58">
        <f>U58+V58-W58</f>
        <v/>
      </c>
      <c r="Y58">
        <f>MIN(X58,MAX(0,$B58-((E$5&lt;W$5)*F58+(K$5&lt;W$5)*L58+(Q$5&lt;W$5)*R58+(AC$5&lt;W$5)*AD58+(AI$5&lt;W$5)*AJ58+(AO$5&lt;W$5)*AP58+(AU$5&lt;W$5)*AV58)))</f>
        <v/>
      </c>
      <c r="Z58">
        <f>IF(X58-Y58&lt;0.005,0,X58-Y58)</f>
        <v/>
      </c>
      <c r="AA58">
        <f>AF57</f>
        <v/>
      </c>
      <c r="AB58">
        <f>AA58*Plan!D10/100/12</f>
        <v/>
      </c>
      <c r="AC58">
        <f>MIN(Plan!E10,AA58+AB58)</f>
        <v/>
      </c>
      <c r="AD58">
        <f>AA58+AB58-AC58</f>
        <v/>
      </c>
      <c r="AE58">
        <f>MIN(AD58,MAX(0,$B58-((E$5&lt;AC$5)*F58+(K$5&lt;AC$5)*L58+(Q$5&lt;AC$5)*R58+(W$5&lt;AC$5)*X58+(AI$5&lt;AC$5)*AJ58+(AO$5&lt;AC$5)*AP58+(AU$5&lt;AC$5)*AV58)))</f>
        <v/>
      </c>
      <c r="AF58">
        <f>IF(AD58-AE58&lt;0.005,0,AD58-AE58)</f>
        <v/>
      </c>
      <c r="AG58">
        <f>AL57</f>
        <v/>
      </c>
      <c r="AH58">
        <f>AG58*Plan!D11/100/12</f>
        <v/>
      </c>
      <c r="AI58">
        <f>MIN(Plan!E11,AG58+AH58)</f>
        <v/>
      </c>
      <c r="AJ58">
        <f>AG58+AH58-AI58</f>
        <v/>
      </c>
      <c r="AK58">
        <f>MIN(AJ58,MAX(0,$B58-((E$5&lt;AI$5)*F58+(K$5&lt;AI$5)*L58+(Q$5&lt;AI$5)*R58+(W$5&lt;AI$5)*X58+(AC$5&lt;AI$5)*AD58+(AO$5&lt;AI$5)*AP58+(AU$5&lt;AI$5)*AV58)))</f>
        <v/>
      </c>
      <c r="AL58">
        <f>IF(AJ58-AK58&lt;0.005,0,AJ58-AK58)</f>
        <v/>
      </c>
      <c r="AM58">
        <f>AR57</f>
        <v/>
      </c>
      <c r="AN58">
        <f>AM58*Plan!D12/100/12</f>
        <v/>
      </c>
      <c r="AO58">
        <f>MIN(Plan!E12,AM58+AN58)</f>
        <v/>
      </c>
      <c r="AP58">
        <f>AM58+AN58-AO58</f>
        <v/>
      </c>
      <c r="AQ58">
        <f>MIN(AP58,MAX(0,$B58-((E$5&lt;AO$5)*F58+(K$5&lt;AO$5)*L58+(Q$5&lt;AO$5)*R58+(W$5&lt;AO$5)*X58+(AC$5&lt;AO$5)*AD58+(AI$5&lt;AO$5)*AJ58+(AU$5&lt;AO$5)*AV58)))</f>
        <v/>
      </c>
      <c r="AR58">
        <f>IF(AP58-AQ58&lt;0.005,0,AP58-AQ58)</f>
        <v/>
      </c>
      <c r="AS58">
        <f>AX57</f>
        <v/>
      </c>
      <c r="AT58">
        <f>AS58*Plan!D13/100/12</f>
        <v/>
      </c>
      <c r="AU58">
        <f>MIN(Plan!E13,AS58+AT58)</f>
        <v/>
      </c>
      <c r="AV58">
        <f>AS58+AT58-AU58</f>
        <v/>
      </c>
      <c r="AW58">
        <f>MIN(AV58,MAX(0,$B58-((E$5&lt;AU$5)*F58+(K$5&lt;AU$5)*L58+(Q$5&lt;AU$5)*R58+(W$5&lt;AU$5)*X58+(AC$5&lt;AU$5)*AD58+(AI$5&lt;AU$5)*AJ58+(AO$5&lt;AU$5)*AP58)))</f>
        <v/>
      </c>
      <c r="AX58">
        <f>IF(AV58-AW58&lt;0.005,0,AV58-AW58)</f>
        <v/>
      </c>
      <c r="BC58">
        <f>H58+N58+T58+Z58+AF58+AL58+AR58+AX58</f>
        <v/>
      </c>
    </row>
    <row r="59">
      <c r="A59" t="n">
        <v>53</v>
      </c>
      <c r="B59" s="19">
        <f>MAX(0,$B$3-(E59+K59+Q59+W59+AC59+AI59+AO59+AU59))</f>
        <v/>
      </c>
      <c r="C59">
        <f>H58</f>
        <v/>
      </c>
      <c r="D59">
        <f>C59*Plan!D6/100/12</f>
        <v/>
      </c>
      <c r="E59">
        <f>MIN(Plan!E6,C59+D59)</f>
        <v/>
      </c>
      <c r="F59">
        <f>C59+D59-E59</f>
        <v/>
      </c>
      <c r="G59">
        <f>MIN(F59,MAX(0,$B59-((K$5&lt;E$5)*L59+(Q$5&lt;E$5)*R59+(W$5&lt;E$5)*X59+(AC$5&lt;E$5)*AD59+(AI$5&lt;E$5)*AJ59+(AO$5&lt;E$5)*AP59+(AU$5&lt;E$5)*AV59)))</f>
        <v/>
      </c>
      <c r="H59">
        <f>IF(F59-G59&lt;0.005,0,F59-G59)</f>
        <v/>
      </c>
      <c r="I59">
        <f>N58</f>
        <v/>
      </c>
      <c r="J59">
        <f>I59*Plan!D7/100/12</f>
        <v/>
      </c>
      <c r="K59">
        <f>MIN(Plan!E7,I59+J59)</f>
        <v/>
      </c>
      <c r="L59">
        <f>I59+J59-K59</f>
        <v/>
      </c>
      <c r="M59">
        <f>MIN(L59,MAX(0,$B59-((E$5&lt;K$5)*F59+(Q$5&lt;K$5)*R59+(W$5&lt;K$5)*X59+(AC$5&lt;K$5)*AD59+(AI$5&lt;K$5)*AJ59+(AO$5&lt;K$5)*AP59+(AU$5&lt;K$5)*AV59)))</f>
        <v/>
      </c>
      <c r="N59">
        <f>IF(L59-M59&lt;0.005,0,L59-M59)</f>
        <v/>
      </c>
      <c r="O59">
        <f>T58</f>
        <v/>
      </c>
      <c r="P59">
        <f>O59*Plan!D8/100/12</f>
        <v/>
      </c>
      <c r="Q59">
        <f>MIN(Plan!E8,O59+P59)</f>
        <v/>
      </c>
      <c r="R59">
        <f>O59+P59-Q59</f>
        <v/>
      </c>
      <c r="S59">
        <f>MIN(R59,MAX(0,$B59-((E$5&lt;Q$5)*F59+(K$5&lt;Q$5)*L59+(W$5&lt;Q$5)*X59+(AC$5&lt;Q$5)*AD59+(AI$5&lt;Q$5)*AJ59+(AO$5&lt;Q$5)*AP59+(AU$5&lt;Q$5)*AV59)))</f>
        <v/>
      </c>
      <c r="T59">
        <f>IF(R59-S59&lt;0.005,0,R59-S59)</f>
        <v/>
      </c>
      <c r="U59">
        <f>Z58</f>
        <v/>
      </c>
      <c r="V59">
        <f>U59*Plan!D9/100/12</f>
        <v/>
      </c>
      <c r="W59">
        <f>MIN(Plan!E9,U59+V59)</f>
        <v/>
      </c>
      <c r="X59">
        <f>U59+V59-W59</f>
        <v/>
      </c>
      <c r="Y59">
        <f>MIN(X59,MAX(0,$B59-((E$5&lt;W$5)*F59+(K$5&lt;W$5)*L59+(Q$5&lt;W$5)*R59+(AC$5&lt;W$5)*AD59+(AI$5&lt;W$5)*AJ59+(AO$5&lt;W$5)*AP59+(AU$5&lt;W$5)*AV59)))</f>
        <v/>
      </c>
      <c r="Z59">
        <f>IF(X59-Y59&lt;0.005,0,X59-Y59)</f>
        <v/>
      </c>
      <c r="AA59">
        <f>AF58</f>
        <v/>
      </c>
      <c r="AB59">
        <f>AA59*Plan!D10/100/12</f>
        <v/>
      </c>
      <c r="AC59">
        <f>MIN(Plan!E10,AA59+AB59)</f>
        <v/>
      </c>
      <c r="AD59">
        <f>AA59+AB59-AC59</f>
        <v/>
      </c>
      <c r="AE59">
        <f>MIN(AD59,MAX(0,$B59-((E$5&lt;AC$5)*F59+(K$5&lt;AC$5)*L59+(Q$5&lt;AC$5)*R59+(W$5&lt;AC$5)*X59+(AI$5&lt;AC$5)*AJ59+(AO$5&lt;AC$5)*AP59+(AU$5&lt;AC$5)*AV59)))</f>
        <v/>
      </c>
      <c r="AF59">
        <f>IF(AD59-AE59&lt;0.005,0,AD59-AE59)</f>
        <v/>
      </c>
      <c r="AG59">
        <f>AL58</f>
        <v/>
      </c>
      <c r="AH59">
        <f>AG59*Plan!D11/100/12</f>
        <v/>
      </c>
      <c r="AI59">
        <f>MIN(Plan!E11,AG59+AH59)</f>
        <v/>
      </c>
      <c r="AJ59">
        <f>AG59+AH59-AI59</f>
        <v/>
      </c>
      <c r="AK59">
        <f>MIN(AJ59,MAX(0,$B59-((E$5&lt;AI$5)*F59+(K$5&lt;AI$5)*L59+(Q$5&lt;AI$5)*R59+(W$5&lt;AI$5)*X59+(AC$5&lt;AI$5)*AD59+(AO$5&lt;AI$5)*AP59+(AU$5&lt;AI$5)*AV59)))</f>
        <v/>
      </c>
      <c r="AL59">
        <f>IF(AJ59-AK59&lt;0.005,0,AJ59-AK59)</f>
        <v/>
      </c>
      <c r="AM59">
        <f>AR58</f>
        <v/>
      </c>
      <c r="AN59">
        <f>AM59*Plan!D12/100/12</f>
        <v/>
      </c>
      <c r="AO59">
        <f>MIN(Plan!E12,AM59+AN59)</f>
        <v/>
      </c>
      <c r="AP59">
        <f>AM59+AN59-AO59</f>
        <v/>
      </c>
      <c r="AQ59">
        <f>MIN(AP59,MAX(0,$B59-((E$5&lt;AO$5)*F59+(K$5&lt;AO$5)*L59+(Q$5&lt;AO$5)*R59+(W$5&lt;AO$5)*X59+(AC$5&lt;AO$5)*AD59+(AI$5&lt;AO$5)*AJ59+(AU$5&lt;AO$5)*AV59)))</f>
        <v/>
      </c>
      <c r="AR59">
        <f>IF(AP59-AQ59&lt;0.005,0,AP59-AQ59)</f>
        <v/>
      </c>
      <c r="AS59">
        <f>AX58</f>
        <v/>
      </c>
      <c r="AT59">
        <f>AS59*Plan!D13/100/12</f>
        <v/>
      </c>
      <c r="AU59">
        <f>MIN(Plan!E13,AS59+AT59)</f>
        <v/>
      </c>
      <c r="AV59">
        <f>AS59+AT59-AU59</f>
        <v/>
      </c>
      <c r="AW59">
        <f>MIN(AV59,MAX(0,$B59-((E$5&lt;AU$5)*F59+(K$5&lt;AU$5)*L59+(Q$5&lt;AU$5)*R59+(W$5&lt;AU$5)*X59+(AC$5&lt;AU$5)*AD59+(AI$5&lt;AU$5)*AJ59+(AO$5&lt;AU$5)*AP59)))</f>
        <v/>
      </c>
      <c r="AX59">
        <f>IF(AV59-AW59&lt;0.005,0,AV59-AW59)</f>
        <v/>
      </c>
      <c r="BC59">
        <f>H59+N59+T59+Z59+AF59+AL59+AR59+AX59</f>
        <v/>
      </c>
    </row>
    <row r="60">
      <c r="A60" t="n">
        <v>54</v>
      </c>
      <c r="B60" s="19">
        <f>MAX(0,$B$3-(E60+K60+Q60+W60+AC60+AI60+AO60+AU60))</f>
        <v/>
      </c>
      <c r="C60">
        <f>H59</f>
        <v/>
      </c>
      <c r="D60">
        <f>C60*Plan!D6/100/12</f>
        <v/>
      </c>
      <c r="E60">
        <f>MIN(Plan!E6,C60+D60)</f>
        <v/>
      </c>
      <c r="F60">
        <f>C60+D60-E60</f>
        <v/>
      </c>
      <c r="G60">
        <f>MIN(F60,MAX(0,$B60-((K$5&lt;E$5)*L60+(Q$5&lt;E$5)*R60+(W$5&lt;E$5)*X60+(AC$5&lt;E$5)*AD60+(AI$5&lt;E$5)*AJ60+(AO$5&lt;E$5)*AP60+(AU$5&lt;E$5)*AV60)))</f>
        <v/>
      </c>
      <c r="H60">
        <f>IF(F60-G60&lt;0.005,0,F60-G60)</f>
        <v/>
      </c>
      <c r="I60">
        <f>N59</f>
        <v/>
      </c>
      <c r="J60">
        <f>I60*Plan!D7/100/12</f>
        <v/>
      </c>
      <c r="K60">
        <f>MIN(Plan!E7,I60+J60)</f>
        <v/>
      </c>
      <c r="L60">
        <f>I60+J60-K60</f>
        <v/>
      </c>
      <c r="M60">
        <f>MIN(L60,MAX(0,$B60-((E$5&lt;K$5)*F60+(Q$5&lt;K$5)*R60+(W$5&lt;K$5)*X60+(AC$5&lt;K$5)*AD60+(AI$5&lt;K$5)*AJ60+(AO$5&lt;K$5)*AP60+(AU$5&lt;K$5)*AV60)))</f>
        <v/>
      </c>
      <c r="N60">
        <f>IF(L60-M60&lt;0.005,0,L60-M60)</f>
        <v/>
      </c>
      <c r="O60">
        <f>T59</f>
        <v/>
      </c>
      <c r="P60">
        <f>O60*Plan!D8/100/12</f>
        <v/>
      </c>
      <c r="Q60">
        <f>MIN(Plan!E8,O60+P60)</f>
        <v/>
      </c>
      <c r="R60">
        <f>O60+P60-Q60</f>
        <v/>
      </c>
      <c r="S60">
        <f>MIN(R60,MAX(0,$B60-((E$5&lt;Q$5)*F60+(K$5&lt;Q$5)*L60+(W$5&lt;Q$5)*X60+(AC$5&lt;Q$5)*AD60+(AI$5&lt;Q$5)*AJ60+(AO$5&lt;Q$5)*AP60+(AU$5&lt;Q$5)*AV60)))</f>
        <v/>
      </c>
      <c r="T60">
        <f>IF(R60-S60&lt;0.005,0,R60-S60)</f>
        <v/>
      </c>
      <c r="U60">
        <f>Z59</f>
        <v/>
      </c>
      <c r="V60">
        <f>U60*Plan!D9/100/12</f>
        <v/>
      </c>
      <c r="W60">
        <f>MIN(Plan!E9,U60+V60)</f>
        <v/>
      </c>
      <c r="X60">
        <f>U60+V60-W60</f>
        <v/>
      </c>
      <c r="Y60">
        <f>MIN(X60,MAX(0,$B60-((E$5&lt;W$5)*F60+(K$5&lt;W$5)*L60+(Q$5&lt;W$5)*R60+(AC$5&lt;W$5)*AD60+(AI$5&lt;W$5)*AJ60+(AO$5&lt;W$5)*AP60+(AU$5&lt;W$5)*AV60)))</f>
        <v/>
      </c>
      <c r="Z60">
        <f>IF(X60-Y60&lt;0.005,0,X60-Y60)</f>
        <v/>
      </c>
      <c r="AA60">
        <f>AF59</f>
        <v/>
      </c>
      <c r="AB60">
        <f>AA60*Plan!D10/100/12</f>
        <v/>
      </c>
      <c r="AC60">
        <f>MIN(Plan!E10,AA60+AB60)</f>
        <v/>
      </c>
      <c r="AD60">
        <f>AA60+AB60-AC60</f>
        <v/>
      </c>
      <c r="AE60">
        <f>MIN(AD60,MAX(0,$B60-((E$5&lt;AC$5)*F60+(K$5&lt;AC$5)*L60+(Q$5&lt;AC$5)*R60+(W$5&lt;AC$5)*X60+(AI$5&lt;AC$5)*AJ60+(AO$5&lt;AC$5)*AP60+(AU$5&lt;AC$5)*AV60)))</f>
        <v/>
      </c>
      <c r="AF60">
        <f>IF(AD60-AE60&lt;0.005,0,AD60-AE60)</f>
        <v/>
      </c>
      <c r="AG60">
        <f>AL59</f>
        <v/>
      </c>
      <c r="AH60">
        <f>AG60*Plan!D11/100/12</f>
        <v/>
      </c>
      <c r="AI60">
        <f>MIN(Plan!E11,AG60+AH60)</f>
        <v/>
      </c>
      <c r="AJ60">
        <f>AG60+AH60-AI60</f>
        <v/>
      </c>
      <c r="AK60">
        <f>MIN(AJ60,MAX(0,$B60-((E$5&lt;AI$5)*F60+(K$5&lt;AI$5)*L60+(Q$5&lt;AI$5)*R60+(W$5&lt;AI$5)*X60+(AC$5&lt;AI$5)*AD60+(AO$5&lt;AI$5)*AP60+(AU$5&lt;AI$5)*AV60)))</f>
        <v/>
      </c>
      <c r="AL60">
        <f>IF(AJ60-AK60&lt;0.005,0,AJ60-AK60)</f>
        <v/>
      </c>
      <c r="AM60">
        <f>AR59</f>
        <v/>
      </c>
      <c r="AN60">
        <f>AM60*Plan!D12/100/12</f>
        <v/>
      </c>
      <c r="AO60">
        <f>MIN(Plan!E12,AM60+AN60)</f>
        <v/>
      </c>
      <c r="AP60">
        <f>AM60+AN60-AO60</f>
        <v/>
      </c>
      <c r="AQ60">
        <f>MIN(AP60,MAX(0,$B60-((E$5&lt;AO$5)*F60+(K$5&lt;AO$5)*L60+(Q$5&lt;AO$5)*R60+(W$5&lt;AO$5)*X60+(AC$5&lt;AO$5)*AD60+(AI$5&lt;AO$5)*AJ60+(AU$5&lt;AO$5)*AV60)))</f>
        <v/>
      </c>
      <c r="AR60">
        <f>IF(AP60-AQ60&lt;0.005,0,AP60-AQ60)</f>
        <v/>
      </c>
      <c r="AS60">
        <f>AX59</f>
        <v/>
      </c>
      <c r="AT60">
        <f>AS60*Plan!D13/100/12</f>
        <v/>
      </c>
      <c r="AU60">
        <f>MIN(Plan!E13,AS60+AT60)</f>
        <v/>
      </c>
      <c r="AV60">
        <f>AS60+AT60-AU60</f>
        <v/>
      </c>
      <c r="AW60">
        <f>MIN(AV60,MAX(0,$B60-((E$5&lt;AU$5)*F60+(K$5&lt;AU$5)*L60+(Q$5&lt;AU$5)*R60+(W$5&lt;AU$5)*X60+(AC$5&lt;AU$5)*AD60+(AI$5&lt;AU$5)*AJ60+(AO$5&lt;AU$5)*AP60)))</f>
        <v/>
      </c>
      <c r="AX60">
        <f>IF(AV60-AW60&lt;0.005,0,AV60-AW60)</f>
        <v/>
      </c>
      <c r="BC60">
        <f>H60+N60+T60+Z60+AF60+AL60+AR60+AX60</f>
        <v/>
      </c>
    </row>
    <row r="61">
      <c r="A61" t="n">
        <v>55</v>
      </c>
      <c r="B61" s="19">
        <f>MAX(0,$B$3-(E61+K61+Q61+W61+AC61+AI61+AO61+AU61))</f>
        <v/>
      </c>
      <c r="C61">
        <f>H60</f>
        <v/>
      </c>
      <c r="D61">
        <f>C61*Plan!D6/100/12</f>
        <v/>
      </c>
      <c r="E61">
        <f>MIN(Plan!E6,C61+D61)</f>
        <v/>
      </c>
      <c r="F61">
        <f>C61+D61-E61</f>
        <v/>
      </c>
      <c r="G61">
        <f>MIN(F61,MAX(0,$B61-((K$5&lt;E$5)*L61+(Q$5&lt;E$5)*R61+(W$5&lt;E$5)*X61+(AC$5&lt;E$5)*AD61+(AI$5&lt;E$5)*AJ61+(AO$5&lt;E$5)*AP61+(AU$5&lt;E$5)*AV61)))</f>
        <v/>
      </c>
      <c r="H61">
        <f>IF(F61-G61&lt;0.005,0,F61-G61)</f>
        <v/>
      </c>
      <c r="I61">
        <f>N60</f>
        <v/>
      </c>
      <c r="J61">
        <f>I61*Plan!D7/100/12</f>
        <v/>
      </c>
      <c r="K61">
        <f>MIN(Plan!E7,I61+J61)</f>
        <v/>
      </c>
      <c r="L61">
        <f>I61+J61-K61</f>
        <v/>
      </c>
      <c r="M61">
        <f>MIN(L61,MAX(0,$B61-((E$5&lt;K$5)*F61+(Q$5&lt;K$5)*R61+(W$5&lt;K$5)*X61+(AC$5&lt;K$5)*AD61+(AI$5&lt;K$5)*AJ61+(AO$5&lt;K$5)*AP61+(AU$5&lt;K$5)*AV61)))</f>
        <v/>
      </c>
      <c r="N61">
        <f>IF(L61-M61&lt;0.005,0,L61-M61)</f>
        <v/>
      </c>
      <c r="O61">
        <f>T60</f>
        <v/>
      </c>
      <c r="P61">
        <f>O61*Plan!D8/100/12</f>
        <v/>
      </c>
      <c r="Q61">
        <f>MIN(Plan!E8,O61+P61)</f>
        <v/>
      </c>
      <c r="R61">
        <f>O61+P61-Q61</f>
        <v/>
      </c>
      <c r="S61">
        <f>MIN(R61,MAX(0,$B61-((E$5&lt;Q$5)*F61+(K$5&lt;Q$5)*L61+(W$5&lt;Q$5)*X61+(AC$5&lt;Q$5)*AD61+(AI$5&lt;Q$5)*AJ61+(AO$5&lt;Q$5)*AP61+(AU$5&lt;Q$5)*AV61)))</f>
        <v/>
      </c>
      <c r="T61">
        <f>IF(R61-S61&lt;0.005,0,R61-S61)</f>
        <v/>
      </c>
      <c r="U61">
        <f>Z60</f>
        <v/>
      </c>
      <c r="V61">
        <f>U61*Plan!D9/100/12</f>
        <v/>
      </c>
      <c r="W61">
        <f>MIN(Plan!E9,U61+V61)</f>
        <v/>
      </c>
      <c r="X61">
        <f>U61+V61-W61</f>
        <v/>
      </c>
      <c r="Y61">
        <f>MIN(X61,MAX(0,$B61-((E$5&lt;W$5)*F61+(K$5&lt;W$5)*L61+(Q$5&lt;W$5)*R61+(AC$5&lt;W$5)*AD61+(AI$5&lt;W$5)*AJ61+(AO$5&lt;W$5)*AP61+(AU$5&lt;W$5)*AV61)))</f>
        <v/>
      </c>
      <c r="Z61">
        <f>IF(X61-Y61&lt;0.005,0,X61-Y61)</f>
        <v/>
      </c>
      <c r="AA61">
        <f>AF60</f>
        <v/>
      </c>
      <c r="AB61">
        <f>AA61*Plan!D10/100/12</f>
        <v/>
      </c>
      <c r="AC61">
        <f>MIN(Plan!E10,AA61+AB61)</f>
        <v/>
      </c>
      <c r="AD61">
        <f>AA61+AB61-AC61</f>
        <v/>
      </c>
      <c r="AE61">
        <f>MIN(AD61,MAX(0,$B61-((E$5&lt;AC$5)*F61+(K$5&lt;AC$5)*L61+(Q$5&lt;AC$5)*R61+(W$5&lt;AC$5)*X61+(AI$5&lt;AC$5)*AJ61+(AO$5&lt;AC$5)*AP61+(AU$5&lt;AC$5)*AV61)))</f>
        <v/>
      </c>
      <c r="AF61">
        <f>IF(AD61-AE61&lt;0.005,0,AD61-AE61)</f>
        <v/>
      </c>
      <c r="AG61">
        <f>AL60</f>
        <v/>
      </c>
      <c r="AH61">
        <f>AG61*Plan!D11/100/12</f>
        <v/>
      </c>
      <c r="AI61">
        <f>MIN(Plan!E11,AG61+AH61)</f>
        <v/>
      </c>
      <c r="AJ61">
        <f>AG61+AH61-AI61</f>
        <v/>
      </c>
      <c r="AK61">
        <f>MIN(AJ61,MAX(0,$B61-((E$5&lt;AI$5)*F61+(K$5&lt;AI$5)*L61+(Q$5&lt;AI$5)*R61+(W$5&lt;AI$5)*X61+(AC$5&lt;AI$5)*AD61+(AO$5&lt;AI$5)*AP61+(AU$5&lt;AI$5)*AV61)))</f>
        <v/>
      </c>
      <c r="AL61">
        <f>IF(AJ61-AK61&lt;0.005,0,AJ61-AK61)</f>
        <v/>
      </c>
      <c r="AM61">
        <f>AR60</f>
        <v/>
      </c>
      <c r="AN61">
        <f>AM61*Plan!D12/100/12</f>
        <v/>
      </c>
      <c r="AO61">
        <f>MIN(Plan!E12,AM61+AN61)</f>
        <v/>
      </c>
      <c r="AP61">
        <f>AM61+AN61-AO61</f>
        <v/>
      </c>
      <c r="AQ61">
        <f>MIN(AP61,MAX(0,$B61-((E$5&lt;AO$5)*F61+(K$5&lt;AO$5)*L61+(Q$5&lt;AO$5)*R61+(W$5&lt;AO$5)*X61+(AC$5&lt;AO$5)*AD61+(AI$5&lt;AO$5)*AJ61+(AU$5&lt;AO$5)*AV61)))</f>
        <v/>
      </c>
      <c r="AR61">
        <f>IF(AP61-AQ61&lt;0.005,0,AP61-AQ61)</f>
        <v/>
      </c>
      <c r="AS61">
        <f>AX60</f>
        <v/>
      </c>
      <c r="AT61">
        <f>AS61*Plan!D13/100/12</f>
        <v/>
      </c>
      <c r="AU61">
        <f>MIN(Plan!E13,AS61+AT61)</f>
        <v/>
      </c>
      <c r="AV61">
        <f>AS61+AT61-AU61</f>
        <v/>
      </c>
      <c r="AW61">
        <f>MIN(AV61,MAX(0,$B61-((E$5&lt;AU$5)*F61+(K$5&lt;AU$5)*L61+(Q$5&lt;AU$5)*R61+(W$5&lt;AU$5)*X61+(AC$5&lt;AU$5)*AD61+(AI$5&lt;AU$5)*AJ61+(AO$5&lt;AU$5)*AP61)))</f>
        <v/>
      </c>
      <c r="AX61">
        <f>IF(AV61-AW61&lt;0.005,0,AV61-AW61)</f>
        <v/>
      </c>
      <c r="BC61">
        <f>H61+N61+T61+Z61+AF61+AL61+AR61+AX61</f>
        <v/>
      </c>
    </row>
    <row r="62">
      <c r="A62" t="n">
        <v>56</v>
      </c>
      <c r="B62" s="19">
        <f>MAX(0,$B$3-(E62+K62+Q62+W62+AC62+AI62+AO62+AU62))</f>
        <v/>
      </c>
      <c r="C62">
        <f>H61</f>
        <v/>
      </c>
      <c r="D62">
        <f>C62*Plan!D6/100/12</f>
        <v/>
      </c>
      <c r="E62">
        <f>MIN(Plan!E6,C62+D62)</f>
        <v/>
      </c>
      <c r="F62">
        <f>C62+D62-E62</f>
        <v/>
      </c>
      <c r="G62">
        <f>MIN(F62,MAX(0,$B62-((K$5&lt;E$5)*L62+(Q$5&lt;E$5)*R62+(W$5&lt;E$5)*X62+(AC$5&lt;E$5)*AD62+(AI$5&lt;E$5)*AJ62+(AO$5&lt;E$5)*AP62+(AU$5&lt;E$5)*AV62)))</f>
        <v/>
      </c>
      <c r="H62">
        <f>IF(F62-G62&lt;0.005,0,F62-G62)</f>
        <v/>
      </c>
      <c r="I62">
        <f>N61</f>
        <v/>
      </c>
      <c r="J62">
        <f>I62*Plan!D7/100/12</f>
        <v/>
      </c>
      <c r="K62">
        <f>MIN(Plan!E7,I62+J62)</f>
        <v/>
      </c>
      <c r="L62">
        <f>I62+J62-K62</f>
        <v/>
      </c>
      <c r="M62">
        <f>MIN(L62,MAX(0,$B62-((E$5&lt;K$5)*F62+(Q$5&lt;K$5)*R62+(W$5&lt;K$5)*X62+(AC$5&lt;K$5)*AD62+(AI$5&lt;K$5)*AJ62+(AO$5&lt;K$5)*AP62+(AU$5&lt;K$5)*AV62)))</f>
        <v/>
      </c>
      <c r="N62">
        <f>IF(L62-M62&lt;0.005,0,L62-M62)</f>
        <v/>
      </c>
      <c r="O62">
        <f>T61</f>
        <v/>
      </c>
      <c r="P62">
        <f>O62*Plan!D8/100/12</f>
        <v/>
      </c>
      <c r="Q62">
        <f>MIN(Plan!E8,O62+P62)</f>
        <v/>
      </c>
      <c r="R62">
        <f>O62+P62-Q62</f>
        <v/>
      </c>
      <c r="S62">
        <f>MIN(R62,MAX(0,$B62-((E$5&lt;Q$5)*F62+(K$5&lt;Q$5)*L62+(W$5&lt;Q$5)*X62+(AC$5&lt;Q$5)*AD62+(AI$5&lt;Q$5)*AJ62+(AO$5&lt;Q$5)*AP62+(AU$5&lt;Q$5)*AV62)))</f>
        <v/>
      </c>
      <c r="T62">
        <f>IF(R62-S62&lt;0.005,0,R62-S62)</f>
        <v/>
      </c>
      <c r="U62">
        <f>Z61</f>
        <v/>
      </c>
      <c r="V62">
        <f>U62*Plan!D9/100/12</f>
        <v/>
      </c>
      <c r="W62">
        <f>MIN(Plan!E9,U62+V62)</f>
        <v/>
      </c>
      <c r="X62">
        <f>U62+V62-W62</f>
        <v/>
      </c>
      <c r="Y62">
        <f>MIN(X62,MAX(0,$B62-((E$5&lt;W$5)*F62+(K$5&lt;W$5)*L62+(Q$5&lt;W$5)*R62+(AC$5&lt;W$5)*AD62+(AI$5&lt;W$5)*AJ62+(AO$5&lt;W$5)*AP62+(AU$5&lt;W$5)*AV62)))</f>
        <v/>
      </c>
      <c r="Z62">
        <f>IF(X62-Y62&lt;0.005,0,X62-Y62)</f>
        <v/>
      </c>
      <c r="AA62">
        <f>AF61</f>
        <v/>
      </c>
      <c r="AB62">
        <f>AA62*Plan!D10/100/12</f>
        <v/>
      </c>
      <c r="AC62">
        <f>MIN(Plan!E10,AA62+AB62)</f>
        <v/>
      </c>
      <c r="AD62">
        <f>AA62+AB62-AC62</f>
        <v/>
      </c>
      <c r="AE62">
        <f>MIN(AD62,MAX(0,$B62-((E$5&lt;AC$5)*F62+(K$5&lt;AC$5)*L62+(Q$5&lt;AC$5)*R62+(W$5&lt;AC$5)*X62+(AI$5&lt;AC$5)*AJ62+(AO$5&lt;AC$5)*AP62+(AU$5&lt;AC$5)*AV62)))</f>
        <v/>
      </c>
      <c r="AF62">
        <f>IF(AD62-AE62&lt;0.005,0,AD62-AE62)</f>
        <v/>
      </c>
      <c r="AG62">
        <f>AL61</f>
        <v/>
      </c>
      <c r="AH62">
        <f>AG62*Plan!D11/100/12</f>
        <v/>
      </c>
      <c r="AI62">
        <f>MIN(Plan!E11,AG62+AH62)</f>
        <v/>
      </c>
      <c r="AJ62">
        <f>AG62+AH62-AI62</f>
        <v/>
      </c>
      <c r="AK62">
        <f>MIN(AJ62,MAX(0,$B62-((E$5&lt;AI$5)*F62+(K$5&lt;AI$5)*L62+(Q$5&lt;AI$5)*R62+(W$5&lt;AI$5)*X62+(AC$5&lt;AI$5)*AD62+(AO$5&lt;AI$5)*AP62+(AU$5&lt;AI$5)*AV62)))</f>
        <v/>
      </c>
      <c r="AL62">
        <f>IF(AJ62-AK62&lt;0.005,0,AJ62-AK62)</f>
        <v/>
      </c>
      <c r="AM62">
        <f>AR61</f>
        <v/>
      </c>
      <c r="AN62">
        <f>AM62*Plan!D12/100/12</f>
        <v/>
      </c>
      <c r="AO62">
        <f>MIN(Plan!E12,AM62+AN62)</f>
        <v/>
      </c>
      <c r="AP62">
        <f>AM62+AN62-AO62</f>
        <v/>
      </c>
      <c r="AQ62">
        <f>MIN(AP62,MAX(0,$B62-((E$5&lt;AO$5)*F62+(K$5&lt;AO$5)*L62+(Q$5&lt;AO$5)*R62+(W$5&lt;AO$5)*X62+(AC$5&lt;AO$5)*AD62+(AI$5&lt;AO$5)*AJ62+(AU$5&lt;AO$5)*AV62)))</f>
        <v/>
      </c>
      <c r="AR62">
        <f>IF(AP62-AQ62&lt;0.005,0,AP62-AQ62)</f>
        <v/>
      </c>
      <c r="AS62">
        <f>AX61</f>
        <v/>
      </c>
      <c r="AT62">
        <f>AS62*Plan!D13/100/12</f>
        <v/>
      </c>
      <c r="AU62">
        <f>MIN(Plan!E13,AS62+AT62)</f>
        <v/>
      </c>
      <c r="AV62">
        <f>AS62+AT62-AU62</f>
        <v/>
      </c>
      <c r="AW62">
        <f>MIN(AV62,MAX(0,$B62-((E$5&lt;AU$5)*F62+(K$5&lt;AU$5)*L62+(Q$5&lt;AU$5)*R62+(W$5&lt;AU$5)*X62+(AC$5&lt;AU$5)*AD62+(AI$5&lt;AU$5)*AJ62+(AO$5&lt;AU$5)*AP62)))</f>
        <v/>
      </c>
      <c r="AX62">
        <f>IF(AV62-AW62&lt;0.005,0,AV62-AW62)</f>
        <v/>
      </c>
      <c r="BC62">
        <f>H62+N62+T62+Z62+AF62+AL62+AR62+AX62</f>
        <v/>
      </c>
    </row>
    <row r="63">
      <c r="A63" t="n">
        <v>57</v>
      </c>
      <c r="B63" s="19">
        <f>MAX(0,$B$3-(E63+K63+Q63+W63+AC63+AI63+AO63+AU63))</f>
        <v/>
      </c>
      <c r="C63">
        <f>H62</f>
        <v/>
      </c>
      <c r="D63">
        <f>C63*Plan!D6/100/12</f>
        <v/>
      </c>
      <c r="E63">
        <f>MIN(Plan!E6,C63+D63)</f>
        <v/>
      </c>
      <c r="F63">
        <f>C63+D63-E63</f>
        <v/>
      </c>
      <c r="G63">
        <f>MIN(F63,MAX(0,$B63-((K$5&lt;E$5)*L63+(Q$5&lt;E$5)*R63+(W$5&lt;E$5)*X63+(AC$5&lt;E$5)*AD63+(AI$5&lt;E$5)*AJ63+(AO$5&lt;E$5)*AP63+(AU$5&lt;E$5)*AV63)))</f>
        <v/>
      </c>
      <c r="H63">
        <f>IF(F63-G63&lt;0.005,0,F63-G63)</f>
        <v/>
      </c>
      <c r="I63">
        <f>N62</f>
        <v/>
      </c>
      <c r="J63">
        <f>I63*Plan!D7/100/12</f>
        <v/>
      </c>
      <c r="K63">
        <f>MIN(Plan!E7,I63+J63)</f>
        <v/>
      </c>
      <c r="L63">
        <f>I63+J63-K63</f>
        <v/>
      </c>
      <c r="M63">
        <f>MIN(L63,MAX(0,$B63-((E$5&lt;K$5)*F63+(Q$5&lt;K$5)*R63+(W$5&lt;K$5)*X63+(AC$5&lt;K$5)*AD63+(AI$5&lt;K$5)*AJ63+(AO$5&lt;K$5)*AP63+(AU$5&lt;K$5)*AV63)))</f>
        <v/>
      </c>
      <c r="N63">
        <f>IF(L63-M63&lt;0.005,0,L63-M63)</f>
        <v/>
      </c>
      <c r="O63">
        <f>T62</f>
        <v/>
      </c>
      <c r="P63">
        <f>O63*Plan!D8/100/12</f>
        <v/>
      </c>
      <c r="Q63">
        <f>MIN(Plan!E8,O63+P63)</f>
        <v/>
      </c>
      <c r="R63">
        <f>O63+P63-Q63</f>
        <v/>
      </c>
      <c r="S63">
        <f>MIN(R63,MAX(0,$B63-((E$5&lt;Q$5)*F63+(K$5&lt;Q$5)*L63+(W$5&lt;Q$5)*X63+(AC$5&lt;Q$5)*AD63+(AI$5&lt;Q$5)*AJ63+(AO$5&lt;Q$5)*AP63+(AU$5&lt;Q$5)*AV63)))</f>
        <v/>
      </c>
      <c r="T63">
        <f>IF(R63-S63&lt;0.005,0,R63-S63)</f>
        <v/>
      </c>
      <c r="U63">
        <f>Z62</f>
        <v/>
      </c>
      <c r="V63">
        <f>U63*Plan!D9/100/12</f>
        <v/>
      </c>
      <c r="W63">
        <f>MIN(Plan!E9,U63+V63)</f>
        <v/>
      </c>
      <c r="X63">
        <f>U63+V63-W63</f>
        <v/>
      </c>
      <c r="Y63">
        <f>MIN(X63,MAX(0,$B63-((E$5&lt;W$5)*F63+(K$5&lt;W$5)*L63+(Q$5&lt;W$5)*R63+(AC$5&lt;W$5)*AD63+(AI$5&lt;W$5)*AJ63+(AO$5&lt;W$5)*AP63+(AU$5&lt;W$5)*AV63)))</f>
        <v/>
      </c>
      <c r="Z63">
        <f>IF(X63-Y63&lt;0.005,0,X63-Y63)</f>
        <v/>
      </c>
      <c r="AA63">
        <f>AF62</f>
        <v/>
      </c>
      <c r="AB63">
        <f>AA63*Plan!D10/100/12</f>
        <v/>
      </c>
      <c r="AC63">
        <f>MIN(Plan!E10,AA63+AB63)</f>
        <v/>
      </c>
      <c r="AD63">
        <f>AA63+AB63-AC63</f>
        <v/>
      </c>
      <c r="AE63">
        <f>MIN(AD63,MAX(0,$B63-((E$5&lt;AC$5)*F63+(K$5&lt;AC$5)*L63+(Q$5&lt;AC$5)*R63+(W$5&lt;AC$5)*X63+(AI$5&lt;AC$5)*AJ63+(AO$5&lt;AC$5)*AP63+(AU$5&lt;AC$5)*AV63)))</f>
        <v/>
      </c>
      <c r="AF63">
        <f>IF(AD63-AE63&lt;0.005,0,AD63-AE63)</f>
        <v/>
      </c>
      <c r="AG63">
        <f>AL62</f>
        <v/>
      </c>
      <c r="AH63">
        <f>AG63*Plan!D11/100/12</f>
        <v/>
      </c>
      <c r="AI63">
        <f>MIN(Plan!E11,AG63+AH63)</f>
        <v/>
      </c>
      <c r="AJ63">
        <f>AG63+AH63-AI63</f>
        <v/>
      </c>
      <c r="AK63">
        <f>MIN(AJ63,MAX(0,$B63-((E$5&lt;AI$5)*F63+(K$5&lt;AI$5)*L63+(Q$5&lt;AI$5)*R63+(W$5&lt;AI$5)*X63+(AC$5&lt;AI$5)*AD63+(AO$5&lt;AI$5)*AP63+(AU$5&lt;AI$5)*AV63)))</f>
        <v/>
      </c>
      <c r="AL63">
        <f>IF(AJ63-AK63&lt;0.005,0,AJ63-AK63)</f>
        <v/>
      </c>
      <c r="AM63">
        <f>AR62</f>
        <v/>
      </c>
      <c r="AN63">
        <f>AM63*Plan!D12/100/12</f>
        <v/>
      </c>
      <c r="AO63">
        <f>MIN(Plan!E12,AM63+AN63)</f>
        <v/>
      </c>
      <c r="AP63">
        <f>AM63+AN63-AO63</f>
        <v/>
      </c>
      <c r="AQ63">
        <f>MIN(AP63,MAX(0,$B63-((E$5&lt;AO$5)*F63+(K$5&lt;AO$5)*L63+(Q$5&lt;AO$5)*R63+(W$5&lt;AO$5)*X63+(AC$5&lt;AO$5)*AD63+(AI$5&lt;AO$5)*AJ63+(AU$5&lt;AO$5)*AV63)))</f>
        <v/>
      </c>
      <c r="AR63">
        <f>IF(AP63-AQ63&lt;0.005,0,AP63-AQ63)</f>
        <v/>
      </c>
      <c r="AS63">
        <f>AX62</f>
        <v/>
      </c>
      <c r="AT63">
        <f>AS63*Plan!D13/100/12</f>
        <v/>
      </c>
      <c r="AU63">
        <f>MIN(Plan!E13,AS63+AT63)</f>
        <v/>
      </c>
      <c r="AV63">
        <f>AS63+AT63-AU63</f>
        <v/>
      </c>
      <c r="AW63">
        <f>MIN(AV63,MAX(0,$B63-((E$5&lt;AU$5)*F63+(K$5&lt;AU$5)*L63+(Q$5&lt;AU$5)*R63+(W$5&lt;AU$5)*X63+(AC$5&lt;AU$5)*AD63+(AI$5&lt;AU$5)*AJ63+(AO$5&lt;AU$5)*AP63)))</f>
        <v/>
      </c>
      <c r="AX63">
        <f>IF(AV63-AW63&lt;0.005,0,AV63-AW63)</f>
        <v/>
      </c>
      <c r="BC63">
        <f>H63+N63+T63+Z63+AF63+AL63+AR63+AX63</f>
        <v/>
      </c>
    </row>
    <row r="64">
      <c r="A64" t="n">
        <v>58</v>
      </c>
      <c r="B64" s="19">
        <f>MAX(0,$B$3-(E64+K64+Q64+W64+AC64+AI64+AO64+AU64))</f>
        <v/>
      </c>
      <c r="C64">
        <f>H63</f>
        <v/>
      </c>
      <c r="D64">
        <f>C64*Plan!D6/100/12</f>
        <v/>
      </c>
      <c r="E64">
        <f>MIN(Plan!E6,C64+D64)</f>
        <v/>
      </c>
      <c r="F64">
        <f>C64+D64-E64</f>
        <v/>
      </c>
      <c r="G64">
        <f>MIN(F64,MAX(0,$B64-((K$5&lt;E$5)*L64+(Q$5&lt;E$5)*R64+(W$5&lt;E$5)*X64+(AC$5&lt;E$5)*AD64+(AI$5&lt;E$5)*AJ64+(AO$5&lt;E$5)*AP64+(AU$5&lt;E$5)*AV64)))</f>
        <v/>
      </c>
      <c r="H64">
        <f>IF(F64-G64&lt;0.005,0,F64-G64)</f>
        <v/>
      </c>
      <c r="I64">
        <f>N63</f>
        <v/>
      </c>
      <c r="J64">
        <f>I64*Plan!D7/100/12</f>
        <v/>
      </c>
      <c r="K64">
        <f>MIN(Plan!E7,I64+J64)</f>
        <v/>
      </c>
      <c r="L64">
        <f>I64+J64-K64</f>
        <v/>
      </c>
      <c r="M64">
        <f>MIN(L64,MAX(0,$B64-((E$5&lt;K$5)*F64+(Q$5&lt;K$5)*R64+(W$5&lt;K$5)*X64+(AC$5&lt;K$5)*AD64+(AI$5&lt;K$5)*AJ64+(AO$5&lt;K$5)*AP64+(AU$5&lt;K$5)*AV64)))</f>
        <v/>
      </c>
      <c r="N64">
        <f>IF(L64-M64&lt;0.005,0,L64-M64)</f>
        <v/>
      </c>
      <c r="O64">
        <f>T63</f>
        <v/>
      </c>
      <c r="P64">
        <f>O64*Plan!D8/100/12</f>
        <v/>
      </c>
      <c r="Q64">
        <f>MIN(Plan!E8,O64+P64)</f>
        <v/>
      </c>
      <c r="R64">
        <f>O64+P64-Q64</f>
        <v/>
      </c>
      <c r="S64">
        <f>MIN(R64,MAX(0,$B64-((E$5&lt;Q$5)*F64+(K$5&lt;Q$5)*L64+(W$5&lt;Q$5)*X64+(AC$5&lt;Q$5)*AD64+(AI$5&lt;Q$5)*AJ64+(AO$5&lt;Q$5)*AP64+(AU$5&lt;Q$5)*AV64)))</f>
        <v/>
      </c>
      <c r="T64">
        <f>IF(R64-S64&lt;0.005,0,R64-S64)</f>
        <v/>
      </c>
      <c r="U64">
        <f>Z63</f>
        <v/>
      </c>
      <c r="V64">
        <f>U64*Plan!D9/100/12</f>
        <v/>
      </c>
      <c r="W64">
        <f>MIN(Plan!E9,U64+V64)</f>
        <v/>
      </c>
      <c r="X64">
        <f>U64+V64-W64</f>
        <v/>
      </c>
      <c r="Y64">
        <f>MIN(X64,MAX(0,$B64-((E$5&lt;W$5)*F64+(K$5&lt;W$5)*L64+(Q$5&lt;W$5)*R64+(AC$5&lt;W$5)*AD64+(AI$5&lt;W$5)*AJ64+(AO$5&lt;W$5)*AP64+(AU$5&lt;W$5)*AV64)))</f>
        <v/>
      </c>
      <c r="Z64">
        <f>IF(X64-Y64&lt;0.005,0,X64-Y64)</f>
        <v/>
      </c>
      <c r="AA64">
        <f>AF63</f>
        <v/>
      </c>
      <c r="AB64">
        <f>AA64*Plan!D10/100/12</f>
        <v/>
      </c>
      <c r="AC64">
        <f>MIN(Plan!E10,AA64+AB64)</f>
        <v/>
      </c>
      <c r="AD64">
        <f>AA64+AB64-AC64</f>
        <v/>
      </c>
      <c r="AE64">
        <f>MIN(AD64,MAX(0,$B64-((E$5&lt;AC$5)*F64+(K$5&lt;AC$5)*L64+(Q$5&lt;AC$5)*R64+(W$5&lt;AC$5)*X64+(AI$5&lt;AC$5)*AJ64+(AO$5&lt;AC$5)*AP64+(AU$5&lt;AC$5)*AV64)))</f>
        <v/>
      </c>
      <c r="AF64">
        <f>IF(AD64-AE64&lt;0.005,0,AD64-AE64)</f>
        <v/>
      </c>
      <c r="AG64">
        <f>AL63</f>
        <v/>
      </c>
      <c r="AH64">
        <f>AG64*Plan!D11/100/12</f>
        <v/>
      </c>
      <c r="AI64">
        <f>MIN(Plan!E11,AG64+AH64)</f>
        <v/>
      </c>
      <c r="AJ64">
        <f>AG64+AH64-AI64</f>
        <v/>
      </c>
      <c r="AK64">
        <f>MIN(AJ64,MAX(0,$B64-((E$5&lt;AI$5)*F64+(K$5&lt;AI$5)*L64+(Q$5&lt;AI$5)*R64+(W$5&lt;AI$5)*X64+(AC$5&lt;AI$5)*AD64+(AO$5&lt;AI$5)*AP64+(AU$5&lt;AI$5)*AV64)))</f>
        <v/>
      </c>
      <c r="AL64">
        <f>IF(AJ64-AK64&lt;0.005,0,AJ64-AK64)</f>
        <v/>
      </c>
      <c r="AM64">
        <f>AR63</f>
        <v/>
      </c>
      <c r="AN64">
        <f>AM64*Plan!D12/100/12</f>
        <v/>
      </c>
      <c r="AO64">
        <f>MIN(Plan!E12,AM64+AN64)</f>
        <v/>
      </c>
      <c r="AP64">
        <f>AM64+AN64-AO64</f>
        <v/>
      </c>
      <c r="AQ64">
        <f>MIN(AP64,MAX(0,$B64-((E$5&lt;AO$5)*F64+(K$5&lt;AO$5)*L64+(Q$5&lt;AO$5)*R64+(W$5&lt;AO$5)*X64+(AC$5&lt;AO$5)*AD64+(AI$5&lt;AO$5)*AJ64+(AU$5&lt;AO$5)*AV64)))</f>
        <v/>
      </c>
      <c r="AR64">
        <f>IF(AP64-AQ64&lt;0.005,0,AP64-AQ64)</f>
        <v/>
      </c>
      <c r="AS64">
        <f>AX63</f>
        <v/>
      </c>
      <c r="AT64">
        <f>AS64*Plan!D13/100/12</f>
        <v/>
      </c>
      <c r="AU64">
        <f>MIN(Plan!E13,AS64+AT64)</f>
        <v/>
      </c>
      <c r="AV64">
        <f>AS64+AT64-AU64</f>
        <v/>
      </c>
      <c r="AW64">
        <f>MIN(AV64,MAX(0,$B64-((E$5&lt;AU$5)*F64+(K$5&lt;AU$5)*L64+(Q$5&lt;AU$5)*R64+(W$5&lt;AU$5)*X64+(AC$5&lt;AU$5)*AD64+(AI$5&lt;AU$5)*AJ64+(AO$5&lt;AU$5)*AP64)))</f>
        <v/>
      </c>
      <c r="AX64">
        <f>IF(AV64-AW64&lt;0.005,0,AV64-AW64)</f>
        <v/>
      </c>
      <c r="BC64">
        <f>H64+N64+T64+Z64+AF64+AL64+AR64+AX64</f>
        <v/>
      </c>
    </row>
    <row r="65">
      <c r="A65" t="n">
        <v>59</v>
      </c>
      <c r="B65" s="19">
        <f>MAX(0,$B$3-(E65+K65+Q65+W65+AC65+AI65+AO65+AU65))</f>
        <v/>
      </c>
      <c r="C65">
        <f>H64</f>
        <v/>
      </c>
      <c r="D65">
        <f>C65*Plan!D6/100/12</f>
        <v/>
      </c>
      <c r="E65">
        <f>MIN(Plan!E6,C65+D65)</f>
        <v/>
      </c>
      <c r="F65">
        <f>C65+D65-E65</f>
        <v/>
      </c>
      <c r="G65">
        <f>MIN(F65,MAX(0,$B65-((K$5&lt;E$5)*L65+(Q$5&lt;E$5)*R65+(W$5&lt;E$5)*X65+(AC$5&lt;E$5)*AD65+(AI$5&lt;E$5)*AJ65+(AO$5&lt;E$5)*AP65+(AU$5&lt;E$5)*AV65)))</f>
        <v/>
      </c>
      <c r="H65">
        <f>IF(F65-G65&lt;0.005,0,F65-G65)</f>
        <v/>
      </c>
      <c r="I65">
        <f>N64</f>
        <v/>
      </c>
      <c r="J65">
        <f>I65*Plan!D7/100/12</f>
        <v/>
      </c>
      <c r="K65">
        <f>MIN(Plan!E7,I65+J65)</f>
        <v/>
      </c>
      <c r="L65">
        <f>I65+J65-K65</f>
        <v/>
      </c>
      <c r="M65">
        <f>MIN(L65,MAX(0,$B65-((E$5&lt;K$5)*F65+(Q$5&lt;K$5)*R65+(W$5&lt;K$5)*X65+(AC$5&lt;K$5)*AD65+(AI$5&lt;K$5)*AJ65+(AO$5&lt;K$5)*AP65+(AU$5&lt;K$5)*AV65)))</f>
        <v/>
      </c>
      <c r="N65">
        <f>IF(L65-M65&lt;0.005,0,L65-M65)</f>
        <v/>
      </c>
      <c r="O65">
        <f>T64</f>
        <v/>
      </c>
      <c r="P65">
        <f>O65*Plan!D8/100/12</f>
        <v/>
      </c>
      <c r="Q65">
        <f>MIN(Plan!E8,O65+P65)</f>
        <v/>
      </c>
      <c r="R65">
        <f>O65+P65-Q65</f>
        <v/>
      </c>
      <c r="S65">
        <f>MIN(R65,MAX(0,$B65-((E$5&lt;Q$5)*F65+(K$5&lt;Q$5)*L65+(W$5&lt;Q$5)*X65+(AC$5&lt;Q$5)*AD65+(AI$5&lt;Q$5)*AJ65+(AO$5&lt;Q$5)*AP65+(AU$5&lt;Q$5)*AV65)))</f>
        <v/>
      </c>
      <c r="T65">
        <f>IF(R65-S65&lt;0.005,0,R65-S65)</f>
        <v/>
      </c>
      <c r="U65">
        <f>Z64</f>
        <v/>
      </c>
      <c r="V65">
        <f>U65*Plan!D9/100/12</f>
        <v/>
      </c>
      <c r="W65">
        <f>MIN(Plan!E9,U65+V65)</f>
        <v/>
      </c>
      <c r="X65">
        <f>U65+V65-W65</f>
        <v/>
      </c>
      <c r="Y65">
        <f>MIN(X65,MAX(0,$B65-((E$5&lt;W$5)*F65+(K$5&lt;W$5)*L65+(Q$5&lt;W$5)*R65+(AC$5&lt;W$5)*AD65+(AI$5&lt;W$5)*AJ65+(AO$5&lt;W$5)*AP65+(AU$5&lt;W$5)*AV65)))</f>
        <v/>
      </c>
      <c r="Z65">
        <f>IF(X65-Y65&lt;0.005,0,X65-Y65)</f>
        <v/>
      </c>
      <c r="AA65">
        <f>AF64</f>
        <v/>
      </c>
      <c r="AB65">
        <f>AA65*Plan!D10/100/12</f>
        <v/>
      </c>
      <c r="AC65">
        <f>MIN(Plan!E10,AA65+AB65)</f>
        <v/>
      </c>
      <c r="AD65">
        <f>AA65+AB65-AC65</f>
        <v/>
      </c>
      <c r="AE65">
        <f>MIN(AD65,MAX(0,$B65-((E$5&lt;AC$5)*F65+(K$5&lt;AC$5)*L65+(Q$5&lt;AC$5)*R65+(W$5&lt;AC$5)*X65+(AI$5&lt;AC$5)*AJ65+(AO$5&lt;AC$5)*AP65+(AU$5&lt;AC$5)*AV65)))</f>
        <v/>
      </c>
      <c r="AF65">
        <f>IF(AD65-AE65&lt;0.005,0,AD65-AE65)</f>
        <v/>
      </c>
      <c r="AG65">
        <f>AL64</f>
        <v/>
      </c>
      <c r="AH65">
        <f>AG65*Plan!D11/100/12</f>
        <v/>
      </c>
      <c r="AI65">
        <f>MIN(Plan!E11,AG65+AH65)</f>
        <v/>
      </c>
      <c r="AJ65">
        <f>AG65+AH65-AI65</f>
        <v/>
      </c>
      <c r="AK65">
        <f>MIN(AJ65,MAX(0,$B65-((E$5&lt;AI$5)*F65+(K$5&lt;AI$5)*L65+(Q$5&lt;AI$5)*R65+(W$5&lt;AI$5)*X65+(AC$5&lt;AI$5)*AD65+(AO$5&lt;AI$5)*AP65+(AU$5&lt;AI$5)*AV65)))</f>
        <v/>
      </c>
      <c r="AL65">
        <f>IF(AJ65-AK65&lt;0.005,0,AJ65-AK65)</f>
        <v/>
      </c>
      <c r="AM65">
        <f>AR64</f>
        <v/>
      </c>
      <c r="AN65">
        <f>AM65*Plan!D12/100/12</f>
        <v/>
      </c>
      <c r="AO65">
        <f>MIN(Plan!E12,AM65+AN65)</f>
        <v/>
      </c>
      <c r="AP65">
        <f>AM65+AN65-AO65</f>
        <v/>
      </c>
      <c r="AQ65">
        <f>MIN(AP65,MAX(0,$B65-((E$5&lt;AO$5)*F65+(K$5&lt;AO$5)*L65+(Q$5&lt;AO$5)*R65+(W$5&lt;AO$5)*X65+(AC$5&lt;AO$5)*AD65+(AI$5&lt;AO$5)*AJ65+(AU$5&lt;AO$5)*AV65)))</f>
        <v/>
      </c>
      <c r="AR65">
        <f>IF(AP65-AQ65&lt;0.005,0,AP65-AQ65)</f>
        <v/>
      </c>
      <c r="AS65">
        <f>AX64</f>
        <v/>
      </c>
      <c r="AT65">
        <f>AS65*Plan!D13/100/12</f>
        <v/>
      </c>
      <c r="AU65">
        <f>MIN(Plan!E13,AS65+AT65)</f>
        <v/>
      </c>
      <c r="AV65">
        <f>AS65+AT65-AU65</f>
        <v/>
      </c>
      <c r="AW65">
        <f>MIN(AV65,MAX(0,$B65-((E$5&lt;AU$5)*F65+(K$5&lt;AU$5)*L65+(Q$5&lt;AU$5)*R65+(W$5&lt;AU$5)*X65+(AC$5&lt;AU$5)*AD65+(AI$5&lt;AU$5)*AJ65+(AO$5&lt;AU$5)*AP65)))</f>
        <v/>
      </c>
      <c r="AX65">
        <f>IF(AV65-AW65&lt;0.005,0,AV65-AW65)</f>
        <v/>
      </c>
      <c r="BC65">
        <f>H65+N65+T65+Z65+AF65+AL65+AR65+AX65</f>
        <v/>
      </c>
    </row>
    <row r="66">
      <c r="A66" t="n">
        <v>60</v>
      </c>
      <c r="B66" s="19">
        <f>MAX(0,$B$3-(E66+K66+Q66+W66+AC66+AI66+AO66+AU66))</f>
        <v/>
      </c>
      <c r="C66">
        <f>H65</f>
        <v/>
      </c>
      <c r="D66">
        <f>C66*Plan!D6/100/12</f>
        <v/>
      </c>
      <c r="E66">
        <f>MIN(Plan!E6,C66+D66)</f>
        <v/>
      </c>
      <c r="F66">
        <f>C66+D66-E66</f>
        <v/>
      </c>
      <c r="G66">
        <f>MIN(F66,MAX(0,$B66-((K$5&lt;E$5)*L66+(Q$5&lt;E$5)*R66+(W$5&lt;E$5)*X66+(AC$5&lt;E$5)*AD66+(AI$5&lt;E$5)*AJ66+(AO$5&lt;E$5)*AP66+(AU$5&lt;E$5)*AV66)))</f>
        <v/>
      </c>
      <c r="H66">
        <f>IF(F66-G66&lt;0.005,0,F66-G66)</f>
        <v/>
      </c>
      <c r="I66">
        <f>N65</f>
        <v/>
      </c>
      <c r="J66">
        <f>I66*Plan!D7/100/12</f>
        <v/>
      </c>
      <c r="K66">
        <f>MIN(Plan!E7,I66+J66)</f>
        <v/>
      </c>
      <c r="L66">
        <f>I66+J66-K66</f>
        <v/>
      </c>
      <c r="M66">
        <f>MIN(L66,MAX(0,$B66-((E$5&lt;K$5)*F66+(Q$5&lt;K$5)*R66+(W$5&lt;K$5)*X66+(AC$5&lt;K$5)*AD66+(AI$5&lt;K$5)*AJ66+(AO$5&lt;K$5)*AP66+(AU$5&lt;K$5)*AV66)))</f>
        <v/>
      </c>
      <c r="N66">
        <f>IF(L66-M66&lt;0.005,0,L66-M66)</f>
        <v/>
      </c>
      <c r="O66">
        <f>T65</f>
        <v/>
      </c>
      <c r="P66">
        <f>O66*Plan!D8/100/12</f>
        <v/>
      </c>
      <c r="Q66">
        <f>MIN(Plan!E8,O66+P66)</f>
        <v/>
      </c>
      <c r="R66">
        <f>O66+P66-Q66</f>
        <v/>
      </c>
      <c r="S66">
        <f>MIN(R66,MAX(0,$B66-((E$5&lt;Q$5)*F66+(K$5&lt;Q$5)*L66+(W$5&lt;Q$5)*X66+(AC$5&lt;Q$5)*AD66+(AI$5&lt;Q$5)*AJ66+(AO$5&lt;Q$5)*AP66+(AU$5&lt;Q$5)*AV66)))</f>
        <v/>
      </c>
      <c r="T66">
        <f>IF(R66-S66&lt;0.005,0,R66-S66)</f>
        <v/>
      </c>
      <c r="U66">
        <f>Z65</f>
        <v/>
      </c>
      <c r="V66">
        <f>U66*Plan!D9/100/12</f>
        <v/>
      </c>
      <c r="W66">
        <f>MIN(Plan!E9,U66+V66)</f>
        <v/>
      </c>
      <c r="X66">
        <f>U66+V66-W66</f>
        <v/>
      </c>
      <c r="Y66">
        <f>MIN(X66,MAX(0,$B66-((E$5&lt;W$5)*F66+(K$5&lt;W$5)*L66+(Q$5&lt;W$5)*R66+(AC$5&lt;W$5)*AD66+(AI$5&lt;W$5)*AJ66+(AO$5&lt;W$5)*AP66+(AU$5&lt;W$5)*AV66)))</f>
        <v/>
      </c>
      <c r="Z66">
        <f>IF(X66-Y66&lt;0.005,0,X66-Y66)</f>
        <v/>
      </c>
      <c r="AA66">
        <f>AF65</f>
        <v/>
      </c>
      <c r="AB66">
        <f>AA66*Plan!D10/100/12</f>
        <v/>
      </c>
      <c r="AC66">
        <f>MIN(Plan!E10,AA66+AB66)</f>
        <v/>
      </c>
      <c r="AD66">
        <f>AA66+AB66-AC66</f>
        <v/>
      </c>
      <c r="AE66">
        <f>MIN(AD66,MAX(0,$B66-((E$5&lt;AC$5)*F66+(K$5&lt;AC$5)*L66+(Q$5&lt;AC$5)*R66+(W$5&lt;AC$5)*X66+(AI$5&lt;AC$5)*AJ66+(AO$5&lt;AC$5)*AP66+(AU$5&lt;AC$5)*AV66)))</f>
        <v/>
      </c>
      <c r="AF66">
        <f>IF(AD66-AE66&lt;0.005,0,AD66-AE66)</f>
        <v/>
      </c>
      <c r="AG66">
        <f>AL65</f>
        <v/>
      </c>
      <c r="AH66">
        <f>AG66*Plan!D11/100/12</f>
        <v/>
      </c>
      <c r="AI66">
        <f>MIN(Plan!E11,AG66+AH66)</f>
        <v/>
      </c>
      <c r="AJ66">
        <f>AG66+AH66-AI66</f>
        <v/>
      </c>
      <c r="AK66">
        <f>MIN(AJ66,MAX(0,$B66-((E$5&lt;AI$5)*F66+(K$5&lt;AI$5)*L66+(Q$5&lt;AI$5)*R66+(W$5&lt;AI$5)*X66+(AC$5&lt;AI$5)*AD66+(AO$5&lt;AI$5)*AP66+(AU$5&lt;AI$5)*AV66)))</f>
        <v/>
      </c>
      <c r="AL66">
        <f>IF(AJ66-AK66&lt;0.005,0,AJ66-AK66)</f>
        <v/>
      </c>
      <c r="AM66">
        <f>AR65</f>
        <v/>
      </c>
      <c r="AN66">
        <f>AM66*Plan!D12/100/12</f>
        <v/>
      </c>
      <c r="AO66">
        <f>MIN(Plan!E12,AM66+AN66)</f>
        <v/>
      </c>
      <c r="AP66">
        <f>AM66+AN66-AO66</f>
        <v/>
      </c>
      <c r="AQ66">
        <f>MIN(AP66,MAX(0,$B66-((E$5&lt;AO$5)*F66+(K$5&lt;AO$5)*L66+(Q$5&lt;AO$5)*R66+(W$5&lt;AO$5)*X66+(AC$5&lt;AO$5)*AD66+(AI$5&lt;AO$5)*AJ66+(AU$5&lt;AO$5)*AV66)))</f>
        <v/>
      </c>
      <c r="AR66">
        <f>IF(AP66-AQ66&lt;0.005,0,AP66-AQ66)</f>
        <v/>
      </c>
      <c r="AS66">
        <f>AX65</f>
        <v/>
      </c>
      <c r="AT66">
        <f>AS66*Plan!D13/100/12</f>
        <v/>
      </c>
      <c r="AU66">
        <f>MIN(Plan!E13,AS66+AT66)</f>
        <v/>
      </c>
      <c r="AV66">
        <f>AS66+AT66-AU66</f>
        <v/>
      </c>
      <c r="AW66">
        <f>MIN(AV66,MAX(0,$B66-((E$5&lt;AU$5)*F66+(K$5&lt;AU$5)*L66+(Q$5&lt;AU$5)*R66+(W$5&lt;AU$5)*X66+(AC$5&lt;AU$5)*AD66+(AI$5&lt;AU$5)*AJ66+(AO$5&lt;AU$5)*AP66)))</f>
        <v/>
      </c>
      <c r="AX66">
        <f>IF(AV66-AW66&lt;0.005,0,AV66-AW66)</f>
        <v/>
      </c>
      <c r="BC66">
        <f>H66+N66+T66+Z66+AF66+AL66+AR66+AX66</f>
        <v/>
      </c>
    </row>
    <row r="67">
      <c r="A67" t="n">
        <v>61</v>
      </c>
      <c r="B67" s="19">
        <f>MAX(0,$B$3-(E67+K67+Q67+W67+AC67+AI67+AO67+AU67))</f>
        <v/>
      </c>
      <c r="C67">
        <f>H66</f>
        <v/>
      </c>
      <c r="D67">
        <f>C67*Plan!D6/100/12</f>
        <v/>
      </c>
      <c r="E67">
        <f>MIN(Plan!E6,C67+D67)</f>
        <v/>
      </c>
      <c r="F67">
        <f>C67+D67-E67</f>
        <v/>
      </c>
      <c r="G67">
        <f>MIN(F67,MAX(0,$B67-((K$5&lt;E$5)*L67+(Q$5&lt;E$5)*R67+(W$5&lt;E$5)*X67+(AC$5&lt;E$5)*AD67+(AI$5&lt;E$5)*AJ67+(AO$5&lt;E$5)*AP67+(AU$5&lt;E$5)*AV67)))</f>
        <v/>
      </c>
      <c r="H67">
        <f>IF(F67-G67&lt;0.005,0,F67-G67)</f>
        <v/>
      </c>
      <c r="I67">
        <f>N66</f>
        <v/>
      </c>
      <c r="J67">
        <f>I67*Plan!D7/100/12</f>
        <v/>
      </c>
      <c r="K67">
        <f>MIN(Plan!E7,I67+J67)</f>
        <v/>
      </c>
      <c r="L67">
        <f>I67+J67-K67</f>
        <v/>
      </c>
      <c r="M67">
        <f>MIN(L67,MAX(0,$B67-((E$5&lt;K$5)*F67+(Q$5&lt;K$5)*R67+(W$5&lt;K$5)*X67+(AC$5&lt;K$5)*AD67+(AI$5&lt;K$5)*AJ67+(AO$5&lt;K$5)*AP67+(AU$5&lt;K$5)*AV67)))</f>
        <v/>
      </c>
      <c r="N67">
        <f>IF(L67-M67&lt;0.005,0,L67-M67)</f>
        <v/>
      </c>
      <c r="O67">
        <f>T66</f>
        <v/>
      </c>
      <c r="P67">
        <f>O67*Plan!D8/100/12</f>
        <v/>
      </c>
      <c r="Q67">
        <f>MIN(Plan!E8,O67+P67)</f>
        <v/>
      </c>
      <c r="R67">
        <f>O67+P67-Q67</f>
        <v/>
      </c>
      <c r="S67">
        <f>MIN(R67,MAX(0,$B67-((E$5&lt;Q$5)*F67+(K$5&lt;Q$5)*L67+(W$5&lt;Q$5)*X67+(AC$5&lt;Q$5)*AD67+(AI$5&lt;Q$5)*AJ67+(AO$5&lt;Q$5)*AP67+(AU$5&lt;Q$5)*AV67)))</f>
        <v/>
      </c>
      <c r="T67">
        <f>IF(R67-S67&lt;0.005,0,R67-S67)</f>
        <v/>
      </c>
      <c r="U67">
        <f>Z66</f>
        <v/>
      </c>
      <c r="V67">
        <f>U67*Plan!D9/100/12</f>
        <v/>
      </c>
      <c r="W67">
        <f>MIN(Plan!E9,U67+V67)</f>
        <v/>
      </c>
      <c r="X67">
        <f>U67+V67-W67</f>
        <v/>
      </c>
      <c r="Y67">
        <f>MIN(X67,MAX(0,$B67-((E$5&lt;W$5)*F67+(K$5&lt;W$5)*L67+(Q$5&lt;W$5)*R67+(AC$5&lt;W$5)*AD67+(AI$5&lt;W$5)*AJ67+(AO$5&lt;W$5)*AP67+(AU$5&lt;W$5)*AV67)))</f>
        <v/>
      </c>
      <c r="Z67">
        <f>IF(X67-Y67&lt;0.005,0,X67-Y67)</f>
        <v/>
      </c>
      <c r="AA67">
        <f>AF66</f>
        <v/>
      </c>
      <c r="AB67">
        <f>AA67*Plan!D10/100/12</f>
        <v/>
      </c>
      <c r="AC67">
        <f>MIN(Plan!E10,AA67+AB67)</f>
        <v/>
      </c>
      <c r="AD67">
        <f>AA67+AB67-AC67</f>
        <v/>
      </c>
      <c r="AE67">
        <f>MIN(AD67,MAX(0,$B67-((E$5&lt;AC$5)*F67+(K$5&lt;AC$5)*L67+(Q$5&lt;AC$5)*R67+(W$5&lt;AC$5)*X67+(AI$5&lt;AC$5)*AJ67+(AO$5&lt;AC$5)*AP67+(AU$5&lt;AC$5)*AV67)))</f>
        <v/>
      </c>
      <c r="AF67">
        <f>IF(AD67-AE67&lt;0.005,0,AD67-AE67)</f>
        <v/>
      </c>
      <c r="AG67">
        <f>AL66</f>
        <v/>
      </c>
      <c r="AH67">
        <f>AG67*Plan!D11/100/12</f>
        <v/>
      </c>
      <c r="AI67">
        <f>MIN(Plan!E11,AG67+AH67)</f>
        <v/>
      </c>
      <c r="AJ67">
        <f>AG67+AH67-AI67</f>
        <v/>
      </c>
      <c r="AK67">
        <f>MIN(AJ67,MAX(0,$B67-((E$5&lt;AI$5)*F67+(K$5&lt;AI$5)*L67+(Q$5&lt;AI$5)*R67+(W$5&lt;AI$5)*X67+(AC$5&lt;AI$5)*AD67+(AO$5&lt;AI$5)*AP67+(AU$5&lt;AI$5)*AV67)))</f>
        <v/>
      </c>
      <c r="AL67">
        <f>IF(AJ67-AK67&lt;0.005,0,AJ67-AK67)</f>
        <v/>
      </c>
      <c r="AM67">
        <f>AR66</f>
        <v/>
      </c>
      <c r="AN67">
        <f>AM67*Plan!D12/100/12</f>
        <v/>
      </c>
      <c r="AO67">
        <f>MIN(Plan!E12,AM67+AN67)</f>
        <v/>
      </c>
      <c r="AP67">
        <f>AM67+AN67-AO67</f>
        <v/>
      </c>
      <c r="AQ67">
        <f>MIN(AP67,MAX(0,$B67-((E$5&lt;AO$5)*F67+(K$5&lt;AO$5)*L67+(Q$5&lt;AO$5)*R67+(W$5&lt;AO$5)*X67+(AC$5&lt;AO$5)*AD67+(AI$5&lt;AO$5)*AJ67+(AU$5&lt;AO$5)*AV67)))</f>
        <v/>
      </c>
      <c r="AR67">
        <f>IF(AP67-AQ67&lt;0.005,0,AP67-AQ67)</f>
        <v/>
      </c>
      <c r="AS67">
        <f>AX66</f>
        <v/>
      </c>
      <c r="AT67">
        <f>AS67*Plan!D13/100/12</f>
        <v/>
      </c>
      <c r="AU67">
        <f>MIN(Plan!E13,AS67+AT67)</f>
        <v/>
      </c>
      <c r="AV67">
        <f>AS67+AT67-AU67</f>
        <v/>
      </c>
      <c r="AW67">
        <f>MIN(AV67,MAX(0,$B67-((E$5&lt;AU$5)*F67+(K$5&lt;AU$5)*L67+(Q$5&lt;AU$5)*R67+(W$5&lt;AU$5)*X67+(AC$5&lt;AU$5)*AD67+(AI$5&lt;AU$5)*AJ67+(AO$5&lt;AU$5)*AP67)))</f>
        <v/>
      </c>
      <c r="AX67">
        <f>IF(AV67-AW67&lt;0.005,0,AV67-AW67)</f>
        <v/>
      </c>
      <c r="BC67">
        <f>H67+N67+T67+Z67+AF67+AL67+AR67+AX67</f>
        <v/>
      </c>
    </row>
    <row r="68">
      <c r="A68" t="n">
        <v>62</v>
      </c>
      <c r="B68" s="19">
        <f>MAX(0,$B$3-(E68+K68+Q68+W68+AC68+AI68+AO68+AU68))</f>
        <v/>
      </c>
      <c r="C68">
        <f>H67</f>
        <v/>
      </c>
      <c r="D68">
        <f>C68*Plan!D6/100/12</f>
        <v/>
      </c>
      <c r="E68">
        <f>MIN(Plan!E6,C68+D68)</f>
        <v/>
      </c>
      <c r="F68">
        <f>C68+D68-E68</f>
        <v/>
      </c>
      <c r="G68">
        <f>MIN(F68,MAX(0,$B68-((K$5&lt;E$5)*L68+(Q$5&lt;E$5)*R68+(W$5&lt;E$5)*X68+(AC$5&lt;E$5)*AD68+(AI$5&lt;E$5)*AJ68+(AO$5&lt;E$5)*AP68+(AU$5&lt;E$5)*AV68)))</f>
        <v/>
      </c>
      <c r="H68">
        <f>IF(F68-G68&lt;0.005,0,F68-G68)</f>
        <v/>
      </c>
      <c r="I68">
        <f>N67</f>
        <v/>
      </c>
      <c r="J68">
        <f>I68*Plan!D7/100/12</f>
        <v/>
      </c>
      <c r="K68">
        <f>MIN(Plan!E7,I68+J68)</f>
        <v/>
      </c>
      <c r="L68">
        <f>I68+J68-K68</f>
        <v/>
      </c>
      <c r="M68">
        <f>MIN(L68,MAX(0,$B68-((E$5&lt;K$5)*F68+(Q$5&lt;K$5)*R68+(W$5&lt;K$5)*X68+(AC$5&lt;K$5)*AD68+(AI$5&lt;K$5)*AJ68+(AO$5&lt;K$5)*AP68+(AU$5&lt;K$5)*AV68)))</f>
        <v/>
      </c>
      <c r="N68">
        <f>IF(L68-M68&lt;0.005,0,L68-M68)</f>
        <v/>
      </c>
      <c r="O68">
        <f>T67</f>
        <v/>
      </c>
      <c r="P68">
        <f>O68*Plan!D8/100/12</f>
        <v/>
      </c>
      <c r="Q68">
        <f>MIN(Plan!E8,O68+P68)</f>
        <v/>
      </c>
      <c r="R68">
        <f>O68+P68-Q68</f>
        <v/>
      </c>
      <c r="S68">
        <f>MIN(R68,MAX(0,$B68-((E$5&lt;Q$5)*F68+(K$5&lt;Q$5)*L68+(W$5&lt;Q$5)*X68+(AC$5&lt;Q$5)*AD68+(AI$5&lt;Q$5)*AJ68+(AO$5&lt;Q$5)*AP68+(AU$5&lt;Q$5)*AV68)))</f>
        <v/>
      </c>
      <c r="T68">
        <f>IF(R68-S68&lt;0.005,0,R68-S68)</f>
        <v/>
      </c>
      <c r="U68">
        <f>Z67</f>
        <v/>
      </c>
      <c r="V68">
        <f>U68*Plan!D9/100/12</f>
        <v/>
      </c>
      <c r="W68">
        <f>MIN(Plan!E9,U68+V68)</f>
        <v/>
      </c>
      <c r="X68">
        <f>U68+V68-W68</f>
        <v/>
      </c>
      <c r="Y68">
        <f>MIN(X68,MAX(0,$B68-((E$5&lt;W$5)*F68+(K$5&lt;W$5)*L68+(Q$5&lt;W$5)*R68+(AC$5&lt;W$5)*AD68+(AI$5&lt;W$5)*AJ68+(AO$5&lt;W$5)*AP68+(AU$5&lt;W$5)*AV68)))</f>
        <v/>
      </c>
      <c r="Z68">
        <f>IF(X68-Y68&lt;0.005,0,X68-Y68)</f>
        <v/>
      </c>
      <c r="AA68">
        <f>AF67</f>
        <v/>
      </c>
      <c r="AB68">
        <f>AA68*Plan!D10/100/12</f>
        <v/>
      </c>
      <c r="AC68">
        <f>MIN(Plan!E10,AA68+AB68)</f>
        <v/>
      </c>
      <c r="AD68">
        <f>AA68+AB68-AC68</f>
        <v/>
      </c>
      <c r="AE68">
        <f>MIN(AD68,MAX(0,$B68-((E$5&lt;AC$5)*F68+(K$5&lt;AC$5)*L68+(Q$5&lt;AC$5)*R68+(W$5&lt;AC$5)*X68+(AI$5&lt;AC$5)*AJ68+(AO$5&lt;AC$5)*AP68+(AU$5&lt;AC$5)*AV68)))</f>
        <v/>
      </c>
      <c r="AF68">
        <f>IF(AD68-AE68&lt;0.005,0,AD68-AE68)</f>
        <v/>
      </c>
      <c r="AG68">
        <f>AL67</f>
        <v/>
      </c>
      <c r="AH68">
        <f>AG68*Plan!D11/100/12</f>
        <v/>
      </c>
      <c r="AI68">
        <f>MIN(Plan!E11,AG68+AH68)</f>
        <v/>
      </c>
      <c r="AJ68">
        <f>AG68+AH68-AI68</f>
        <v/>
      </c>
      <c r="AK68">
        <f>MIN(AJ68,MAX(0,$B68-((E$5&lt;AI$5)*F68+(K$5&lt;AI$5)*L68+(Q$5&lt;AI$5)*R68+(W$5&lt;AI$5)*X68+(AC$5&lt;AI$5)*AD68+(AO$5&lt;AI$5)*AP68+(AU$5&lt;AI$5)*AV68)))</f>
        <v/>
      </c>
      <c r="AL68">
        <f>IF(AJ68-AK68&lt;0.005,0,AJ68-AK68)</f>
        <v/>
      </c>
      <c r="AM68">
        <f>AR67</f>
        <v/>
      </c>
      <c r="AN68">
        <f>AM68*Plan!D12/100/12</f>
        <v/>
      </c>
      <c r="AO68">
        <f>MIN(Plan!E12,AM68+AN68)</f>
        <v/>
      </c>
      <c r="AP68">
        <f>AM68+AN68-AO68</f>
        <v/>
      </c>
      <c r="AQ68">
        <f>MIN(AP68,MAX(0,$B68-((E$5&lt;AO$5)*F68+(K$5&lt;AO$5)*L68+(Q$5&lt;AO$5)*R68+(W$5&lt;AO$5)*X68+(AC$5&lt;AO$5)*AD68+(AI$5&lt;AO$5)*AJ68+(AU$5&lt;AO$5)*AV68)))</f>
        <v/>
      </c>
      <c r="AR68">
        <f>IF(AP68-AQ68&lt;0.005,0,AP68-AQ68)</f>
        <v/>
      </c>
      <c r="AS68">
        <f>AX67</f>
        <v/>
      </c>
      <c r="AT68">
        <f>AS68*Plan!D13/100/12</f>
        <v/>
      </c>
      <c r="AU68">
        <f>MIN(Plan!E13,AS68+AT68)</f>
        <v/>
      </c>
      <c r="AV68">
        <f>AS68+AT68-AU68</f>
        <v/>
      </c>
      <c r="AW68">
        <f>MIN(AV68,MAX(0,$B68-((E$5&lt;AU$5)*F68+(K$5&lt;AU$5)*L68+(Q$5&lt;AU$5)*R68+(W$5&lt;AU$5)*X68+(AC$5&lt;AU$5)*AD68+(AI$5&lt;AU$5)*AJ68+(AO$5&lt;AU$5)*AP68)))</f>
        <v/>
      </c>
      <c r="AX68">
        <f>IF(AV68-AW68&lt;0.005,0,AV68-AW68)</f>
        <v/>
      </c>
      <c r="BC68">
        <f>H68+N68+T68+Z68+AF68+AL68+AR68+AX68</f>
        <v/>
      </c>
    </row>
    <row r="69">
      <c r="A69" t="n">
        <v>63</v>
      </c>
      <c r="B69" s="19">
        <f>MAX(0,$B$3-(E69+K69+Q69+W69+AC69+AI69+AO69+AU69))</f>
        <v/>
      </c>
      <c r="C69">
        <f>H68</f>
        <v/>
      </c>
      <c r="D69">
        <f>C69*Plan!D6/100/12</f>
        <v/>
      </c>
      <c r="E69">
        <f>MIN(Plan!E6,C69+D69)</f>
        <v/>
      </c>
      <c r="F69">
        <f>C69+D69-E69</f>
        <v/>
      </c>
      <c r="G69">
        <f>MIN(F69,MAX(0,$B69-((K$5&lt;E$5)*L69+(Q$5&lt;E$5)*R69+(W$5&lt;E$5)*X69+(AC$5&lt;E$5)*AD69+(AI$5&lt;E$5)*AJ69+(AO$5&lt;E$5)*AP69+(AU$5&lt;E$5)*AV69)))</f>
        <v/>
      </c>
      <c r="H69">
        <f>IF(F69-G69&lt;0.005,0,F69-G69)</f>
        <v/>
      </c>
      <c r="I69">
        <f>N68</f>
        <v/>
      </c>
      <c r="J69">
        <f>I69*Plan!D7/100/12</f>
        <v/>
      </c>
      <c r="K69">
        <f>MIN(Plan!E7,I69+J69)</f>
        <v/>
      </c>
      <c r="L69">
        <f>I69+J69-K69</f>
        <v/>
      </c>
      <c r="M69">
        <f>MIN(L69,MAX(0,$B69-((E$5&lt;K$5)*F69+(Q$5&lt;K$5)*R69+(W$5&lt;K$5)*X69+(AC$5&lt;K$5)*AD69+(AI$5&lt;K$5)*AJ69+(AO$5&lt;K$5)*AP69+(AU$5&lt;K$5)*AV69)))</f>
        <v/>
      </c>
      <c r="N69">
        <f>IF(L69-M69&lt;0.005,0,L69-M69)</f>
        <v/>
      </c>
      <c r="O69">
        <f>T68</f>
        <v/>
      </c>
      <c r="P69">
        <f>O69*Plan!D8/100/12</f>
        <v/>
      </c>
      <c r="Q69">
        <f>MIN(Plan!E8,O69+P69)</f>
        <v/>
      </c>
      <c r="R69">
        <f>O69+P69-Q69</f>
        <v/>
      </c>
      <c r="S69">
        <f>MIN(R69,MAX(0,$B69-((E$5&lt;Q$5)*F69+(K$5&lt;Q$5)*L69+(W$5&lt;Q$5)*X69+(AC$5&lt;Q$5)*AD69+(AI$5&lt;Q$5)*AJ69+(AO$5&lt;Q$5)*AP69+(AU$5&lt;Q$5)*AV69)))</f>
        <v/>
      </c>
      <c r="T69">
        <f>IF(R69-S69&lt;0.005,0,R69-S69)</f>
        <v/>
      </c>
      <c r="U69">
        <f>Z68</f>
        <v/>
      </c>
      <c r="V69">
        <f>U69*Plan!D9/100/12</f>
        <v/>
      </c>
      <c r="W69">
        <f>MIN(Plan!E9,U69+V69)</f>
        <v/>
      </c>
      <c r="X69">
        <f>U69+V69-W69</f>
        <v/>
      </c>
      <c r="Y69">
        <f>MIN(X69,MAX(0,$B69-((E$5&lt;W$5)*F69+(K$5&lt;W$5)*L69+(Q$5&lt;W$5)*R69+(AC$5&lt;W$5)*AD69+(AI$5&lt;W$5)*AJ69+(AO$5&lt;W$5)*AP69+(AU$5&lt;W$5)*AV69)))</f>
        <v/>
      </c>
      <c r="Z69">
        <f>IF(X69-Y69&lt;0.005,0,X69-Y69)</f>
        <v/>
      </c>
      <c r="AA69">
        <f>AF68</f>
        <v/>
      </c>
      <c r="AB69">
        <f>AA69*Plan!D10/100/12</f>
        <v/>
      </c>
      <c r="AC69">
        <f>MIN(Plan!E10,AA69+AB69)</f>
        <v/>
      </c>
      <c r="AD69">
        <f>AA69+AB69-AC69</f>
        <v/>
      </c>
      <c r="AE69">
        <f>MIN(AD69,MAX(0,$B69-((E$5&lt;AC$5)*F69+(K$5&lt;AC$5)*L69+(Q$5&lt;AC$5)*R69+(W$5&lt;AC$5)*X69+(AI$5&lt;AC$5)*AJ69+(AO$5&lt;AC$5)*AP69+(AU$5&lt;AC$5)*AV69)))</f>
        <v/>
      </c>
      <c r="AF69">
        <f>IF(AD69-AE69&lt;0.005,0,AD69-AE69)</f>
        <v/>
      </c>
      <c r="AG69">
        <f>AL68</f>
        <v/>
      </c>
      <c r="AH69">
        <f>AG69*Plan!D11/100/12</f>
        <v/>
      </c>
      <c r="AI69">
        <f>MIN(Plan!E11,AG69+AH69)</f>
        <v/>
      </c>
      <c r="AJ69">
        <f>AG69+AH69-AI69</f>
        <v/>
      </c>
      <c r="AK69">
        <f>MIN(AJ69,MAX(0,$B69-((E$5&lt;AI$5)*F69+(K$5&lt;AI$5)*L69+(Q$5&lt;AI$5)*R69+(W$5&lt;AI$5)*X69+(AC$5&lt;AI$5)*AD69+(AO$5&lt;AI$5)*AP69+(AU$5&lt;AI$5)*AV69)))</f>
        <v/>
      </c>
      <c r="AL69">
        <f>IF(AJ69-AK69&lt;0.005,0,AJ69-AK69)</f>
        <v/>
      </c>
      <c r="AM69">
        <f>AR68</f>
        <v/>
      </c>
      <c r="AN69">
        <f>AM69*Plan!D12/100/12</f>
        <v/>
      </c>
      <c r="AO69">
        <f>MIN(Plan!E12,AM69+AN69)</f>
        <v/>
      </c>
      <c r="AP69">
        <f>AM69+AN69-AO69</f>
        <v/>
      </c>
      <c r="AQ69">
        <f>MIN(AP69,MAX(0,$B69-((E$5&lt;AO$5)*F69+(K$5&lt;AO$5)*L69+(Q$5&lt;AO$5)*R69+(W$5&lt;AO$5)*X69+(AC$5&lt;AO$5)*AD69+(AI$5&lt;AO$5)*AJ69+(AU$5&lt;AO$5)*AV69)))</f>
        <v/>
      </c>
      <c r="AR69">
        <f>IF(AP69-AQ69&lt;0.005,0,AP69-AQ69)</f>
        <v/>
      </c>
      <c r="AS69">
        <f>AX68</f>
        <v/>
      </c>
      <c r="AT69">
        <f>AS69*Plan!D13/100/12</f>
        <v/>
      </c>
      <c r="AU69">
        <f>MIN(Plan!E13,AS69+AT69)</f>
        <v/>
      </c>
      <c r="AV69">
        <f>AS69+AT69-AU69</f>
        <v/>
      </c>
      <c r="AW69">
        <f>MIN(AV69,MAX(0,$B69-((E$5&lt;AU$5)*F69+(K$5&lt;AU$5)*L69+(Q$5&lt;AU$5)*R69+(W$5&lt;AU$5)*X69+(AC$5&lt;AU$5)*AD69+(AI$5&lt;AU$5)*AJ69+(AO$5&lt;AU$5)*AP69)))</f>
        <v/>
      </c>
      <c r="AX69">
        <f>IF(AV69-AW69&lt;0.005,0,AV69-AW69)</f>
        <v/>
      </c>
      <c r="BC69">
        <f>H69+N69+T69+Z69+AF69+AL69+AR69+AX69</f>
        <v/>
      </c>
    </row>
    <row r="70">
      <c r="A70" t="n">
        <v>64</v>
      </c>
      <c r="B70" s="19">
        <f>MAX(0,$B$3-(E70+K70+Q70+W70+AC70+AI70+AO70+AU70))</f>
        <v/>
      </c>
      <c r="C70">
        <f>H69</f>
        <v/>
      </c>
      <c r="D70">
        <f>C70*Plan!D6/100/12</f>
        <v/>
      </c>
      <c r="E70">
        <f>MIN(Plan!E6,C70+D70)</f>
        <v/>
      </c>
      <c r="F70">
        <f>C70+D70-E70</f>
        <v/>
      </c>
      <c r="G70">
        <f>MIN(F70,MAX(0,$B70-((K$5&lt;E$5)*L70+(Q$5&lt;E$5)*R70+(W$5&lt;E$5)*X70+(AC$5&lt;E$5)*AD70+(AI$5&lt;E$5)*AJ70+(AO$5&lt;E$5)*AP70+(AU$5&lt;E$5)*AV70)))</f>
        <v/>
      </c>
      <c r="H70">
        <f>IF(F70-G70&lt;0.005,0,F70-G70)</f>
        <v/>
      </c>
      <c r="I70">
        <f>N69</f>
        <v/>
      </c>
      <c r="J70">
        <f>I70*Plan!D7/100/12</f>
        <v/>
      </c>
      <c r="K70">
        <f>MIN(Plan!E7,I70+J70)</f>
        <v/>
      </c>
      <c r="L70">
        <f>I70+J70-K70</f>
        <v/>
      </c>
      <c r="M70">
        <f>MIN(L70,MAX(0,$B70-((E$5&lt;K$5)*F70+(Q$5&lt;K$5)*R70+(W$5&lt;K$5)*X70+(AC$5&lt;K$5)*AD70+(AI$5&lt;K$5)*AJ70+(AO$5&lt;K$5)*AP70+(AU$5&lt;K$5)*AV70)))</f>
        <v/>
      </c>
      <c r="N70">
        <f>IF(L70-M70&lt;0.005,0,L70-M70)</f>
        <v/>
      </c>
      <c r="O70">
        <f>T69</f>
        <v/>
      </c>
      <c r="P70">
        <f>O70*Plan!D8/100/12</f>
        <v/>
      </c>
      <c r="Q70">
        <f>MIN(Plan!E8,O70+P70)</f>
        <v/>
      </c>
      <c r="R70">
        <f>O70+P70-Q70</f>
        <v/>
      </c>
      <c r="S70">
        <f>MIN(R70,MAX(0,$B70-((E$5&lt;Q$5)*F70+(K$5&lt;Q$5)*L70+(W$5&lt;Q$5)*X70+(AC$5&lt;Q$5)*AD70+(AI$5&lt;Q$5)*AJ70+(AO$5&lt;Q$5)*AP70+(AU$5&lt;Q$5)*AV70)))</f>
        <v/>
      </c>
      <c r="T70">
        <f>IF(R70-S70&lt;0.005,0,R70-S70)</f>
        <v/>
      </c>
      <c r="U70">
        <f>Z69</f>
        <v/>
      </c>
      <c r="V70">
        <f>U70*Plan!D9/100/12</f>
        <v/>
      </c>
      <c r="W70">
        <f>MIN(Plan!E9,U70+V70)</f>
        <v/>
      </c>
      <c r="X70">
        <f>U70+V70-W70</f>
        <v/>
      </c>
      <c r="Y70">
        <f>MIN(X70,MAX(0,$B70-((E$5&lt;W$5)*F70+(K$5&lt;W$5)*L70+(Q$5&lt;W$5)*R70+(AC$5&lt;W$5)*AD70+(AI$5&lt;W$5)*AJ70+(AO$5&lt;W$5)*AP70+(AU$5&lt;W$5)*AV70)))</f>
        <v/>
      </c>
      <c r="Z70">
        <f>IF(X70-Y70&lt;0.005,0,X70-Y70)</f>
        <v/>
      </c>
      <c r="AA70">
        <f>AF69</f>
        <v/>
      </c>
      <c r="AB70">
        <f>AA70*Plan!D10/100/12</f>
        <v/>
      </c>
      <c r="AC70">
        <f>MIN(Plan!E10,AA70+AB70)</f>
        <v/>
      </c>
      <c r="AD70">
        <f>AA70+AB70-AC70</f>
        <v/>
      </c>
      <c r="AE70">
        <f>MIN(AD70,MAX(0,$B70-((E$5&lt;AC$5)*F70+(K$5&lt;AC$5)*L70+(Q$5&lt;AC$5)*R70+(W$5&lt;AC$5)*X70+(AI$5&lt;AC$5)*AJ70+(AO$5&lt;AC$5)*AP70+(AU$5&lt;AC$5)*AV70)))</f>
        <v/>
      </c>
      <c r="AF70">
        <f>IF(AD70-AE70&lt;0.005,0,AD70-AE70)</f>
        <v/>
      </c>
      <c r="AG70">
        <f>AL69</f>
        <v/>
      </c>
      <c r="AH70">
        <f>AG70*Plan!D11/100/12</f>
        <v/>
      </c>
      <c r="AI70">
        <f>MIN(Plan!E11,AG70+AH70)</f>
        <v/>
      </c>
      <c r="AJ70">
        <f>AG70+AH70-AI70</f>
        <v/>
      </c>
      <c r="AK70">
        <f>MIN(AJ70,MAX(0,$B70-((E$5&lt;AI$5)*F70+(K$5&lt;AI$5)*L70+(Q$5&lt;AI$5)*R70+(W$5&lt;AI$5)*X70+(AC$5&lt;AI$5)*AD70+(AO$5&lt;AI$5)*AP70+(AU$5&lt;AI$5)*AV70)))</f>
        <v/>
      </c>
      <c r="AL70">
        <f>IF(AJ70-AK70&lt;0.005,0,AJ70-AK70)</f>
        <v/>
      </c>
      <c r="AM70">
        <f>AR69</f>
        <v/>
      </c>
      <c r="AN70">
        <f>AM70*Plan!D12/100/12</f>
        <v/>
      </c>
      <c r="AO70">
        <f>MIN(Plan!E12,AM70+AN70)</f>
        <v/>
      </c>
      <c r="AP70">
        <f>AM70+AN70-AO70</f>
        <v/>
      </c>
      <c r="AQ70">
        <f>MIN(AP70,MAX(0,$B70-((E$5&lt;AO$5)*F70+(K$5&lt;AO$5)*L70+(Q$5&lt;AO$5)*R70+(W$5&lt;AO$5)*X70+(AC$5&lt;AO$5)*AD70+(AI$5&lt;AO$5)*AJ70+(AU$5&lt;AO$5)*AV70)))</f>
        <v/>
      </c>
      <c r="AR70">
        <f>IF(AP70-AQ70&lt;0.005,0,AP70-AQ70)</f>
        <v/>
      </c>
      <c r="AS70">
        <f>AX69</f>
        <v/>
      </c>
      <c r="AT70">
        <f>AS70*Plan!D13/100/12</f>
        <v/>
      </c>
      <c r="AU70">
        <f>MIN(Plan!E13,AS70+AT70)</f>
        <v/>
      </c>
      <c r="AV70">
        <f>AS70+AT70-AU70</f>
        <v/>
      </c>
      <c r="AW70">
        <f>MIN(AV70,MAX(0,$B70-((E$5&lt;AU$5)*F70+(K$5&lt;AU$5)*L70+(Q$5&lt;AU$5)*R70+(W$5&lt;AU$5)*X70+(AC$5&lt;AU$5)*AD70+(AI$5&lt;AU$5)*AJ70+(AO$5&lt;AU$5)*AP70)))</f>
        <v/>
      </c>
      <c r="AX70">
        <f>IF(AV70-AW70&lt;0.005,0,AV70-AW70)</f>
        <v/>
      </c>
      <c r="BC70">
        <f>H70+N70+T70+Z70+AF70+AL70+AR70+AX70</f>
        <v/>
      </c>
    </row>
    <row r="71">
      <c r="A71" t="n">
        <v>65</v>
      </c>
      <c r="B71" s="19">
        <f>MAX(0,$B$3-(E71+K71+Q71+W71+AC71+AI71+AO71+AU71))</f>
        <v/>
      </c>
      <c r="C71">
        <f>H70</f>
        <v/>
      </c>
      <c r="D71">
        <f>C71*Plan!D6/100/12</f>
        <v/>
      </c>
      <c r="E71">
        <f>MIN(Plan!E6,C71+D71)</f>
        <v/>
      </c>
      <c r="F71">
        <f>C71+D71-E71</f>
        <v/>
      </c>
      <c r="G71">
        <f>MIN(F71,MAX(0,$B71-((K$5&lt;E$5)*L71+(Q$5&lt;E$5)*R71+(W$5&lt;E$5)*X71+(AC$5&lt;E$5)*AD71+(AI$5&lt;E$5)*AJ71+(AO$5&lt;E$5)*AP71+(AU$5&lt;E$5)*AV71)))</f>
        <v/>
      </c>
      <c r="H71">
        <f>IF(F71-G71&lt;0.005,0,F71-G71)</f>
        <v/>
      </c>
      <c r="I71">
        <f>N70</f>
        <v/>
      </c>
      <c r="J71">
        <f>I71*Plan!D7/100/12</f>
        <v/>
      </c>
      <c r="K71">
        <f>MIN(Plan!E7,I71+J71)</f>
        <v/>
      </c>
      <c r="L71">
        <f>I71+J71-K71</f>
        <v/>
      </c>
      <c r="M71">
        <f>MIN(L71,MAX(0,$B71-((E$5&lt;K$5)*F71+(Q$5&lt;K$5)*R71+(W$5&lt;K$5)*X71+(AC$5&lt;K$5)*AD71+(AI$5&lt;K$5)*AJ71+(AO$5&lt;K$5)*AP71+(AU$5&lt;K$5)*AV71)))</f>
        <v/>
      </c>
      <c r="N71">
        <f>IF(L71-M71&lt;0.005,0,L71-M71)</f>
        <v/>
      </c>
      <c r="O71">
        <f>T70</f>
        <v/>
      </c>
      <c r="P71">
        <f>O71*Plan!D8/100/12</f>
        <v/>
      </c>
      <c r="Q71">
        <f>MIN(Plan!E8,O71+P71)</f>
        <v/>
      </c>
      <c r="R71">
        <f>O71+P71-Q71</f>
        <v/>
      </c>
      <c r="S71">
        <f>MIN(R71,MAX(0,$B71-((E$5&lt;Q$5)*F71+(K$5&lt;Q$5)*L71+(W$5&lt;Q$5)*X71+(AC$5&lt;Q$5)*AD71+(AI$5&lt;Q$5)*AJ71+(AO$5&lt;Q$5)*AP71+(AU$5&lt;Q$5)*AV71)))</f>
        <v/>
      </c>
      <c r="T71">
        <f>IF(R71-S71&lt;0.005,0,R71-S71)</f>
        <v/>
      </c>
      <c r="U71">
        <f>Z70</f>
        <v/>
      </c>
      <c r="V71">
        <f>U71*Plan!D9/100/12</f>
        <v/>
      </c>
      <c r="W71">
        <f>MIN(Plan!E9,U71+V71)</f>
        <v/>
      </c>
      <c r="X71">
        <f>U71+V71-W71</f>
        <v/>
      </c>
      <c r="Y71">
        <f>MIN(X71,MAX(0,$B71-((E$5&lt;W$5)*F71+(K$5&lt;W$5)*L71+(Q$5&lt;W$5)*R71+(AC$5&lt;W$5)*AD71+(AI$5&lt;W$5)*AJ71+(AO$5&lt;W$5)*AP71+(AU$5&lt;W$5)*AV71)))</f>
        <v/>
      </c>
      <c r="Z71">
        <f>IF(X71-Y71&lt;0.005,0,X71-Y71)</f>
        <v/>
      </c>
      <c r="AA71">
        <f>AF70</f>
        <v/>
      </c>
      <c r="AB71">
        <f>AA71*Plan!D10/100/12</f>
        <v/>
      </c>
      <c r="AC71">
        <f>MIN(Plan!E10,AA71+AB71)</f>
        <v/>
      </c>
      <c r="AD71">
        <f>AA71+AB71-AC71</f>
        <v/>
      </c>
      <c r="AE71">
        <f>MIN(AD71,MAX(0,$B71-((E$5&lt;AC$5)*F71+(K$5&lt;AC$5)*L71+(Q$5&lt;AC$5)*R71+(W$5&lt;AC$5)*X71+(AI$5&lt;AC$5)*AJ71+(AO$5&lt;AC$5)*AP71+(AU$5&lt;AC$5)*AV71)))</f>
        <v/>
      </c>
      <c r="AF71">
        <f>IF(AD71-AE71&lt;0.005,0,AD71-AE71)</f>
        <v/>
      </c>
      <c r="AG71">
        <f>AL70</f>
        <v/>
      </c>
      <c r="AH71">
        <f>AG71*Plan!D11/100/12</f>
        <v/>
      </c>
      <c r="AI71">
        <f>MIN(Plan!E11,AG71+AH71)</f>
        <v/>
      </c>
      <c r="AJ71">
        <f>AG71+AH71-AI71</f>
        <v/>
      </c>
      <c r="AK71">
        <f>MIN(AJ71,MAX(0,$B71-((E$5&lt;AI$5)*F71+(K$5&lt;AI$5)*L71+(Q$5&lt;AI$5)*R71+(W$5&lt;AI$5)*X71+(AC$5&lt;AI$5)*AD71+(AO$5&lt;AI$5)*AP71+(AU$5&lt;AI$5)*AV71)))</f>
        <v/>
      </c>
      <c r="AL71">
        <f>IF(AJ71-AK71&lt;0.005,0,AJ71-AK71)</f>
        <v/>
      </c>
      <c r="AM71">
        <f>AR70</f>
        <v/>
      </c>
      <c r="AN71">
        <f>AM71*Plan!D12/100/12</f>
        <v/>
      </c>
      <c r="AO71">
        <f>MIN(Plan!E12,AM71+AN71)</f>
        <v/>
      </c>
      <c r="AP71">
        <f>AM71+AN71-AO71</f>
        <v/>
      </c>
      <c r="AQ71">
        <f>MIN(AP71,MAX(0,$B71-((E$5&lt;AO$5)*F71+(K$5&lt;AO$5)*L71+(Q$5&lt;AO$5)*R71+(W$5&lt;AO$5)*X71+(AC$5&lt;AO$5)*AD71+(AI$5&lt;AO$5)*AJ71+(AU$5&lt;AO$5)*AV71)))</f>
        <v/>
      </c>
      <c r="AR71">
        <f>IF(AP71-AQ71&lt;0.005,0,AP71-AQ71)</f>
        <v/>
      </c>
      <c r="AS71">
        <f>AX70</f>
        <v/>
      </c>
      <c r="AT71">
        <f>AS71*Plan!D13/100/12</f>
        <v/>
      </c>
      <c r="AU71">
        <f>MIN(Plan!E13,AS71+AT71)</f>
        <v/>
      </c>
      <c r="AV71">
        <f>AS71+AT71-AU71</f>
        <v/>
      </c>
      <c r="AW71">
        <f>MIN(AV71,MAX(0,$B71-((E$5&lt;AU$5)*F71+(K$5&lt;AU$5)*L71+(Q$5&lt;AU$5)*R71+(W$5&lt;AU$5)*X71+(AC$5&lt;AU$5)*AD71+(AI$5&lt;AU$5)*AJ71+(AO$5&lt;AU$5)*AP71)))</f>
        <v/>
      </c>
      <c r="AX71">
        <f>IF(AV71-AW71&lt;0.005,0,AV71-AW71)</f>
        <v/>
      </c>
      <c r="BC71">
        <f>H71+N71+T71+Z71+AF71+AL71+AR71+AX71</f>
        <v/>
      </c>
    </row>
    <row r="72">
      <c r="A72" t="n">
        <v>66</v>
      </c>
      <c r="B72" s="19">
        <f>MAX(0,$B$3-(E72+K72+Q72+W72+AC72+AI72+AO72+AU72))</f>
        <v/>
      </c>
      <c r="C72">
        <f>H71</f>
        <v/>
      </c>
      <c r="D72">
        <f>C72*Plan!D6/100/12</f>
        <v/>
      </c>
      <c r="E72">
        <f>MIN(Plan!E6,C72+D72)</f>
        <v/>
      </c>
      <c r="F72">
        <f>C72+D72-E72</f>
        <v/>
      </c>
      <c r="G72">
        <f>MIN(F72,MAX(0,$B72-((K$5&lt;E$5)*L72+(Q$5&lt;E$5)*R72+(W$5&lt;E$5)*X72+(AC$5&lt;E$5)*AD72+(AI$5&lt;E$5)*AJ72+(AO$5&lt;E$5)*AP72+(AU$5&lt;E$5)*AV72)))</f>
        <v/>
      </c>
      <c r="H72">
        <f>IF(F72-G72&lt;0.005,0,F72-G72)</f>
        <v/>
      </c>
      <c r="I72">
        <f>N71</f>
        <v/>
      </c>
      <c r="J72">
        <f>I72*Plan!D7/100/12</f>
        <v/>
      </c>
      <c r="K72">
        <f>MIN(Plan!E7,I72+J72)</f>
        <v/>
      </c>
      <c r="L72">
        <f>I72+J72-K72</f>
        <v/>
      </c>
      <c r="M72">
        <f>MIN(L72,MAX(0,$B72-((E$5&lt;K$5)*F72+(Q$5&lt;K$5)*R72+(W$5&lt;K$5)*X72+(AC$5&lt;K$5)*AD72+(AI$5&lt;K$5)*AJ72+(AO$5&lt;K$5)*AP72+(AU$5&lt;K$5)*AV72)))</f>
        <v/>
      </c>
      <c r="N72">
        <f>IF(L72-M72&lt;0.005,0,L72-M72)</f>
        <v/>
      </c>
      <c r="O72">
        <f>T71</f>
        <v/>
      </c>
      <c r="P72">
        <f>O72*Plan!D8/100/12</f>
        <v/>
      </c>
      <c r="Q72">
        <f>MIN(Plan!E8,O72+P72)</f>
        <v/>
      </c>
      <c r="R72">
        <f>O72+P72-Q72</f>
        <v/>
      </c>
      <c r="S72">
        <f>MIN(R72,MAX(0,$B72-((E$5&lt;Q$5)*F72+(K$5&lt;Q$5)*L72+(W$5&lt;Q$5)*X72+(AC$5&lt;Q$5)*AD72+(AI$5&lt;Q$5)*AJ72+(AO$5&lt;Q$5)*AP72+(AU$5&lt;Q$5)*AV72)))</f>
        <v/>
      </c>
      <c r="T72">
        <f>IF(R72-S72&lt;0.005,0,R72-S72)</f>
        <v/>
      </c>
      <c r="U72">
        <f>Z71</f>
        <v/>
      </c>
      <c r="V72">
        <f>U72*Plan!D9/100/12</f>
        <v/>
      </c>
      <c r="W72">
        <f>MIN(Plan!E9,U72+V72)</f>
        <v/>
      </c>
      <c r="X72">
        <f>U72+V72-W72</f>
        <v/>
      </c>
      <c r="Y72">
        <f>MIN(X72,MAX(0,$B72-((E$5&lt;W$5)*F72+(K$5&lt;W$5)*L72+(Q$5&lt;W$5)*R72+(AC$5&lt;W$5)*AD72+(AI$5&lt;W$5)*AJ72+(AO$5&lt;W$5)*AP72+(AU$5&lt;W$5)*AV72)))</f>
        <v/>
      </c>
      <c r="Z72">
        <f>IF(X72-Y72&lt;0.005,0,X72-Y72)</f>
        <v/>
      </c>
      <c r="AA72">
        <f>AF71</f>
        <v/>
      </c>
      <c r="AB72">
        <f>AA72*Plan!D10/100/12</f>
        <v/>
      </c>
      <c r="AC72">
        <f>MIN(Plan!E10,AA72+AB72)</f>
        <v/>
      </c>
      <c r="AD72">
        <f>AA72+AB72-AC72</f>
        <v/>
      </c>
      <c r="AE72">
        <f>MIN(AD72,MAX(0,$B72-((E$5&lt;AC$5)*F72+(K$5&lt;AC$5)*L72+(Q$5&lt;AC$5)*R72+(W$5&lt;AC$5)*X72+(AI$5&lt;AC$5)*AJ72+(AO$5&lt;AC$5)*AP72+(AU$5&lt;AC$5)*AV72)))</f>
        <v/>
      </c>
      <c r="AF72">
        <f>IF(AD72-AE72&lt;0.005,0,AD72-AE72)</f>
        <v/>
      </c>
      <c r="AG72">
        <f>AL71</f>
        <v/>
      </c>
      <c r="AH72">
        <f>AG72*Plan!D11/100/12</f>
        <v/>
      </c>
      <c r="AI72">
        <f>MIN(Plan!E11,AG72+AH72)</f>
        <v/>
      </c>
      <c r="AJ72">
        <f>AG72+AH72-AI72</f>
        <v/>
      </c>
      <c r="AK72">
        <f>MIN(AJ72,MAX(0,$B72-((E$5&lt;AI$5)*F72+(K$5&lt;AI$5)*L72+(Q$5&lt;AI$5)*R72+(W$5&lt;AI$5)*X72+(AC$5&lt;AI$5)*AD72+(AO$5&lt;AI$5)*AP72+(AU$5&lt;AI$5)*AV72)))</f>
        <v/>
      </c>
      <c r="AL72">
        <f>IF(AJ72-AK72&lt;0.005,0,AJ72-AK72)</f>
        <v/>
      </c>
      <c r="AM72">
        <f>AR71</f>
        <v/>
      </c>
      <c r="AN72">
        <f>AM72*Plan!D12/100/12</f>
        <v/>
      </c>
      <c r="AO72">
        <f>MIN(Plan!E12,AM72+AN72)</f>
        <v/>
      </c>
      <c r="AP72">
        <f>AM72+AN72-AO72</f>
        <v/>
      </c>
      <c r="AQ72">
        <f>MIN(AP72,MAX(0,$B72-((E$5&lt;AO$5)*F72+(K$5&lt;AO$5)*L72+(Q$5&lt;AO$5)*R72+(W$5&lt;AO$5)*X72+(AC$5&lt;AO$5)*AD72+(AI$5&lt;AO$5)*AJ72+(AU$5&lt;AO$5)*AV72)))</f>
        <v/>
      </c>
      <c r="AR72">
        <f>IF(AP72-AQ72&lt;0.005,0,AP72-AQ72)</f>
        <v/>
      </c>
      <c r="AS72">
        <f>AX71</f>
        <v/>
      </c>
      <c r="AT72">
        <f>AS72*Plan!D13/100/12</f>
        <v/>
      </c>
      <c r="AU72">
        <f>MIN(Plan!E13,AS72+AT72)</f>
        <v/>
      </c>
      <c r="AV72">
        <f>AS72+AT72-AU72</f>
        <v/>
      </c>
      <c r="AW72">
        <f>MIN(AV72,MAX(0,$B72-((E$5&lt;AU$5)*F72+(K$5&lt;AU$5)*L72+(Q$5&lt;AU$5)*R72+(W$5&lt;AU$5)*X72+(AC$5&lt;AU$5)*AD72+(AI$5&lt;AU$5)*AJ72+(AO$5&lt;AU$5)*AP72)))</f>
        <v/>
      </c>
      <c r="AX72">
        <f>IF(AV72-AW72&lt;0.005,0,AV72-AW72)</f>
        <v/>
      </c>
      <c r="BC72">
        <f>H72+N72+T72+Z72+AF72+AL72+AR72+AX72</f>
        <v/>
      </c>
    </row>
    <row r="73">
      <c r="A73" t="n">
        <v>67</v>
      </c>
      <c r="B73" s="19">
        <f>MAX(0,$B$3-(E73+K73+Q73+W73+AC73+AI73+AO73+AU73))</f>
        <v/>
      </c>
      <c r="C73">
        <f>H72</f>
        <v/>
      </c>
      <c r="D73">
        <f>C73*Plan!D6/100/12</f>
        <v/>
      </c>
      <c r="E73">
        <f>MIN(Plan!E6,C73+D73)</f>
        <v/>
      </c>
      <c r="F73">
        <f>C73+D73-E73</f>
        <v/>
      </c>
      <c r="G73">
        <f>MIN(F73,MAX(0,$B73-((K$5&lt;E$5)*L73+(Q$5&lt;E$5)*R73+(W$5&lt;E$5)*X73+(AC$5&lt;E$5)*AD73+(AI$5&lt;E$5)*AJ73+(AO$5&lt;E$5)*AP73+(AU$5&lt;E$5)*AV73)))</f>
        <v/>
      </c>
      <c r="H73">
        <f>IF(F73-G73&lt;0.005,0,F73-G73)</f>
        <v/>
      </c>
      <c r="I73">
        <f>N72</f>
        <v/>
      </c>
      <c r="J73">
        <f>I73*Plan!D7/100/12</f>
        <v/>
      </c>
      <c r="K73">
        <f>MIN(Plan!E7,I73+J73)</f>
        <v/>
      </c>
      <c r="L73">
        <f>I73+J73-K73</f>
        <v/>
      </c>
      <c r="M73">
        <f>MIN(L73,MAX(0,$B73-((E$5&lt;K$5)*F73+(Q$5&lt;K$5)*R73+(W$5&lt;K$5)*X73+(AC$5&lt;K$5)*AD73+(AI$5&lt;K$5)*AJ73+(AO$5&lt;K$5)*AP73+(AU$5&lt;K$5)*AV73)))</f>
        <v/>
      </c>
      <c r="N73">
        <f>IF(L73-M73&lt;0.005,0,L73-M73)</f>
        <v/>
      </c>
      <c r="O73">
        <f>T72</f>
        <v/>
      </c>
      <c r="P73">
        <f>O73*Plan!D8/100/12</f>
        <v/>
      </c>
      <c r="Q73">
        <f>MIN(Plan!E8,O73+P73)</f>
        <v/>
      </c>
      <c r="R73">
        <f>O73+P73-Q73</f>
        <v/>
      </c>
      <c r="S73">
        <f>MIN(R73,MAX(0,$B73-((E$5&lt;Q$5)*F73+(K$5&lt;Q$5)*L73+(W$5&lt;Q$5)*X73+(AC$5&lt;Q$5)*AD73+(AI$5&lt;Q$5)*AJ73+(AO$5&lt;Q$5)*AP73+(AU$5&lt;Q$5)*AV73)))</f>
        <v/>
      </c>
      <c r="T73">
        <f>IF(R73-S73&lt;0.005,0,R73-S73)</f>
        <v/>
      </c>
      <c r="U73">
        <f>Z72</f>
        <v/>
      </c>
      <c r="V73">
        <f>U73*Plan!D9/100/12</f>
        <v/>
      </c>
      <c r="W73">
        <f>MIN(Plan!E9,U73+V73)</f>
        <v/>
      </c>
      <c r="X73">
        <f>U73+V73-W73</f>
        <v/>
      </c>
      <c r="Y73">
        <f>MIN(X73,MAX(0,$B73-((E$5&lt;W$5)*F73+(K$5&lt;W$5)*L73+(Q$5&lt;W$5)*R73+(AC$5&lt;W$5)*AD73+(AI$5&lt;W$5)*AJ73+(AO$5&lt;W$5)*AP73+(AU$5&lt;W$5)*AV73)))</f>
        <v/>
      </c>
      <c r="Z73">
        <f>IF(X73-Y73&lt;0.005,0,X73-Y73)</f>
        <v/>
      </c>
      <c r="AA73">
        <f>AF72</f>
        <v/>
      </c>
      <c r="AB73">
        <f>AA73*Plan!D10/100/12</f>
        <v/>
      </c>
      <c r="AC73">
        <f>MIN(Plan!E10,AA73+AB73)</f>
        <v/>
      </c>
      <c r="AD73">
        <f>AA73+AB73-AC73</f>
        <v/>
      </c>
      <c r="AE73">
        <f>MIN(AD73,MAX(0,$B73-((E$5&lt;AC$5)*F73+(K$5&lt;AC$5)*L73+(Q$5&lt;AC$5)*R73+(W$5&lt;AC$5)*X73+(AI$5&lt;AC$5)*AJ73+(AO$5&lt;AC$5)*AP73+(AU$5&lt;AC$5)*AV73)))</f>
        <v/>
      </c>
      <c r="AF73">
        <f>IF(AD73-AE73&lt;0.005,0,AD73-AE73)</f>
        <v/>
      </c>
      <c r="AG73">
        <f>AL72</f>
        <v/>
      </c>
      <c r="AH73">
        <f>AG73*Plan!D11/100/12</f>
        <v/>
      </c>
      <c r="AI73">
        <f>MIN(Plan!E11,AG73+AH73)</f>
        <v/>
      </c>
      <c r="AJ73">
        <f>AG73+AH73-AI73</f>
        <v/>
      </c>
      <c r="AK73">
        <f>MIN(AJ73,MAX(0,$B73-((E$5&lt;AI$5)*F73+(K$5&lt;AI$5)*L73+(Q$5&lt;AI$5)*R73+(W$5&lt;AI$5)*X73+(AC$5&lt;AI$5)*AD73+(AO$5&lt;AI$5)*AP73+(AU$5&lt;AI$5)*AV73)))</f>
        <v/>
      </c>
      <c r="AL73">
        <f>IF(AJ73-AK73&lt;0.005,0,AJ73-AK73)</f>
        <v/>
      </c>
      <c r="AM73">
        <f>AR72</f>
        <v/>
      </c>
      <c r="AN73">
        <f>AM73*Plan!D12/100/12</f>
        <v/>
      </c>
      <c r="AO73">
        <f>MIN(Plan!E12,AM73+AN73)</f>
        <v/>
      </c>
      <c r="AP73">
        <f>AM73+AN73-AO73</f>
        <v/>
      </c>
      <c r="AQ73">
        <f>MIN(AP73,MAX(0,$B73-((E$5&lt;AO$5)*F73+(K$5&lt;AO$5)*L73+(Q$5&lt;AO$5)*R73+(W$5&lt;AO$5)*X73+(AC$5&lt;AO$5)*AD73+(AI$5&lt;AO$5)*AJ73+(AU$5&lt;AO$5)*AV73)))</f>
        <v/>
      </c>
      <c r="AR73">
        <f>IF(AP73-AQ73&lt;0.005,0,AP73-AQ73)</f>
        <v/>
      </c>
      <c r="AS73">
        <f>AX72</f>
        <v/>
      </c>
      <c r="AT73">
        <f>AS73*Plan!D13/100/12</f>
        <v/>
      </c>
      <c r="AU73">
        <f>MIN(Plan!E13,AS73+AT73)</f>
        <v/>
      </c>
      <c r="AV73">
        <f>AS73+AT73-AU73</f>
        <v/>
      </c>
      <c r="AW73">
        <f>MIN(AV73,MAX(0,$B73-((E$5&lt;AU$5)*F73+(K$5&lt;AU$5)*L73+(Q$5&lt;AU$5)*R73+(W$5&lt;AU$5)*X73+(AC$5&lt;AU$5)*AD73+(AI$5&lt;AU$5)*AJ73+(AO$5&lt;AU$5)*AP73)))</f>
        <v/>
      </c>
      <c r="AX73">
        <f>IF(AV73-AW73&lt;0.005,0,AV73-AW73)</f>
        <v/>
      </c>
      <c r="BC73">
        <f>H73+N73+T73+Z73+AF73+AL73+AR73+AX73</f>
        <v/>
      </c>
    </row>
    <row r="74">
      <c r="A74" t="n">
        <v>68</v>
      </c>
      <c r="B74" s="19">
        <f>MAX(0,$B$3-(E74+K74+Q74+W74+AC74+AI74+AO74+AU74))</f>
        <v/>
      </c>
      <c r="C74">
        <f>H73</f>
        <v/>
      </c>
      <c r="D74">
        <f>C74*Plan!D6/100/12</f>
        <v/>
      </c>
      <c r="E74">
        <f>MIN(Plan!E6,C74+D74)</f>
        <v/>
      </c>
      <c r="F74">
        <f>C74+D74-E74</f>
        <v/>
      </c>
      <c r="G74">
        <f>MIN(F74,MAX(0,$B74-((K$5&lt;E$5)*L74+(Q$5&lt;E$5)*R74+(W$5&lt;E$5)*X74+(AC$5&lt;E$5)*AD74+(AI$5&lt;E$5)*AJ74+(AO$5&lt;E$5)*AP74+(AU$5&lt;E$5)*AV74)))</f>
        <v/>
      </c>
      <c r="H74">
        <f>IF(F74-G74&lt;0.005,0,F74-G74)</f>
        <v/>
      </c>
      <c r="I74">
        <f>N73</f>
        <v/>
      </c>
      <c r="J74">
        <f>I74*Plan!D7/100/12</f>
        <v/>
      </c>
      <c r="K74">
        <f>MIN(Plan!E7,I74+J74)</f>
        <v/>
      </c>
      <c r="L74">
        <f>I74+J74-K74</f>
        <v/>
      </c>
      <c r="M74">
        <f>MIN(L74,MAX(0,$B74-((E$5&lt;K$5)*F74+(Q$5&lt;K$5)*R74+(W$5&lt;K$5)*X74+(AC$5&lt;K$5)*AD74+(AI$5&lt;K$5)*AJ74+(AO$5&lt;K$5)*AP74+(AU$5&lt;K$5)*AV74)))</f>
        <v/>
      </c>
      <c r="N74">
        <f>IF(L74-M74&lt;0.005,0,L74-M74)</f>
        <v/>
      </c>
      <c r="O74">
        <f>T73</f>
        <v/>
      </c>
      <c r="P74">
        <f>O74*Plan!D8/100/12</f>
        <v/>
      </c>
      <c r="Q74">
        <f>MIN(Plan!E8,O74+P74)</f>
        <v/>
      </c>
      <c r="R74">
        <f>O74+P74-Q74</f>
        <v/>
      </c>
      <c r="S74">
        <f>MIN(R74,MAX(0,$B74-((E$5&lt;Q$5)*F74+(K$5&lt;Q$5)*L74+(W$5&lt;Q$5)*X74+(AC$5&lt;Q$5)*AD74+(AI$5&lt;Q$5)*AJ74+(AO$5&lt;Q$5)*AP74+(AU$5&lt;Q$5)*AV74)))</f>
        <v/>
      </c>
      <c r="T74">
        <f>IF(R74-S74&lt;0.005,0,R74-S74)</f>
        <v/>
      </c>
      <c r="U74">
        <f>Z73</f>
        <v/>
      </c>
      <c r="V74">
        <f>U74*Plan!D9/100/12</f>
        <v/>
      </c>
      <c r="W74">
        <f>MIN(Plan!E9,U74+V74)</f>
        <v/>
      </c>
      <c r="X74">
        <f>U74+V74-W74</f>
        <v/>
      </c>
      <c r="Y74">
        <f>MIN(X74,MAX(0,$B74-((E$5&lt;W$5)*F74+(K$5&lt;W$5)*L74+(Q$5&lt;W$5)*R74+(AC$5&lt;W$5)*AD74+(AI$5&lt;W$5)*AJ74+(AO$5&lt;W$5)*AP74+(AU$5&lt;W$5)*AV74)))</f>
        <v/>
      </c>
      <c r="Z74">
        <f>IF(X74-Y74&lt;0.005,0,X74-Y74)</f>
        <v/>
      </c>
      <c r="AA74">
        <f>AF73</f>
        <v/>
      </c>
      <c r="AB74">
        <f>AA74*Plan!D10/100/12</f>
        <v/>
      </c>
      <c r="AC74">
        <f>MIN(Plan!E10,AA74+AB74)</f>
        <v/>
      </c>
      <c r="AD74">
        <f>AA74+AB74-AC74</f>
        <v/>
      </c>
      <c r="AE74">
        <f>MIN(AD74,MAX(0,$B74-((E$5&lt;AC$5)*F74+(K$5&lt;AC$5)*L74+(Q$5&lt;AC$5)*R74+(W$5&lt;AC$5)*X74+(AI$5&lt;AC$5)*AJ74+(AO$5&lt;AC$5)*AP74+(AU$5&lt;AC$5)*AV74)))</f>
        <v/>
      </c>
      <c r="AF74">
        <f>IF(AD74-AE74&lt;0.005,0,AD74-AE74)</f>
        <v/>
      </c>
      <c r="AG74">
        <f>AL73</f>
        <v/>
      </c>
      <c r="AH74">
        <f>AG74*Plan!D11/100/12</f>
        <v/>
      </c>
      <c r="AI74">
        <f>MIN(Plan!E11,AG74+AH74)</f>
        <v/>
      </c>
      <c r="AJ74">
        <f>AG74+AH74-AI74</f>
        <v/>
      </c>
      <c r="AK74">
        <f>MIN(AJ74,MAX(0,$B74-((E$5&lt;AI$5)*F74+(K$5&lt;AI$5)*L74+(Q$5&lt;AI$5)*R74+(W$5&lt;AI$5)*X74+(AC$5&lt;AI$5)*AD74+(AO$5&lt;AI$5)*AP74+(AU$5&lt;AI$5)*AV74)))</f>
        <v/>
      </c>
      <c r="AL74">
        <f>IF(AJ74-AK74&lt;0.005,0,AJ74-AK74)</f>
        <v/>
      </c>
      <c r="AM74">
        <f>AR73</f>
        <v/>
      </c>
      <c r="AN74">
        <f>AM74*Plan!D12/100/12</f>
        <v/>
      </c>
      <c r="AO74">
        <f>MIN(Plan!E12,AM74+AN74)</f>
        <v/>
      </c>
      <c r="AP74">
        <f>AM74+AN74-AO74</f>
        <v/>
      </c>
      <c r="AQ74">
        <f>MIN(AP74,MAX(0,$B74-((E$5&lt;AO$5)*F74+(K$5&lt;AO$5)*L74+(Q$5&lt;AO$5)*R74+(W$5&lt;AO$5)*X74+(AC$5&lt;AO$5)*AD74+(AI$5&lt;AO$5)*AJ74+(AU$5&lt;AO$5)*AV74)))</f>
        <v/>
      </c>
      <c r="AR74">
        <f>IF(AP74-AQ74&lt;0.005,0,AP74-AQ74)</f>
        <v/>
      </c>
      <c r="AS74">
        <f>AX73</f>
        <v/>
      </c>
      <c r="AT74">
        <f>AS74*Plan!D13/100/12</f>
        <v/>
      </c>
      <c r="AU74">
        <f>MIN(Plan!E13,AS74+AT74)</f>
        <v/>
      </c>
      <c r="AV74">
        <f>AS74+AT74-AU74</f>
        <v/>
      </c>
      <c r="AW74">
        <f>MIN(AV74,MAX(0,$B74-((E$5&lt;AU$5)*F74+(K$5&lt;AU$5)*L74+(Q$5&lt;AU$5)*R74+(W$5&lt;AU$5)*X74+(AC$5&lt;AU$5)*AD74+(AI$5&lt;AU$5)*AJ74+(AO$5&lt;AU$5)*AP74)))</f>
        <v/>
      </c>
      <c r="AX74">
        <f>IF(AV74-AW74&lt;0.005,0,AV74-AW74)</f>
        <v/>
      </c>
      <c r="BC74">
        <f>H74+N74+T74+Z74+AF74+AL74+AR74+AX74</f>
        <v/>
      </c>
    </row>
    <row r="75">
      <c r="A75" t="n">
        <v>69</v>
      </c>
      <c r="B75" s="19">
        <f>MAX(0,$B$3-(E75+K75+Q75+W75+AC75+AI75+AO75+AU75))</f>
        <v/>
      </c>
      <c r="C75">
        <f>H74</f>
        <v/>
      </c>
      <c r="D75">
        <f>C75*Plan!D6/100/12</f>
        <v/>
      </c>
      <c r="E75">
        <f>MIN(Plan!E6,C75+D75)</f>
        <v/>
      </c>
      <c r="F75">
        <f>C75+D75-E75</f>
        <v/>
      </c>
      <c r="G75">
        <f>MIN(F75,MAX(0,$B75-((K$5&lt;E$5)*L75+(Q$5&lt;E$5)*R75+(W$5&lt;E$5)*X75+(AC$5&lt;E$5)*AD75+(AI$5&lt;E$5)*AJ75+(AO$5&lt;E$5)*AP75+(AU$5&lt;E$5)*AV75)))</f>
        <v/>
      </c>
      <c r="H75">
        <f>IF(F75-G75&lt;0.005,0,F75-G75)</f>
        <v/>
      </c>
      <c r="I75">
        <f>N74</f>
        <v/>
      </c>
      <c r="J75">
        <f>I75*Plan!D7/100/12</f>
        <v/>
      </c>
      <c r="K75">
        <f>MIN(Plan!E7,I75+J75)</f>
        <v/>
      </c>
      <c r="L75">
        <f>I75+J75-K75</f>
        <v/>
      </c>
      <c r="M75">
        <f>MIN(L75,MAX(0,$B75-((E$5&lt;K$5)*F75+(Q$5&lt;K$5)*R75+(W$5&lt;K$5)*X75+(AC$5&lt;K$5)*AD75+(AI$5&lt;K$5)*AJ75+(AO$5&lt;K$5)*AP75+(AU$5&lt;K$5)*AV75)))</f>
        <v/>
      </c>
      <c r="N75">
        <f>IF(L75-M75&lt;0.005,0,L75-M75)</f>
        <v/>
      </c>
      <c r="O75">
        <f>T74</f>
        <v/>
      </c>
      <c r="P75">
        <f>O75*Plan!D8/100/12</f>
        <v/>
      </c>
      <c r="Q75">
        <f>MIN(Plan!E8,O75+P75)</f>
        <v/>
      </c>
      <c r="R75">
        <f>O75+P75-Q75</f>
        <v/>
      </c>
      <c r="S75">
        <f>MIN(R75,MAX(0,$B75-((E$5&lt;Q$5)*F75+(K$5&lt;Q$5)*L75+(W$5&lt;Q$5)*X75+(AC$5&lt;Q$5)*AD75+(AI$5&lt;Q$5)*AJ75+(AO$5&lt;Q$5)*AP75+(AU$5&lt;Q$5)*AV75)))</f>
        <v/>
      </c>
      <c r="T75">
        <f>IF(R75-S75&lt;0.005,0,R75-S75)</f>
        <v/>
      </c>
      <c r="U75">
        <f>Z74</f>
        <v/>
      </c>
      <c r="V75">
        <f>U75*Plan!D9/100/12</f>
        <v/>
      </c>
      <c r="W75">
        <f>MIN(Plan!E9,U75+V75)</f>
        <v/>
      </c>
      <c r="X75">
        <f>U75+V75-W75</f>
        <v/>
      </c>
      <c r="Y75">
        <f>MIN(X75,MAX(0,$B75-((E$5&lt;W$5)*F75+(K$5&lt;W$5)*L75+(Q$5&lt;W$5)*R75+(AC$5&lt;W$5)*AD75+(AI$5&lt;W$5)*AJ75+(AO$5&lt;W$5)*AP75+(AU$5&lt;W$5)*AV75)))</f>
        <v/>
      </c>
      <c r="Z75">
        <f>IF(X75-Y75&lt;0.005,0,X75-Y75)</f>
        <v/>
      </c>
      <c r="AA75">
        <f>AF74</f>
        <v/>
      </c>
      <c r="AB75">
        <f>AA75*Plan!D10/100/12</f>
        <v/>
      </c>
      <c r="AC75">
        <f>MIN(Plan!E10,AA75+AB75)</f>
        <v/>
      </c>
      <c r="AD75">
        <f>AA75+AB75-AC75</f>
        <v/>
      </c>
      <c r="AE75">
        <f>MIN(AD75,MAX(0,$B75-((E$5&lt;AC$5)*F75+(K$5&lt;AC$5)*L75+(Q$5&lt;AC$5)*R75+(W$5&lt;AC$5)*X75+(AI$5&lt;AC$5)*AJ75+(AO$5&lt;AC$5)*AP75+(AU$5&lt;AC$5)*AV75)))</f>
        <v/>
      </c>
      <c r="AF75">
        <f>IF(AD75-AE75&lt;0.005,0,AD75-AE75)</f>
        <v/>
      </c>
      <c r="AG75">
        <f>AL74</f>
        <v/>
      </c>
      <c r="AH75">
        <f>AG75*Plan!D11/100/12</f>
        <v/>
      </c>
      <c r="AI75">
        <f>MIN(Plan!E11,AG75+AH75)</f>
        <v/>
      </c>
      <c r="AJ75">
        <f>AG75+AH75-AI75</f>
        <v/>
      </c>
      <c r="AK75">
        <f>MIN(AJ75,MAX(0,$B75-((E$5&lt;AI$5)*F75+(K$5&lt;AI$5)*L75+(Q$5&lt;AI$5)*R75+(W$5&lt;AI$5)*X75+(AC$5&lt;AI$5)*AD75+(AO$5&lt;AI$5)*AP75+(AU$5&lt;AI$5)*AV75)))</f>
        <v/>
      </c>
      <c r="AL75">
        <f>IF(AJ75-AK75&lt;0.005,0,AJ75-AK75)</f>
        <v/>
      </c>
      <c r="AM75">
        <f>AR74</f>
        <v/>
      </c>
      <c r="AN75">
        <f>AM75*Plan!D12/100/12</f>
        <v/>
      </c>
      <c r="AO75">
        <f>MIN(Plan!E12,AM75+AN75)</f>
        <v/>
      </c>
      <c r="AP75">
        <f>AM75+AN75-AO75</f>
        <v/>
      </c>
      <c r="AQ75">
        <f>MIN(AP75,MAX(0,$B75-((E$5&lt;AO$5)*F75+(K$5&lt;AO$5)*L75+(Q$5&lt;AO$5)*R75+(W$5&lt;AO$5)*X75+(AC$5&lt;AO$5)*AD75+(AI$5&lt;AO$5)*AJ75+(AU$5&lt;AO$5)*AV75)))</f>
        <v/>
      </c>
      <c r="AR75">
        <f>IF(AP75-AQ75&lt;0.005,0,AP75-AQ75)</f>
        <v/>
      </c>
      <c r="AS75">
        <f>AX74</f>
        <v/>
      </c>
      <c r="AT75">
        <f>AS75*Plan!D13/100/12</f>
        <v/>
      </c>
      <c r="AU75">
        <f>MIN(Plan!E13,AS75+AT75)</f>
        <v/>
      </c>
      <c r="AV75">
        <f>AS75+AT75-AU75</f>
        <v/>
      </c>
      <c r="AW75">
        <f>MIN(AV75,MAX(0,$B75-((E$5&lt;AU$5)*F75+(K$5&lt;AU$5)*L75+(Q$5&lt;AU$5)*R75+(W$5&lt;AU$5)*X75+(AC$5&lt;AU$5)*AD75+(AI$5&lt;AU$5)*AJ75+(AO$5&lt;AU$5)*AP75)))</f>
        <v/>
      </c>
      <c r="AX75">
        <f>IF(AV75-AW75&lt;0.005,0,AV75-AW75)</f>
        <v/>
      </c>
      <c r="BC75">
        <f>H75+N75+T75+Z75+AF75+AL75+AR75+AX75</f>
        <v/>
      </c>
    </row>
    <row r="76">
      <c r="A76" t="n">
        <v>70</v>
      </c>
      <c r="B76" s="19">
        <f>MAX(0,$B$3-(E76+K76+Q76+W76+AC76+AI76+AO76+AU76))</f>
        <v/>
      </c>
      <c r="C76">
        <f>H75</f>
        <v/>
      </c>
      <c r="D76">
        <f>C76*Plan!D6/100/12</f>
        <v/>
      </c>
      <c r="E76">
        <f>MIN(Plan!E6,C76+D76)</f>
        <v/>
      </c>
      <c r="F76">
        <f>C76+D76-E76</f>
        <v/>
      </c>
      <c r="G76">
        <f>MIN(F76,MAX(0,$B76-((K$5&lt;E$5)*L76+(Q$5&lt;E$5)*R76+(W$5&lt;E$5)*X76+(AC$5&lt;E$5)*AD76+(AI$5&lt;E$5)*AJ76+(AO$5&lt;E$5)*AP76+(AU$5&lt;E$5)*AV76)))</f>
        <v/>
      </c>
      <c r="H76">
        <f>IF(F76-G76&lt;0.005,0,F76-G76)</f>
        <v/>
      </c>
      <c r="I76">
        <f>N75</f>
        <v/>
      </c>
      <c r="J76">
        <f>I76*Plan!D7/100/12</f>
        <v/>
      </c>
      <c r="K76">
        <f>MIN(Plan!E7,I76+J76)</f>
        <v/>
      </c>
      <c r="L76">
        <f>I76+J76-K76</f>
        <v/>
      </c>
      <c r="M76">
        <f>MIN(L76,MAX(0,$B76-((E$5&lt;K$5)*F76+(Q$5&lt;K$5)*R76+(W$5&lt;K$5)*X76+(AC$5&lt;K$5)*AD76+(AI$5&lt;K$5)*AJ76+(AO$5&lt;K$5)*AP76+(AU$5&lt;K$5)*AV76)))</f>
        <v/>
      </c>
      <c r="N76">
        <f>IF(L76-M76&lt;0.005,0,L76-M76)</f>
        <v/>
      </c>
      <c r="O76">
        <f>T75</f>
        <v/>
      </c>
      <c r="P76">
        <f>O76*Plan!D8/100/12</f>
        <v/>
      </c>
      <c r="Q76">
        <f>MIN(Plan!E8,O76+P76)</f>
        <v/>
      </c>
      <c r="R76">
        <f>O76+P76-Q76</f>
        <v/>
      </c>
      <c r="S76">
        <f>MIN(R76,MAX(0,$B76-((E$5&lt;Q$5)*F76+(K$5&lt;Q$5)*L76+(W$5&lt;Q$5)*X76+(AC$5&lt;Q$5)*AD76+(AI$5&lt;Q$5)*AJ76+(AO$5&lt;Q$5)*AP76+(AU$5&lt;Q$5)*AV76)))</f>
        <v/>
      </c>
      <c r="T76">
        <f>IF(R76-S76&lt;0.005,0,R76-S76)</f>
        <v/>
      </c>
      <c r="U76">
        <f>Z75</f>
        <v/>
      </c>
      <c r="V76">
        <f>U76*Plan!D9/100/12</f>
        <v/>
      </c>
      <c r="W76">
        <f>MIN(Plan!E9,U76+V76)</f>
        <v/>
      </c>
      <c r="X76">
        <f>U76+V76-W76</f>
        <v/>
      </c>
      <c r="Y76">
        <f>MIN(X76,MAX(0,$B76-((E$5&lt;W$5)*F76+(K$5&lt;W$5)*L76+(Q$5&lt;W$5)*R76+(AC$5&lt;W$5)*AD76+(AI$5&lt;W$5)*AJ76+(AO$5&lt;W$5)*AP76+(AU$5&lt;W$5)*AV76)))</f>
        <v/>
      </c>
      <c r="Z76">
        <f>IF(X76-Y76&lt;0.005,0,X76-Y76)</f>
        <v/>
      </c>
      <c r="AA76">
        <f>AF75</f>
        <v/>
      </c>
      <c r="AB76">
        <f>AA76*Plan!D10/100/12</f>
        <v/>
      </c>
      <c r="AC76">
        <f>MIN(Plan!E10,AA76+AB76)</f>
        <v/>
      </c>
      <c r="AD76">
        <f>AA76+AB76-AC76</f>
        <v/>
      </c>
      <c r="AE76">
        <f>MIN(AD76,MAX(0,$B76-((E$5&lt;AC$5)*F76+(K$5&lt;AC$5)*L76+(Q$5&lt;AC$5)*R76+(W$5&lt;AC$5)*X76+(AI$5&lt;AC$5)*AJ76+(AO$5&lt;AC$5)*AP76+(AU$5&lt;AC$5)*AV76)))</f>
        <v/>
      </c>
      <c r="AF76">
        <f>IF(AD76-AE76&lt;0.005,0,AD76-AE76)</f>
        <v/>
      </c>
      <c r="AG76">
        <f>AL75</f>
        <v/>
      </c>
      <c r="AH76">
        <f>AG76*Plan!D11/100/12</f>
        <v/>
      </c>
      <c r="AI76">
        <f>MIN(Plan!E11,AG76+AH76)</f>
        <v/>
      </c>
      <c r="AJ76">
        <f>AG76+AH76-AI76</f>
        <v/>
      </c>
      <c r="AK76">
        <f>MIN(AJ76,MAX(0,$B76-((E$5&lt;AI$5)*F76+(K$5&lt;AI$5)*L76+(Q$5&lt;AI$5)*R76+(W$5&lt;AI$5)*X76+(AC$5&lt;AI$5)*AD76+(AO$5&lt;AI$5)*AP76+(AU$5&lt;AI$5)*AV76)))</f>
        <v/>
      </c>
      <c r="AL76">
        <f>IF(AJ76-AK76&lt;0.005,0,AJ76-AK76)</f>
        <v/>
      </c>
      <c r="AM76">
        <f>AR75</f>
        <v/>
      </c>
      <c r="AN76">
        <f>AM76*Plan!D12/100/12</f>
        <v/>
      </c>
      <c r="AO76">
        <f>MIN(Plan!E12,AM76+AN76)</f>
        <v/>
      </c>
      <c r="AP76">
        <f>AM76+AN76-AO76</f>
        <v/>
      </c>
      <c r="AQ76">
        <f>MIN(AP76,MAX(0,$B76-((E$5&lt;AO$5)*F76+(K$5&lt;AO$5)*L76+(Q$5&lt;AO$5)*R76+(W$5&lt;AO$5)*X76+(AC$5&lt;AO$5)*AD76+(AI$5&lt;AO$5)*AJ76+(AU$5&lt;AO$5)*AV76)))</f>
        <v/>
      </c>
      <c r="AR76">
        <f>IF(AP76-AQ76&lt;0.005,0,AP76-AQ76)</f>
        <v/>
      </c>
      <c r="AS76">
        <f>AX75</f>
        <v/>
      </c>
      <c r="AT76">
        <f>AS76*Plan!D13/100/12</f>
        <v/>
      </c>
      <c r="AU76">
        <f>MIN(Plan!E13,AS76+AT76)</f>
        <v/>
      </c>
      <c r="AV76">
        <f>AS76+AT76-AU76</f>
        <v/>
      </c>
      <c r="AW76">
        <f>MIN(AV76,MAX(0,$B76-((E$5&lt;AU$5)*F76+(K$5&lt;AU$5)*L76+(Q$5&lt;AU$5)*R76+(W$5&lt;AU$5)*X76+(AC$5&lt;AU$5)*AD76+(AI$5&lt;AU$5)*AJ76+(AO$5&lt;AU$5)*AP76)))</f>
        <v/>
      </c>
      <c r="AX76">
        <f>IF(AV76-AW76&lt;0.005,0,AV76-AW76)</f>
        <v/>
      </c>
      <c r="BC76">
        <f>H76+N76+T76+Z76+AF76+AL76+AR76+AX76</f>
        <v/>
      </c>
    </row>
    <row r="77">
      <c r="A77" t="n">
        <v>71</v>
      </c>
      <c r="B77" s="19">
        <f>MAX(0,$B$3-(E77+K77+Q77+W77+AC77+AI77+AO77+AU77))</f>
        <v/>
      </c>
      <c r="C77">
        <f>H76</f>
        <v/>
      </c>
      <c r="D77">
        <f>C77*Plan!D6/100/12</f>
        <v/>
      </c>
      <c r="E77">
        <f>MIN(Plan!E6,C77+D77)</f>
        <v/>
      </c>
      <c r="F77">
        <f>C77+D77-E77</f>
        <v/>
      </c>
      <c r="G77">
        <f>MIN(F77,MAX(0,$B77-((K$5&lt;E$5)*L77+(Q$5&lt;E$5)*R77+(W$5&lt;E$5)*X77+(AC$5&lt;E$5)*AD77+(AI$5&lt;E$5)*AJ77+(AO$5&lt;E$5)*AP77+(AU$5&lt;E$5)*AV77)))</f>
        <v/>
      </c>
      <c r="H77">
        <f>IF(F77-G77&lt;0.005,0,F77-G77)</f>
        <v/>
      </c>
      <c r="I77">
        <f>N76</f>
        <v/>
      </c>
      <c r="J77">
        <f>I77*Plan!D7/100/12</f>
        <v/>
      </c>
      <c r="K77">
        <f>MIN(Plan!E7,I77+J77)</f>
        <v/>
      </c>
      <c r="L77">
        <f>I77+J77-K77</f>
        <v/>
      </c>
      <c r="M77">
        <f>MIN(L77,MAX(0,$B77-((E$5&lt;K$5)*F77+(Q$5&lt;K$5)*R77+(W$5&lt;K$5)*X77+(AC$5&lt;K$5)*AD77+(AI$5&lt;K$5)*AJ77+(AO$5&lt;K$5)*AP77+(AU$5&lt;K$5)*AV77)))</f>
        <v/>
      </c>
      <c r="N77">
        <f>IF(L77-M77&lt;0.005,0,L77-M77)</f>
        <v/>
      </c>
      <c r="O77">
        <f>T76</f>
        <v/>
      </c>
      <c r="P77">
        <f>O77*Plan!D8/100/12</f>
        <v/>
      </c>
      <c r="Q77">
        <f>MIN(Plan!E8,O77+P77)</f>
        <v/>
      </c>
      <c r="R77">
        <f>O77+P77-Q77</f>
        <v/>
      </c>
      <c r="S77">
        <f>MIN(R77,MAX(0,$B77-((E$5&lt;Q$5)*F77+(K$5&lt;Q$5)*L77+(W$5&lt;Q$5)*X77+(AC$5&lt;Q$5)*AD77+(AI$5&lt;Q$5)*AJ77+(AO$5&lt;Q$5)*AP77+(AU$5&lt;Q$5)*AV77)))</f>
        <v/>
      </c>
      <c r="T77">
        <f>IF(R77-S77&lt;0.005,0,R77-S77)</f>
        <v/>
      </c>
      <c r="U77">
        <f>Z76</f>
        <v/>
      </c>
      <c r="V77">
        <f>U77*Plan!D9/100/12</f>
        <v/>
      </c>
      <c r="W77">
        <f>MIN(Plan!E9,U77+V77)</f>
        <v/>
      </c>
      <c r="X77">
        <f>U77+V77-W77</f>
        <v/>
      </c>
      <c r="Y77">
        <f>MIN(X77,MAX(0,$B77-((E$5&lt;W$5)*F77+(K$5&lt;W$5)*L77+(Q$5&lt;W$5)*R77+(AC$5&lt;W$5)*AD77+(AI$5&lt;W$5)*AJ77+(AO$5&lt;W$5)*AP77+(AU$5&lt;W$5)*AV77)))</f>
        <v/>
      </c>
      <c r="Z77">
        <f>IF(X77-Y77&lt;0.005,0,X77-Y77)</f>
        <v/>
      </c>
      <c r="AA77">
        <f>AF76</f>
        <v/>
      </c>
      <c r="AB77">
        <f>AA77*Plan!D10/100/12</f>
        <v/>
      </c>
      <c r="AC77">
        <f>MIN(Plan!E10,AA77+AB77)</f>
        <v/>
      </c>
      <c r="AD77">
        <f>AA77+AB77-AC77</f>
        <v/>
      </c>
      <c r="AE77">
        <f>MIN(AD77,MAX(0,$B77-((E$5&lt;AC$5)*F77+(K$5&lt;AC$5)*L77+(Q$5&lt;AC$5)*R77+(W$5&lt;AC$5)*X77+(AI$5&lt;AC$5)*AJ77+(AO$5&lt;AC$5)*AP77+(AU$5&lt;AC$5)*AV77)))</f>
        <v/>
      </c>
      <c r="AF77">
        <f>IF(AD77-AE77&lt;0.005,0,AD77-AE77)</f>
        <v/>
      </c>
      <c r="AG77">
        <f>AL76</f>
        <v/>
      </c>
      <c r="AH77">
        <f>AG77*Plan!D11/100/12</f>
        <v/>
      </c>
      <c r="AI77">
        <f>MIN(Plan!E11,AG77+AH77)</f>
        <v/>
      </c>
      <c r="AJ77">
        <f>AG77+AH77-AI77</f>
        <v/>
      </c>
      <c r="AK77">
        <f>MIN(AJ77,MAX(0,$B77-((E$5&lt;AI$5)*F77+(K$5&lt;AI$5)*L77+(Q$5&lt;AI$5)*R77+(W$5&lt;AI$5)*X77+(AC$5&lt;AI$5)*AD77+(AO$5&lt;AI$5)*AP77+(AU$5&lt;AI$5)*AV77)))</f>
        <v/>
      </c>
      <c r="AL77">
        <f>IF(AJ77-AK77&lt;0.005,0,AJ77-AK77)</f>
        <v/>
      </c>
      <c r="AM77">
        <f>AR76</f>
        <v/>
      </c>
      <c r="AN77">
        <f>AM77*Plan!D12/100/12</f>
        <v/>
      </c>
      <c r="AO77">
        <f>MIN(Plan!E12,AM77+AN77)</f>
        <v/>
      </c>
      <c r="AP77">
        <f>AM77+AN77-AO77</f>
        <v/>
      </c>
      <c r="AQ77">
        <f>MIN(AP77,MAX(0,$B77-((E$5&lt;AO$5)*F77+(K$5&lt;AO$5)*L77+(Q$5&lt;AO$5)*R77+(W$5&lt;AO$5)*X77+(AC$5&lt;AO$5)*AD77+(AI$5&lt;AO$5)*AJ77+(AU$5&lt;AO$5)*AV77)))</f>
        <v/>
      </c>
      <c r="AR77">
        <f>IF(AP77-AQ77&lt;0.005,0,AP77-AQ77)</f>
        <v/>
      </c>
      <c r="AS77">
        <f>AX76</f>
        <v/>
      </c>
      <c r="AT77">
        <f>AS77*Plan!D13/100/12</f>
        <v/>
      </c>
      <c r="AU77">
        <f>MIN(Plan!E13,AS77+AT77)</f>
        <v/>
      </c>
      <c r="AV77">
        <f>AS77+AT77-AU77</f>
        <v/>
      </c>
      <c r="AW77">
        <f>MIN(AV77,MAX(0,$B77-((E$5&lt;AU$5)*F77+(K$5&lt;AU$5)*L77+(Q$5&lt;AU$5)*R77+(W$5&lt;AU$5)*X77+(AC$5&lt;AU$5)*AD77+(AI$5&lt;AU$5)*AJ77+(AO$5&lt;AU$5)*AP77)))</f>
        <v/>
      </c>
      <c r="AX77">
        <f>IF(AV77-AW77&lt;0.005,0,AV77-AW77)</f>
        <v/>
      </c>
      <c r="BC77">
        <f>H77+N77+T77+Z77+AF77+AL77+AR77+AX77</f>
        <v/>
      </c>
    </row>
    <row r="78">
      <c r="A78" t="n">
        <v>72</v>
      </c>
      <c r="B78" s="19">
        <f>MAX(0,$B$3-(E78+K78+Q78+W78+AC78+AI78+AO78+AU78))</f>
        <v/>
      </c>
      <c r="C78">
        <f>H77</f>
        <v/>
      </c>
      <c r="D78">
        <f>C78*Plan!D6/100/12</f>
        <v/>
      </c>
      <c r="E78">
        <f>MIN(Plan!E6,C78+D78)</f>
        <v/>
      </c>
      <c r="F78">
        <f>C78+D78-E78</f>
        <v/>
      </c>
      <c r="G78">
        <f>MIN(F78,MAX(0,$B78-((K$5&lt;E$5)*L78+(Q$5&lt;E$5)*R78+(W$5&lt;E$5)*X78+(AC$5&lt;E$5)*AD78+(AI$5&lt;E$5)*AJ78+(AO$5&lt;E$5)*AP78+(AU$5&lt;E$5)*AV78)))</f>
        <v/>
      </c>
      <c r="H78">
        <f>IF(F78-G78&lt;0.005,0,F78-G78)</f>
        <v/>
      </c>
      <c r="I78">
        <f>N77</f>
        <v/>
      </c>
      <c r="J78">
        <f>I78*Plan!D7/100/12</f>
        <v/>
      </c>
      <c r="K78">
        <f>MIN(Plan!E7,I78+J78)</f>
        <v/>
      </c>
      <c r="L78">
        <f>I78+J78-K78</f>
        <v/>
      </c>
      <c r="M78">
        <f>MIN(L78,MAX(0,$B78-((E$5&lt;K$5)*F78+(Q$5&lt;K$5)*R78+(W$5&lt;K$5)*X78+(AC$5&lt;K$5)*AD78+(AI$5&lt;K$5)*AJ78+(AO$5&lt;K$5)*AP78+(AU$5&lt;K$5)*AV78)))</f>
        <v/>
      </c>
      <c r="N78">
        <f>IF(L78-M78&lt;0.005,0,L78-M78)</f>
        <v/>
      </c>
      <c r="O78">
        <f>T77</f>
        <v/>
      </c>
      <c r="P78">
        <f>O78*Plan!D8/100/12</f>
        <v/>
      </c>
      <c r="Q78">
        <f>MIN(Plan!E8,O78+P78)</f>
        <v/>
      </c>
      <c r="R78">
        <f>O78+P78-Q78</f>
        <v/>
      </c>
      <c r="S78">
        <f>MIN(R78,MAX(0,$B78-((E$5&lt;Q$5)*F78+(K$5&lt;Q$5)*L78+(W$5&lt;Q$5)*X78+(AC$5&lt;Q$5)*AD78+(AI$5&lt;Q$5)*AJ78+(AO$5&lt;Q$5)*AP78+(AU$5&lt;Q$5)*AV78)))</f>
        <v/>
      </c>
      <c r="T78">
        <f>IF(R78-S78&lt;0.005,0,R78-S78)</f>
        <v/>
      </c>
      <c r="U78">
        <f>Z77</f>
        <v/>
      </c>
      <c r="V78">
        <f>U78*Plan!D9/100/12</f>
        <v/>
      </c>
      <c r="W78">
        <f>MIN(Plan!E9,U78+V78)</f>
        <v/>
      </c>
      <c r="X78">
        <f>U78+V78-W78</f>
        <v/>
      </c>
      <c r="Y78">
        <f>MIN(X78,MAX(0,$B78-((E$5&lt;W$5)*F78+(K$5&lt;W$5)*L78+(Q$5&lt;W$5)*R78+(AC$5&lt;W$5)*AD78+(AI$5&lt;W$5)*AJ78+(AO$5&lt;W$5)*AP78+(AU$5&lt;W$5)*AV78)))</f>
        <v/>
      </c>
      <c r="Z78">
        <f>IF(X78-Y78&lt;0.005,0,X78-Y78)</f>
        <v/>
      </c>
      <c r="AA78">
        <f>AF77</f>
        <v/>
      </c>
      <c r="AB78">
        <f>AA78*Plan!D10/100/12</f>
        <v/>
      </c>
      <c r="AC78">
        <f>MIN(Plan!E10,AA78+AB78)</f>
        <v/>
      </c>
      <c r="AD78">
        <f>AA78+AB78-AC78</f>
        <v/>
      </c>
      <c r="AE78">
        <f>MIN(AD78,MAX(0,$B78-((E$5&lt;AC$5)*F78+(K$5&lt;AC$5)*L78+(Q$5&lt;AC$5)*R78+(W$5&lt;AC$5)*X78+(AI$5&lt;AC$5)*AJ78+(AO$5&lt;AC$5)*AP78+(AU$5&lt;AC$5)*AV78)))</f>
        <v/>
      </c>
      <c r="AF78">
        <f>IF(AD78-AE78&lt;0.005,0,AD78-AE78)</f>
        <v/>
      </c>
      <c r="AG78">
        <f>AL77</f>
        <v/>
      </c>
      <c r="AH78">
        <f>AG78*Plan!D11/100/12</f>
        <v/>
      </c>
      <c r="AI78">
        <f>MIN(Plan!E11,AG78+AH78)</f>
        <v/>
      </c>
      <c r="AJ78">
        <f>AG78+AH78-AI78</f>
        <v/>
      </c>
      <c r="AK78">
        <f>MIN(AJ78,MAX(0,$B78-((E$5&lt;AI$5)*F78+(K$5&lt;AI$5)*L78+(Q$5&lt;AI$5)*R78+(W$5&lt;AI$5)*X78+(AC$5&lt;AI$5)*AD78+(AO$5&lt;AI$5)*AP78+(AU$5&lt;AI$5)*AV78)))</f>
        <v/>
      </c>
      <c r="AL78">
        <f>IF(AJ78-AK78&lt;0.005,0,AJ78-AK78)</f>
        <v/>
      </c>
      <c r="AM78">
        <f>AR77</f>
        <v/>
      </c>
      <c r="AN78">
        <f>AM78*Plan!D12/100/12</f>
        <v/>
      </c>
      <c r="AO78">
        <f>MIN(Plan!E12,AM78+AN78)</f>
        <v/>
      </c>
      <c r="AP78">
        <f>AM78+AN78-AO78</f>
        <v/>
      </c>
      <c r="AQ78">
        <f>MIN(AP78,MAX(0,$B78-((E$5&lt;AO$5)*F78+(K$5&lt;AO$5)*L78+(Q$5&lt;AO$5)*R78+(W$5&lt;AO$5)*X78+(AC$5&lt;AO$5)*AD78+(AI$5&lt;AO$5)*AJ78+(AU$5&lt;AO$5)*AV78)))</f>
        <v/>
      </c>
      <c r="AR78">
        <f>IF(AP78-AQ78&lt;0.005,0,AP78-AQ78)</f>
        <v/>
      </c>
      <c r="AS78">
        <f>AX77</f>
        <v/>
      </c>
      <c r="AT78">
        <f>AS78*Plan!D13/100/12</f>
        <v/>
      </c>
      <c r="AU78">
        <f>MIN(Plan!E13,AS78+AT78)</f>
        <v/>
      </c>
      <c r="AV78">
        <f>AS78+AT78-AU78</f>
        <v/>
      </c>
      <c r="AW78">
        <f>MIN(AV78,MAX(0,$B78-((E$5&lt;AU$5)*F78+(K$5&lt;AU$5)*L78+(Q$5&lt;AU$5)*R78+(W$5&lt;AU$5)*X78+(AC$5&lt;AU$5)*AD78+(AI$5&lt;AU$5)*AJ78+(AO$5&lt;AU$5)*AP78)))</f>
        <v/>
      </c>
      <c r="AX78">
        <f>IF(AV78-AW78&lt;0.005,0,AV78-AW78)</f>
        <v/>
      </c>
      <c r="BC78">
        <f>H78+N78+T78+Z78+AF78+AL78+AR78+AX78</f>
        <v/>
      </c>
    </row>
    <row r="79">
      <c r="A79" t="n">
        <v>73</v>
      </c>
      <c r="B79" s="19">
        <f>MAX(0,$B$3-(E79+K79+Q79+W79+AC79+AI79+AO79+AU79))</f>
        <v/>
      </c>
      <c r="C79">
        <f>H78</f>
        <v/>
      </c>
      <c r="D79">
        <f>C79*Plan!D6/100/12</f>
        <v/>
      </c>
      <c r="E79">
        <f>MIN(Plan!E6,C79+D79)</f>
        <v/>
      </c>
      <c r="F79">
        <f>C79+D79-E79</f>
        <v/>
      </c>
      <c r="G79">
        <f>MIN(F79,MAX(0,$B79-((K$5&lt;E$5)*L79+(Q$5&lt;E$5)*R79+(W$5&lt;E$5)*X79+(AC$5&lt;E$5)*AD79+(AI$5&lt;E$5)*AJ79+(AO$5&lt;E$5)*AP79+(AU$5&lt;E$5)*AV79)))</f>
        <v/>
      </c>
      <c r="H79">
        <f>IF(F79-G79&lt;0.005,0,F79-G79)</f>
        <v/>
      </c>
      <c r="I79">
        <f>N78</f>
        <v/>
      </c>
      <c r="J79">
        <f>I79*Plan!D7/100/12</f>
        <v/>
      </c>
      <c r="K79">
        <f>MIN(Plan!E7,I79+J79)</f>
        <v/>
      </c>
      <c r="L79">
        <f>I79+J79-K79</f>
        <v/>
      </c>
      <c r="M79">
        <f>MIN(L79,MAX(0,$B79-((E$5&lt;K$5)*F79+(Q$5&lt;K$5)*R79+(W$5&lt;K$5)*X79+(AC$5&lt;K$5)*AD79+(AI$5&lt;K$5)*AJ79+(AO$5&lt;K$5)*AP79+(AU$5&lt;K$5)*AV79)))</f>
        <v/>
      </c>
      <c r="N79">
        <f>IF(L79-M79&lt;0.005,0,L79-M79)</f>
        <v/>
      </c>
      <c r="O79">
        <f>T78</f>
        <v/>
      </c>
      <c r="P79">
        <f>O79*Plan!D8/100/12</f>
        <v/>
      </c>
      <c r="Q79">
        <f>MIN(Plan!E8,O79+P79)</f>
        <v/>
      </c>
      <c r="R79">
        <f>O79+P79-Q79</f>
        <v/>
      </c>
      <c r="S79">
        <f>MIN(R79,MAX(0,$B79-((E$5&lt;Q$5)*F79+(K$5&lt;Q$5)*L79+(W$5&lt;Q$5)*X79+(AC$5&lt;Q$5)*AD79+(AI$5&lt;Q$5)*AJ79+(AO$5&lt;Q$5)*AP79+(AU$5&lt;Q$5)*AV79)))</f>
        <v/>
      </c>
      <c r="T79">
        <f>IF(R79-S79&lt;0.005,0,R79-S79)</f>
        <v/>
      </c>
      <c r="U79">
        <f>Z78</f>
        <v/>
      </c>
      <c r="V79">
        <f>U79*Plan!D9/100/12</f>
        <v/>
      </c>
      <c r="W79">
        <f>MIN(Plan!E9,U79+V79)</f>
        <v/>
      </c>
      <c r="X79">
        <f>U79+V79-W79</f>
        <v/>
      </c>
      <c r="Y79">
        <f>MIN(X79,MAX(0,$B79-((E$5&lt;W$5)*F79+(K$5&lt;W$5)*L79+(Q$5&lt;W$5)*R79+(AC$5&lt;W$5)*AD79+(AI$5&lt;W$5)*AJ79+(AO$5&lt;W$5)*AP79+(AU$5&lt;W$5)*AV79)))</f>
        <v/>
      </c>
      <c r="Z79">
        <f>IF(X79-Y79&lt;0.005,0,X79-Y79)</f>
        <v/>
      </c>
      <c r="AA79">
        <f>AF78</f>
        <v/>
      </c>
      <c r="AB79">
        <f>AA79*Plan!D10/100/12</f>
        <v/>
      </c>
      <c r="AC79">
        <f>MIN(Plan!E10,AA79+AB79)</f>
        <v/>
      </c>
      <c r="AD79">
        <f>AA79+AB79-AC79</f>
        <v/>
      </c>
      <c r="AE79">
        <f>MIN(AD79,MAX(0,$B79-((E$5&lt;AC$5)*F79+(K$5&lt;AC$5)*L79+(Q$5&lt;AC$5)*R79+(W$5&lt;AC$5)*X79+(AI$5&lt;AC$5)*AJ79+(AO$5&lt;AC$5)*AP79+(AU$5&lt;AC$5)*AV79)))</f>
        <v/>
      </c>
      <c r="AF79">
        <f>IF(AD79-AE79&lt;0.005,0,AD79-AE79)</f>
        <v/>
      </c>
      <c r="AG79">
        <f>AL78</f>
        <v/>
      </c>
      <c r="AH79">
        <f>AG79*Plan!D11/100/12</f>
        <v/>
      </c>
      <c r="AI79">
        <f>MIN(Plan!E11,AG79+AH79)</f>
        <v/>
      </c>
      <c r="AJ79">
        <f>AG79+AH79-AI79</f>
        <v/>
      </c>
      <c r="AK79">
        <f>MIN(AJ79,MAX(0,$B79-((E$5&lt;AI$5)*F79+(K$5&lt;AI$5)*L79+(Q$5&lt;AI$5)*R79+(W$5&lt;AI$5)*X79+(AC$5&lt;AI$5)*AD79+(AO$5&lt;AI$5)*AP79+(AU$5&lt;AI$5)*AV79)))</f>
        <v/>
      </c>
      <c r="AL79">
        <f>IF(AJ79-AK79&lt;0.005,0,AJ79-AK79)</f>
        <v/>
      </c>
      <c r="AM79">
        <f>AR78</f>
        <v/>
      </c>
      <c r="AN79">
        <f>AM79*Plan!D12/100/12</f>
        <v/>
      </c>
      <c r="AO79">
        <f>MIN(Plan!E12,AM79+AN79)</f>
        <v/>
      </c>
      <c r="AP79">
        <f>AM79+AN79-AO79</f>
        <v/>
      </c>
      <c r="AQ79">
        <f>MIN(AP79,MAX(0,$B79-((E$5&lt;AO$5)*F79+(K$5&lt;AO$5)*L79+(Q$5&lt;AO$5)*R79+(W$5&lt;AO$5)*X79+(AC$5&lt;AO$5)*AD79+(AI$5&lt;AO$5)*AJ79+(AU$5&lt;AO$5)*AV79)))</f>
        <v/>
      </c>
      <c r="AR79">
        <f>IF(AP79-AQ79&lt;0.005,0,AP79-AQ79)</f>
        <v/>
      </c>
      <c r="AS79">
        <f>AX78</f>
        <v/>
      </c>
      <c r="AT79">
        <f>AS79*Plan!D13/100/12</f>
        <v/>
      </c>
      <c r="AU79">
        <f>MIN(Plan!E13,AS79+AT79)</f>
        <v/>
      </c>
      <c r="AV79">
        <f>AS79+AT79-AU79</f>
        <v/>
      </c>
      <c r="AW79">
        <f>MIN(AV79,MAX(0,$B79-((E$5&lt;AU$5)*F79+(K$5&lt;AU$5)*L79+(Q$5&lt;AU$5)*R79+(W$5&lt;AU$5)*X79+(AC$5&lt;AU$5)*AD79+(AI$5&lt;AU$5)*AJ79+(AO$5&lt;AU$5)*AP79)))</f>
        <v/>
      </c>
      <c r="AX79">
        <f>IF(AV79-AW79&lt;0.005,0,AV79-AW79)</f>
        <v/>
      </c>
      <c r="BC79">
        <f>H79+N79+T79+Z79+AF79+AL79+AR79+AX79</f>
        <v/>
      </c>
    </row>
    <row r="80">
      <c r="A80" t="n">
        <v>74</v>
      </c>
      <c r="B80" s="19">
        <f>MAX(0,$B$3-(E80+K80+Q80+W80+AC80+AI80+AO80+AU80))</f>
        <v/>
      </c>
      <c r="C80">
        <f>H79</f>
        <v/>
      </c>
      <c r="D80">
        <f>C80*Plan!D6/100/12</f>
        <v/>
      </c>
      <c r="E80">
        <f>MIN(Plan!E6,C80+D80)</f>
        <v/>
      </c>
      <c r="F80">
        <f>C80+D80-E80</f>
        <v/>
      </c>
      <c r="G80">
        <f>MIN(F80,MAX(0,$B80-((K$5&lt;E$5)*L80+(Q$5&lt;E$5)*R80+(W$5&lt;E$5)*X80+(AC$5&lt;E$5)*AD80+(AI$5&lt;E$5)*AJ80+(AO$5&lt;E$5)*AP80+(AU$5&lt;E$5)*AV80)))</f>
        <v/>
      </c>
      <c r="H80">
        <f>IF(F80-G80&lt;0.005,0,F80-G80)</f>
        <v/>
      </c>
      <c r="I80">
        <f>N79</f>
        <v/>
      </c>
      <c r="J80">
        <f>I80*Plan!D7/100/12</f>
        <v/>
      </c>
      <c r="K80">
        <f>MIN(Plan!E7,I80+J80)</f>
        <v/>
      </c>
      <c r="L80">
        <f>I80+J80-K80</f>
        <v/>
      </c>
      <c r="M80">
        <f>MIN(L80,MAX(0,$B80-((E$5&lt;K$5)*F80+(Q$5&lt;K$5)*R80+(W$5&lt;K$5)*X80+(AC$5&lt;K$5)*AD80+(AI$5&lt;K$5)*AJ80+(AO$5&lt;K$5)*AP80+(AU$5&lt;K$5)*AV80)))</f>
        <v/>
      </c>
      <c r="N80">
        <f>IF(L80-M80&lt;0.005,0,L80-M80)</f>
        <v/>
      </c>
      <c r="O80">
        <f>T79</f>
        <v/>
      </c>
      <c r="P80">
        <f>O80*Plan!D8/100/12</f>
        <v/>
      </c>
      <c r="Q80">
        <f>MIN(Plan!E8,O80+P80)</f>
        <v/>
      </c>
      <c r="R80">
        <f>O80+P80-Q80</f>
        <v/>
      </c>
      <c r="S80">
        <f>MIN(R80,MAX(0,$B80-((E$5&lt;Q$5)*F80+(K$5&lt;Q$5)*L80+(W$5&lt;Q$5)*X80+(AC$5&lt;Q$5)*AD80+(AI$5&lt;Q$5)*AJ80+(AO$5&lt;Q$5)*AP80+(AU$5&lt;Q$5)*AV80)))</f>
        <v/>
      </c>
      <c r="T80">
        <f>IF(R80-S80&lt;0.005,0,R80-S80)</f>
        <v/>
      </c>
      <c r="U80">
        <f>Z79</f>
        <v/>
      </c>
      <c r="V80">
        <f>U80*Plan!D9/100/12</f>
        <v/>
      </c>
      <c r="W80">
        <f>MIN(Plan!E9,U80+V80)</f>
        <v/>
      </c>
      <c r="X80">
        <f>U80+V80-W80</f>
        <v/>
      </c>
      <c r="Y80">
        <f>MIN(X80,MAX(0,$B80-((E$5&lt;W$5)*F80+(K$5&lt;W$5)*L80+(Q$5&lt;W$5)*R80+(AC$5&lt;W$5)*AD80+(AI$5&lt;W$5)*AJ80+(AO$5&lt;W$5)*AP80+(AU$5&lt;W$5)*AV80)))</f>
        <v/>
      </c>
      <c r="Z80">
        <f>IF(X80-Y80&lt;0.005,0,X80-Y80)</f>
        <v/>
      </c>
      <c r="AA80">
        <f>AF79</f>
        <v/>
      </c>
      <c r="AB80">
        <f>AA80*Plan!D10/100/12</f>
        <v/>
      </c>
      <c r="AC80">
        <f>MIN(Plan!E10,AA80+AB80)</f>
        <v/>
      </c>
      <c r="AD80">
        <f>AA80+AB80-AC80</f>
        <v/>
      </c>
      <c r="AE80">
        <f>MIN(AD80,MAX(0,$B80-((E$5&lt;AC$5)*F80+(K$5&lt;AC$5)*L80+(Q$5&lt;AC$5)*R80+(W$5&lt;AC$5)*X80+(AI$5&lt;AC$5)*AJ80+(AO$5&lt;AC$5)*AP80+(AU$5&lt;AC$5)*AV80)))</f>
        <v/>
      </c>
      <c r="AF80">
        <f>IF(AD80-AE80&lt;0.005,0,AD80-AE80)</f>
        <v/>
      </c>
      <c r="AG80">
        <f>AL79</f>
        <v/>
      </c>
      <c r="AH80">
        <f>AG80*Plan!D11/100/12</f>
        <v/>
      </c>
      <c r="AI80">
        <f>MIN(Plan!E11,AG80+AH80)</f>
        <v/>
      </c>
      <c r="AJ80">
        <f>AG80+AH80-AI80</f>
        <v/>
      </c>
      <c r="AK80">
        <f>MIN(AJ80,MAX(0,$B80-((E$5&lt;AI$5)*F80+(K$5&lt;AI$5)*L80+(Q$5&lt;AI$5)*R80+(W$5&lt;AI$5)*X80+(AC$5&lt;AI$5)*AD80+(AO$5&lt;AI$5)*AP80+(AU$5&lt;AI$5)*AV80)))</f>
        <v/>
      </c>
      <c r="AL80">
        <f>IF(AJ80-AK80&lt;0.005,0,AJ80-AK80)</f>
        <v/>
      </c>
      <c r="AM80">
        <f>AR79</f>
        <v/>
      </c>
      <c r="AN80">
        <f>AM80*Plan!D12/100/12</f>
        <v/>
      </c>
      <c r="AO80">
        <f>MIN(Plan!E12,AM80+AN80)</f>
        <v/>
      </c>
      <c r="AP80">
        <f>AM80+AN80-AO80</f>
        <v/>
      </c>
      <c r="AQ80">
        <f>MIN(AP80,MAX(0,$B80-((E$5&lt;AO$5)*F80+(K$5&lt;AO$5)*L80+(Q$5&lt;AO$5)*R80+(W$5&lt;AO$5)*X80+(AC$5&lt;AO$5)*AD80+(AI$5&lt;AO$5)*AJ80+(AU$5&lt;AO$5)*AV80)))</f>
        <v/>
      </c>
      <c r="AR80">
        <f>IF(AP80-AQ80&lt;0.005,0,AP80-AQ80)</f>
        <v/>
      </c>
      <c r="AS80">
        <f>AX79</f>
        <v/>
      </c>
      <c r="AT80">
        <f>AS80*Plan!D13/100/12</f>
        <v/>
      </c>
      <c r="AU80">
        <f>MIN(Plan!E13,AS80+AT80)</f>
        <v/>
      </c>
      <c r="AV80">
        <f>AS80+AT80-AU80</f>
        <v/>
      </c>
      <c r="AW80">
        <f>MIN(AV80,MAX(0,$B80-((E$5&lt;AU$5)*F80+(K$5&lt;AU$5)*L80+(Q$5&lt;AU$5)*R80+(W$5&lt;AU$5)*X80+(AC$5&lt;AU$5)*AD80+(AI$5&lt;AU$5)*AJ80+(AO$5&lt;AU$5)*AP80)))</f>
        <v/>
      </c>
      <c r="AX80">
        <f>IF(AV80-AW80&lt;0.005,0,AV80-AW80)</f>
        <v/>
      </c>
      <c r="BC80">
        <f>H80+N80+T80+Z80+AF80+AL80+AR80+AX80</f>
        <v/>
      </c>
    </row>
    <row r="81">
      <c r="A81" t="n">
        <v>75</v>
      </c>
      <c r="B81" s="19">
        <f>MAX(0,$B$3-(E81+K81+Q81+W81+AC81+AI81+AO81+AU81))</f>
        <v/>
      </c>
      <c r="C81">
        <f>H80</f>
        <v/>
      </c>
      <c r="D81">
        <f>C81*Plan!D6/100/12</f>
        <v/>
      </c>
      <c r="E81">
        <f>MIN(Plan!E6,C81+D81)</f>
        <v/>
      </c>
      <c r="F81">
        <f>C81+D81-E81</f>
        <v/>
      </c>
      <c r="G81">
        <f>MIN(F81,MAX(0,$B81-((K$5&lt;E$5)*L81+(Q$5&lt;E$5)*R81+(W$5&lt;E$5)*X81+(AC$5&lt;E$5)*AD81+(AI$5&lt;E$5)*AJ81+(AO$5&lt;E$5)*AP81+(AU$5&lt;E$5)*AV81)))</f>
        <v/>
      </c>
      <c r="H81">
        <f>IF(F81-G81&lt;0.005,0,F81-G81)</f>
        <v/>
      </c>
      <c r="I81">
        <f>N80</f>
        <v/>
      </c>
      <c r="J81">
        <f>I81*Plan!D7/100/12</f>
        <v/>
      </c>
      <c r="K81">
        <f>MIN(Plan!E7,I81+J81)</f>
        <v/>
      </c>
      <c r="L81">
        <f>I81+J81-K81</f>
        <v/>
      </c>
      <c r="M81">
        <f>MIN(L81,MAX(0,$B81-((E$5&lt;K$5)*F81+(Q$5&lt;K$5)*R81+(W$5&lt;K$5)*X81+(AC$5&lt;K$5)*AD81+(AI$5&lt;K$5)*AJ81+(AO$5&lt;K$5)*AP81+(AU$5&lt;K$5)*AV81)))</f>
        <v/>
      </c>
      <c r="N81">
        <f>IF(L81-M81&lt;0.005,0,L81-M81)</f>
        <v/>
      </c>
      <c r="O81">
        <f>T80</f>
        <v/>
      </c>
      <c r="P81">
        <f>O81*Plan!D8/100/12</f>
        <v/>
      </c>
      <c r="Q81">
        <f>MIN(Plan!E8,O81+P81)</f>
        <v/>
      </c>
      <c r="R81">
        <f>O81+P81-Q81</f>
        <v/>
      </c>
      <c r="S81">
        <f>MIN(R81,MAX(0,$B81-((E$5&lt;Q$5)*F81+(K$5&lt;Q$5)*L81+(W$5&lt;Q$5)*X81+(AC$5&lt;Q$5)*AD81+(AI$5&lt;Q$5)*AJ81+(AO$5&lt;Q$5)*AP81+(AU$5&lt;Q$5)*AV81)))</f>
        <v/>
      </c>
      <c r="T81">
        <f>IF(R81-S81&lt;0.005,0,R81-S81)</f>
        <v/>
      </c>
      <c r="U81">
        <f>Z80</f>
        <v/>
      </c>
      <c r="V81">
        <f>U81*Plan!D9/100/12</f>
        <v/>
      </c>
      <c r="W81">
        <f>MIN(Plan!E9,U81+V81)</f>
        <v/>
      </c>
      <c r="X81">
        <f>U81+V81-W81</f>
        <v/>
      </c>
      <c r="Y81">
        <f>MIN(X81,MAX(0,$B81-((E$5&lt;W$5)*F81+(K$5&lt;W$5)*L81+(Q$5&lt;W$5)*R81+(AC$5&lt;W$5)*AD81+(AI$5&lt;W$5)*AJ81+(AO$5&lt;W$5)*AP81+(AU$5&lt;W$5)*AV81)))</f>
        <v/>
      </c>
      <c r="Z81">
        <f>IF(X81-Y81&lt;0.005,0,X81-Y81)</f>
        <v/>
      </c>
      <c r="AA81">
        <f>AF80</f>
        <v/>
      </c>
      <c r="AB81">
        <f>AA81*Plan!D10/100/12</f>
        <v/>
      </c>
      <c r="AC81">
        <f>MIN(Plan!E10,AA81+AB81)</f>
        <v/>
      </c>
      <c r="AD81">
        <f>AA81+AB81-AC81</f>
        <v/>
      </c>
      <c r="AE81">
        <f>MIN(AD81,MAX(0,$B81-((E$5&lt;AC$5)*F81+(K$5&lt;AC$5)*L81+(Q$5&lt;AC$5)*R81+(W$5&lt;AC$5)*X81+(AI$5&lt;AC$5)*AJ81+(AO$5&lt;AC$5)*AP81+(AU$5&lt;AC$5)*AV81)))</f>
        <v/>
      </c>
      <c r="AF81">
        <f>IF(AD81-AE81&lt;0.005,0,AD81-AE81)</f>
        <v/>
      </c>
      <c r="AG81">
        <f>AL80</f>
        <v/>
      </c>
      <c r="AH81">
        <f>AG81*Plan!D11/100/12</f>
        <v/>
      </c>
      <c r="AI81">
        <f>MIN(Plan!E11,AG81+AH81)</f>
        <v/>
      </c>
      <c r="AJ81">
        <f>AG81+AH81-AI81</f>
        <v/>
      </c>
      <c r="AK81">
        <f>MIN(AJ81,MAX(0,$B81-((E$5&lt;AI$5)*F81+(K$5&lt;AI$5)*L81+(Q$5&lt;AI$5)*R81+(W$5&lt;AI$5)*X81+(AC$5&lt;AI$5)*AD81+(AO$5&lt;AI$5)*AP81+(AU$5&lt;AI$5)*AV81)))</f>
        <v/>
      </c>
      <c r="AL81">
        <f>IF(AJ81-AK81&lt;0.005,0,AJ81-AK81)</f>
        <v/>
      </c>
      <c r="AM81">
        <f>AR80</f>
        <v/>
      </c>
      <c r="AN81">
        <f>AM81*Plan!D12/100/12</f>
        <v/>
      </c>
      <c r="AO81">
        <f>MIN(Plan!E12,AM81+AN81)</f>
        <v/>
      </c>
      <c r="AP81">
        <f>AM81+AN81-AO81</f>
        <v/>
      </c>
      <c r="AQ81">
        <f>MIN(AP81,MAX(0,$B81-((E$5&lt;AO$5)*F81+(K$5&lt;AO$5)*L81+(Q$5&lt;AO$5)*R81+(W$5&lt;AO$5)*X81+(AC$5&lt;AO$5)*AD81+(AI$5&lt;AO$5)*AJ81+(AU$5&lt;AO$5)*AV81)))</f>
        <v/>
      </c>
      <c r="AR81">
        <f>IF(AP81-AQ81&lt;0.005,0,AP81-AQ81)</f>
        <v/>
      </c>
      <c r="AS81">
        <f>AX80</f>
        <v/>
      </c>
      <c r="AT81">
        <f>AS81*Plan!D13/100/12</f>
        <v/>
      </c>
      <c r="AU81">
        <f>MIN(Plan!E13,AS81+AT81)</f>
        <v/>
      </c>
      <c r="AV81">
        <f>AS81+AT81-AU81</f>
        <v/>
      </c>
      <c r="AW81">
        <f>MIN(AV81,MAX(0,$B81-((E$5&lt;AU$5)*F81+(K$5&lt;AU$5)*L81+(Q$5&lt;AU$5)*R81+(W$5&lt;AU$5)*X81+(AC$5&lt;AU$5)*AD81+(AI$5&lt;AU$5)*AJ81+(AO$5&lt;AU$5)*AP81)))</f>
        <v/>
      </c>
      <c r="AX81">
        <f>IF(AV81-AW81&lt;0.005,0,AV81-AW81)</f>
        <v/>
      </c>
      <c r="BC81">
        <f>H81+N81+T81+Z81+AF81+AL81+AR81+AX81</f>
        <v/>
      </c>
    </row>
    <row r="82">
      <c r="A82" t="n">
        <v>76</v>
      </c>
      <c r="B82" s="19">
        <f>MAX(0,$B$3-(E82+K82+Q82+W82+AC82+AI82+AO82+AU82))</f>
        <v/>
      </c>
      <c r="C82">
        <f>H81</f>
        <v/>
      </c>
      <c r="D82">
        <f>C82*Plan!D6/100/12</f>
        <v/>
      </c>
      <c r="E82">
        <f>MIN(Plan!E6,C82+D82)</f>
        <v/>
      </c>
      <c r="F82">
        <f>C82+D82-E82</f>
        <v/>
      </c>
      <c r="G82">
        <f>MIN(F82,MAX(0,$B82-((K$5&lt;E$5)*L82+(Q$5&lt;E$5)*R82+(W$5&lt;E$5)*X82+(AC$5&lt;E$5)*AD82+(AI$5&lt;E$5)*AJ82+(AO$5&lt;E$5)*AP82+(AU$5&lt;E$5)*AV82)))</f>
        <v/>
      </c>
      <c r="H82">
        <f>IF(F82-G82&lt;0.005,0,F82-G82)</f>
        <v/>
      </c>
      <c r="I82">
        <f>N81</f>
        <v/>
      </c>
      <c r="J82">
        <f>I82*Plan!D7/100/12</f>
        <v/>
      </c>
      <c r="K82">
        <f>MIN(Plan!E7,I82+J82)</f>
        <v/>
      </c>
      <c r="L82">
        <f>I82+J82-K82</f>
        <v/>
      </c>
      <c r="M82">
        <f>MIN(L82,MAX(0,$B82-((E$5&lt;K$5)*F82+(Q$5&lt;K$5)*R82+(W$5&lt;K$5)*X82+(AC$5&lt;K$5)*AD82+(AI$5&lt;K$5)*AJ82+(AO$5&lt;K$5)*AP82+(AU$5&lt;K$5)*AV82)))</f>
        <v/>
      </c>
      <c r="N82">
        <f>IF(L82-M82&lt;0.005,0,L82-M82)</f>
        <v/>
      </c>
      <c r="O82">
        <f>T81</f>
        <v/>
      </c>
      <c r="P82">
        <f>O82*Plan!D8/100/12</f>
        <v/>
      </c>
      <c r="Q82">
        <f>MIN(Plan!E8,O82+P82)</f>
        <v/>
      </c>
      <c r="R82">
        <f>O82+P82-Q82</f>
        <v/>
      </c>
      <c r="S82">
        <f>MIN(R82,MAX(0,$B82-((E$5&lt;Q$5)*F82+(K$5&lt;Q$5)*L82+(W$5&lt;Q$5)*X82+(AC$5&lt;Q$5)*AD82+(AI$5&lt;Q$5)*AJ82+(AO$5&lt;Q$5)*AP82+(AU$5&lt;Q$5)*AV82)))</f>
        <v/>
      </c>
      <c r="T82">
        <f>IF(R82-S82&lt;0.005,0,R82-S82)</f>
        <v/>
      </c>
      <c r="U82">
        <f>Z81</f>
        <v/>
      </c>
      <c r="V82">
        <f>U82*Plan!D9/100/12</f>
        <v/>
      </c>
      <c r="W82">
        <f>MIN(Plan!E9,U82+V82)</f>
        <v/>
      </c>
      <c r="X82">
        <f>U82+V82-W82</f>
        <v/>
      </c>
      <c r="Y82">
        <f>MIN(X82,MAX(0,$B82-((E$5&lt;W$5)*F82+(K$5&lt;W$5)*L82+(Q$5&lt;W$5)*R82+(AC$5&lt;W$5)*AD82+(AI$5&lt;W$5)*AJ82+(AO$5&lt;W$5)*AP82+(AU$5&lt;W$5)*AV82)))</f>
        <v/>
      </c>
      <c r="Z82">
        <f>IF(X82-Y82&lt;0.005,0,X82-Y82)</f>
        <v/>
      </c>
      <c r="AA82">
        <f>AF81</f>
        <v/>
      </c>
      <c r="AB82">
        <f>AA82*Plan!D10/100/12</f>
        <v/>
      </c>
      <c r="AC82">
        <f>MIN(Plan!E10,AA82+AB82)</f>
        <v/>
      </c>
      <c r="AD82">
        <f>AA82+AB82-AC82</f>
        <v/>
      </c>
      <c r="AE82">
        <f>MIN(AD82,MAX(0,$B82-((E$5&lt;AC$5)*F82+(K$5&lt;AC$5)*L82+(Q$5&lt;AC$5)*R82+(W$5&lt;AC$5)*X82+(AI$5&lt;AC$5)*AJ82+(AO$5&lt;AC$5)*AP82+(AU$5&lt;AC$5)*AV82)))</f>
        <v/>
      </c>
      <c r="AF82">
        <f>IF(AD82-AE82&lt;0.005,0,AD82-AE82)</f>
        <v/>
      </c>
      <c r="AG82">
        <f>AL81</f>
        <v/>
      </c>
      <c r="AH82">
        <f>AG82*Plan!D11/100/12</f>
        <v/>
      </c>
      <c r="AI82">
        <f>MIN(Plan!E11,AG82+AH82)</f>
        <v/>
      </c>
      <c r="AJ82">
        <f>AG82+AH82-AI82</f>
        <v/>
      </c>
      <c r="AK82">
        <f>MIN(AJ82,MAX(0,$B82-((E$5&lt;AI$5)*F82+(K$5&lt;AI$5)*L82+(Q$5&lt;AI$5)*R82+(W$5&lt;AI$5)*X82+(AC$5&lt;AI$5)*AD82+(AO$5&lt;AI$5)*AP82+(AU$5&lt;AI$5)*AV82)))</f>
        <v/>
      </c>
      <c r="AL82">
        <f>IF(AJ82-AK82&lt;0.005,0,AJ82-AK82)</f>
        <v/>
      </c>
      <c r="AM82">
        <f>AR81</f>
        <v/>
      </c>
      <c r="AN82">
        <f>AM82*Plan!D12/100/12</f>
        <v/>
      </c>
      <c r="AO82">
        <f>MIN(Plan!E12,AM82+AN82)</f>
        <v/>
      </c>
      <c r="AP82">
        <f>AM82+AN82-AO82</f>
        <v/>
      </c>
      <c r="AQ82">
        <f>MIN(AP82,MAX(0,$B82-((E$5&lt;AO$5)*F82+(K$5&lt;AO$5)*L82+(Q$5&lt;AO$5)*R82+(W$5&lt;AO$5)*X82+(AC$5&lt;AO$5)*AD82+(AI$5&lt;AO$5)*AJ82+(AU$5&lt;AO$5)*AV82)))</f>
        <v/>
      </c>
      <c r="AR82">
        <f>IF(AP82-AQ82&lt;0.005,0,AP82-AQ82)</f>
        <v/>
      </c>
      <c r="AS82">
        <f>AX81</f>
        <v/>
      </c>
      <c r="AT82">
        <f>AS82*Plan!D13/100/12</f>
        <v/>
      </c>
      <c r="AU82">
        <f>MIN(Plan!E13,AS82+AT82)</f>
        <v/>
      </c>
      <c r="AV82">
        <f>AS82+AT82-AU82</f>
        <v/>
      </c>
      <c r="AW82">
        <f>MIN(AV82,MAX(0,$B82-((E$5&lt;AU$5)*F82+(K$5&lt;AU$5)*L82+(Q$5&lt;AU$5)*R82+(W$5&lt;AU$5)*X82+(AC$5&lt;AU$5)*AD82+(AI$5&lt;AU$5)*AJ82+(AO$5&lt;AU$5)*AP82)))</f>
        <v/>
      </c>
      <c r="AX82">
        <f>IF(AV82-AW82&lt;0.005,0,AV82-AW82)</f>
        <v/>
      </c>
      <c r="BC82">
        <f>H82+N82+T82+Z82+AF82+AL82+AR82+AX82</f>
        <v/>
      </c>
    </row>
    <row r="83">
      <c r="A83" t="n">
        <v>77</v>
      </c>
      <c r="B83" s="19">
        <f>MAX(0,$B$3-(E83+K83+Q83+W83+AC83+AI83+AO83+AU83))</f>
        <v/>
      </c>
      <c r="C83">
        <f>H82</f>
        <v/>
      </c>
      <c r="D83">
        <f>C83*Plan!D6/100/12</f>
        <v/>
      </c>
      <c r="E83">
        <f>MIN(Plan!E6,C83+D83)</f>
        <v/>
      </c>
      <c r="F83">
        <f>C83+D83-E83</f>
        <v/>
      </c>
      <c r="G83">
        <f>MIN(F83,MAX(0,$B83-((K$5&lt;E$5)*L83+(Q$5&lt;E$5)*R83+(W$5&lt;E$5)*X83+(AC$5&lt;E$5)*AD83+(AI$5&lt;E$5)*AJ83+(AO$5&lt;E$5)*AP83+(AU$5&lt;E$5)*AV83)))</f>
        <v/>
      </c>
      <c r="H83">
        <f>IF(F83-G83&lt;0.005,0,F83-G83)</f>
        <v/>
      </c>
      <c r="I83">
        <f>N82</f>
        <v/>
      </c>
      <c r="J83">
        <f>I83*Plan!D7/100/12</f>
        <v/>
      </c>
      <c r="K83">
        <f>MIN(Plan!E7,I83+J83)</f>
        <v/>
      </c>
      <c r="L83">
        <f>I83+J83-K83</f>
        <v/>
      </c>
      <c r="M83">
        <f>MIN(L83,MAX(0,$B83-((E$5&lt;K$5)*F83+(Q$5&lt;K$5)*R83+(W$5&lt;K$5)*X83+(AC$5&lt;K$5)*AD83+(AI$5&lt;K$5)*AJ83+(AO$5&lt;K$5)*AP83+(AU$5&lt;K$5)*AV83)))</f>
        <v/>
      </c>
      <c r="N83">
        <f>IF(L83-M83&lt;0.005,0,L83-M83)</f>
        <v/>
      </c>
      <c r="O83">
        <f>T82</f>
        <v/>
      </c>
      <c r="P83">
        <f>O83*Plan!D8/100/12</f>
        <v/>
      </c>
      <c r="Q83">
        <f>MIN(Plan!E8,O83+P83)</f>
        <v/>
      </c>
      <c r="R83">
        <f>O83+P83-Q83</f>
        <v/>
      </c>
      <c r="S83">
        <f>MIN(R83,MAX(0,$B83-((E$5&lt;Q$5)*F83+(K$5&lt;Q$5)*L83+(W$5&lt;Q$5)*X83+(AC$5&lt;Q$5)*AD83+(AI$5&lt;Q$5)*AJ83+(AO$5&lt;Q$5)*AP83+(AU$5&lt;Q$5)*AV83)))</f>
        <v/>
      </c>
      <c r="T83">
        <f>IF(R83-S83&lt;0.005,0,R83-S83)</f>
        <v/>
      </c>
      <c r="U83">
        <f>Z82</f>
        <v/>
      </c>
      <c r="V83">
        <f>U83*Plan!D9/100/12</f>
        <v/>
      </c>
      <c r="W83">
        <f>MIN(Plan!E9,U83+V83)</f>
        <v/>
      </c>
      <c r="X83">
        <f>U83+V83-W83</f>
        <v/>
      </c>
      <c r="Y83">
        <f>MIN(X83,MAX(0,$B83-((E$5&lt;W$5)*F83+(K$5&lt;W$5)*L83+(Q$5&lt;W$5)*R83+(AC$5&lt;W$5)*AD83+(AI$5&lt;W$5)*AJ83+(AO$5&lt;W$5)*AP83+(AU$5&lt;W$5)*AV83)))</f>
        <v/>
      </c>
      <c r="Z83">
        <f>IF(X83-Y83&lt;0.005,0,X83-Y83)</f>
        <v/>
      </c>
      <c r="AA83">
        <f>AF82</f>
        <v/>
      </c>
      <c r="AB83">
        <f>AA83*Plan!D10/100/12</f>
        <v/>
      </c>
      <c r="AC83">
        <f>MIN(Plan!E10,AA83+AB83)</f>
        <v/>
      </c>
      <c r="AD83">
        <f>AA83+AB83-AC83</f>
        <v/>
      </c>
      <c r="AE83">
        <f>MIN(AD83,MAX(0,$B83-((E$5&lt;AC$5)*F83+(K$5&lt;AC$5)*L83+(Q$5&lt;AC$5)*R83+(W$5&lt;AC$5)*X83+(AI$5&lt;AC$5)*AJ83+(AO$5&lt;AC$5)*AP83+(AU$5&lt;AC$5)*AV83)))</f>
        <v/>
      </c>
      <c r="AF83">
        <f>IF(AD83-AE83&lt;0.005,0,AD83-AE83)</f>
        <v/>
      </c>
      <c r="AG83">
        <f>AL82</f>
        <v/>
      </c>
      <c r="AH83">
        <f>AG83*Plan!D11/100/12</f>
        <v/>
      </c>
      <c r="AI83">
        <f>MIN(Plan!E11,AG83+AH83)</f>
        <v/>
      </c>
      <c r="AJ83">
        <f>AG83+AH83-AI83</f>
        <v/>
      </c>
      <c r="AK83">
        <f>MIN(AJ83,MAX(0,$B83-((E$5&lt;AI$5)*F83+(K$5&lt;AI$5)*L83+(Q$5&lt;AI$5)*R83+(W$5&lt;AI$5)*X83+(AC$5&lt;AI$5)*AD83+(AO$5&lt;AI$5)*AP83+(AU$5&lt;AI$5)*AV83)))</f>
        <v/>
      </c>
      <c r="AL83">
        <f>IF(AJ83-AK83&lt;0.005,0,AJ83-AK83)</f>
        <v/>
      </c>
      <c r="AM83">
        <f>AR82</f>
        <v/>
      </c>
      <c r="AN83">
        <f>AM83*Plan!D12/100/12</f>
        <v/>
      </c>
      <c r="AO83">
        <f>MIN(Plan!E12,AM83+AN83)</f>
        <v/>
      </c>
      <c r="AP83">
        <f>AM83+AN83-AO83</f>
        <v/>
      </c>
      <c r="AQ83">
        <f>MIN(AP83,MAX(0,$B83-((E$5&lt;AO$5)*F83+(K$5&lt;AO$5)*L83+(Q$5&lt;AO$5)*R83+(W$5&lt;AO$5)*X83+(AC$5&lt;AO$5)*AD83+(AI$5&lt;AO$5)*AJ83+(AU$5&lt;AO$5)*AV83)))</f>
        <v/>
      </c>
      <c r="AR83">
        <f>IF(AP83-AQ83&lt;0.005,0,AP83-AQ83)</f>
        <v/>
      </c>
      <c r="AS83">
        <f>AX82</f>
        <v/>
      </c>
      <c r="AT83">
        <f>AS83*Plan!D13/100/12</f>
        <v/>
      </c>
      <c r="AU83">
        <f>MIN(Plan!E13,AS83+AT83)</f>
        <v/>
      </c>
      <c r="AV83">
        <f>AS83+AT83-AU83</f>
        <v/>
      </c>
      <c r="AW83">
        <f>MIN(AV83,MAX(0,$B83-((E$5&lt;AU$5)*F83+(K$5&lt;AU$5)*L83+(Q$5&lt;AU$5)*R83+(W$5&lt;AU$5)*X83+(AC$5&lt;AU$5)*AD83+(AI$5&lt;AU$5)*AJ83+(AO$5&lt;AU$5)*AP83)))</f>
        <v/>
      </c>
      <c r="AX83">
        <f>IF(AV83-AW83&lt;0.005,0,AV83-AW83)</f>
        <v/>
      </c>
      <c r="BC83">
        <f>H83+N83+T83+Z83+AF83+AL83+AR83+AX83</f>
        <v/>
      </c>
    </row>
    <row r="84">
      <c r="A84" t="n">
        <v>78</v>
      </c>
      <c r="B84" s="19">
        <f>MAX(0,$B$3-(E84+K84+Q84+W84+AC84+AI84+AO84+AU84))</f>
        <v/>
      </c>
      <c r="C84">
        <f>H83</f>
        <v/>
      </c>
      <c r="D84">
        <f>C84*Plan!D6/100/12</f>
        <v/>
      </c>
      <c r="E84">
        <f>MIN(Plan!E6,C84+D84)</f>
        <v/>
      </c>
      <c r="F84">
        <f>C84+D84-E84</f>
        <v/>
      </c>
      <c r="G84">
        <f>MIN(F84,MAX(0,$B84-((K$5&lt;E$5)*L84+(Q$5&lt;E$5)*R84+(W$5&lt;E$5)*X84+(AC$5&lt;E$5)*AD84+(AI$5&lt;E$5)*AJ84+(AO$5&lt;E$5)*AP84+(AU$5&lt;E$5)*AV84)))</f>
        <v/>
      </c>
      <c r="H84">
        <f>IF(F84-G84&lt;0.005,0,F84-G84)</f>
        <v/>
      </c>
      <c r="I84">
        <f>N83</f>
        <v/>
      </c>
      <c r="J84">
        <f>I84*Plan!D7/100/12</f>
        <v/>
      </c>
      <c r="K84">
        <f>MIN(Plan!E7,I84+J84)</f>
        <v/>
      </c>
      <c r="L84">
        <f>I84+J84-K84</f>
        <v/>
      </c>
      <c r="M84">
        <f>MIN(L84,MAX(0,$B84-((E$5&lt;K$5)*F84+(Q$5&lt;K$5)*R84+(W$5&lt;K$5)*X84+(AC$5&lt;K$5)*AD84+(AI$5&lt;K$5)*AJ84+(AO$5&lt;K$5)*AP84+(AU$5&lt;K$5)*AV84)))</f>
        <v/>
      </c>
      <c r="N84">
        <f>IF(L84-M84&lt;0.005,0,L84-M84)</f>
        <v/>
      </c>
      <c r="O84">
        <f>T83</f>
        <v/>
      </c>
      <c r="P84">
        <f>O84*Plan!D8/100/12</f>
        <v/>
      </c>
      <c r="Q84">
        <f>MIN(Plan!E8,O84+P84)</f>
        <v/>
      </c>
      <c r="R84">
        <f>O84+P84-Q84</f>
        <v/>
      </c>
      <c r="S84">
        <f>MIN(R84,MAX(0,$B84-((E$5&lt;Q$5)*F84+(K$5&lt;Q$5)*L84+(W$5&lt;Q$5)*X84+(AC$5&lt;Q$5)*AD84+(AI$5&lt;Q$5)*AJ84+(AO$5&lt;Q$5)*AP84+(AU$5&lt;Q$5)*AV84)))</f>
        <v/>
      </c>
      <c r="T84">
        <f>IF(R84-S84&lt;0.005,0,R84-S84)</f>
        <v/>
      </c>
      <c r="U84">
        <f>Z83</f>
        <v/>
      </c>
      <c r="V84">
        <f>U84*Plan!D9/100/12</f>
        <v/>
      </c>
      <c r="W84">
        <f>MIN(Plan!E9,U84+V84)</f>
        <v/>
      </c>
      <c r="X84">
        <f>U84+V84-W84</f>
        <v/>
      </c>
      <c r="Y84">
        <f>MIN(X84,MAX(0,$B84-((E$5&lt;W$5)*F84+(K$5&lt;W$5)*L84+(Q$5&lt;W$5)*R84+(AC$5&lt;W$5)*AD84+(AI$5&lt;W$5)*AJ84+(AO$5&lt;W$5)*AP84+(AU$5&lt;W$5)*AV84)))</f>
        <v/>
      </c>
      <c r="Z84">
        <f>IF(X84-Y84&lt;0.005,0,X84-Y84)</f>
        <v/>
      </c>
      <c r="AA84">
        <f>AF83</f>
        <v/>
      </c>
      <c r="AB84">
        <f>AA84*Plan!D10/100/12</f>
        <v/>
      </c>
      <c r="AC84">
        <f>MIN(Plan!E10,AA84+AB84)</f>
        <v/>
      </c>
      <c r="AD84">
        <f>AA84+AB84-AC84</f>
        <v/>
      </c>
      <c r="AE84">
        <f>MIN(AD84,MAX(0,$B84-((E$5&lt;AC$5)*F84+(K$5&lt;AC$5)*L84+(Q$5&lt;AC$5)*R84+(W$5&lt;AC$5)*X84+(AI$5&lt;AC$5)*AJ84+(AO$5&lt;AC$5)*AP84+(AU$5&lt;AC$5)*AV84)))</f>
        <v/>
      </c>
      <c r="AF84">
        <f>IF(AD84-AE84&lt;0.005,0,AD84-AE84)</f>
        <v/>
      </c>
      <c r="AG84">
        <f>AL83</f>
        <v/>
      </c>
      <c r="AH84">
        <f>AG84*Plan!D11/100/12</f>
        <v/>
      </c>
      <c r="AI84">
        <f>MIN(Plan!E11,AG84+AH84)</f>
        <v/>
      </c>
      <c r="AJ84">
        <f>AG84+AH84-AI84</f>
        <v/>
      </c>
      <c r="AK84">
        <f>MIN(AJ84,MAX(0,$B84-((E$5&lt;AI$5)*F84+(K$5&lt;AI$5)*L84+(Q$5&lt;AI$5)*R84+(W$5&lt;AI$5)*X84+(AC$5&lt;AI$5)*AD84+(AO$5&lt;AI$5)*AP84+(AU$5&lt;AI$5)*AV84)))</f>
        <v/>
      </c>
      <c r="AL84">
        <f>IF(AJ84-AK84&lt;0.005,0,AJ84-AK84)</f>
        <v/>
      </c>
      <c r="AM84">
        <f>AR83</f>
        <v/>
      </c>
      <c r="AN84">
        <f>AM84*Plan!D12/100/12</f>
        <v/>
      </c>
      <c r="AO84">
        <f>MIN(Plan!E12,AM84+AN84)</f>
        <v/>
      </c>
      <c r="AP84">
        <f>AM84+AN84-AO84</f>
        <v/>
      </c>
      <c r="AQ84">
        <f>MIN(AP84,MAX(0,$B84-((E$5&lt;AO$5)*F84+(K$5&lt;AO$5)*L84+(Q$5&lt;AO$5)*R84+(W$5&lt;AO$5)*X84+(AC$5&lt;AO$5)*AD84+(AI$5&lt;AO$5)*AJ84+(AU$5&lt;AO$5)*AV84)))</f>
        <v/>
      </c>
      <c r="AR84">
        <f>IF(AP84-AQ84&lt;0.005,0,AP84-AQ84)</f>
        <v/>
      </c>
      <c r="AS84">
        <f>AX83</f>
        <v/>
      </c>
      <c r="AT84">
        <f>AS84*Plan!D13/100/12</f>
        <v/>
      </c>
      <c r="AU84">
        <f>MIN(Plan!E13,AS84+AT84)</f>
        <v/>
      </c>
      <c r="AV84">
        <f>AS84+AT84-AU84</f>
        <v/>
      </c>
      <c r="AW84">
        <f>MIN(AV84,MAX(0,$B84-((E$5&lt;AU$5)*F84+(K$5&lt;AU$5)*L84+(Q$5&lt;AU$5)*R84+(W$5&lt;AU$5)*X84+(AC$5&lt;AU$5)*AD84+(AI$5&lt;AU$5)*AJ84+(AO$5&lt;AU$5)*AP84)))</f>
        <v/>
      </c>
      <c r="AX84">
        <f>IF(AV84-AW84&lt;0.005,0,AV84-AW84)</f>
        <v/>
      </c>
      <c r="BC84">
        <f>H84+N84+T84+Z84+AF84+AL84+AR84+AX84</f>
        <v/>
      </c>
    </row>
    <row r="85">
      <c r="A85" t="n">
        <v>79</v>
      </c>
      <c r="B85" s="19">
        <f>MAX(0,$B$3-(E85+K85+Q85+W85+AC85+AI85+AO85+AU85))</f>
        <v/>
      </c>
      <c r="C85">
        <f>H84</f>
        <v/>
      </c>
      <c r="D85">
        <f>C85*Plan!D6/100/12</f>
        <v/>
      </c>
      <c r="E85">
        <f>MIN(Plan!E6,C85+D85)</f>
        <v/>
      </c>
      <c r="F85">
        <f>C85+D85-E85</f>
        <v/>
      </c>
      <c r="G85">
        <f>MIN(F85,MAX(0,$B85-((K$5&lt;E$5)*L85+(Q$5&lt;E$5)*R85+(W$5&lt;E$5)*X85+(AC$5&lt;E$5)*AD85+(AI$5&lt;E$5)*AJ85+(AO$5&lt;E$5)*AP85+(AU$5&lt;E$5)*AV85)))</f>
        <v/>
      </c>
      <c r="H85">
        <f>IF(F85-G85&lt;0.005,0,F85-G85)</f>
        <v/>
      </c>
      <c r="I85">
        <f>N84</f>
        <v/>
      </c>
      <c r="J85">
        <f>I85*Plan!D7/100/12</f>
        <v/>
      </c>
      <c r="K85">
        <f>MIN(Plan!E7,I85+J85)</f>
        <v/>
      </c>
      <c r="L85">
        <f>I85+J85-K85</f>
        <v/>
      </c>
      <c r="M85">
        <f>MIN(L85,MAX(0,$B85-((E$5&lt;K$5)*F85+(Q$5&lt;K$5)*R85+(W$5&lt;K$5)*X85+(AC$5&lt;K$5)*AD85+(AI$5&lt;K$5)*AJ85+(AO$5&lt;K$5)*AP85+(AU$5&lt;K$5)*AV85)))</f>
        <v/>
      </c>
      <c r="N85">
        <f>IF(L85-M85&lt;0.005,0,L85-M85)</f>
        <v/>
      </c>
      <c r="O85">
        <f>T84</f>
        <v/>
      </c>
      <c r="P85">
        <f>O85*Plan!D8/100/12</f>
        <v/>
      </c>
      <c r="Q85">
        <f>MIN(Plan!E8,O85+P85)</f>
        <v/>
      </c>
      <c r="R85">
        <f>O85+P85-Q85</f>
        <v/>
      </c>
      <c r="S85">
        <f>MIN(R85,MAX(0,$B85-((E$5&lt;Q$5)*F85+(K$5&lt;Q$5)*L85+(W$5&lt;Q$5)*X85+(AC$5&lt;Q$5)*AD85+(AI$5&lt;Q$5)*AJ85+(AO$5&lt;Q$5)*AP85+(AU$5&lt;Q$5)*AV85)))</f>
        <v/>
      </c>
      <c r="T85">
        <f>IF(R85-S85&lt;0.005,0,R85-S85)</f>
        <v/>
      </c>
      <c r="U85">
        <f>Z84</f>
        <v/>
      </c>
      <c r="V85">
        <f>U85*Plan!D9/100/12</f>
        <v/>
      </c>
      <c r="W85">
        <f>MIN(Plan!E9,U85+V85)</f>
        <v/>
      </c>
      <c r="X85">
        <f>U85+V85-W85</f>
        <v/>
      </c>
      <c r="Y85">
        <f>MIN(X85,MAX(0,$B85-((E$5&lt;W$5)*F85+(K$5&lt;W$5)*L85+(Q$5&lt;W$5)*R85+(AC$5&lt;W$5)*AD85+(AI$5&lt;W$5)*AJ85+(AO$5&lt;W$5)*AP85+(AU$5&lt;W$5)*AV85)))</f>
        <v/>
      </c>
      <c r="Z85">
        <f>IF(X85-Y85&lt;0.005,0,X85-Y85)</f>
        <v/>
      </c>
      <c r="AA85">
        <f>AF84</f>
        <v/>
      </c>
      <c r="AB85">
        <f>AA85*Plan!D10/100/12</f>
        <v/>
      </c>
      <c r="AC85">
        <f>MIN(Plan!E10,AA85+AB85)</f>
        <v/>
      </c>
      <c r="AD85">
        <f>AA85+AB85-AC85</f>
        <v/>
      </c>
      <c r="AE85">
        <f>MIN(AD85,MAX(0,$B85-((E$5&lt;AC$5)*F85+(K$5&lt;AC$5)*L85+(Q$5&lt;AC$5)*R85+(W$5&lt;AC$5)*X85+(AI$5&lt;AC$5)*AJ85+(AO$5&lt;AC$5)*AP85+(AU$5&lt;AC$5)*AV85)))</f>
        <v/>
      </c>
      <c r="AF85">
        <f>IF(AD85-AE85&lt;0.005,0,AD85-AE85)</f>
        <v/>
      </c>
      <c r="AG85">
        <f>AL84</f>
        <v/>
      </c>
      <c r="AH85">
        <f>AG85*Plan!D11/100/12</f>
        <v/>
      </c>
      <c r="AI85">
        <f>MIN(Plan!E11,AG85+AH85)</f>
        <v/>
      </c>
      <c r="AJ85">
        <f>AG85+AH85-AI85</f>
        <v/>
      </c>
      <c r="AK85">
        <f>MIN(AJ85,MAX(0,$B85-((E$5&lt;AI$5)*F85+(K$5&lt;AI$5)*L85+(Q$5&lt;AI$5)*R85+(W$5&lt;AI$5)*X85+(AC$5&lt;AI$5)*AD85+(AO$5&lt;AI$5)*AP85+(AU$5&lt;AI$5)*AV85)))</f>
        <v/>
      </c>
      <c r="AL85">
        <f>IF(AJ85-AK85&lt;0.005,0,AJ85-AK85)</f>
        <v/>
      </c>
      <c r="AM85">
        <f>AR84</f>
        <v/>
      </c>
      <c r="AN85">
        <f>AM85*Plan!D12/100/12</f>
        <v/>
      </c>
      <c r="AO85">
        <f>MIN(Plan!E12,AM85+AN85)</f>
        <v/>
      </c>
      <c r="AP85">
        <f>AM85+AN85-AO85</f>
        <v/>
      </c>
      <c r="AQ85">
        <f>MIN(AP85,MAX(0,$B85-((E$5&lt;AO$5)*F85+(K$5&lt;AO$5)*L85+(Q$5&lt;AO$5)*R85+(W$5&lt;AO$5)*X85+(AC$5&lt;AO$5)*AD85+(AI$5&lt;AO$5)*AJ85+(AU$5&lt;AO$5)*AV85)))</f>
        <v/>
      </c>
      <c r="AR85">
        <f>IF(AP85-AQ85&lt;0.005,0,AP85-AQ85)</f>
        <v/>
      </c>
      <c r="AS85">
        <f>AX84</f>
        <v/>
      </c>
      <c r="AT85">
        <f>AS85*Plan!D13/100/12</f>
        <v/>
      </c>
      <c r="AU85">
        <f>MIN(Plan!E13,AS85+AT85)</f>
        <v/>
      </c>
      <c r="AV85">
        <f>AS85+AT85-AU85</f>
        <v/>
      </c>
      <c r="AW85">
        <f>MIN(AV85,MAX(0,$B85-((E$5&lt;AU$5)*F85+(K$5&lt;AU$5)*L85+(Q$5&lt;AU$5)*R85+(W$5&lt;AU$5)*X85+(AC$5&lt;AU$5)*AD85+(AI$5&lt;AU$5)*AJ85+(AO$5&lt;AU$5)*AP85)))</f>
        <v/>
      </c>
      <c r="AX85">
        <f>IF(AV85-AW85&lt;0.005,0,AV85-AW85)</f>
        <v/>
      </c>
      <c r="BC85">
        <f>H85+N85+T85+Z85+AF85+AL85+AR85+AX85</f>
        <v/>
      </c>
    </row>
    <row r="86">
      <c r="A86" t="n">
        <v>80</v>
      </c>
      <c r="B86" s="19">
        <f>MAX(0,$B$3-(E86+K86+Q86+W86+AC86+AI86+AO86+AU86))</f>
        <v/>
      </c>
      <c r="C86">
        <f>H85</f>
        <v/>
      </c>
      <c r="D86">
        <f>C86*Plan!D6/100/12</f>
        <v/>
      </c>
      <c r="E86">
        <f>MIN(Plan!E6,C86+D86)</f>
        <v/>
      </c>
      <c r="F86">
        <f>C86+D86-E86</f>
        <v/>
      </c>
      <c r="G86">
        <f>MIN(F86,MAX(0,$B86-((K$5&lt;E$5)*L86+(Q$5&lt;E$5)*R86+(W$5&lt;E$5)*X86+(AC$5&lt;E$5)*AD86+(AI$5&lt;E$5)*AJ86+(AO$5&lt;E$5)*AP86+(AU$5&lt;E$5)*AV86)))</f>
        <v/>
      </c>
      <c r="H86">
        <f>IF(F86-G86&lt;0.005,0,F86-G86)</f>
        <v/>
      </c>
      <c r="I86">
        <f>N85</f>
        <v/>
      </c>
      <c r="J86">
        <f>I86*Plan!D7/100/12</f>
        <v/>
      </c>
      <c r="K86">
        <f>MIN(Plan!E7,I86+J86)</f>
        <v/>
      </c>
      <c r="L86">
        <f>I86+J86-K86</f>
        <v/>
      </c>
      <c r="M86">
        <f>MIN(L86,MAX(0,$B86-((E$5&lt;K$5)*F86+(Q$5&lt;K$5)*R86+(W$5&lt;K$5)*X86+(AC$5&lt;K$5)*AD86+(AI$5&lt;K$5)*AJ86+(AO$5&lt;K$5)*AP86+(AU$5&lt;K$5)*AV86)))</f>
        <v/>
      </c>
      <c r="N86">
        <f>IF(L86-M86&lt;0.005,0,L86-M86)</f>
        <v/>
      </c>
      <c r="O86">
        <f>T85</f>
        <v/>
      </c>
      <c r="P86">
        <f>O86*Plan!D8/100/12</f>
        <v/>
      </c>
      <c r="Q86">
        <f>MIN(Plan!E8,O86+P86)</f>
        <v/>
      </c>
      <c r="R86">
        <f>O86+P86-Q86</f>
        <v/>
      </c>
      <c r="S86">
        <f>MIN(R86,MAX(0,$B86-((E$5&lt;Q$5)*F86+(K$5&lt;Q$5)*L86+(W$5&lt;Q$5)*X86+(AC$5&lt;Q$5)*AD86+(AI$5&lt;Q$5)*AJ86+(AO$5&lt;Q$5)*AP86+(AU$5&lt;Q$5)*AV86)))</f>
        <v/>
      </c>
      <c r="T86">
        <f>IF(R86-S86&lt;0.005,0,R86-S86)</f>
        <v/>
      </c>
      <c r="U86">
        <f>Z85</f>
        <v/>
      </c>
      <c r="V86">
        <f>U86*Plan!D9/100/12</f>
        <v/>
      </c>
      <c r="W86">
        <f>MIN(Plan!E9,U86+V86)</f>
        <v/>
      </c>
      <c r="X86">
        <f>U86+V86-W86</f>
        <v/>
      </c>
      <c r="Y86">
        <f>MIN(X86,MAX(0,$B86-((E$5&lt;W$5)*F86+(K$5&lt;W$5)*L86+(Q$5&lt;W$5)*R86+(AC$5&lt;W$5)*AD86+(AI$5&lt;W$5)*AJ86+(AO$5&lt;W$5)*AP86+(AU$5&lt;W$5)*AV86)))</f>
        <v/>
      </c>
      <c r="Z86">
        <f>IF(X86-Y86&lt;0.005,0,X86-Y86)</f>
        <v/>
      </c>
      <c r="AA86">
        <f>AF85</f>
        <v/>
      </c>
      <c r="AB86">
        <f>AA86*Plan!D10/100/12</f>
        <v/>
      </c>
      <c r="AC86">
        <f>MIN(Plan!E10,AA86+AB86)</f>
        <v/>
      </c>
      <c r="AD86">
        <f>AA86+AB86-AC86</f>
        <v/>
      </c>
      <c r="AE86">
        <f>MIN(AD86,MAX(0,$B86-((E$5&lt;AC$5)*F86+(K$5&lt;AC$5)*L86+(Q$5&lt;AC$5)*R86+(W$5&lt;AC$5)*X86+(AI$5&lt;AC$5)*AJ86+(AO$5&lt;AC$5)*AP86+(AU$5&lt;AC$5)*AV86)))</f>
        <v/>
      </c>
      <c r="AF86">
        <f>IF(AD86-AE86&lt;0.005,0,AD86-AE86)</f>
        <v/>
      </c>
      <c r="AG86">
        <f>AL85</f>
        <v/>
      </c>
      <c r="AH86">
        <f>AG86*Plan!D11/100/12</f>
        <v/>
      </c>
      <c r="AI86">
        <f>MIN(Plan!E11,AG86+AH86)</f>
        <v/>
      </c>
      <c r="AJ86">
        <f>AG86+AH86-AI86</f>
        <v/>
      </c>
      <c r="AK86">
        <f>MIN(AJ86,MAX(0,$B86-((E$5&lt;AI$5)*F86+(K$5&lt;AI$5)*L86+(Q$5&lt;AI$5)*R86+(W$5&lt;AI$5)*X86+(AC$5&lt;AI$5)*AD86+(AO$5&lt;AI$5)*AP86+(AU$5&lt;AI$5)*AV86)))</f>
        <v/>
      </c>
      <c r="AL86">
        <f>IF(AJ86-AK86&lt;0.005,0,AJ86-AK86)</f>
        <v/>
      </c>
      <c r="AM86">
        <f>AR85</f>
        <v/>
      </c>
      <c r="AN86">
        <f>AM86*Plan!D12/100/12</f>
        <v/>
      </c>
      <c r="AO86">
        <f>MIN(Plan!E12,AM86+AN86)</f>
        <v/>
      </c>
      <c r="AP86">
        <f>AM86+AN86-AO86</f>
        <v/>
      </c>
      <c r="AQ86">
        <f>MIN(AP86,MAX(0,$B86-((E$5&lt;AO$5)*F86+(K$5&lt;AO$5)*L86+(Q$5&lt;AO$5)*R86+(W$5&lt;AO$5)*X86+(AC$5&lt;AO$5)*AD86+(AI$5&lt;AO$5)*AJ86+(AU$5&lt;AO$5)*AV86)))</f>
        <v/>
      </c>
      <c r="AR86">
        <f>IF(AP86-AQ86&lt;0.005,0,AP86-AQ86)</f>
        <v/>
      </c>
      <c r="AS86">
        <f>AX85</f>
        <v/>
      </c>
      <c r="AT86">
        <f>AS86*Plan!D13/100/12</f>
        <v/>
      </c>
      <c r="AU86">
        <f>MIN(Plan!E13,AS86+AT86)</f>
        <v/>
      </c>
      <c r="AV86">
        <f>AS86+AT86-AU86</f>
        <v/>
      </c>
      <c r="AW86">
        <f>MIN(AV86,MAX(0,$B86-((E$5&lt;AU$5)*F86+(K$5&lt;AU$5)*L86+(Q$5&lt;AU$5)*R86+(W$5&lt;AU$5)*X86+(AC$5&lt;AU$5)*AD86+(AI$5&lt;AU$5)*AJ86+(AO$5&lt;AU$5)*AP86)))</f>
        <v/>
      </c>
      <c r="AX86">
        <f>IF(AV86-AW86&lt;0.005,0,AV86-AW86)</f>
        <v/>
      </c>
      <c r="BC86">
        <f>H86+N86+T86+Z86+AF86+AL86+AR86+AX86</f>
        <v/>
      </c>
    </row>
    <row r="87">
      <c r="A87" t="n">
        <v>81</v>
      </c>
      <c r="B87" s="19">
        <f>MAX(0,$B$3-(E87+K87+Q87+W87+AC87+AI87+AO87+AU87))</f>
        <v/>
      </c>
      <c r="C87">
        <f>H86</f>
        <v/>
      </c>
      <c r="D87">
        <f>C87*Plan!D6/100/12</f>
        <v/>
      </c>
      <c r="E87">
        <f>MIN(Plan!E6,C87+D87)</f>
        <v/>
      </c>
      <c r="F87">
        <f>C87+D87-E87</f>
        <v/>
      </c>
      <c r="G87">
        <f>MIN(F87,MAX(0,$B87-((K$5&lt;E$5)*L87+(Q$5&lt;E$5)*R87+(W$5&lt;E$5)*X87+(AC$5&lt;E$5)*AD87+(AI$5&lt;E$5)*AJ87+(AO$5&lt;E$5)*AP87+(AU$5&lt;E$5)*AV87)))</f>
        <v/>
      </c>
      <c r="H87">
        <f>IF(F87-G87&lt;0.005,0,F87-G87)</f>
        <v/>
      </c>
      <c r="I87">
        <f>N86</f>
        <v/>
      </c>
      <c r="J87">
        <f>I87*Plan!D7/100/12</f>
        <v/>
      </c>
      <c r="K87">
        <f>MIN(Plan!E7,I87+J87)</f>
        <v/>
      </c>
      <c r="L87">
        <f>I87+J87-K87</f>
        <v/>
      </c>
      <c r="M87">
        <f>MIN(L87,MAX(0,$B87-((E$5&lt;K$5)*F87+(Q$5&lt;K$5)*R87+(W$5&lt;K$5)*X87+(AC$5&lt;K$5)*AD87+(AI$5&lt;K$5)*AJ87+(AO$5&lt;K$5)*AP87+(AU$5&lt;K$5)*AV87)))</f>
        <v/>
      </c>
      <c r="N87">
        <f>IF(L87-M87&lt;0.005,0,L87-M87)</f>
        <v/>
      </c>
      <c r="O87">
        <f>T86</f>
        <v/>
      </c>
      <c r="P87">
        <f>O87*Plan!D8/100/12</f>
        <v/>
      </c>
      <c r="Q87">
        <f>MIN(Plan!E8,O87+P87)</f>
        <v/>
      </c>
      <c r="R87">
        <f>O87+P87-Q87</f>
        <v/>
      </c>
      <c r="S87">
        <f>MIN(R87,MAX(0,$B87-((E$5&lt;Q$5)*F87+(K$5&lt;Q$5)*L87+(W$5&lt;Q$5)*X87+(AC$5&lt;Q$5)*AD87+(AI$5&lt;Q$5)*AJ87+(AO$5&lt;Q$5)*AP87+(AU$5&lt;Q$5)*AV87)))</f>
        <v/>
      </c>
      <c r="T87">
        <f>IF(R87-S87&lt;0.005,0,R87-S87)</f>
        <v/>
      </c>
      <c r="U87">
        <f>Z86</f>
        <v/>
      </c>
      <c r="V87">
        <f>U87*Plan!D9/100/12</f>
        <v/>
      </c>
      <c r="W87">
        <f>MIN(Plan!E9,U87+V87)</f>
        <v/>
      </c>
      <c r="X87">
        <f>U87+V87-W87</f>
        <v/>
      </c>
      <c r="Y87">
        <f>MIN(X87,MAX(0,$B87-((E$5&lt;W$5)*F87+(K$5&lt;W$5)*L87+(Q$5&lt;W$5)*R87+(AC$5&lt;W$5)*AD87+(AI$5&lt;W$5)*AJ87+(AO$5&lt;W$5)*AP87+(AU$5&lt;W$5)*AV87)))</f>
        <v/>
      </c>
      <c r="Z87">
        <f>IF(X87-Y87&lt;0.005,0,X87-Y87)</f>
        <v/>
      </c>
      <c r="AA87">
        <f>AF86</f>
        <v/>
      </c>
      <c r="AB87">
        <f>AA87*Plan!D10/100/12</f>
        <v/>
      </c>
      <c r="AC87">
        <f>MIN(Plan!E10,AA87+AB87)</f>
        <v/>
      </c>
      <c r="AD87">
        <f>AA87+AB87-AC87</f>
        <v/>
      </c>
      <c r="AE87">
        <f>MIN(AD87,MAX(0,$B87-((E$5&lt;AC$5)*F87+(K$5&lt;AC$5)*L87+(Q$5&lt;AC$5)*R87+(W$5&lt;AC$5)*X87+(AI$5&lt;AC$5)*AJ87+(AO$5&lt;AC$5)*AP87+(AU$5&lt;AC$5)*AV87)))</f>
        <v/>
      </c>
      <c r="AF87">
        <f>IF(AD87-AE87&lt;0.005,0,AD87-AE87)</f>
        <v/>
      </c>
      <c r="AG87">
        <f>AL86</f>
        <v/>
      </c>
      <c r="AH87">
        <f>AG87*Plan!D11/100/12</f>
        <v/>
      </c>
      <c r="AI87">
        <f>MIN(Plan!E11,AG87+AH87)</f>
        <v/>
      </c>
      <c r="AJ87">
        <f>AG87+AH87-AI87</f>
        <v/>
      </c>
      <c r="AK87">
        <f>MIN(AJ87,MAX(0,$B87-((E$5&lt;AI$5)*F87+(K$5&lt;AI$5)*L87+(Q$5&lt;AI$5)*R87+(W$5&lt;AI$5)*X87+(AC$5&lt;AI$5)*AD87+(AO$5&lt;AI$5)*AP87+(AU$5&lt;AI$5)*AV87)))</f>
        <v/>
      </c>
      <c r="AL87">
        <f>IF(AJ87-AK87&lt;0.005,0,AJ87-AK87)</f>
        <v/>
      </c>
      <c r="AM87">
        <f>AR86</f>
        <v/>
      </c>
      <c r="AN87">
        <f>AM87*Plan!D12/100/12</f>
        <v/>
      </c>
      <c r="AO87">
        <f>MIN(Plan!E12,AM87+AN87)</f>
        <v/>
      </c>
      <c r="AP87">
        <f>AM87+AN87-AO87</f>
        <v/>
      </c>
      <c r="AQ87">
        <f>MIN(AP87,MAX(0,$B87-((E$5&lt;AO$5)*F87+(K$5&lt;AO$5)*L87+(Q$5&lt;AO$5)*R87+(W$5&lt;AO$5)*X87+(AC$5&lt;AO$5)*AD87+(AI$5&lt;AO$5)*AJ87+(AU$5&lt;AO$5)*AV87)))</f>
        <v/>
      </c>
      <c r="AR87">
        <f>IF(AP87-AQ87&lt;0.005,0,AP87-AQ87)</f>
        <v/>
      </c>
      <c r="AS87">
        <f>AX86</f>
        <v/>
      </c>
      <c r="AT87">
        <f>AS87*Plan!D13/100/12</f>
        <v/>
      </c>
      <c r="AU87">
        <f>MIN(Plan!E13,AS87+AT87)</f>
        <v/>
      </c>
      <c r="AV87">
        <f>AS87+AT87-AU87</f>
        <v/>
      </c>
      <c r="AW87">
        <f>MIN(AV87,MAX(0,$B87-((E$5&lt;AU$5)*F87+(K$5&lt;AU$5)*L87+(Q$5&lt;AU$5)*R87+(W$5&lt;AU$5)*X87+(AC$5&lt;AU$5)*AD87+(AI$5&lt;AU$5)*AJ87+(AO$5&lt;AU$5)*AP87)))</f>
        <v/>
      </c>
      <c r="AX87">
        <f>IF(AV87-AW87&lt;0.005,0,AV87-AW87)</f>
        <v/>
      </c>
      <c r="BC87">
        <f>H87+N87+T87+Z87+AF87+AL87+AR87+AX87</f>
        <v/>
      </c>
    </row>
    <row r="88">
      <c r="A88" t="n">
        <v>82</v>
      </c>
      <c r="B88" s="19">
        <f>MAX(0,$B$3-(E88+K88+Q88+W88+AC88+AI88+AO88+AU88))</f>
        <v/>
      </c>
      <c r="C88">
        <f>H87</f>
        <v/>
      </c>
      <c r="D88">
        <f>C88*Plan!D6/100/12</f>
        <v/>
      </c>
      <c r="E88">
        <f>MIN(Plan!E6,C88+D88)</f>
        <v/>
      </c>
      <c r="F88">
        <f>C88+D88-E88</f>
        <v/>
      </c>
      <c r="G88">
        <f>MIN(F88,MAX(0,$B88-((K$5&lt;E$5)*L88+(Q$5&lt;E$5)*R88+(W$5&lt;E$5)*X88+(AC$5&lt;E$5)*AD88+(AI$5&lt;E$5)*AJ88+(AO$5&lt;E$5)*AP88+(AU$5&lt;E$5)*AV88)))</f>
        <v/>
      </c>
      <c r="H88">
        <f>IF(F88-G88&lt;0.005,0,F88-G88)</f>
        <v/>
      </c>
      <c r="I88">
        <f>N87</f>
        <v/>
      </c>
      <c r="J88">
        <f>I88*Plan!D7/100/12</f>
        <v/>
      </c>
      <c r="K88">
        <f>MIN(Plan!E7,I88+J88)</f>
        <v/>
      </c>
      <c r="L88">
        <f>I88+J88-K88</f>
        <v/>
      </c>
      <c r="M88">
        <f>MIN(L88,MAX(0,$B88-((E$5&lt;K$5)*F88+(Q$5&lt;K$5)*R88+(W$5&lt;K$5)*X88+(AC$5&lt;K$5)*AD88+(AI$5&lt;K$5)*AJ88+(AO$5&lt;K$5)*AP88+(AU$5&lt;K$5)*AV88)))</f>
        <v/>
      </c>
      <c r="N88">
        <f>IF(L88-M88&lt;0.005,0,L88-M88)</f>
        <v/>
      </c>
      <c r="O88">
        <f>T87</f>
        <v/>
      </c>
      <c r="P88">
        <f>O88*Plan!D8/100/12</f>
        <v/>
      </c>
      <c r="Q88">
        <f>MIN(Plan!E8,O88+P88)</f>
        <v/>
      </c>
      <c r="R88">
        <f>O88+P88-Q88</f>
        <v/>
      </c>
      <c r="S88">
        <f>MIN(R88,MAX(0,$B88-((E$5&lt;Q$5)*F88+(K$5&lt;Q$5)*L88+(W$5&lt;Q$5)*X88+(AC$5&lt;Q$5)*AD88+(AI$5&lt;Q$5)*AJ88+(AO$5&lt;Q$5)*AP88+(AU$5&lt;Q$5)*AV88)))</f>
        <v/>
      </c>
      <c r="T88">
        <f>IF(R88-S88&lt;0.005,0,R88-S88)</f>
        <v/>
      </c>
      <c r="U88">
        <f>Z87</f>
        <v/>
      </c>
      <c r="V88">
        <f>U88*Plan!D9/100/12</f>
        <v/>
      </c>
      <c r="W88">
        <f>MIN(Plan!E9,U88+V88)</f>
        <v/>
      </c>
      <c r="X88">
        <f>U88+V88-W88</f>
        <v/>
      </c>
      <c r="Y88">
        <f>MIN(X88,MAX(0,$B88-((E$5&lt;W$5)*F88+(K$5&lt;W$5)*L88+(Q$5&lt;W$5)*R88+(AC$5&lt;W$5)*AD88+(AI$5&lt;W$5)*AJ88+(AO$5&lt;W$5)*AP88+(AU$5&lt;W$5)*AV88)))</f>
        <v/>
      </c>
      <c r="Z88">
        <f>IF(X88-Y88&lt;0.005,0,X88-Y88)</f>
        <v/>
      </c>
      <c r="AA88">
        <f>AF87</f>
        <v/>
      </c>
      <c r="AB88">
        <f>AA88*Plan!D10/100/12</f>
        <v/>
      </c>
      <c r="AC88">
        <f>MIN(Plan!E10,AA88+AB88)</f>
        <v/>
      </c>
      <c r="AD88">
        <f>AA88+AB88-AC88</f>
        <v/>
      </c>
      <c r="AE88">
        <f>MIN(AD88,MAX(0,$B88-((E$5&lt;AC$5)*F88+(K$5&lt;AC$5)*L88+(Q$5&lt;AC$5)*R88+(W$5&lt;AC$5)*X88+(AI$5&lt;AC$5)*AJ88+(AO$5&lt;AC$5)*AP88+(AU$5&lt;AC$5)*AV88)))</f>
        <v/>
      </c>
      <c r="AF88">
        <f>IF(AD88-AE88&lt;0.005,0,AD88-AE88)</f>
        <v/>
      </c>
      <c r="AG88">
        <f>AL87</f>
        <v/>
      </c>
      <c r="AH88">
        <f>AG88*Plan!D11/100/12</f>
        <v/>
      </c>
      <c r="AI88">
        <f>MIN(Plan!E11,AG88+AH88)</f>
        <v/>
      </c>
      <c r="AJ88">
        <f>AG88+AH88-AI88</f>
        <v/>
      </c>
      <c r="AK88">
        <f>MIN(AJ88,MAX(0,$B88-((E$5&lt;AI$5)*F88+(K$5&lt;AI$5)*L88+(Q$5&lt;AI$5)*R88+(W$5&lt;AI$5)*X88+(AC$5&lt;AI$5)*AD88+(AO$5&lt;AI$5)*AP88+(AU$5&lt;AI$5)*AV88)))</f>
        <v/>
      </c>
      <c r="AL88">
        <f>IF(AJ88-AK88&lt;0.005,0,AJ88-AK88)</f>
        <v/>
      </c>
      <c r="AM88">
        <f>AR87</f>
        <v/>
      </c>
      <c r="AN88">
        <f>AM88*Plan!D12/100/12</f>
        <v/>
      </c>
      <c r="AO88">
        <f>MIN(Plan!E12,AM88+AN88)</f>
        <v/>
      </c>
      <c r="AP88">
        <f>AM88+AN88-AO88</f>
        <v/>
      </c>
      <c r="AQ88">
        <f>MIN(AP88,MAX(0,$B88-((E$5&lt;AO$5)*F88+(K$5&lt;AO$5)*L88+(Q$5&lt;AO$5)*R88+(W$5&lt;AO$5)*X88+(AC$5&lt;AO$5)*AD88+(AI$5&lt;AO$5)*AJ88+(AU$5&lt;AO$5)*AV88)))</f>
        <v/>
      </c>
      <c r="AR88">
        <f>IF(AP88-AQ88&lt;0.005,0,AP88-AQ88)</f>
        <v/>
      </c>
      <c r="AS88">
        <f>AX87</f>
        <v/>
      </c>
      <c r="AT88">
        <f>AS88*Plan!D13/100/12</f>
        <v/>
      </c>
      <c r="AU88">
        <f>MIN(Plan!E13,AS88+AT88)</f>
        <v/>
      </c>
      <c r="AV88">
        <f>AS88+AT88-AU88</f>
        <v/>
      </c>
      <c r="AW88">
        <f>MIN(AV88,MAX(0,$B88-((E$5&lt;AU$5)*F88+(K$5&lt;AU$5)*L88+(Q$5&lt;AU$5)*R88+(W$5&lt;AU$5)*X88+(AC$5&lt;AU$5)*AD88+(AI$5&lt;AU$5)*AJ88+(AO$5&lt;AU$5)*AP88)))</f>
        <v/>
      </c>
      <c r="AX88">
        <f>IF(AV88-AW88&lt;0.005,0,AV88-AW88)</f>
        <v/>
      </c>
      <c r="BC88">
        <f>H88+N88+T88+Z88+AF88+AL88+AR88+AX88</f>
        <v/>
      </c>
    </row>
    <row r="89">
      <c r="A89" t="n">
        <v>83</v>
      </c>
      <c r="B89" s="19">
        <f>MAX(0,$B$3-(E89+K89+Q89+W89+AC89+AI89+AO89+AU89))</f>
        <v/>
      </c>
      <c r="C89">
        <f>H88</f>
        <v/>
      </c>
      <c r="D89">
        <f>C89*Plan!D6/100/12</f>
        <v/>
      </c>
      <c r="E89">
        <f>MIN(Plan!E6,C89+D89)</f>
        <v/>
      </c>
      <c r="F89">
        <f>C89+D89-E89</f>
        <v/>
      </c>
      <c r="G89">
        <f>MIN(F89,MAX(0,$B89-((K$5&lt;E$5)*L89+(Q$5&lt;E$5)*R89+(W$5&lt;E$5)*X89+(AC$5&lt;E$5)*AD89+(AI$5&lt;E$5)*AJ89+(AO$5&lt;E$5)*AP89+(AU$5&lt;E$5)*AV89)))</f>
        <v/>
      </c>
      <c r="H89">
        <f>IF(F89-G89&lt;0.005,0,F89-G89)</f>
        <v/>
      </c>
      <c r="I89">
        <f>N88</f>
        <v/>
      </c>
      <c r="J89">
        <f>I89*Plan!D7/100/12</f>
        <v/>
      </c>
      <c r="K89">
        <f>MIN(Plan!E7,I89+J89)</f>
        <v/>
      </c>
      <c r="L89">
        <f>I89+J89-K89</f>
        <v/>
      </c>
      <c r="M89">
        <f>MIN(L89,MAX(0,$B89-((E$5&lt;K$5)*F89+(Q$5&lt;K$5)*R89+(W$5&lt;K$5)*X89+(AC$5&lt;K$5)*AD89+(AI$5&lt;K$5)*AJ89+(AO$5&lt;K$5)*AP89+(AU$5&lt;K$5)*AV89)))</f>
        <v/>
      </c>
      <c r="N89">
        <f>IF(L89-M89&lt;0.005,0,L89-M89)</f>
        <v/>
      </c>
      <c r="O89">
        <f>T88</f>
        <v/>
      </c>
      <c r="P89">
        <f>O89*Plan!D8/100/12</f>
        <v/>
      </c>
      <c r="Q89">
        <f>MIN(Plan!E8,O89+P89)</f>
        <v/>
      </c>
      <c r="R89">
        <f>O89+P89-Q89</f>
        <v/>
      </c>
      <c r="S89">
        <f>MIN(R89,MAX(0,$B89-((E$5&lt;Q$5)*F89+(K$5&lt;Q$5)*L89+(W$5&lt;Q$5)*X89+(AC$5&lt;Q$5)*AD89+(AI$5&lt;Q$5)*AJ89+(AO$5&lt;Q$5)*AP89+(AU$5&lt;Q$5)*AV89)))</f>
        <v/>
      </c>
      <c r="T89">
        <f>IF(R89-S89&lt;0.005,0,R89-S89)</f>
        <v/>
      </c>
      <c r="U89">
        <f>Z88</f>
        <v/>
      </c>
      <c r="V89">
        <f>U89*Plan!D9/100/12</f>
        <v/>
      </c>
      <c r="W89">
        <f>MIN(Plan!E9,U89+V89)</f>
        <v/>
      </c>
      <c r="X89">
        <f>U89+V89-W89</f>
        <v/>
      </c>
      <c r="Y89">
        <f>MIN(X89,MAX(0,$B89-((E$5&lt;W$5)*F89+(K$5&lt;W$5)*L89+(Q$5&lt;W$5)*R89+(AC$5&lt;W$5)*AD89+(AI$5&lt;W$5)*AJ89+(AO$5&lt;W$5)*AP89+(AU$5&lt;W$5)*AV89)))</f>
        <v/>
      </c>
      <c r="Z89">
        <f>IF(X89-Y89&lt;0.005,0,X89-Y89)</f>
        <v/>
      </c>
      <c r="AA89">
        <f>AF88</f>
        <v/>
      </c>
      <c r="AB89">
        <f>AA89*Plan!D10/100/12</f>
        <v/>
      </c>
      <c r="AC89">
        <f>MIN(Plan!E10,AA89+AB89)</f>
        <v/>
      </c>
      <c r="AD89">
        <f>AA89+AB89-AC89</f>
        <v/>
      </c>
      <c r="AE89">
        <f>MIN(AD89,MAX(0,$B89-((E$5&lt;AC$5)*F89+(K$5&lt;AC$5)*L89+(Q$5&lt;AC$5)*R89+(W$5&lt;AC$5)*X89+(AI$5&lt;AC$5)*AJ89+(AO$5&lt;AC$5)*AP89+(AU$5&lt;AC$5)*AV89)))</f>
        <v/>
      </c>
      <c r="AF89">
        <f>IF(AD89-AE89&lt;0.005,0,AD89-AE89)</f>
        <v/>
      </c>
      <c r="AG89">
        <f>AL88</f>
        <v/>
      </c>
      <c r="AH89">
        <f>AG89*Plan!D11/100/12</f>
        <v/>
      </c>
      <c r="AI89">
        <f>MIN(Plan!E11,AG89+AH89)</f>
        <v/>
      </c>
      <c r="AJ89">
        <f>AG89+AH89-AI89</f>
        <v/>
      </c>
      <c r="AK89">
        <f>MIN(AJ89,MAX(0,$B89-((E$5&lt;AI$5)*F89+(K$5&lt;AI$5)*L89+(Q$5&lt;AI$5)*R89+(W$5&lt;AI$5)*X89+(AC$5&lt;AI$5)*AD89+(AO$5&lt;AI$5)*AP89+(AU$5&lt;AI$5)*AV89)))</f>
        <v/>
      </c>
      <c r="AL89">
        <f>IF(AJ89-AK89&lt;0.005,0,AJ89-AK89)</f>
        <v/>
      </c>
      <c r="AM89">
        <f>AR88</f>
        <v/>
      </c>
      <c r="AN89">
        <f>AM89*Plan!D12/100/12</f>
        <v/>
      </c>
      <c r="AO89">
        <f>MIN(Plan!E12,AM89+AN89)</f>
        <v/>
      </c>
      <c r="AP89">
        <f>AM89+AN89-AO89</f>
        <v/>
      </c>
      <c r="AQ89">
        <f>MIN(AP89,MAX(0,$B89-((E$5&lt;AO$5)*F89+(K$5&lt;AO$5)*L89+(Q$5&lt;AO$5)*R89+(W$5&lt;AO$5)*X89+(AC$5&lt;AO$5)*AD89+(AI$5&lt;AO$5)*AJ89+(AU$5&lt;AO$5)*AV89)))</f>
        <v/>
      </c>
      <c r="AR89">
        <f>IF(AP89-AQ89&lt;0.005,0,AP89-AQ89)</f>
        <v/>
      </c>
      <c r="AS89">
        <f>AX88</f>
        <v/>
      </c>
      <c r="AT89">
        <f>AS89*Plan!D13/100/12</f>
        <v/>
      </c>
      <c r="AU89">
        <f>MIN(Plan!E13,AS89+AT89)</f>
        <v/>
      </c>
      <c r="AV89">
        <f>AS89+AT89-AU89</f>
        <v/>
      </c>
      <c r="AW89">
        <f>MIN(AV89,MAX(0,$B89-((E$5&lt;AU$5)*F89+(K$5&lt;AU$5)*L89+(Q$5&lt;AU$5)*R89+(W$5&lt;AU$5)*X89+(AC$5&lt;AU$5)*AD89+(AI$5&lt;AU$5)*AJ89+(AO$5&lt;AU$5)*AP89)))</f>
        <v/>
      </c>
      <c r="AX89">
        <f>IF(AV89-AW89&lt;0.005,0,AV89-AW89)</f>
        <v/>
      </c>
      <c r="BC89">
        <f>H89+N89+T89+Z89+AF89+AL89+AR89+AX89</f>
        <v/>
      </c>
    </row>
    <row r="90">
      <c r="A90" t="n">
        <v>84</v>
      </c>
      <c r="B90" s="19">
        <f>MAX(0,$B$3-(E90+K90+Q90+W90+AC90+AI90+AO90+AU90))</f>
        <v/>
      </c>
      <c r="C90">
        <f>H89</f>
        <v/>
      </c>
      <c r="D90">
        <f>C90*Plan!D6/100/12</f>
        <v/>
      </c>
      <c r="E90">
        <f>MIN(Plan!E6,C90+D90)</f>
        <v/>
      </c>
      <c r="F90">
        <f>C90+D90-E90</f>
        <v/>
      </c>
      <c r="G90">
        <f>MIN(F90,MAX(0,$B90-((K$5&lt;E$5)*L90+(Q$5&lt;E$5)*R90+(W$5&lt;E$5)*X90+(AC$5&lt;E$5)*AD90+(AI$5&lt;E$5)*AJ90+(AO$5&lt;E$5)*AP90+(AU$5&lt;E$5)*AV90)))</f>
        <v/>
      </c>
      <c r="H90">
        <f>IF(F90-G90&lt;0.005,0,F90-G90)</f>
        <v/>
      </c>
      <c r="I90">
        <f>N89</f>
        <v/>
      </c>
      <c r="J90">
        <f>I90*Plan!D7/100/12</f>
        <v/>
      </c>
      <c r="K90">
        <f>MIN(Plan!E7,I90+J90)</f>
        <v/>
      </c>
      <c r="L90">
        <f>I90+J90-K90</f>
        <v/>
      </c>
      <c r="M90">
        <f>MIN(L90,MAX(0,$B90-((E$5&lt;K$5)*F90+(Q$5&lt;K$5)*R90+(W$5&lt;K$5)*X90+(AC$5&lt;K$5)*AD90+(AI$5&lt;K$5)*AJ90+(AO$5&lt;K$5)*AP90+(AU$5&lt;K$5)*AV90)))</f>
        <v/>
      </c>
      <c r="N90">
        <f>IF(L90-M90&lt;0.005,0,L90-M90)</f>
        <v/>
      </c>
      <c r="O90">
        <f>T89</f>
        <v/>
      </c>
      <c r="P90">
        <f>O90*Plan!D8/100/12</f>
        <v/>
      </c>
      <c r="Q90">
        <f>MIN(Plan!E8,O90+P90)</f>
        <v/>
      </c>
      <c r="R90">
        <f>O90+P90-Q90</f>
        <v/>
      </c>
      <c r="S90">
        <f>MIN(R90,MAX(0,$B90-((E$5&lt;Q$5)*F90+(K$5&lt;Q$5)*L90+(W$5&lt;Q$5)*X90+(AC$5&lt;Q$5)*AD90+(AI$5&lt;Q$5)*AJ90+(AO$5&lt;Q$5)*AP90+(AU$5&lt;Q$5)*AV90)))</f>
        <v/>
      </c>
      <c r="T90">
        <f>IF(R90-S90&lt;0.005,0,R90-S90)</f>
        <v/>
      </c>
      <c r="U90">
        <f>Z89</f>
        <v/>
      </c>
      <c r="V90">
        <f>U90*Plan!D9/100/12</f>
        <v/>
      </c>
      <c r="W90">
        <f>MIN(Plan!E9,U90+V90)</f>
        <v/>
      </c>
      <c r="X90">
        <f>U90+V90-W90</f>
        <v/>
      </c>
      <c r="Y90">
        <f>MIN(X90,MAX(0,$B90-((E$5&lt;W$5)*F90+(K$5&lt;W$5)*L90+(Q$5&lt;W$5)*R90+(AC$5&lt;W$5)*AD90+(AI$5&lt;W$5)*AJ90+(AO$5&lt;W$5)*AP90+(AU$5&lt;W$5)*AV90)))</f>
        <v/>
      </c>
      <c r="Z90">
        <f>IF(X90-Y90&lt;0.005,0,X90-Y90)</f>
        <v/>
      </c>
      <c r="AA90">
        <f>AF89</f>
        <v/>
      </c>
      <c r="AB90">
        <f>AA90*Plan!D10/100/12</f>
        <v/>
      </c>
      <c r="AC90">
        <f>MIN(Plan!E10,AA90+AB90)</f>
        <v/>
      </c>
      <c r="AD90">
        <f>AA90+AB90-AC90</f>
        <v/>
      </c>
      <c r="AE90">
        <f>MIN(AD90,MAX(0,$B90-((E$5&lt;AC$5)*F90+(K$5&lt;AC$5)*L90+(Q$5&lt;AC$5)*R90+(W$5&lt;AC$5)*X90+(AI$5&lt;AC$5)*AJ90+(AO$5&lt;AC$5)*AP90+(AU$5&lt;AC$5)*AV90)))</f>
        <v/>
      </c>
      <c r="AF90">
        <f>IF(AD90-AE90&lt;0.005,0,AD90-AE90)</f>
        <v/>
      </c>
      <c r="AG90">
        <f>AL89</f>
        <v/>
      </c>
      <c r="AH90">
        <f>AG90*Plan!D11/100/12</f>
        <v/>
      </c>
      <c r="AI90">
        <f>MIN(Plan!E11,AG90+AH90)</f>
        <v/>
      </c>
      <c r="AJ90">
        <f>AG90+AH90-AI90</f>
        <v/>
      </c>
      <c r="AK90">
        <f>MIN(AJ90,MAX(0,$B90-((E$5&lt;AI$5)*F90+(K$5&lt;AI$5)*L90+(Q$5&lt;AI$5)*R90+(W$5&lt;AI$5)*X90+(AC$5&lt;AI$5)*AD90+(AO$5&lt;AI$5)*AP90+(AU$5&lt;AI$5)*AV90)))</f>
        <v/>
      </c>
      <c r="AL90">
        <f>IF(AJ90-AK90&lt;0.005,0,AJ90-AK90)</f>
        <v/>
      </c>
      <c r="AM90">
        <f>AR89</f>
        <v/>
      </c>
      <c r="AN90">
        <f>AM90*Plan!D12/100/12</f>
        <v/>
      </c>
      <c r="AO90">
        <f>MIN(Plan!E12,AM90+AN90)</f>
        <v/>
      </c>
      <c r="AP90">
        <f>AM90+AN90-AO90</f>
        <v/>
      </c>
      <c r="AQ90">
        <f>MIN(AP90,MAX(0,$B90-((E$5&lt;AO$5)*F90+(K$5&lt;AO$5)*L90+(Q$5&lt;AO$5)*R90+(W$5&lt;AO$5)*X90+(AC$5&lt;AO$5)*AD90+(AI$5&lt;AO$5)*AJ90+(AU$5&lt;AO$5)*AV90)))</f>
        <v/>
      </c>
      <c r="AR90">
        <f>IF(AP90-AQ90&lt;0.005,0,AP90-AQ90)</f>
        <v/>
      </c>
      <c r="AS90">
        <f>AX89</f>
        <v/>
      </c>
      <c r="AT90">
        <f>AS90*Plan!D13/100/12</f>
        <v/>
      </c>
      <c r="AU90">
        <f>MIN(Plan!E13,AS90+AT90)</f>
        <v/>
      </c>
      <c r="AV90">
        <f>AS90+AT90-AU90</f>
        <v/>
      </c>
      <c r="AW90">
        <f>MIN(AV90,MAX(0,$B90-((E$5&lt;AU$5)*F90+(K$5&lt;AU$5)*L90+(Q$5&lt;AU$5)*R90+(W$5&lt;AU$5)*X90+(AC$5&lt;AU$5)*AD90+(AI$5&lt;AU$5)*AJ90+(AO$5&lt;AU$5)*AP90)))</f>
        <v/>
      </c>
      <c r="AX90">
        <f>IF(AV90-AW90&lt;0.005,0,AV90-AW90)</f>
        <v/>
      </c>
      <c r="BC90">
        <f>H90+N90+T90+Z90+AF90+AL90+AR90+AX90</f>
        <v/>
      </c>
    </row>
    <row r="91">
      <c r="A91" t="n">
        <v>85</v>
      </c>
      <c r="B91" s="19">
        <f>MAX(0,$B$3-(E91+K91+Q91+W91+AC91+AI91+AO91+AU91))</f>
        <v/>
      </c>
      <c r="C91">
        <f>H90</f>
        <v/>
      </c>
      <c r="D91">
        <f>C91*Plan!D6/100/12</f>
        <v/>
      </c>
      <c r="E91">
        <f>MIN(Plan!E6,C91+D91)</f>
        <v/>
      </c>
      <c r="F91">
        <f>C91+D91-E91</f>
        <v/>
      </c>
      <c r="G91">
        <f>MIN(F91,MAX(0,$B91-((K$5&lt;E$5)*L91+(Q$5&lt;E$5)*R91+(W$5&lt;E$5)*X91+(AC$5&lt;E$5)*AD91+(AI$5&lt;E$5)*AJ91+(AO$5&lt;E$5)*AP91+(AU$5&lt;E$5)*AV91)))</f>
        <v/>
      </c>
      <c r="H91">
        <f>IF(F91-G91&lt;0.005,0,F91-G91)</f>
        <v/>
      </c>
      <c r="I91">
        <f>N90</f>
        <v/>
      </c>
      <c r="J91">
        <f>I91*Plan!D7/100/12</f>
        <v/>
      </c>
      <c r="K91">
        <f>MIN(Plan!E7,I91+J91)</f>
        <v/>
      </c>
      <c r="L91">
        <f>I91+J91-K91</f>
        <v/>
      </c>
      <c r="M91">
        <f>MIN(L91,MAX(0,$B91-((E$5&lt;K$5)*F91+(Q$5&lt;K$5)*R91+(W$5&lt;K$5)*X91+(AC$5&lt;K$5)*AD91+(AI$5&lt;K$5)*AJ91+(AO$5&lt;K$5)*AP91+(AU$5&lt;K$5)*AV91)))</f>
        <v/>
      </c>
      <c r="N91">
        <f>IF(L91-M91&lt;0.005,0,L91-M91)</f>
        <v/>
      </c>
      <c r="O91">
        <f>T90</f>
        <v/>
      </c>
      <c r="P91">
        <f>O91*Plan!D8/100/12</f>
        <v/>
      </c>
      <c r="Q91">
        <f>MIN(Plan!E8,O91+P91)</f>
        <v/>
      </c>
      <c r="R91">
        <f>O91+P91-Q91</f>
        <v/>
      </c>
      <c r="S91">
        <f>MIN(R91,MAX(0,$B91-((E$5&lt;Q$5)*F91+(K$5&lt;Q$5)*L91+(W$5&lt;Q$5)*X91+(AC$5&lt;Q$5)*AD91+(AI$5&lt;Q$5)*AJ91+(AO$5&lt;Q$5)*AP91+(AU$5&lt;Q$5)*AV91)))</f>
        <v/>
      </c>
      <c r="T91">
        <f>IF(R91-S91&lt;0.005,0,R91-S91)</f>
        <v/>
      </c>
      <c r="U91">
        <f>Z90</f>
        <v/>
      </c>
      <c r="V91">
        <f>U91*Plan!D9/100/12</f>
        <v/>
      </c>
      <c r="W91">
        <f>MIN(Plan!E9,U91+V91)</f>
        <v/>
      </c>
      <c r="X91">
        <f>U91+V91-W91</f>
        <v/>
      </c>
      <c r="Y91">
        <f>MIN(X91,MAX(0,$B91-((E$5&lt;W$5)*F91+(K$5&lt;W$5)*L91+(Q$5&lt;W$5)*R91+(AC$5&lt;W$5)*AD91+(AI$5&lt;W$5)*AJ91+(AO$5&lt;W$5)*AP91+(AU$5&lt;W$5)*AV91)))</f>
        <v/>
      </c>
      <c r="Z91">
        <f>IF(X91-Y91&lt;0.005,0,X91-Y91)</f>
        <v/>
      </c>
      <c r="AA91">
        <f>AF90</f>
        <v/>
      </c>
      <c r="AB91">
        <f>AA91*Plan!D10/100/12</f>
        <v/>
      </c>
      <c r="AC91">
        <f>MIN(Plan!E10,AA91+AB91)</f>
        <v/>
      </c>
      <c r="AD91">
        <f>AA91+AB91-AC91</f>
        <v/>
      </c>
      <c r="AE91">
        <f>MIN(AD91,MAX(0,$B91-((E$5&lt;AC$5)*F91+(K$5&lt;AC$5)*L91+(Q$5&lt;AC$5)*R91+(W$5&lt;AC$5)*X91+(AI$5&lt;AC$5)*AJ91+(AO$5&lt;AC$5)*AP91+(AU$5&lt;AC$5)*AV91)))</f>
        <v/>
      </c>
      <c r="AF91">
        <f>IF(AD91-AE91&lt;0.005,0,AD91-AE91)</f>
        <v/>
      </c>
      <c r="AG91">
        <f>AL90</f>
        <v/>
      </c>
      <c r="AH91">
        <f>AG91*Plan!D11/100/12</f>
        <v/>
      </c>
      <c r="AI91">
        <f>MIN(Plan!E11,AG91+AH91)</f>
        <v/>
      </c>
      <c r="AJ91">
        <f>AG91+AH91-AI91</f>
        <v/>
      </c>
      <c r="AK91">
        <f>MIN(AJ91,MAX(0,$B91-((E$5&lt;AI$5)*F91+(K$5&lt;AI$5)*L91+(Q$5&lt;AI$5)*R91+(W$5&lt;AI$5)*X91+(AC$5&lt;AI$5)*AD91+(AO$5&lt;AI$5)*AP91+(AU$5&lt;AI$5)*AV91)))</f>
        <v/>
      </c>
      <c r="AL91">
        <f>IF(AJ91-AK91&lt;0.005,0,AJ91-AK91)</f>
        <v/>
      </c>
      <c r="AM91">
        <f>AR90</f>
        <v/>
      </c>
      <c r="AN91">
        <f>AM91*Plan!D12/100/12</f>
        <v/>
      </c>
      <c r="AO91">
        <f>MIN(Plan!E12,AM91+AN91)</f>
        <v/>
      </c>
      <c r="AP91">
        <f>AM91+AN91-AO91</f>
        <v/>
      </c>
      <c r="AQ91">
        <f>MIN(AP91,MAX(0,$B91-((E$5&lt;AO$5)*F91+(K$5&lt;AO$5)*L91+(Q$5&lt;AO$5)*R91+(W$5&lt;AO$5)*X91+(AC$5&lt;AO$5)*AD91+(AI$5&lt;AO$5)*AJ91+(AU$5&lt;AO$5)*AV91)))</f>
        <v/>
      </c>
      <c r="AR91">
        <f>IF(AP91-AQ91&lt;0.005,0,AP91-AQ91)</f>
        <v/>
      </c>
      <c r="AS91">
        <f>AX90</f>
        <v/>
      </c>
      <c r="AT91">
        <f>AS91*Plan!D13/100/12</f>
        <v/>
      </c>
      <c r="AU91">
        <f>MIN(Plan!E13,AS91+AT91)</f>
        <v/>
      </c>
      <c r="AV91">
        <f>AS91+AT91-AU91</f>
        <v/>
      </c>
      <c r="AW91">
        <f>MIN(AV91,MAX(0,$B91-((E$5&lt;AU$5)*F91+(K$5&lt;AU$5)*L91+(Q$5&lt;AU$5)*R91+(W$5&lt;AU$5)*X91+(AC$5&lt;AU$5)*AD91+(AI$5&lt;AU$5)*AJ91+(AO$5&lt;AU$5)*AP91)))</f>
        <v/>
      </c>
      <c r="AX91">
        <f>IF(AV91-AW91&lt;0.005,0,AV91-AW91)</f>
        <v/>
      </c>
      <c r="BC91">
        <f>H91+N91+T91+Z91+AF91+AL91+AR91+AX91</f>
        <v/>
      </c>
    </row>
    <row r="92">
      <c r="A92" t="n">
        <v>86</v>
      </c>
      <c r="B92" s="19">
        <f>MAX(0,$B$3-(E92+K92+Q92+W92+AC92+AI92+AO92+AU92))</f>
        <v/>
      </c>
      <c r="C92">
        <f>H91</f>
        <v/>
      </c>
      <c r="D92">
        <f>C92*Plan!D6/100/12</f>
        <v/>
      </c>
      <c r="E92">
        <f>MIN(Plan!E6,C92+D92)</f>
        <v/>
      </c>
      <c r="F92">
        <f>C92+D92-E92</f>
        <v/>
      </c>
      <c r="G92">
        <f>MIN(F92,MAX(0,$B92-((K$5&lt;E$5)*L92+(Q$5&lt;E$5)*R92+(W$5&lt;E$5)*X92+(AC$5&lt;E$5)*AD92+(AI$5&lt;E$5)*AJ92+(AO$5&lt;E$5)*AP92+(AU$5&lt;E$5)*AV92)))</f>
        <v/>
      </c>
      <c r="H92">
        <f>IF(F92-G92&lt;0.005,0,F92-G92)</f>
        <v/>
      </c>
      <c r="I92">
        <f>N91</f>
        <v/>
      </c>
      <c r="J92">
        <f>I92*Plan!D7/100/12</f>
        <v/>
      </c>
      <c r="K92">
        <f>MIN(Plan!E7,I92+J92)</f>
        <v/>
      </c>
      <c r="L92">
        <f>I92+J92-K92</f>
        <v/>
      </c>
      <c r="M92">
        <f>MIN(L92,MAX(0,$B92-((E$5&lt;K$5)*F92+(Q$5&lt;K$5)*R92+(W$5&lt;K$5)*X92+(AC$5&lt;K$5)*AD92+(AI$5&lt;K$5)*AJ92+(AO$5&lt;K$5)*AP92+(AU$5&lt;K$5)*AV92)))</f>
        <v/>
      </c>
      <c r="N92">
        <f>IF(L92-M92&lt;0.005,0,L92-M92)</f>
        <v/>
      </c>
      <c r="O92">
        <f>T91</f>
        <v/>
      </c>
      <c r="P92">
        <f>O92*Plan!D8/100/12</f>
        <v/>
      </c>
      <c r="Q92">
        <f>MIN(Plan!E8,O92+P92)</f>
        <v/>
      </c>
      <c r="R92">
        <f>O92+P92-Q92</f>
        <v/>
      </c>
      <c r="S92">
        <f>MIN(R92,MAX(0,$B92-((E$5&lt;Q$5)*F92+(K$5&lt;Q$5)*L92+(W$5&lt;Q$5)*X92+(AC$5&lt;Q$5)*AD92+(AI$5&lt;Q$5)*AJ92+(AO$5&lt;Q$5)*AP92+(AU$5&lt;Q$5)*AV92)))</f>
        <v/>
      </c>
      <c r="T92">
        <f>IF(R92-S92&lt;0.005,0,R92-S92)</f>
        <v/>
      </c>
      <c r="U92">
        <f>Z91</f>
        <v/>
      </c>
      <c r="V92">
        <f>U92*Plan!D9/100/12</f>
        <v/>
      </c>
      <c r="W92">
        <f>MIN(Plan!E9,U92+V92)</f>
        <v/>
      </c>
      <c r="X92">
        <f>U92+V92-W92</f>
        <v/>
      </c>
      <c r="Y92">
        <f>MIN(X92,MAX(0,$B92-((E$5&lt;W$5)*F92+(K$5&lt;W$5)*L92+(Q$5&lt;W$5)*R92+(AC$5&lt;W$5)*AD92+(AI$5&lt;W$5)*AJ92+(AO$5&lt;W$5)*AP92+(AU$5&lt;W$5)*AV92)))</f>
        <v/>
      </c>
      <c r="Z92">
        <f>IF(X92-Y92&lt;0.005,0,X92-Y92)</f>
        <v/>
      </c>
      <c r="AA92">
        <f>AF91</f>
        <v/>
      </c>
      <c r="AB92">
        <f>AA92*Plan!D10/100/12</f>
        <v/>
      </c>
      <c r="AC92">
        <f>MIN(Plan!E10,AA92+AB92)</f>
        <v/>
      </c>
      <c r="AD92">
        <f>AA92+AB92-AC92</f>
        <v/>
      </c>
      <c r="AE92">
        <f>MIN(AD92,MAX(0,$B92-((E$5&lt;AC$5)*F92+(K$5&lt;AC$5)*L92+(Q$5&lt;AC$5)*R92+(W$5&lt;AC$5)*X92+(AI$5&lt;AC$5)*AJ92+(AO$5&lt;AC$5)*AP92+(AU$5&lt;AC$5)*AV92)))</f>
        <v/>
      </c>
      <c r="AF92">
        <f>IF(AD92-AE92&lt;0.005,0,AD92-AE92)</f>
        <v/>
      </c>
      <c r="AG92">
        <f>AL91</f>
        <v/>
      </c>
      <c r="AH92">
        <f>AG92*Plan!D11/100/12</f>
        <v/>
      </c>
      <c r="AI92">
        <f>MIN(Plan!E11,AG92+AH92)</f>
        <v/>
      </c>
      <c r="AJ92">
        <f>AG92+AH92-AI92</f>
        <v/>
      </c>
      <c r="AK92">
        <f>MIN(AJ92,MAX(0,$B92-((E$5&lt;AI$5)*F92+(K$5&lt;AI$5)*L92+(Q$5&lt;AI$5)*R92+(W$5&lt;AI$5)*X92+(AC$5&lt;AI$5)*AD92+(AO$5&lt;AI$5)*AP92+(AU$5&lt;AI$5)*AV92)))</f>
        <v/>
      </c>
      <c r="AL92">
        <f>IF(AJ92-AK92&lt;0.005,0,AJ92-AK92)</f>
        <v/>
      </c>
      <c r="AM92">
        <f>AR91</f>
        <v/>
      </c>
      <c r="AN92">
        <f>AM92*Plan!D12/100/12</f>
        <v/>
      </c>
      <c r="AO92">
        <f>MIN(Plan!E12,AM92+AN92)</f>
        <v/>
      </c>
      <c r="AP92">
        <f>AM92+AN92-AO92</f>
        <v/>
      </c>
      <c r="AQ92">
        <f>MIN(AP92,MAX(0,$B92-((E$5&lt;AO$5)*F92+(K$5&lt;AO$5)*L92+(Q$5&lt;AO$5)*R92+(W$5&lt;AO$5)*X92+(AC$5&lt;AO$5)*AD92+(AI$5&lt;AO$5)*AJ92+(AU$5&lt;AO$5)*AV92)))</f>
        <v/>
      </c>
      <c r="AR92">
        <f>IF(AP92-AQ92&lt;0.005,0,AP92-AQ92)</f>
        <v/>
      </c>
      <c r="AS92">
        <f>AX91</f>
        <v/>
      </c>
      <c r="AT92">
        <f>AS92*Plan!D13/100/12</f>
        <v/>
      </c>
      <c r="AU92">
        <f>MIN(Plan!E13,AS92+AT92)</f>
        <v/>
      </c>
      <c r="AV92">
        <f>AS92+AT92-AU92</f>
        <v/>
      </c>
      <c r="AW92">
        <f>MIN(AV92,MAX(0,$B92-((E$5&lt;AU$5)*F92+(K$5&lt;AU$5)*L92+(Q$5&lt;AU$5)*R92+(W$5&lt;AU$5)*X92+(AC$5&lt;AU$5)*AD92+(AI$5&lt;AU$5)*AJ92+(AO$5&lt;AU$5)*AP92)))</f>
        <v/>
      </c>
      <c r="AX92">
        <f>IF(AV92-AW92&lt;0.005,0,AV92-AW92)</f>
        <v/>
      </c>
      <c r="BC92">
        <f>H92+N92+T92+Z92+AF92+AL92+AR92+AX92</f>
        <v/>
      </c>
    </row>
    <row r="93">
      <c r="A93" t="n">
        <v>87</v>
      </c>
      <c r="B93" s="19">
        <f>MAX(0,$B$3-(E93+K93+Q93+W93+AC93+AI93+AO93+AU93))</f>
        <v/>
      </c>
      <c r="C93">
        <f>H92</f>
        <v/>
      </c>
      <c r="D93">
        <f>C93*Plan!D6/100/12</f>
        <v/>
      </c>
      <c r="E93">
        <f>MIN(Plan!E6,C93+D93)</f>
        <v/>
      </c>
      <c r="F93">
        <f>C93+D93-E93</f>
        <v/>
      </c>
      <c r="G93">
        <f>MIN(F93,MAX(0,$B93-((K$5&lt;E$5)*L93+(Q$5&lt;E$5)*R93+(W$5&lt;E$5)*X93+(AC$5&lt;E$5)*AD93+(AI$5&lt;E$5)*AJ93+(AO$5&lt;E$5)*AP93+(AU$5&lt;E$5)*AV93)))</f>
        <v/>
      </c>
      <c r="H93">
        <f>IF(F93-G93&lt;0.005,0,F93-G93)</f>
        <v/>
      </c>
      <c r="I93">
        <f>N92</f>
        <v/>
      </c>
      <c r="J93">
        <f>I93*Plan!D7/100/12</f>
        <v/>
      </c>
      <c r="K93">
        <f>MIN(Plan!E7,I93+J93)</f>
        <v/>
      </c>
      <c r="L93">
        <f>I93+J93-K93</f>
        <v/>
      </c>
      <c r="M93">
        <f>MIN(L93,MAX(0,$B93-((E$5&lt;K$5)*F93+(Q$5&lt;K$5)*R93+(W$5&lt;K$5)*X93+(AC$5&lt;K$5)*AD93+(AI$5&lt;K$5)*AJ93+(AO$5&lt;K$5)*AP93+(AU$5&lt;K$5)*AV93)))</f>
        <v/>
      </c>
      <c r="N93">
        <f>IF(L93-M93&lt;0.005,0,L93-M93)</f>
        <v/>
      </c>
      <c r="O93">
        <f>T92</f>
        <v/>
      </c>
      <c r="P93">
        <f>O93*Plan!D8/100/12</f>
        <v/>
      </c>
      <c r="Q93">
        <f>MIN(Plan!E8,O93+P93)</f>
        <v/>
      </c>
      <c r="R93">
        <f>O93+P93-Q93</f>
        <v/>
      </c>
      <c r="S93">
        <f>MIN(R93,MAX(0,$B93-((E$5&lt;Q$5)*F93+(K$5&lt;Q$5)*L93+(W$5&lt;Q$5)*X93+(AC$5&lt;Q$5)*AD93+(AI$5&lt;Q$5)*AJ93+(AO$5&lt;Q$5)*AP93+(AU$5&lt;Q$5)*AV93)))</f>
        <v/>
      </c>
      <c r="T93">
        <f>IF(R93-S93&lt;0.005,0,R93-S93)</f>
        <v/>
      </c>
      <c r="U93">
        <f>Z92</f>
        <v/>
      </c>
      <c r="V93">
        <f>U93*Plan!D9/100/12</f>
        <v/>
      </c>
      <c r="W93">
        <f>MIN(Plan!E9,U93+V93)</f>
        <v/>
      </c>
      <c r="X93">
        <f>U93+V93-W93</f>
        <v/>
      </c>
      <c r="Y93">
        <f>MIN(X93,MAX(0,$B93-((E$5&lt;W$5)*F93+(K$5&lt;W$5)*L93+(Q$5&lt;W$5)*R93+(AC$5&lt;W$5)*AD93+(AI$5&lt;W$5)*AJ93+(AO$5&lt;W$5)*AP93+(AU$5&lt;W$5)*AV93)))</f>
        <v/>
      </c>
      <c r="Z93">
        <f>IF(X93-Y93&lt;0.005,0,X93-Y93)</f>
        <v/>
      </c>
      <c r="AA93">
        <f>AF92</f>
        <v/>
      </c>
      <c r="AB93">
        <f>AA93*Plan!D10/100/12</f>
        <v/>
      </c>
      <c r="AC93">
        <f>MIN(Plan!E10,AA93+AB93)</f>
        <v/>
      </c>
      <c r="AD93">
        <f>AA93+AB93-AC93</f>
        <v/>
      </c>
      <c r="AE93">
        <f>MIN(AD93,MAX(0,$B93-((E$5&lt;AC$5)*F93+(K$5&lt;AC$5)*L93+(Q$5&lt;AC$5)*R93+(W$5&lt;AC$5)*X93+(AI$5&lt;AC$5)*AJ93+(AO$5&lt;AC$5)*AP93+(AU$5&lt;AC$5)*AV93)))</f>
        <v/>
      </c>
      <c r="AF93">
        <f>IF(AD93-AE93&lt;0.005,0,AD93-AE93)</f>
        <v/>
      </c>
      <c r="AG93">
        <f>AL92</f>
        <v/>
      </c>
      <c r="AH93">
        <f>AG93*Plan!D11/100/12</f>
        <v/>
      </c>
      <c r="AI93">
        <f>MIN(Plan!E11,AG93+AH93)</f>
        <v/>
      </c>
      <c r="AJ93">
        <f>AG93+AH93-AI93</f>
        <v/>
      </c>
      <c r="AK93">
        <f>MIN(AJ93,MAX(0,$B93-((E$5&lt;AI$5)*F93+(K$5&lt;AI$5)*L93+(Q$5&lt;AI$5)*R93+(W$5&lt;AI$5)*X93+(AC$5&lt;AI$5)*AD93+(AO$5&lt;AI$5)*AP93+(AU$5&lt;AI$5)*AV93)))</f>
        <v/>
      </c>
      <c r="AL93">
        <f>IF(AJ93-AK93&lt;0.005,0,AJ93-AK93)</f>
        <v/>
      </c>
      <c r="AM93">
        <f>AR92</f>
        <v/>
      </c>
      <c r="AN93">
        <f>AM93*Plan!D12/100/12</f>
        <v/>
      </c>
      <c r="AO93">
        <f>MIN(Plan!E12,AM93+AN93)</f>
        <v/>
      </c>
      <c r="AP93">
        <f>AM93+AN93-AO93</f>
        <v/>
      </c>
      <c r="AQ93">
        <f>MIN(AP93,MAX(0,$B93-((E$5&lt;AO$5)*F93+(K$5&lt;AO$5)*L93+(Q$5&lt;AO$5)*R93+(W$5&lt;AO$5)*X93+(AC$5&lt;AO$5)*AD93+(AI$5&lt;AO$5)*AJ93+(AU$5&lt;AO$5)*AV93)))</f>
        <v/>
      </c>
      <c r="AR93">
        <f>IF(AP93-AQ93&lt;0.005,0,AP93-AQ93)</f>
        <v/>
      </c>
      <c r="AS93">
        <f>AX92</f>
        <v/>
      </c>
      <c r="AT93">
        <f>AS93*Plan!D13/100/12</f>
        <v/>
      </c>
      <c r="AU93">
        <f>MIN(Plan!E13,AS93+AT93)</f>
        <v/>
      </c>
      <c r="AV93">
        <f>AS93+AT93-AU93</f>
        <v/>
      </c>
      <c r="AW93">
        <f>MIN(AV93,MAX(0,$B93-((E$5&lt;AU$5)*F93+(K$5&lt;AU$5)*L93+(Q$5&lt;AU$5)*R93+(W$5&lt;AU$5)*X93+(AC$5&lt;AU$5)*AD93+(AI$5&lt;AU$5)*AJ93+(AO$5&lt;AU$5)*AP93)))</f>
        <v/>
      </c>
      <c r="AX93">
        <f>IF(AV93-AW93&lt;0.005,0,AV93-AW93)</f>
        <v/>
      </c>
      <c r="BC93">
        <f>H93+N93+T93+Z93+AF93+AL93+AR93+AX93</f>
        <v/>
      </c>
    </row>
    <row r="94">
      <c r="A94" t="n">
        <v>88</v>
      </c>
      <c r="B94" s="19">
        <f>MAX(0,$B$3-(E94+K94+Q94+W94+AC94+AI94+AO94+AU94))</f>
        <v/>
      </c>
      <c r="C94">
        <f>H93</f>
        <v/>
      </c>
      <c r="D94">
        <f>C94*Plan!D6/100/12</f>
        <v/>
      </c>
      <c r="E94">
        <f>MIN(Plan!E6,C94+D94)</f>
        <v/>
      </c>
      <c r="F94">
        <f>C94+D94-E94</f>
        <v/>
      </c>
      <c r="G94">
        <f>MIN(F94,MAX(0,$B94-((K$5&lt;E$5)*L94+(Q$5&lt;E$5)*R94+(W$5&lt;E$5)*X94+(AC$5&lt;E$5)*AD94+(AI$5&lt;E$5)*AJ94+(AO$5&lt;E$5)*AP94+(AU$5&lt;E$5)*AV94)))</f>
        <v/>
      </c>
      <c r="H94">
        <f>IF(F94-G94&lt;0.005,0,F94-G94)</f>
        <v/>
      </c>
      <c r="I94">
        <f>N93</f>
        <v/>
      </c>
      <c r="J94">
        <f>I94*Plan!D7/100/12</f>
        <v/>
      </c>
      <c r="K94">
        <f>MIN(Plan!E7,I94+J94)</f>
        <v/>
      </c>
      <c r="L94">
        <f>I94+J94-K94</f>
        <v/>
      </c>
      <c r="M94">
        <f>MIN(L94,MAX(0,$B94-((E$5&lt;K$5)*F94+(Q$5&lt;K$5)*R94+(W$5&lt;K$5)*X94+(AC$5&lt;K$5)*AD94+(AI$5&lt;K$5)*AJ94+(AO$5&lt;K$5)*AP94+(AU$5&lt;K$5)*AV94)))</f>
        <v/>
      </c>
      <c r="N94">
        <f>IF(L94-M94&lt;0.005,0,L94-M94)</f>
        <v/>
      </c>
      <c r="O94">
        <f>T93</f>
        <v/>
      </c>
      <c r="P94">
        <f>O94*Plan!D8/100/12</f>
        <v/>
      </c>
      <c r="Q94">
        <f>MIN(Plan!E8,O94+P94)</f>
        <v/>
      </c>
      <c r="R94">
        <f>O94+P94-Q94</f>
        <v/>
      </c>
      <c r="S94">
        <f>MIN(R94,MAX(0,$B94-((E$5&lt;Q$5)*F94+(K$5&lt;Q$5)*L94+(W$5&lt;Q$5)*X94+(AC$5&lt;Q$5)*AD94+(AI$5&lt;Q$5)*AJ94+(AO$5&lt;Q$5)*AP94+(AU$5&lt;Q$5)*AV94)))</f>
        <v/>
      </c>
      <c r="T94">
        <f>IF(R94-S94&lt;0.005,0,R94-S94)</f>
        <v/>
      </c>
      <c r="U94">
        <f>Z93</f>
        <v/>
      </c>
      <c r="V94">
        <f>U94*Plan!D9/100/12</f>
        <v/>
      </c>
      <c r="W94">
        <f>MIN(Plan!E9,U94+V94)</f>
        <v/>
      </c>
      <c r="X94">
        <f>U94+V94-W94</f>
        <v/>
      </c>
      <c r="Y94">
        <f>MIN(X94,MAX(0,$B94-((E$5&lt;W$5)*F94+(K$5&lt;W$5)*L94+(Q$5&lt;W$5)*R94+(AC$5&lt;W$5)*AD94+(AI$5&lt;W$5)*AJ94+(AO$5&lt;W$5)*AP94+(AU$5&lt;W$5)*AV94)))</f>
        <v/>
      </c>
      <c r="Z94">
        <f>IF(X94-Y94&lt;0.005,0,X94-Y94)</f>
        <v/>
      </c>
      <c r="AA94">
        <f>AF93</f>
        <v/>
      </c>
      <c r="AB94">
        <f>AA94*Plan!D10/100/12</f>
        <v/>
      </c>
      <c r="AC94">
        <f>MIN(Plan!E10,AA94+AB94)</f>
        <v/>
      </c>
      <c r="AD94">
        <f>AA94+AB94-AC94</f>
        <v/>
      </c>
      <c r="AE94">
        <f>MIN(AD94,MAX(0,$B94-((E$5&lt;AC$5)*F94+(K$5&lt;AC$5)*L94+(Q$5&lt;AC$5)*R94+(W$5&lt;AC$5)*X94+(AI$5&lt;AC$5)*AJ94+(AO$5&lt;AC$5)*AP94+(AU$5&lt;AC$5)*AV94)))</f>
        <v/>
      </c>
      <c r="AF94">
        <f>IF(AD94-AE94&lt;0.005,0,AD94-AE94)</f>
        <v/>
      </c>
      <c r="AG94">
        <f>AL93</f>
        <v/>
      </c>
      <c r="AH94">
        <f>AG94*Plan!D11/100/12</f>
        <v/>
      </c>
      <c r="AI94">
        <f>MIN(Plan!E11,AG94+AH94)</f>
        <v/>
      </c>
      <c r="AJ94">
        <f>AG94+AH94-AI94</f>
        <v/>
      </c>
      <c r="AK94">
        <f>MIN(AJ94,MAX(0,$B94-((E$5&lt;AI$5)*F94+(K$5&lt;AI$5)*L94+(Q$5&lt;AI$5)*R94+(W$5&lt;AI$5)*X94+(AC$5&lt;AI$5)*AD94+(AO$5&lt;AI$5)*AP94+(AU$5&lt;AI$5)*AV94)))</f>
        <v/>
      </c>
      <c r="AL94">
        <f>IF(AJ94-AK94&lt;0.005,0,AJ94-AK94)</f>
        <v/>
      </c>
      <c r="AM94">
        <f>AR93</f>
        <v/>
      </c>
      <c r="AN94">
        <f>AM94*Plan!D12/100/12</f>
        <v/>
      </c>
      <c r="AO94">
        <f>MIN(Plan!E12,AM94+AN94)</f>
        <v/>
      </c>
      <c r="AP94">
        <f>AM94+AN94-AO94</f>
        <v/>
      </c>
      <c r="AQ94">
        <f>MIN(AP94,MAX(0,$B94-((E$5&lt;AO$5)*F94+(K$5&lt;AO$5)*L94+(Q$5&lt;AO$5)*R94+(W$5&lt;AO$5)*X94+(AC$5&lt;AO$5)*AD94+(AI$5&lt;AO$5)*AJ94+(AU$5&lt;AO$5)*AV94)))</f>
        <v/>
      </c>
      <c r="AR94">
        <f>IF(AP94-AQ94&lt;0.005,0,AP94-AQ94)</f>
        <v/>
      </c>
      <c r="AS94">
        <f>AX93</f>
        <v/>
      </c>
      <c r="AT94">
        <f>AS94*Plan!D13/100/12</f>
        <v/>
      </c>
      <c r="AU94">
        <f>MIN(Plan!E13,AS94+AT94)</f>
        <v/>
      </c>
      <c r="AV94">
        <f>AS94+AT94-AU94</f>
        <v/>
      </c>
      <c r="AW94">
        <f>MIN(AV94,MAX(0,$B94-((E$5&lt;AU$5)*F94+(K$5&lt;AU$5)*L94+(Q$5&lt;AU$5)*R94+(W$5&lt;AU$5)*X94+(AC$5&lt;AU$5)*AD94+(AI$5&lt;AU$5)*AJ94+(AO$5&lt;AU$5)*AP94)))</f>
        <v/>
      </c>
      <c r="AX94">
        <f>IF(AV94-AW94&lt;0.005,0,AV94-AW94)</f>
        <v/>
      </c>
      <c r="BC94">
        <f>H94+N94+T94+Z94+AF94+AL94+AR94+AX94</f>
        <v/>
      </c>
    </row>
    <row r="95">
      <c r="A95" t="n">
        <v>89</v>
      </c>
      <c r="B95" s="19">
        <f>MAX(0,$B$3-(E95+K95+Q95+W95+AC95+AI95+AO95+AU95))</f>
        <v/>
      </c>
      <c r="C95">
        <f>H94</f>
        <v/>
      </c>
      <c r="D95">
        <f>C95*Plan!D6/100/12</f>
        <v/>
      </c>
      <c r="E95">
        <f>MIN(Plan!E6,C95+D95)</f>
        <v/>
      </c>
      <c r="F95">
        <f>C95+D95-E95</f>
        <v/>
      </c>
      <c r="G95">
        <f>MIN(F95,MAX(0,$B95-((K$5&lt;E$5)*L95+(Q$5&lt;E$5)*R95+(W$5&lt;E$5)*X95+(AC$5&lt;E$5)*AD95+(AI$5&lt;E$5)*AJ95+(AO$5&lt;E$5)*AP95+(AU$5&lt;E$5)*AV95)))</f>
        <v/>
      </c>
      <c r="H95">
        <f>IF(F95-G95&lt;0.005,0,F95-G95)</f>
        <v/>
      </c>
      <c r="I95">
        <f>N94</f>
        <v/>
      </c>
      <c r="J95">
        <f>I95*Plan!D7/100/12</f>
        <v/>
      </c>
      <c r="K95">
        <f>MIN(Plan!E7,I95+J95)</f>
        <v/>
      </c>
      <c r="L95">
        <f>I95+J95-K95</f>
        <v/>
      </c>
      <c r="M95">
        <f>MIN(L95,MAX(0,$B95-((E$5&lt;K$5)*F95+(Q$5&lt;K$5)*R95+(W$5&lt;K$5)*X95+(AC$5&lt;K$5)*AD95+(AI$5&lt;K$5)*AJ95+(AO$5&lt;K$5)*AP95+(AU$5&lt;K$5)*AV95)))</f>
        <v/>
      </c>
      <c r="N95">
        <f>IF(L95-M95&lt;0.005,0,L95-M95)</f>
        <v/>
      </c>
      <c r="O95">
        <f>T94</f>
        <v/>
      </c>
      <c r="P95">
        <f>O95*Plan!D8/100/12</f>
        <v/>
      </c>
      <c r="Q95">
        <f>MIN(Plan!E8,O95+P95)</f>
        <v/>
      </c>
      <c r="R95">
        <f>O95+P95-Q95</f>
        <v/>
      </c>
      <c r="S95">
        <f>MIN(R95,MAX(0,$B95-((E$5&lt;Q$5)*F95+(K$5&lt;Q$5)*L95+(W$5&lt;Q$5)*X95+(AC$5&lt;Q$5)*AD95+(AI$5&lt;Q$5)*AJ95+(AO$5&lt;Q$5)*AP95+(AU$5&lt;Q$5)*AV95)))</f>
        <v/>
      </c>
      <c r="T95">
        <f>IF(R95-S95&lt;0.005,0,R95-S95)</f>
        <v/>
      </c>
      <c r="U95">
        <f>Z94</f>
        <v/>
      </c>
      <c r="V95">
        <f>U95*Plan!D9/100/12</f>
        <v/>
      </c>
      <c r="W95">
        <f>MIN(Plan!E9,U95+V95)</f>
        <v/>
      </c>
      <c r="X95">
        <f>U95+V95-W95</f>
        <v/>
      </c>
      <c r="Y95">
        <f>MIN(X95,MAX(0,$B95-((E$5&lt;W$5)*F95+(K$5&lt;W$5)*L95+(Q$5&lt;W$5)*R95+(AC$5&lt;W$5)*AD95+(AI$5&lt;W$5)*AJ95+(AO$5&lt;W$5)*AP95+(AU$5&lt;W$5)*AV95)))</f>
        <v/>
      </c>
      <c r="Z95">
        <f>IF(X95-Y95&lt;0.005,0,X95-Y95)</f>
        <v/>
      </c>
      <c r="AA95">
        <f>AF94</f>
        <v/>
      </c>
      <c r="AB95">
        <f>AA95*Plan!D10/100/12</f>
        <v/>
      </c>
      <c r="AC95">
        <f>MIN(Plan!E10,AA95+AB95)</f>
        <v/>
      </c>
      <c r="AD95">
        <f>AA95+AB95-AC95</f>
        <v/>
      </c>
      <c r="AE95">
        <f>MIN(AD95,MAX(0,$B95-((E$5&lt;AC$5)*F95+(K$5&lt;AC$5)*L95+(Q$5&lt;AC$5)*R95+(W$5&lt;AC$5)*X95+(AI$5&lt;AC$5)*AJ95+(AO$5&lt;AC$5)*AP95+(AU$5&lt;AC$5)*AV95)))</f>
        <v/>
      </c>
      <c r="AF95">
        <f>IF(AD95-AE95&lt;0.005,0,AD95-AE95)</f>
        <v/>
      </c>
      <c r="AG95">
        <f>AL94</f>
        <v/>
      </c>
      <c r="AH95">
        <f>AG95*Plan!D11/100/12</f>
        <v/>
      </c>
      <c r="AI95">
        <f>MIN(Plan!E11,AG95+AH95)</f>
        <v/>
      </c>
      <c r="AJ95">
        <f>AG95+AH95-AI95</f>
        <v/>
      </c>
      <c r="AK95">
        <f>MIN(AJ95,MAX(0,$B95-((E$5&lt;AI$5)*F95+(K$5&lt;AI$5)*L95+(Q$5&lt;AI$5)*R95+(W$5&lt;AI$5)*X95+(AC$5&lt;AI$5)*AD95+(AO$5&lt;AI$5)*AP95+(AU$5&lt;AI$5)*AV95)))</f>
        <v/>
      </c>
      <c r="AL95">
        <f>IF(AJ95-AK95&lt;0.005,0,AJ95-AK95)</f>
        <v/>
      </c>
      <c r="AM95">
        <f>AR94</f>
        <v/>
      </c>
      <c r="AN95">
        <f>AM95*Plan!D12/100/12</f>
        <v/>
      </c>
      <c r="AO95">
        <f>MIN(Plan!E12,AM95+AN95)</f>
        <v/>
      </c>
      <c r="AP95">
        <f>AM95+AN95-AO95</f>
        <v/>
      </c>
      <c r="AQ95">
        <f>MIN(AP95,MAX(0,$B95-((E$5&lt;AO$5)*F95+(K$5&lt;AO$5)*L95+(Q$5&lt;AO$5)*R95+(W$5&lt;AO$5)*X95+(AC$5&lt;AO$5)*AD95+(AI$5&lt;AO$5)*AJ95+(AU$5&lt;AO$5)*AV95)))</f>
        <v/>
      </c>
      <c r="AR95">
        <f>IF(AP95-AQ95&lt;0.005,0,AP95-AQ95)</f>
        <v/>
      </c>
      <c r="AS95">
        <f>AX94</f>
        <v/>
      </c>
      <c r="AT95">
        <f>AS95*Plan!D13/100/12</f>
        <v/>
      </c>
      <c r="AU95">
        <f>MIN(Plan!E13,AS95+AT95)</f>
        <v/>
      </c>
      <c r="AV95">
        <f>AS95+AT95-AU95</f>
        <v/>
      </c>
      <c r="AW95">
        <f>MIN(AV95,MAX(0,$B95-((E$5&lt;AU$5)*F95+(K$5&lt;AU$5)*L95+(Q$5&lt;AU$5)*R95+(W$5&lt;AU$5)*X95+(AC$5&lt;AU$5)*AD95+(AI$5&lt;AU$5)*AJ95+(AO$5&lt;AU$5)*AP95)))</f>
        <v/>
      </c>
      <c r="AX95">
        <f>IF(AV95-AW95&lt;0.005,0,AV95-AW95)</f>
        <v/>
      </c>
      <c r="BC95">
        <f>H95+N95+T95+Z95+AF95+AL95+AR95+AX95</f>
        <v/>
      </c>
    </row>
    <row r="96">
      <c r="A96" t="n">
        <v>90</v>
      </c>
      <c r="B96" s="19">
        <f>MAX(0,$B$3-(E96+K96+Q96+W96+AC96+AI96+AO96+AU96))</f>
        <v/>
      </c>
      <c r="C96">
        <f>H95</f>
        <v/>
      </c>
      <c r="D96">
        <f>C96*Plan!D6/100/12</f>
        <v/>
      </c>
      <c r="E96">
        <f>MIN(Plan!E6,C96+D96)</f>
        <v/>
      </c>
      <c r="F96">
        <f>C96+D96-E96</f>
        <v/>
      </c>
      <c r="G96">
        <f>MIN(F96,MAX(0,$B96-((K$5&lt;E$5)*L96+(Q$5&lt;E$5)*R96+(W$5&lt;E$5)*X96+(AC$5&lt;E$5)*AD96+(AI$5&lt;E$5)*AJ96+(AO$5&lt;E$5)*AP96+(AU$5&lt;E$5)*AV96)))</f>
        <v/>
      </c>
      <c r="H96">
        <f>IF(F96-G96&lt;0.005,0,F96-G96)</f>
        <v/>
      </c>
      <c r="I96">
        <f>N95</f>
        <v/>
      </c>
      <c r="J96">
        <f>I96*Plan!D7/100/12</f>
        <v/>
      </c>
      <c r="K96">
        <f>MIN(Plan!E7,I96+J96)</f>
        <v/>
      </c>
      <c r="L96">
        <f>I96+J96-K96</f>
        <v/>
      </c>
      <c r="M96">
        <f>MIN(L96,MAX(0,$B96-((E$5&lt;K$5)*F96+(Q$5&lt;K$5)*R96+(W$5&lt;K$5)*X96+(AC$5&lt;K$5)*AD96+(AI$5&lt;K$5)*AJ96+(AO$5&lt;K$5)*AP96+(AU$5&lt;K$5)*AV96)))</f>
        <v/>
      </c>
      <c r="N96">
        <f>IF(L96-M96&lt;0.005,0,L96-M96)</f>
        <v/>
      </c>
      <c r="O96">
        <f>T95</f>
        <v/>
      </c>
      <c r="P96">
        <f>O96*Plan!D8/100/12</f>
        <v/>
      </c>
      <c r="Q96">
        <f>MIN(Plan!E8,O96+P96)</f>
        <v/>
      </c>
      <c r="R96">
        <f>O96+P96-Q96</f>
        <v/>
      </c>
      <c r="S96">
        <f>MIN(R96,MAX(0,$B96-((E$5&lt;Q$5)*F96+(K$5&lt;Q$5)*L96+(W$5&lt;Q$5)*X96+(AC$5&lt;Q$5)*AD96+(AI$5&lt;Q$5)*AJ96+(AO$5&lt;Q$5)*AP96+(AU$5&lt;Q$5)*AV96)))</f>
        <v/>
      </c>
      <c r="T96">
        <f>IF(R96-S96&lt;0.005,0,R96-S96)</f>
        <v/>
      </c>
      <c r="U96">
        <f>Z95</f>
        <v/>
      </c>
      <c r="V96">
        <f>U96*Plan!D9/100/12</f>
        <v/>
      </c>
      <c r="W96">
        <f>MIN(Plan!E9,U96+V96)</f>
        <v/>
      </c>
      <c r="X96">
        <f>U96+V96-W96</f>
        <v/>
      </c>
      <c r="Y96">
        <f>MIN(X96,MAX(0,$B96-((E$5&lt;W$5)*F96+(K$5&lt;W$5)*L96+(Q$5&lt;W$5)*R96+(AC$5&lt;W$5)*AD96+(AI$5&lt;W$5)*AJ96+(AO$5&lt;W$5)*AP96+(AU$5&lt;W$5)*AV96)))</f>
        <v/>
      </c>
      <c r="Z96">
        <f>IF(X96-Y96&lt;0.005,0,X96-Y96)</f>
        <v/>
      </c>
      <c r="AA96">
        <f>AF95</f>
        <v/>
      </c>
      <c r="AB96">
        <f>AA96*Plan!D10/100/12</f>
        <v/>
      </c>
      <c r="AC96">
        <f>MIN(Plan!E10,AA96+AB96)</f>
        <v/>
      </c>
      <c r="AD96">
        <f>AA96+AB96-AC96</f>
        <v/>
      </c>
      <c r="AE96">
        <f>MIN(AD96,MAX(0,$B96-((E$5&lt;AC$5)*F96+(K$5&lt;AC$5)*L96+(Q$5&lt;AC$5)*R96+(W$5&lt;AC$5)*X96+(AI$5&lt;AC$5)*AJ96+(AO$5&lt;AC$5)*AP96+(AU$5&lt;AC$5)*AV96)))</f>
        <v/>
      </c>
      <c r="AF96">
        <f>IF(AD96-AE96&lt;0.005,0,AD96-AE96)</f>
        <v/>
      </c>
      <c r="AG96">
        <f>AL95</f>
        <v/>
      </c>
      <c r="AH96">
        <f>AG96*Plan!D11/100/12</f>
        <v/>
      </c>
      <c r="AI96">
        <f>MIN(Plan!E11,AG96+AH96)</f>
        <v/>
      </c>
      <c r="AJ96">
        <f>AG96+AH96-AI96</f>
        <v/>
      </c>
      <c r="AK96">
        <f>MIN(AJ96,MAX(0,$B96-((E$5&lt;AI$5)*F96+(K$5&lt;AI$5)*L96+(Q$5&lt;AI$5)*R96+(W$5&lt;AI$5)*X96+(AC$5&lt;AI$5)*AD96+(AO$5&lt;AI$5)*AP96+(AU$5&lt;AI$5)*AV96)))</f>
        <v/>
      </c>
      <c r="AL96">
        <f>IF(AJ96-AK96&lt;0.005,0,AJ96-AK96)</f>
        <v/>
      </c>
      <c r="AM96">
        <f>AR95</f>
        <v/>
      </c>
      <c r="AN96">
        <f>AM96*Plan!D12/100/12</f>
        <v/>
      </c>
      <c r="AO96">
        <f>MIN(Plan!E12,AM96+AN96)</f>
        <v/>
      </c>
      <c r="AP96">
        <f>AM96+AN96-AO96</f>
        <v/>
      </c>
      <c r="AQ96">
        <f>MIN(AP96,MAX(0,$B96-((E$5&lt;AO$5)*F96+(K$5&lt;AO$5)*L96+(Q$5&lt;AO$5)*R96+(W$5&lt;AO$5)*X96+(AC$5&lt;AO$5)*AD96+(AI$5&lt;AO$5)*AJ96+(AU$5&lt;AO$5)*AV96)))</f>
        <v/>
      </c>
      <c r="AR96">
        <f>IF(AP96-AQ96&lt;0.005,0,AP96-AQ96)</f>
        <v/>
      </c>
      <c r="AS96">
        <f>AX95</f>
        <v/>
      </c>
      <c r="AT96">
        <f>AS96*Plan!D13/100/12</f>
        <v/>
      </c>
      <c r="AU96">
        <f>MIN(Plan!E13,AS96+AT96)</f>
        <v/>
      </c>
      <c r="AV96">
        <f>AS96+AT96-AU96</f>
        <v/>
      </c>
      <c r="AW96">
        <f>MIN(AV96,MAX(0,$B96-((E$5&lt;AU$5)*F96+(K$5&lt;AU$5)*L96+(Q$5&lt;AU$5)*R96+(W$5&lt;AU$5)*X96+(AC$5&lt;AU$5)*AD96+(AI$5&lt;AU$5)*AJ96+(AO$5&lt;AU$5)*AP96)))</f>
        <v/>
      </c>
      <c r="AX96">
        <f>IF(AV96-AW96&lt;0.005,0,AV96-AW96)</f>
        <v/>
      </c>
      <c r="BC96">
        <f>H96+N96+T96+Z96+AF96+AL96+AR96+AX96</f>
        <v/>
      </c>
    </row>
    <row r="97">
      <c r="A97" t="n">
        <v>91</v>
      </c>
      <c r="B97" s="19">
        <f>MAX(0,$B$3-(E97+K97+Q97+W97+AC97+AI97+AO97+AU97))</f>
        <v/>
      </c>
      <c r="C97">
        <f>H96</f>
        <v/>
      </c>
      <c r="D97">
        <f>C97*Plan!D6/100/12</f>
        <v/>
      </c>
      <c r="E97">
        <f>MIN(Plan!E6,C97+D97)</f>
        <v/>
      </c>
      <c r="F97">
        <f>C97+D97-E97</f>
        <v/>
      </c>
      <c r="G97">
        <f>MIN(F97,MAX(0,$B97-((K$5&lt;E$5)*L97+(Q$5&lt;E$5)*R97+(W$5&lt;E$5)*X97+(AC$5&lt;E$5)*AD97+(AI$5&lt;E$5)*AJ97+(AO$5&lt;E$5)*AP97+(AU$5&lt;E$5)*AV97)))</f>
        <v/>
      </c>
      <c r="H97">
        <f>IF(F97-G97&lt;0.005,0,F97-G97)</f>
        <v/>
      </c>
      <c r="I97">
        <f>N96</f>
        <v/>
      </c>
      <c r="J97">
        <f>I97*Plan!D7/100/12</f>
        <v/>
      </c>
      <c r="K97">
        <f>MIN(Plan!E7,I97+J97)</f>
        <v/>
      </c>
      <c r="L97">
        <f>I97+J97-K97</f>
        <v/>
      </c>
      <c r="M97">
        <f>MIN(L97,MAX(0,$B97-((E$5&lt;K$5)*F97+(Q$5&lt;K$5)*R97+(W$5&lt;K$5)*X97+(AC$5&lt;K$5)*AD97+(AI$5&lt;K$5)*AJ97+(AO$5&lt;K$5)*AP97+(AU$5&lt;K$5)*AV97)))</f>
        <v/>
      </c>
      <c r="N97">
        <f>IF(L97-M97&lt;0.005,0,L97-M97)</f>
        <v/>
      </c>
      <c r="O97">
        <f>T96</f>
        <v/>
      </c>
      <c r="P97">
        <f>O97*Plan!D8/100/12</f>
        <v/>
      </c>
      <c r="Q97">
        <f>MIN(Plan!E8,O97+P97)</f>
        <v/>
      </c>
      <c r="R97">
        <f>O97+P97-Q97</f>
        <v/>
      </c>
      <c r="S97">
        <f>MIN(R97,MAX(0,$B97-((E$5&lt;Q$5)*F97+(K$5&lt;Q$5)*L97+(W$5&lt;Q$5)*X97+(AC$5&lt;Q$5)*AD97+(AI$5&lt;Q$5)*AJ97+(AO$5&lt;Q$5)*AP97+(AU$5&lt;Q$5)*AV97)))</f>
        <v/>
      </c>
      <c r="T97">
        <f>IF(R97-S97&lt;0.005,0,R97-S97)</f>
        <v/>
      </c>
      <c r="U97">
        <f>Z96</f>
        <v/>
      </c>
      <c r="V97">
        <f>U97*Plan!D9/100/12</f>
        <v/>
      </c>
      <c r="W97">
        <f>MIN(Plan!E9,U97+V97)</f>
        <v/>
      </c>
      <c r="X97">
        <f>U97+V97-W97</f>
        <v/>
      </c>
      <c r="Y97">
        <f>MIN(X97,MAX(0,$B97-((E$5&lt;W$5)*F97+(K$5&lt;W$5)*L97+(Q$5&lt;W$5)*R97+(AC$5&lt;W$5)*AD97+(AI$5&lt;W$5)*AJ97+(AO$5&lt;W$5)*AP97+(AU$5&lt;W$5)*AV97)))</f>
        <v/>
      </c>
      <c r="Z97">
        <f>IF(X97-Y97&lt;0.005,0,X97-Y97)</f>
        <v/>
      </c>
      <c r="AA97">
        <f>AF96</f>
        <v/>
      </c>
      <c r="AB97">
        <f>AA97*Plan!D10/100/12</f>
        <v/>
      </c>
      <c r="AC97">
        <f>MIN(Plan!E10,AA97+AB97)</f>
        <v/>
      </c>
      <c r="AD97">
        <f>AA97+AB97-AC97</f>
        <v/>
      </c>
      <c r="AE97">
        <f>MIN(AD97,MAX(0,$B97-((E$5&lt;AC$5)*F97+(K$5&lt;AC$5)*L97+(Q$5&lt;AC$5)*R97+(W$5&lt;AC$5)*X97+(AI$5&lt;AC$5)*AJ97+(AO$5&lt;AC$5)*AP97+(AU$5&lt;AC$5)*AV97)))</f>
        <v/>
      </c>
      <c r="AF97">
        <f>IF(AD97-AE97&lt;0.005,0,AD97-AE97)</f>
        <v/>
      </c>
      <c r="AG97">
        <f>AL96</f>
        <v/>
      </c>
      <c r="AH97">
        <f>AG97*Plan!D11/100/12</f>
        <v/>
      </c>
      <c r="AI97">
        <f>MIN(Plan!E11,AG97+AH97)</f>
        <v/>
      </c>
      <c r="AJ97">
        <f>AG97+AH97-AI97</f>
        <v/>
      </c>
      <c r="AK97">
        <f>MIN(AJ97,MAX(0,$B97-((E$5&lt;AI$5)*F97+(K$5&lt;AI$5)*L97+(Q$5&lt;AI$5)*R97+(W$5&lt;AI$5)*X97+(AC$5&lt;AI$5)*AD97+(AO$5&lt;AI$5)*AP97+(AU$5&lt;AI$5)*AV97)))</f>
        <v/>
      </c>
      <c r="AL97">
        <f>IF(AJ97-AK97&lt;0.005,0,AJ97-AK97)</f>
        <v/>
      </c>
      <c r="AM97">
        <f>AR96</f>
        <v/>
      </c>
      <c r="AN97">
        <f>AM97*Plan!D12/100/12</f>
        <v/>
      </c>
      <c r="AO97">
        <f>MIN(Plan!E12,AM97+AN97)</f>
        <v/>
      </c>
      <c r="AP97">
        <f>AM97+AN97-AO97</f>
        <v/>
      </c>
      <c r="AQ97">
        <f>MIN(AP97,MAX(0,$B97-((E$5&lt;AO$5)*F97+(K$5&lt;AO$5)*L97+(Q$5&lt;AO$5)*R97+(W$5&lt;AO$5)*X97+(AC$5&lt;AO$5)*AD97+(AI$5&lt;AO$5)*AJ97+(AU$5&lt;AO$5)*AV97)))</f>
        <v/>
      </c>
      <c r="AR97">
        <f>IF(AP97-AQ97&lt;0.005,0,AP97-AQ97)</f>
        <v/>
      </c>
      <c r="AS97">
        <f>AX96</f>
        <v/>
      </c>
      <c r="AT97">
        <f>AS97*Plan!D13/100/12</f>
        <v/>
      </c>
      <c r="AU97">
        <f>MIN(Plan!E13,AS97+AT97)</f>
        <v/>
      </c>
      <c r="AV97">
        <f>AS97+AT97-AU97</f>
        <v/>
      </c>
      <c r="AW97">
        <f>MIN(AV97,MAX(0,$B97-((E$5&lt;AU$5)*F97+(K$5&lt;AU$5)*L97+(Q$5&lt;AU$5)*R97+(W$5&lt;AU$5)*X97+(AC$5&lt;AU$5)*AD97+(AI$5&lt;AU$5)*AJ97+(AO$5&lt;AU$5)*AP97)))</f>
        <v/>
      </c>
      <c r="AX97">
        <f>IF(AV97-AW97&lt;0.005,0,AV97-AW97)</f>
        <v/>
      </c>
      <c r="BC97">
        <f>H97+N97+T97+Z97+AF97+AL97+AR97+AX97</f>
        <v/>
      </c>
    </row>
    <row r="98">
      <c r="A98" t="n">
        <v>92</v>
      </c>
      <c r="B98" s="19">
        <f>MAX(0,$B$3-(E98+K98+Q98+W98+AC98+AI98+AO98+AU98))</f>
        <v/>
      </c>
      <c r="C98">
        <f>H97</f>
        <v/>
      </c>
      <c r="D98">
        <f>C98*Plan!D6/100/12</f>
        <v/>
      </c>
      <c r="E98">
        <f>MIN(Plan!E6,C98+D98)</f>
        <v/>
      </c>
      <c r="F98">
        <f>C98+D98-E98</f>
        <v/>
      </c>
      <c r="G98">
        <f>MIN(F98,MAX(0,$B98-((K$5&lt;E$5)*L98+(Q$5&lt;E$5)*R98+(W$5&lt;E$5)*X98+(AC$5&lt;E$5)*AD98+(AI$5&lt;E$5)*AJ98+(AO$5&lt;E$5)*AP98+(AU$5&lt;E$5)*AV98)))</f>
        <v/>
      </c>
      <c r="H98">
        <f>IF(F98-G98&lt;0.005,0,F98-G98)</f>
        <v/>
      </c>
      <c r="I98">
        <f>N97</f>
        <v/>
      </c>
      <c r="J98">
        <f>I98*Plan!D7/100/12</f>
        <v/>
      </c>
      <c r="K98">
        <f>MIN(Plan!E7,I98+J98)</f>
        <v/>
      </c>
      <c r="L98">
        <f>I98+J98-K98</f>
        <v/>
      </c>
      <c r="M98">
        <f>MIN(L98,MAX(0,$B98-((E$5&lt;K$5)*F98+(Q$5&lt;K$5)*R98+(W$5&lt;K$5)*X98+(AC$5&lt;K$5)*AD98+(AI$5&lt;K$5)*AJ98+(AO$5&lt;K$5)*AP98+(AU$5&lt;K$5)*AV98)))</f>
        <v/>
      </c>
      <c r="N98">
        <f>IF(L98-M98&lt;0.005,0,L98-M98)</f>
        <v/>
      </c>
      <c r="O98">
        <f>T97</f>
        <v/>
      </c>
      <c r="P98">
        <f>O98*Plan!D8/100/12</f>
        <v/>
      </c>
      <c r="Q98">
        <f>MIN(Plan!E8,O98+P98)</f>
        <v/>
      </c>
      <c r="R98">
        <f>O98+P98-Q98</f>
        <v/>
      </c>
      <c r="S98">
        <f>MIN(R98,MAX(0,$B98-((E$5&lt;Q$5)*F98+(K$5&lt;Q$5)*L98+(W$5&lt;Q$5)*X98+(AC$5&lt;Q$5)*AD98+(AI$5&lt;Q$5)*AJ98+(AO$5&lt;Q$5)*AP98+(AU$5&lt;Q$5)*AV98)))</f>
        <v/>
      </c>
      <c r="T98">
        <f>IF(R98-S98&lt;0.005,0,R98-S98)</f>
        <v/>
      </c>
      <c r="U98">
        <f>Z97</f>
        <v/>
      </c>
      <c r="V98">
        <f>U98*Plan!D9/100/12</f>
        <v/>
      </c>
      <c r="W98">
        <f>MIN(Plan!E9,U98+V98)</f>
        <v/>
      </c>
      <c r="X98">
        <f>U98+V98-W98</f>
        <v/>
      </c>
      <c r="Y98">
        <f>MIN(X98,MAX(0,$B98-((E$5&lt;W$5)*F98+(K$5&lt;W$5)*L98+(Q$5&lt;W$5)*R98+(AC$5&lt;W$5)*AD98+(AI$5&lt;W$5)*AJ98+(AO$5&lt;W$5)*AP98+(AU$5&lt;W$5)*AV98)))</f>
        <v/>
      </c>
      <c r="Z98">
        <f>IF(X98-Y98&lt;0.005,0,X98-Y98)</f>
        <v/>
      </c>
      <c r="AA98">
        <f>AF97</f>
        <v/>
      </c>
      <c r="AB98">
        <f>AA98*Plan!D10/100/12</f>
        <v/>
      </c>
      <c r="AC98">
        <f>MIN(Plan!E10,AA98+AB98)</f>
        <v/>
      </c>
      <c r="AD98">
        <f>AA98+AB98-AC98</f>
        <v/>
      </c>
      <c r="AE98">
        <f>MIN(AD98,MAX(0,$B98-((E$5&lt;AC$5)*F98+(K$5&lt;AC$5)*L98+(Q$5&lt;AC$5)*R98+(W$5&lt;AC$5)*X98+(AI$5&lt;AC$5)*AJ98+(AO$5&lt;AC$5)*AP98+(AU$5&lt;AC$5)*AV98)))</f>
        <v/>
      </c>
      <c r="AF98">
        <f>IF(AD98-AE98&lt;0.005,0,AD98-AE98)</f>
        <v/>
      </c>
      <c r="AG98">
        <f>AL97</f>
        <v/>
      </c>
      <c r="AH98">
        <f>AG98*Plan!D11/100/12</f>
        <v/>
      </c>
      <c r="AI98">
        <f>MIN(Plan!E11,AG98+AH98)</f>
        <v/>
      </c>
      <c r="AJ98">
        <f>AG98+AH98-AI98</f>
        <v/>
      </c>
      <c r="AK98">
        <f>MIN(AJ98,MAX(0,$B98-((E$5&lt;AI$5)*F98+(K$5&lt;AI$5)*L98+(Q$5&lt;AI$5)*R98+(W$5&lt;AI$5)*X98+(AC$5&lt;AI$5)*AD98+(AO$5&lt;AI$5)*AP98+(AU$5&lt;AI$5)*AV98)))</f>
        <v/>
      </c>
      <c r="AL98">
        <f>IF(AJ98-AK98&lt;0.005,0,AJ98-AK98)</f>
        <v/>
      </c>
      <c r="AM98">
        <f>AR97</f>
        <v/>
      </c>
      <c r="AN98">
        <f>AM98*Plan!D12/100/12</f>
        <v/>
      </c>
      <c r="AO98">
        <f>MIN(Plan!E12,AM98+AN98)</f>
        <v/>
      </c>
      <c r="AP98">
        <f>AM98+AN98-AO98</f>
        <v/>
      </c>
      <c r="AQ98">
        <f>MIN(AP98,MAX(0,$B98-((E$5&lt;AO$5)*F98+(K$5&lt;AO$5)*L98+(Q$5&lt;AO$5)*R98+(W$5&lt;AO$5)*X98+(AC$5&lt;AO$5)*AD98+(AI$5&lt;AO$5)*AJ98+(AU$5&lt;AO$5)*AV98)))</f>
        <v/>
      </c>
      <c r="AR98">
        <f>IF(AP98-AQ98&lt;0.005,0,AP98-AQ98)</f>
        <v/>
      </c>
      <c r="AS98">
        <f>AX97</f>
        <v/>
      </c>
      <c r="AT98">
        <f>AS98*Plan!D13/100/12</f>
        <v/>
      </c>
      <c r="AU98">
        <f>MIN(Plan!E13,AS98+AT98)</f>
        <v/>
      </c>
      <c r="AV98">
        <f>AS98+AT98-AU98</f>
        <v/>
      </c>
      <c r="AW98">
        <f>MIN(AV98,MAX(0,$B98-((E$5&lt;AU$5)*F98+(K$5&lt;AU$5)*L98+(Q$5&lt;AU$5)*R98+(W$5&lt;AU$5)*X98+(AC$5&lt;AU$5)*AD98+(AI$5&lt;AU$5)*AJ98+(AO$5&lt;AU$5)*AP98)))</f>
        <v/>
      </c>
      <c r="AX98">
        <f>IF(AV98-AW98&lt;0.005,0,AV98-AW98)</f>
        <v/>
      </c>
      <c r="BC98">
        <f>H98+N98+T98+Z98+AF98+AL98+AR98+AX98</f>
        <v/>
      </c>
    </row>
    <row r="99">
      <c r="A99" t="n">
        <v>93</v>
      </c>
      <c r="B99" s="19">
        <f>MAX(0,$B$3-(E99+K99+Q99+W99+AC99+AI99+AO99+AU99))</f>
        <v/>
      </c>
      <c r="C99">
        <f>H98</f>
        <v/>
      </c>
      <c r="D99">
        <f>C99*Plan!D6/100/12</f>
        <v/>
      </c>
      <c r="E99">
        <f>MIN(Plan!E6,C99+D99)</f>
        <v/>
      </c>
      <c r="F99">
        <f>C99+D99-E99</f>
        <v/>
      </c>
      <c r="G99">
        <f>MIN(F99,MAX(0,$B99-((K$5&lt;E$5)*L99+(Q$5&lt;E$5)*R99+(W$5&lt;E$5)*X99+(AC$5&lt;E$5)*AD99+(AI$5&lt;E$5)*AJ99+(AO$5&lt;E$5)*AP99+(AU$5&lt;E$5)*AV99)))</f>
        <v/>
      </c>
      <c r="H99">
        <f>IF(F99-G99&lt;0.005,0,F99-G99)</f>
        <v/>
      </c>
      <c r="I99">
        <f>N98</f>
        <v/>
      </c>
      <c r="J99">
        <f>I99*Plan!D7/100/12</f>
        <v/>
      </c>
      <c r="K99">
        <f>MIN(Plan!E7,I99+J99)</f>
        <v/>
      </c>
      <c r="L99">
        <f>I99+J99-K99</f>
        <v/>
      </c>
      <c r="M99">
        <f>MIN(L99,MAX(0,$B99-((E$5&lt;K$5)*F99+(Q$5&lt;K$5)*R99+(W$5&lt;K$5)*X99+(AC$5&lt;K$5)*AD99+(AI$5&lt;K$5)*AJ99+(AO$5&lt;K$5)*AP99+(AU$5&lt;K$5)*AV99)))</f>
        <v/>
      </c>
      <c r="N99">
        <f>IF(L99-M99&lt;0.005,0,L99-M99)</f>
        <v/>
      </c>
      <c r="O99">
        <f>T98</f>
        <v/>
      </c>
      <c r="P99">
        <f>O99*Plan!D8/100/12</f>
        <v/>
      </c>
      <c r="Q99">
        <f>MIN(Plan!E8,O99+P99)</f>
        <v/>
      </c>
      <c r="R99">
        <f>O99+P99-Q99</f>
        <v/>
      </c>
      <c r="S99">
        <f>MIN(R99,MAX(0,$B99-((E$5&lt;Q$5)*F99+(K$5&lt;Q$5)*L99+(W$5&lt;Q$5)*X99+(AC$5&lt;Q$5)*AD99+(AI$5&lt;Q$5)*AJ99+(AO$5&lt;Q$5)*AP99+(AU$5&lt;Q$5)*AV99)))</f>
        <v/>
      </c>
      <c r="T99">
        <f>IF(R99-S99&lt;0.005,0,R99-S99)</f>
        <v/>
      </c>
      <c r="U99">
        <f>Z98</f>
        <v/>
      </c>
      <c r="V99">
        <f>U99*Plan!D9/100/12</f>
        <v/>
      </c>
      <c r="W99">
        <f>MIN(Plan!E9,U99+V99)</f>
        <v/>
      </c>
      <c r="X99">
        <f>U99+V99-W99</f>
        <v/>
      </c>
      <c r="Y99">
        <f>MIN(X99,MAX(0,$B99-((E$5&lt;W$5)*F99+(K$5&lt;W$5)*L99+(Q$5&lt;W$5)*R99+(AC$5&lt;W$5)*AD99+(AI$5&lt;W$5)*AJ99+(AO$5&lt;W$5)*AP99+(AU$5&lt;W$5)*AV99)))</f>
        <v/>
      </c>
      <c r="Z99">
        <f>IF(X99-Y99&lt;0.005,0,X99-Y99)</f>
        <v/>
      </c>
      <c r="AA99">
        <f>AF98</f>
        <v/>
      </c>
      <c r="AB99">
        <f>AA99*Plan!D10/100/12</f>
        <v/>
      </c>
      <c r="AC99">
        <f>MIN(Plan!E10,AA99+AB99)</f>
        <v/>
      </c>
      <c r="AD99">
        <f>AA99+AB99-AC99</f>
        <v/>
      </c>
      <c r="AE99">
        <f>MIN(AD99,MAX(0,$B99-((E$5&lt;AC$5)*F99+(K$5&lt;AC$5)*L99+(Q$5&lt;AC$5)*R99+(W$5&lt;AC$5)*X99+(AI$5&lt;AC$5)*AJ99+(AO$5&lt;AC$5)*AP99+(AU$5&lt;AC$5)*AV99)))</f>
        <v/>
      </c>
      <c r="AF99">
        <f>IF(AD99-AE99&lt;0.005,0,AD99-AE99)</f>
        <v/>
      </c>
      <c r="AG99">
        <f>AL98</f>
        <v/>
      </c>
      <c r="AH99">
        <f>AG99*Plan!D11/100/12</f>
        <v/>
      </c>
      <c r="AI99">
        <f>MIN(Plan!E11,AG99+AH99)</f>
        <v/>
      </c>
      <c r="AJ99">
        <f>AG99+AH99-AI99</f>
        <v/>
      </c>
      <c r="AK99">
        <f>MIN(AJ99,MAX(0,$B99-((E$5&lt;AI$5)*F99+(K$5&lt;AI$5)*L99+(Q$5&lt;AI$5)*R99+(W$5&lt;AI$5)*X99+(AC$5&lt;AI$5)*AD99+(AO$5&lt;AI$5)*AP99+(AU$5&lt;AI$5)*AV99)))</f>
        <v/>
      </c>
      <c r="AL99">
        <f>IF(AJ99-AK99&lt;0.005,0,AJ99-AK99)</f>
        <v/>
      </c>
      <c r="AM99">
        <f>AR98</f>
        <v/>
      </c>
      <c r="AN99">
        <f>AM99*Plan!D12/100/12</f>
        <v/>
      </c>
      <c r="AO99">
        <f>MIN(Plan!E12,AM99+AN99)</f>
        <v/>
      </c>
      <c r="AP99">
        <f>AM99+AN99-AO99</f>
        <v/>
      </c>
      <c r="AQ99">
        <f>MIN(AP99,MAX(0,$B99-((E$5&lt;AO$5)*F99+(K$5&lt;AO$5)*L99+(Q$5&lt;AO$5)*R99+(W$5&lt;AO$5)*X99+(AC$5&lt;AO$5)*AD99+(AI$5&lt;AO$5)*AJ99+(AU$5&lt;AO$5)*AV99)))</f>
        <v/>
      </c>
      <c r="AR99">
        <f>IF(AP99-AQ99&lt;0.005,0,AP99-AQ99)</f>
        <v/>
      </c>
      <c r="AS99">
        <f>AX98</f>
        <v/>
      </c>
      <c r="AT99">
        <f>AS99*Plan!D13/100/12</f>
        <v/>
      </c>
      <c r="AU99">
        <f>MIN(Plan!E13,AS99+AT99)</f>
        <v/>
      </c>
      <c r="AV99">
        <f>AS99+AT99-AU99</f>
        <v/>
      </c>
      <c r="AW99">
        <f>MIN(AV99,MAX(0,$B99-((E$5&lt;AU$5)*F99+(K$5&lt;AU$5)*L99+(Q$5&lt;AU$5)*R99+(W$5&lt;AU$5)*X99+(AC$5&lt;AU$5)*AD99+(AI$5&lt;AU$5)*AJ99+(AO$5&lt;AU$5)*AP99)))</f>
        <v/>
      </c>
      <c r="AX99">
        <f>IF(AV99-AW99&lt;0.005,0,AV99-AW99)</f>
        <v/>
      </c>
      <c r="BC99">
        <f>H99+N99+T99+Z99+AF99+AL99+AR99+AX99</f>
        <v/>
      </c>
    </row>
    <row r="100">
      <c r="A100" t="n">
        <v>94</v>
      </c>
      <c r="B100" s="19">
        <f>MAX(0,$B$3-(E100+K100+Q100+W100+AC100+AI100+AO100+AU100))</f>
        <v/>
      </c>
      <c r="C100">
        <f>H99</f>
        <v/>
      </c>
      <c r="D100">
        <f>C100*Plan!D6/100/12</f>
        <v/>
      </c>
      <c r="E100">
        <f>MIN(Plan!E6,C100+D100)</f>
        <v/>
      </c>
      <c r="F100">
        <f>C100+D100-E100</f>
        <v/>
      </c>
      <c r="G100">
        <f>MIN(F100,MAX(0,$B100-((K$5&lt;E$5)*L100+(Q$5&lt;E$5)*R100+(W$5&lt;E$5)*X100+(AC$5&lt;E$5)*AD100+(AI$5&lt;E$5)*AJ100+(AO$5&lt;E$5)*AP100+(AU$5&lt;E$5)*AV100)))</f>
        <v/>
      </c>
      <c r="H100">
        <f>IF(F100-G100&lt;0.005,0,F100-G100)</f>
        <v/>
      </c>
      <c r="I100">
        <f>N99</f>
        <v/>
      </c>
      <c r="J100">
        <f>I100*Plan!D7/100/12</f>
        <v/>
      </c>
      <c r="K100">
        <f>MIN(Plan!E7,I100+J100)</f>
        <v/>
      </c>
      <c r="L100">
        <f>I100+J100-K100</f>
        <v/>
      </c>
      <c r="M100">
        <f>MIN(L100,MAX(0,$B100-((E$5&lt;K$5)*F100+(Q$5&lt;K$5)*R100+(W$5&lt;K$5)*X100+(AC$5&lt;K$5)*AD100+(AI$5&lt;K$5)*AJ100+(AO$5&lt;K$5)*AP100+(AU$5&lt;K$5)*AV100)))</f>
        <v/>
      </c>
      <c r="N100">
        <f>IF(L100-M100&lt;0.005,0,L100-M100)</f>
        <v/>
      </c>
      <c r="O100">
        <f>T99</f>
        <v/>
      </c>
      <c r="P100">
        <f>O100*Plan!D8/100/12</f>
        <v/>
      </c>
      <c r="Q100">
        <f>MIN(Plan!E8,O100+P100)</f>
        <v/>
      </c>
      <c r="R100">
        <f>O100+P100-Q100</f>
        <v/>
      </c>
      <c r="S100">
        <f>MIN(R100,MAX(0,$B100-((E$5&lt;Q$5)*F100+(K$5&lt;Q$5)*L100+(W$5&lt;Q$5)*X100+(AC$5&lt;Q$5)*AD100+(AI$5&lt;Q$5)*AJ100+(AO$5&lt;Q$5)*AP100+(AU$5&lt;Q$5)*AV100)))</f>
        <v/>
      </c>
      <c r="T100">
        <f>IF(R100-S100&lt;0.005,0,R100-S100)</f>
        <v/>
      </c>
      <c r="U100">
        <f>Z99</f>
        <v/>
      </c>
      <c r="V100">
        <f>U100*Plan!D9/100/12</f>
        <v/>
      </c>
      <c r="W100">
        <f>MIN(Plan!E9,U100+V100)</f>
        <v/>
      </c>
      <c r="X100">
        <f>U100+V100-W100</f>
        <v/>
      </c>
      <c r="Y100">
        <f>MIN(X100,MAX(0,$B100-((E$5&lt;W$5)*F100+(K$5&lt;W$5)*L100+(Q$5&lt;W$5)*R100+(AC$5&lt;W$5)*AD100+(AI$5&lt;W$5)*AJ100+(AO$5&lt;W$5)*AP100+(AU$5&lt;W$5)*AV100)))</f>
        <v/>
      </c>
      <c r="Z100">
        <f>IF(X100-Y100&lt;0.005,0,X100-Y100)</f>
        <v/>
      </c>
      <c r="AA100">
        <f>AF99</f>
        <v/>
      </c>
      <c r="AB100">
        <f>AA100*Plan!D10/100/12</f>
        <v/>
      </c>
      <c r="AC100">
        <f>MIN(Plan!E10,AA100+AB100)</f>
        <v/>
      </c>
      <c r="AD100">
        <f>AA100+AB100-AC100</f>
        <v/>
      </c>
      <c r="AE100">
        <f>MIN(AD100,MAX(0,$B100-((E$5&lt;AC$5)*F100+(K$5&lt;AC$5)*L100+(Q$5&lt;AC$5)*R100+(W$5&lt;AC$5)*X100+(AI$5&lt;AC$5)*AJ100+(AO$5&lt;AC$5)*AP100+(AU$5&lt;AC$5)*AV100)))</f>
        <v/>
      </c>
      <c r="AF100">
        <f>IF(AD100-AE100&lt;0.005,0,AD100-AE100)</f>
        <v/>
      </c>
      <c r="AG100">
        <f>AL99</f>
        <v/>
      </c>
      <c r="AH100">
        <f>AG100*Plan!D11/100/12</f>
        <v/>
      </c>
      <c r="AI100">
        <f>MIN(Plan!E11,AG100+AH100)</f>
        <v/>
      </c>
      <c r="AJ100">
        <f>AG100+AH100-AI100</f>
        <v/>
      </c>
      <c r="AK100">
        <f>MIN(AJ100,MAX(0,$B100-((E$5&lt;AI$5)*F100+(K$5&lt;AI$5)*L100+(Q$5&lt;AI$5)*R100+(W$5&lt;AI$5)*X100+(AC$5&lt;AI$5)*AD100+(AO$5&lt;AI$5)*AP100+(AU$5&lt;AI$5)*AV100)))</f>
        <v/>
      </c>
      <c r="AL100">
        <f>IF(AJ100-AK100&lt;0.005,0,AJ100-AK100)</f>
        <v/>
      </c>
      <c r="AM100">
        <f>AR99</f>
        <v/>
      </c>
      <c r="AN100">
        <f>AM100*Plan!D12/100/12</f>
        <v/>
      </c>
      <c r="AO100">
        <f>MIN(Plan!E12,AM100+AN100)</f>
        <v/>
      </c>
      <c r="AP100">
        <f>AM100+AN100-AO100</f>
        <v/>
      </c>
      <c r="AQ100">
        <f>MIN(AP100,MAX(0,$B100-((E$5&lt;AO$5)*F100+(K$5&lt;AO$5)*L100+(Q$5&lt;AO$5)*R100+(W$5&lt;AO$5)*X100+(AC$5&lt;AO$5)*AD100+(AI$5&lt;AO$5)*AJ100+(AU$5&lt;AO$5)*AV100)))</f>
        <v/>
      </c>
      <c r="AR100">
        <f>IF(AP100-AQ100&lt;0.005,0,AP100-AQ100)</f>
        <v/>
      </c>
      <c r="AS100">
        <f>AX99</f>
        <v/>
      </c>
      <c r="AT100">
        <f>AS100*Plan!D13/100/12</f>
        <v/>
      </c>
      <c r="AU100">
        <f>MIN(Plan!E13,AS100+AT100)</f>
        <v/>
      </c>
      <c r="AV100">
        <f>AS100+AT100-AU100</f>
        <v/>
      </c>
      <c r="AW100">
        <f>MIN(AV100,MAX(0,$B100-((E$5&lt;AU$5)*F100+(K$5&lt;AU$5)*L100+(Q$5&lt;AU$5)*R100+(W$5&lt;AU$5)*X100+(AC$5&lt;AU$5)*AD100+(AI$5&lt;AU$5)*AJ100+(AO$5&lt;AU$5)*AP100)))</f>
        <v/>
      </c>
      <c r="AX100">
        <f>IF(AV100-AW100&lt;0.005,0,AV100-AW100)</f>
        <v/>
      </c>
      <c r="BC100">
        <f>H100+N100+T100+Z100+AF100+AL100+AR100+AX100</f>
        <v/>
      </c>
    </row>
    <row r="101">
      <c r="A101" t="n">
        <v>95</v>
      </c>
      <c r="B101" s="19">
        <f>MAX(0,$B$3-(E101+K101+Q101+W101+AC101+AI101+AO101+AU101))</f>
        <v/>
      </c>
      <c r="C101">
        <f>H100</f>
        <v/>
      </c>
      <c r="D101">
        <f>C101*Plan!D6/100/12</f>
        <v/>
      </c>
      <c r="E101">
        <f>MIN(Plan!E6,C101+D101)</f>
        <v/>
      </c>
      <c r="F101">
        <f>C101+D101-E101</f>
        <v/>
      </c>
      <c r="G101">
        <f>MIN(F101,MAX(0,$B101-((K$5&lt;E$5)*L101+(Q$5&lt;E$5)*R101+(W$5&lt;E$5)*X101+(AC$5&lt;E$5)*AD101+(AI$5&lt;E$5)*AJ101+(AO$5&lt;E$5)*AP101+(AU$5&lt;E$5)*AV101)))</f>
        <v/>
      </c>
      <c r="H101">
        <f>IF(F101-G101&lt;0.005,0,F101-G101)</f>
        <v/>
      </c>
      <c r="I101">
        <f>N100</f>
        <v/>
      </c>
      <c r="J101">
        <f>I101*Plan!D7/100/12</f>
        <v/>
      </c>
      <c r="K101">
        <f>MIN(Plan!E7,I101+J101)</f>
        <v/>
      </c>
      <c r="L101">
        <f>I101+J101-K101</f>
        <v/>
      </c>
      <c r="M101">
        <f>MIN(L101,MAX(0,$B101-((E$5&lt;K$5)*F101+(Q$5&lt;K$5)*R101+(W$5&lt;K$5)*X101+(AC$5&lt;K$5)*AD101+(AI$5&lt;K$5)*AJ101+(AO$5&lt;K$5)*AP101+(AU$5&lt;K$5)*AV101)))</f>
        <v/>
      </c>
      <c r="N101">
        <f>IF(L101-M101&lt;0.005,0,L101-M101)</f>
        <v/>
      </c>
      <c r="O101">
        <f>T100</f>
        <v/>
      </c>
      <c r="P101">
        <f>O101*Plan!D8/100/12</f>
        <v/>
      </c>
      <c r="Q101">
        <f>MIN(Plan!E8,O101+P101)</f>
        <v/>
      </c>
      <c r="R101">
        <f>O101+P101-Q101</f>
        <v/>
      </c>
      <c r="S101">
        <f>MIN(R101,MAX(0,$B101-((E$5&lt;Q$5)*F101+(K$5&lt;Q$5)*L101+(W$5&lt;Q$5)*X101+(AC$5&lt;Q$5)*AD101+(AI$5&lt;Q$5)*AJ101+(AO$5&lt;Q$5)*AP101+(AU$5&lt;Q$5)*AV101)))</f>
        <v/>
      </c>
      <c r="T101">
        <f>IF(R101-S101&lt;0.005,0,R101-S101)</f>
        <v/>
      </c>
      <c r="U101">
        <f>Z100</f>
        <v/>
      </c>
      <c r="V101">
        <f>U101*Plan!D9/100/12</f>
        <v/>
      </c>
      <c r="W101">
        <f>MIN(Plan!E9,U101+V101)</f>
        <v/>
      </c>
      <c r="X101">
        <f>U101+V101-W101</f>
        <v/>
      </c>
      <c r="Y101">
        <f>MIN(X101,MAX(0,$B101-((E$5&lt;W$5)*F101+(K$5&lt;W$5)*L101+(Q$5&lt;W$5)*R101+(AC$5&lt;W$5)*AD101+(AI$5&lt;W$5)*AJ101+(AO$5&lt;W$5)*AP101+(AU$5&lt;W$5)*AV101)))</f>
        <v/>
      </c>
      <c r="Z101">
        <f>IF(X101-Y101&lt;0.005,0,X101-Y101)</f>
        <v/>
      </c>
      <c r="AA101">
        <f>AF100</f>
        <v/>
      </c>
      <c r="AB101">
        <f>AA101*Plan!D10/100/12</f>
        <v/>
      </c>
      <c r="AC101">
        <f>MIN(Plan!E10,AA101+AB101)</f>
        <v/>
      </c>
      <c r="AD101">
        <f>AA101+AB101-AC101</f>
        <v/>
      </c>
      <c r="AE101">
        <f>MIN(AD101,MAX(0,$B101-((E$5&lt;AC$5)*F101+(K$5&lt;AC$5)*L101+(Q$5&lt;AC$5)*R101+(W$5&lt;AC$5)*X101+(AI$5&lt;AC$5)*AJ101+(AO$5&lt;AC$5)*AP101+(AU$5&lt;AC$5)*AV101)))</f>
        <v/>
      </c>
      <c r="AF101">
        <f>IF(AD101-AE101&lt;0.005,0,AD101-AE101)</f>
        <v/>
      </c>
      <c r="AG101">
        <f>AL100</f>
        <v/>
      </c>
      <c r="AH101">
        <f>AG101*Plan!D11/100/12</f>
        <v/>
      </c>
      <c r="AI101">
        <f>MIN(Plan!E11,AG101+AH101)</f>
        <v/>
      </c>
      <c r="AJ101">
        <f>AG101+AH101-AI101</f>
        <v/>
      </c>
      <c r="AK101">
        <f>MIN(AJ101,MAX(0,$B101-((E$5&lt;AI$5)*F101+(K$5&lt;AI$5)*L101+(Q$5&lt;AI$5)*R101+(W$5&lt;AI$5)*X101+(AC$5&lt;AI$5)*AD101+(AO$5&lt;AI$5)*AP101+(AU$5&lt;AI$5)*AV101)))</f>
        <v/>
      </c>
      <c r="AL101">
        <f>IF(AJ101-AK101&lt;0.005,0,AJ101-AK101)</f>
        <v/>
      </c>
      <c r="AM101">
        <f>AR100</f>
        <v/>
      </c>
      <c r="AN101">
        <f>AM101*Plan!D12/100/12</f>
        <v/>
      </c>
      <c r="AO101">
        <f>MIN(Plan!E12,AM101+AN101)</f>
        <v/>
      </c>
      <c r="AP101">
        <f>AM101+AN101-AO101</f>
        <v/>
      </c>
      <c r="AQ101">
        <f>MIN(AP101,MAX(0,$B101-((E$5&lt;AO$5)*F101+(K$5&lt;AO$5)*L101+(Q$5&lt;AO$5)*R101+(W$5&lt;AO$5)*X101+(AC$5&lt;AO$5)*AD101+(AI$5&lt;AO$5)*AJ101+(AU$5&lt;AO$5)*AV101)))</f>
        <v/>
      </c>
      <c r="AR101">
        <f>IF(AP101-AQ101&lt;0.005,0,AP101-AQ101)</f>
        <v/>
      </c>
      <c r="AS101">
        <f>AX100</f>
        <v/>
      </c>
      <c r="AT101">
        <f>AS101*Plan!D13/100/12</f>
        <v/>
      </c>
      <c r="AU101">
        <f>MIN(Plan!E13,AS101+AT101)</f>
        <v/>
      </c>
      <c r="AV101">
        <f>AS101+AT101-AU101</f>
        <v/>
      </c>
      <c r="AW101">
        <f>MIN(AV101,MAX(0,$B101-((E$5&lt;AU$5)*F101+(K$5&lt;AU$5)*L101+(Q$5&lt;AU$5)*R101+(W$5&lt;AU$5)*X101+(AC$5&lt;AU$5)*AD101+(AI$5&lt;AU$5)*AJ101+(AO$5&lt;AU$5)*AP101)))</f>
        <v/>
      </c>
      <c r="AX101">
        <f>IF(AV101-AW101&lt;0.005,0,AV101-AW101)</f>
        <v/>
      </c>
      <c r="BC101">
        <f>H101+N101+T101+Z101+AF101+AL101+AR101+AX101</f>
        <v/>
      </c>
    </row>
    <row r="102">
      <c r="A102" t="n">
        <v>96</v>
      </c>
      <c r="B102" s="19">
        <f>MAX(0,$B$3-(E102+K102+Q102+W102+AC102+AI102+AO102+AU102))</f>
        <v/>
      </c>
      <c r="C102">
        <f>H101</f>
        <v/>
      </c>
      <c r="D102">
        <f>C102*Plan!D6/100/12</f>
        <v/>
      </c>
      <c r="E102">
        <f>MIN(Plan!E6,C102+D102)</f>
        <v/>
      </c>
      <c r="F102">
        <f>C102+D102-E102</f>
        <v/>
      </c>
      <c r="G102">
        <f>MIN(F102,MAX(0,$B102-((K$5&lt;E$5)*L102+(Q$5&lt;E$5)*R102+(W$5&lt;E$5)*X102+(AC$5&lt;E$5)*AD102+(AI$5&lt;E$5)*AJ102+(AO$5&lt;E$5)*AP102+(AU$5&lt;E$5)*AV102)))</f>
        <v/>
      </c>
      <c r="H102">
        <f>IF(F102-G102&lt;0.005,0,F102-G102)</f>
        <v/>
      </c>
      <c r="I102">
        <f>N101</f>
        <v/>
      </c>
      <c r="J102">
        <f>I102*Plan!D7/100/12</f>
        <v/>
      </c>
      <c r="K102">
        <f>MIN(Plan!E7,I102+J102)</f>
        <v/>
      </c>
      <c r="L102">
        <f>I102+J102-K102</f>
        <v/>
      </c>
      <c r="M102">
        <f>MIN(L102,MAX(0,$B102-((E$5&lt;K$5)*F102+(Q$5&lt;K$5)*R102+(W$5&lt;K$5)*X102+(AC$5&lt;K$5)*AD102+(AI$5&lt;K$5)*AJ102+(AO$5&lt;K$5)*AP102+(AU$5&lt;K$5)*AV102)))</f>
        <v/>
      </c>
      <c r="N102">
        <f>IF(L102-M102&lt;0.005,0,L102-M102)</f>
        <v/>
      </c>
      <c r="O102">
        <f>T101</f>
        <v/>
      </c>
      <c r="P102">
        <f>O102*Plan!D8/100/12</f>
        <v/>
      </c>
      <c r="Q102">
        <f>MIN(Plan!E8,O102+P102)</f>
        <v/>
      </c>
      <c r="R102">
        <f>O102+P102-Q102</f>
        <v/>
      </c>
      <c r="S102">
        <f>MIN(R102,MAX(0,$B102-((E$5&lt;Q$5)*F102+(K$5&lt;Q$5)*L102+(W$5&lt;Q$5)*X102+(AC$5&lt;Q$5)*AD102+(AI$5&lt;Q$5)*AJ102+(AO$5&lt;Q$5)*AP102+(AU$5&lt;Q$5)*AV102)))</f>
        <v/>
      </c>
      <c r="T102">
        <f>IF(R102-S102&lt;0.005,0,R102-S102)</f>
        <v/>
      </c>
      <c r="U102">
        <f>Z101</f>
        <v/>
      </c>
      <c r="V102">
        <f>U102*Plan!D9/100/12</f>
        <v/>
      </c>
      <c r="W102">
        <f>MIN(Plan!E9,U102+V102)</f>
        <v/>
      </c>
      <c r="X102">
        <f>U102+V102-W102</f>
        <v/>
      </c>
      <c r="Y102">
        <f>MIN(X102,MAX(0,$B102-((E$5&lt;W$5)*F102+(K$5&lt;W$5)*L102+(Q$5&lt;W$5)*R102+(AC$5&lt;W$5)*AD102+(AI$5&lt;W$5)*AJ102+(AO$5&lt;W$5)*AP102+(AU$5&lt;W$5)*AV102)))</f>
        <v/>
      </c>
      <c r="Z102">
        <f>IF(X102-Y102&lt;0.005,0,X102-Y102)</f>
        <v/>
      </c>
      <c r="AA102">
        <f>AF101</f>
        <v/>
      </c>
      <c r="AB102">
        <f>AA102*Plan!D10/100/12</f>
        <v/>
      </c>
      <c r="AC102">
        <f>MIN(Plan!E10,AA102+AB102)</f>
        <v/>
      </c>
      <c r="AD102">
        <f>AA102+AB102-AC102</f>
        <v/>
      </c>
      <c r="AE102">
        <f>MIN(AD102,MAX(0,$B102-((E$5&lt;AC$5)*F102+(K$5&lt;AC$5)*L102+(Q$5&lt;AC$5)*R102+(W$5&lt;AC$5)*X102+(AI$5&lt;AC$5)*AJ102+(AO$5&lt;AC$5)*AP102+(AU$5&lt;AC$5)*AV102)))</f>
        <v/>
      </c>
      <c r="AF102">
        <f>IF(AD102-AE102&lt;0.005,0,AD102-AE102)</f>
        <v/>
      </c>
      <c r="AG102">
        <f>AL101</f>
        <v/>
      </c>
      <c r="AH102">
        <f>AG102*Plan!D11/100/12</f>
        <v/>
      </c>
      <c r="AI102">
        <f>MIN(Plan!E11,AG102+AH102)</f>
        <v/>
      </c>
      <c r="AJ102">
        <f>AG102+AH102-AI102</f>
        <v/>
      </c>
      <c r="AK102">
        <f>MIN(AJ102,MAX(0,$B102-((E$5&lt;AI$5)*F102+(K$5&lt;AI$5)*L102+(Q$5&lt;AI$5)*R102+(W$5&lt;AI$5)*X102+(AC$5&lt;AI$5)*AD102+(AO$5&lt;AI$5)*AP102+(AU$5&lt;AI$5)*AV102)))</f>
        <v/>
      </c>
      <c r="AL102">
        <f>IF(AJ102-AK102&lt;0.005,0,AJ102-AK102)</f>
        <v/>
      </c>
      <c r="AM102">
        <f>AR101</f>
        <v/>
      </c>
      <c r="AN102">
        <f>AM102*Plan!D12/100/12</f>
        <v/>
      </c>
      <c r="AO102">
        <f>MIN(Plan!E12,AM102+AN102)</f>
        <v/>
      </c>
      <c r="AP102">
        <f>AM102+AN102-AO102</f>
        <v/>
      </c>
      <c r="AQ102">
        <f>MIN(AP102,MAX(0,$B102-((E$5&lt;AO$5)*F102+(K$5&lt;AO$5)*L102+(Q$5&lt;AO$5)*R102+(W$5&lt;AO$5)*X102+(AC$5&lt;AO$5)*AD102+(AI$5&lt;AO$5)*AJ102+(AU$5&lt;AO$5)*AV102)))</f>
        <v/>
      </c>
      <c r="AR102">
        <f>IF(AP102-AQ102&lt;0.005,0,AP102-AQ102)</f>
        <v/>
      </c>
      <c r="AS102">
        <f>AX101</f>
        <v/>
      </c>
      <c r="AT102">
        <f>AS102*Plan!D13/100/12</f>
        <v/>
      </c>
      <c r="AU102">
        <f>MIN(Plan!E13,AS102+AT102)</f>
        <v/>
      </c>
      <c r="AV102">
        <f>AS102+AT102-AU102</f>
        <v/>
      </c>
      <c r="AW102">
        <f>MIN(AV102,MAX(0,$B102-((E$5&lt;AU$5)*F102+(K$5&lt;AU$5)*L102+(Q$5&lt;AU$5)*R102+(W$5&lt;AU$5)*X102+(AC$5&lt;AU$5)*AD102+(AI$5&lt;AU$5)*AJ102+(AO$5&lt;AU$5)*AP102)))</f>
        <v/>
      </c>
      <c r="AX102">
        <f>IF(AV102-AW102&lt;0.005,0,AV102-AW102)</f>
        <v/>
      </c>
      <c r="BC102">
        <f>H102+N102+T102+Z102+AF102+AL102+AR102+AX102</f>
        <v/>
      </c>
    </row>
    <row r="103">
      <c r="A103" t="n">
        <v>97</v>
      </c>
      <c r="B103" s="19">
        <f>MAX(0,$B$3-(E103+K103+Q103+W103+AC103+AI103+AO103+AU103))</f>
        <v/>
      </c>
      <c r="C103">
        <f>H102</f>
        <v/>
      </c>
      <c r="D103">
        <f>C103*Plan!D6/100/12</f>
        <v/>
      </c>
      <c r="E103">
        <f>MIN(Plan!E6,C103+D103)</f>
        <v/>
      </c>
      <c r="F103">
        <f>C103+D103-E103</f>
        <v/>
      </c>
      <c r="G103">
        <f>MIN(F103,MAX(0,$B103-((K$5&lt;E$5)*L103+(Q$5&lt;E$5)*R103+(W$5&lt;E$5)*X103+(AC$5&lt;E$5)*AD103+(AI$5&lt;E$5)*AJ103+(AO$5&lt;E$5)*AP103+(AU$5&lt;E$5)*AV103)))</f>
        <v/>
      </c>
      <c r="H103">
        <f>IF(F103-G103&lt;0.005,0,F103-G103)</f>
        <v/>
      </c>
      <c r="I103">
        <f>N102</f>
        <v/>
      </c>
      <c r="J103">
        <f>I103*Plan!D7/100/12</f>
        <v/>
      </c>
      <c r="K103">
        <f>MIN(Plan!E7,I103+J103)</f>
        <v/>
      </c>
      <c r="L103">
        <f>I103+J103-K103</f>
        <v/>
      </c>
      <c r="M103">
        <f>MIN(L103,MAX(0,$B103-((E$5&lt;K$5)*F103+(Q$5&lt;K$5)*R103+(W$5&lt;K$5)*X103+(AC$5&lt;K$5)*AD103+(AI$5&lt;K$5)*AJ103+(AO$5&lt;K$5)*AP103+(AU$5&lt;K$5)*AV103)))</f>
        <v/>
      </c>
      <c r="N103">
        <f>IF(L103-M103&lt;0.005,0,L103-M103)</f>
        <v/>
      </c>
      <c r="O103">
        <f>T102</f>
        <v/>
      </c>
      <c r="P103">
        <f>O103*Plan!D8/100/12</f>
        <v/>
      </c>
      <c r="Q103">
        <f>MIN(Plan!E8,O103+P103)</f>
        <v/>
      </c>
      <c r="R103">
        <f>O103+P103-Q103</f>
        <v/>
      </c>
      <c r="S103">
        <f>MIN(R103,MAX(0,$B103-((E$5&lt;Q$5)*F103+(K$5&lt;Q$5)*L103+(W$5&lt;Q$5)*X103+(AC$5&lt;Q$5)*AD103+(AI$5&lt;Q$5)*AJ103+(AO$5&lt;Q$5)*AP103+(AU$5&lt;Q$5)*AV103)))</f>
        <v/>
      </c>
      <c r="T103">
        <f>IF(R103-S103&lt;0.005,0,R103-S103)</f>
        <v/>
      </c>
      <c r="U103">
        <f>Z102</f>
        <v/>
      </c>
      <c r="V103">
        <f>U103*Plan!D9/100/12</f>
        <v/>
      </c>
      <c r="W103">
        <f>MIN(Plan!E9,U103+V103)</f>
        <v/>
      </c>
      <c r="X103">
        <f>U103+V103-W103</f>
        <v/>
      </c>
      <c r="Y103">
        <f>MIN(X103,MAX(0,$B103-((E$5&lt;W$5)*F103+(K$5&lt;W$5)*L103+(Q$5&lt;W$5)*R103+(AC$5&lt;W$5)*AD103+(AI$5&lt;W$5)*AJ103+(AO$5&lt;W$5)*AP103+(AU$5&lt;W$5)*AV103)))</f>
        <v/>
      </c>
      <c r="Z103">
        <f>IF(X103-Y103&lt;0.005,0,X103-Y103)</f>
        <v/>
      </c>
      <c r="AA103">
        <f>AF102</f>
        <v/>
      </c>
      <c r="AB103">
        <f>AA103*Plan!D10/100/12</f>
        <v/>
      </c>
      <c r="AC103">
        <f>MIN(Plan!E10,AA103+AB103)</f>
        <v/>
      </c>
      <c r="AD103">
        <f>AA103+AB103-AC103</f>
        <v/>
      </c>
      <c r="AE103">
        <f>MIN(AD103,MAX(0,$B103-((E$5&lt;AC$5)*F103+(K$5&lt;AC$5)*L103+(Q$5&lt;AC$5)*R103+(W$5&lt;AC$5)*X103+(AI$5&lt;AC$5)*AJ103+(AO$5&lt;AC$5)*AP103+(AU$5&lt;AC$5)*AV103)))</f>
        <v/>
      </c>
      <c r="AF103">
        <f>IF(AD103-AE103&lt;0.005,0,AD103-AE103)</f>
        <v/>
      </c>
      <c r="AG103">
        <f>AL102</f>
        <v/>
      </c>
      <c r="AH103">
        <f>AG103*Plan!D11/100/12</f>
        <v/>
      </c>
      <c r="AI103">
        <f>MIN(Plan!E11,AG103+AH103)</f>
        <v/>
      </c>
      <c r="AJ103">
        <f>AG103+AH103-AI103</f>
        <v/>
      </c>
      <c r="AK103">
        <f>MIN(AJ103,MAX(0,$B103-((E$5&lt;AI$5)*F103+(K$5&lt;AI$5)*L103+(Q$5&lt;AI$5)*R103+(W$5&lt;AI$5)*X103+(AC$5&lt;AI$5)*AD103+(AO$5&lt;AI$5)*AP103+(AU$5&lt;AI$5)*AV103)))</f>
        <v/>
      </c>
      <c r="AL103">
        <f>IF(AJ103-AK103&lt;0.005,0,AJ103-AK103)</f>
        <v/>
      </c>
      <c r="AM103">
        <f>AR102</f>
        <v/>
      </c>
      <c r="AN103">
        <f>AM103*Plan!D12/100/12</f>
        <v/>
      </c>
      <c r="AO103">
        <f>MIN(Plan!E12,AM103+AN103)</f>
        <v/>
      </c>
      <c r="AP103">
        <f>AM103+AN103-AO103</f>
        <v/>
      </c>
      <c r="AQ103">
        <f>MIN(AP103,MAX(0,$B103-((E$5&lt;AO$5)*F103+(K$5&lt;AO$5)*L103+(Q$5&lt;AO$5)*R103+(W$5&lt;AO$5)*X103+(AC$5&lt;AO$5)*AD103+(AI$5&lt;AO$5)*AJ103+(AU$5&lt;AO$5)*AV103)))</f>
        <v/>
      </c>
      <c r="AR103">
        <f>IF(AP103-AQ103&lt;0.005,0,AP103-AQ103)</f>
        <v/>
      </c>
      <c r="AS103">
        <f>AX102</f>
        <v/>
      </c>
      <c r="AT103">
        <f>AS103*Plan!D13/100/12</f>
        <v/>
      </c>
      <c r="AU103">
        <f>MIN(Plan!E13,AS103+AT103)</f>
        <v/>
      </c>
      <c r="AV103">
        <f>AS103+AT103-AU103</f>
        <v/>
      </c>
      <c r="AW103">
        <f>MIN(AV103,MAX(0,$B103-((E$5&lt;AU$5)*F103+(K$5&lt;AU$5)*L103+(Q$5&lt;AU$5)*R103+(W$5&lt;AU$5)*X103+(AC$5&lt;AU$5)*AD103+(AI$5&lt;AU$5)*AJ103+(AO$5&lt;AU$5)*AP103)))</f>
        <v/>
      </c>
      <c r="AX103">
        <f>IF(AV103-AW103&lt;0.005,0,AV103-AW103)</f>
        <v/>
      </c>
      <c r="BC103">
        <f>H103+N103+T103+Z103+AF103+AL103+AR103+AX103</f>
        <v/>
      </c>
    </row>
    <row r="104">
      <c r="A104" t="n">
        <v>98</v>
      </c>
      <c r="B104" s="19">
        <f>MAX(0,$B$3-(E104+K104+Q104+W104+AC104+AI104+AO104+AU104))</f>
        <v/>
      </c>
      <c r="C104">
        <f>H103</f>
        <v/>
      </c>
      <c r="D104">
        <f>C104*Plan!D6/100/12</f>
        <v/>
      </c>
      <c r="E104">
        <f>MIN(Plan!E6,C104+D104)</f>
        <v/>
      </c>
      <c r="F104">
        <f>C104+D104-E104</f>
        <v/>
      </c>
      <c r="G104">
        <f>MIN(F104,MAX(0,$B104-((K$5&lt;E$5)*L104+(Q$5&lt;E$5)*R104+(W$5&lt;E$5)*X104+(AC$5&lt;E$5)*AD104+(AI$5&lt;E$5)*AJ104+(AO$5&lt;E$5)*AP104+(AU$5&lt;E$5)*AV104)))</f>
        <v/>
      </c>
      <c r="H104">
        <f>IF(F104-G104&lt;0.005,0,F104-G104)</f>
        <v/>
      </c>
      <c r="I104">
        <f>N103</f>
        <v/>
      </c>
      <c r="J104">
        <f>I104*Plan!D7/100/12</f>
        <v/>
      </c>
      <c r="K104">
        <f>MIN(Plan!E7,I104+J104)</f>
        <v/>
      </c>
      <c r="L104">
        <f>I104+J104-K104</f>
        <v/>
      </c>
      <c r="M104">
        <f>MIN(L104,MAX(0,$B104-((E$5&lt;K$5)*F104+(Q$5&lt;K$5)*R104+(W$5&lt;K$5)*X104+(AC$5&lt;K$5)*AD104+(AI$5&lt;K$5)*AJ104+(AO$5&lt;K$5)*AP104+(AU$5&lt;K$5)*AV104)))</f>
        <v/>
      </c>
      <c r="N104">
        <f>IF(L104-M104&lt;0.005,0,L104-M104)</f>
        <v/>
      </c>
      <c r="O104">
        <f>T103</f>
        <v/>
      </c>
      <c r="P104">
        <f>O104*Plan!D8/100/12</f>
        <v/>
      </c>
      <c r="Q104">
        <f>MIN(Plan!E8,O104+P104)</f>
        <v/>
      </c>
      <c r="R104">
        <f>O104+P104-Q104</f>
        <v/>
      </c>
      <c r="S104">
        <f>MIN(R104,MAX(0,$B104-((E$5&lt;Q$5)*F104+(K$5&lt;Q$5)*L104+(W$5&lt;Q$5)*X104+(AC$5&lt;Q$5)*AD104+(AI$5&lt;Q$5)*AJ104+(AO$5&lt;Q$5)*AP104+(AU$5&lt;Q$5)*AV104)))</f>
        <v/>
      </c>
      <c r="T104">
        <f>IF(R104-S104&lt;0.005,0,R104-S104)</f>
        <v/>
      </c>
      <c r="U104">
        <f>Z103</f>
        <v/>
      </c>
      <c r="V104">
        <f>U104*Plan!D9/100/12</f>
        <v/>
      </c>
      <c r="W104">
        <f>MIN(Plan!E9,U104+V104)</f>
        <v/>
      </c>
      <c r="X104">
        <f>U104+V104-W104</f>
        <v/>
      </c>
      <c r="Y104">
        <f>MIN(X104,MAX(0,$B104-((E$5&lt;W$5)*F104+(K$5&lt;W$5)*L104+(Q$5&lt;W$5)*R104+(AC$5&lt;W$5)*AD104+(AI$5&lt;W$5)*AJ104+(AO$5&lt;W$5)*AP104+(AU$5&lt;W$5)*AV104)))</f>
        <v/>
      </c>
      <c r="Z104">
        <f>IF(X104-Y104&lt;0.005,0,X104-Y104)</f>
        <v/>
      </c>
      <c r="AA104">
        <f>AF103</f>
        <v/>
      </c>
      <c r="AB104">
        <f>AA104*Plan!D10/100/12</f>
        <v/>
      </c>
      <c r="AC104">
        <f>MIN(Plan!E10,AA104+AB104)</f>
        <v/>
      </c>
      <c r="AD104">
        <f>AA104+AB104-AC104</f>
        <v/>
      </c>
      <c r="AE104">
        <f>MIN(AD104,MAX(0,$B104-((E$5&lt;AC$5)*F104+(K$5&lt;AC$5)*L104+(Q$5&lt;AC$5)*R104+(W$5&lt;AC$5)*X104+(AI$5&lt;AC$5)*AJ104+(AO$5&lt;AC$5)*AP104+(AU$5&lt;AC$5)*AV104)))</f>
        <v/>
      </c>
      <c r="AF104">
        <f>IF(AD104-AE104&lt;0.005,0,AD104-AE104)</f>
        <v/>
      </c>
      <c r="AG104">
        <f>AL103</f>
        <v/>
      </c>
      <c r="AH104">
        <f>AG104*Plan!D11/100/12</f>
        <v/>
      </c>
      <c r="AI104">
        <f>MIN(Plan!E11,AG104+AH104)</f>
        <v/>
      </c>
      <c r="AJ104">
        <f>AG104+AH104-AI104</f>
        <v/>
      </c>
      <c r="AK104">
        <f>MIN(AJ104,MAX(0,$B104-((E$5&lt;AI$5)*F104+(K$5&lt;AI$5)*L104+(Q$5&lt;AI$5)*R104+(W$5&lt;AI$5)*X104+(AC$5&lt;AI$5)*AD104+(AO$5&lt;AI$5)*AP104+(AU$5&lt;AI$5)*AV104)))</f>
        <v/>
      </c>
      <c r="AL104">
        <f>IF(AJ104-AK104&lt;0.005,0,AJ104-AK104)</f>
        <v/>
      </c>
      <c r="AM104">
        <f>AR103</f>
        <v/>
      </c>
      <c r="AN104">
        <f>AM104*Plan!D12/100/12</f>
        <v/>
      </c>
      <c r="AO104">
        <f>MIN(Plan!E12,AM104+AN104)</f>
        <v/>
      </c>
      <c r="AP104">
        <f>AM104+AN104-AO104</f>
        <v/>
      </c>
      <c r="AQ104">
        <f>MIN(AP104,MAX(0,$B104-((E$5&lt;AO$5)*F104+(K$5&lt;AO$5)*L104+(Q$5&lt;AO$5)*R104+(W$5&lt;AO$5)*X104+(AC$5&lt;AO$5)*AD104+(AI$5&lt;AO$5)*AJ104+(AU$5&lt;AO$5)*AV104)))</f>
        <v/>
      </c>
      <c r="AR104">
        <f>IF(AP104-AQ104&lt;0.005,0,AP104-AQ104)</f>
        <v/>
      </c>
      <c r="AS104">
        <f>AX103</f>
        <v/>
      </c>
      <c r="AT104">
        <f>AS104*Plan!D13/100/12</f>
        <v/>
      </c>
      <c r="AU104">
        <f>MIN(Plan!E13,AS104+AT104)</f>
        <v/>
      </c>
      <c r="AV104">
        <f>AS104+AT104-AU104</f>
        <v/>
      </c>
      <c r="AW104">
        <f>MIN(AV104,MAX(0,$B104-((E$5&lt;AU$5)*F104+(K$5&lt;AU$5)*L104+(Q$5&lt;AU$5)*R104+(W$5&lt;AU$5)*X104+(AC$5&lt;AU$5)*AD104+(AI$5&lt;AU$5)*AJ104+(AO$5&lt;AU$5)*AP104)))</f>
        <v/>
      </c>
      <c r="AX104">
        <f>IF(AV104-AW104&lt;0.005,0,AV104-AW104)</f>
        <v/>
      </c>
      <c r="BC104">
        <f>H104+N104+T104+Z104+AF104+AL104+AR104+AX104</f>
        <v/>
      </c>
    </row>
    <row r="105">
      <c r="A105" t="n">
        <v>99</v>
      </c>
      <c r="B105" s="19">
        <f>MAX(0,$B$3-(E105+K105+Q105+W105+AC105+AI105+AO105+AU105))</f>
        <v/>
      </c>
      <c r="C105">
        <f>H104</f>
        <v/>
      </c>
      <c r="D105">
        <f>C105*Plan!D6/100/12</f>
        <v/>
      </c>
      <c r="E105">
        <f>MIN(Plan!E6,C105+D105)</f>
        <v/>
      </c>
      <c r="F105">
        <f>C105+D105-E105</f>
        <v/>
      </c>
      <c r="G105">
        <f>MIN(F105,MAX(0,$B105-((K$5&lt;E$5)*L105+(Q$5&lt;E$5)*R105+(W$5&lt;E$5)*X105+(AC$5&lt;E$5)*AD105+(AI$5&lt;E$5)*AJ105+(AO$5&lt;E$5)*AP105+(AU$5&lt;E$5)*AV105)))</f>
        <v/>
      </c>
      <c r="H105">
        <f>IF(F105-G105&lt;0.005,0,F105-G105)</f>
        <v/>
      </c>
      <c r="I105">
        <f>N104</f>
        <v/>
      </c>
      <c r="J105">
        <f>I105*Plan!D7/100/12</f>
        <v/>
      </c>
      <c r="K105">
        <f>MIN(Plan!E7,I105+J105)</f>
        <v/>
      </c>
      <c r="L105">
        <f>I105+J105-K105</f>
        <v/>
      </c>
      <c r="M105">
        <f>MIN(L105,MAX(0,$B105-((E$5&lt;K$5)*F105+(Q$5&lt;K$5)*R105+(W$5&lt;K$5)*X105+(AC$5&lt;K$5)*AD105+(AI$5&lt;K$5)*AJ105+(AO$5&lt;K$5)*AP105+(AU$5&lt;K$5)*AV105)))</f>
        <v/>
      </c>
      <c r="N105">
        <f>IF(L105-M105&lt;0.005,0,L105-M105)</f>
        <v/>
      </c>
      <c r="O105">
        <f>T104</f>
        <v/>
      </c>
      <c r="P105">
        <f>O105*Plan!D8/100/12</f>
        <v/>
      </c>
      <c r="Q105">
        <f>MIN(Plan!E8,O105+P105)</f>
        <v/>
      </c>
      <c r="R105">
        <f>O105+P105-Q105</f>
        <v/>
      </c>
      <c r="S105">
        <f>MIN(R105,MAX(0,$B105-((E$5&lt;Q$5)*F105+(K$5&lt;Q$5)*L105+(W$5&lt;Q$5)*X105+(AC$5&lt;Q$5)*AD105+(AI$5&lt;Q$5)*AJ105+(AO$5&lt;Q$5)*AP105+(AU$5&lt;Q$5)*AV105)))</f>
        <v/>
      </c>
      <c r="T105">
        <f>IF(R105-S105&lt;0.005,0,R105-S105)</f>
        <v/>
      </c>
      <c r="U105">
        <f>Z104</f>
        <v/>
      </c>
      <c r="V105">
        <f>U105*Plan!D9/100/12</f>
        <v/>
      </c>
      <c r="W105">
        <f>MIN(Plan!E9,U105+V105)</f>
        <v/>
      </c>
      <c r="X105">
        <f>U105+V105-W105</f>
        <v/>
      </c>
      <c r="Y105">
        <f>MIN(X105,MAX(0,$B105-((E$5&lt;W$5)*F105+(K$5&lt;W$5)*L105+(Q$5&lt;W$5)*R105+(AC$5&lt;W$5)*AD105+(AI$5&lt;W$5)*AJ105+(AO$5&lt;W$5)*AP105+(AU$5&lt;W$5)*AV105)))</f>
        <v/>
      </c>
      <c r="Z105">
        <f>IF(X105-Y105&lt;0.005,0,X105-Y105)</f>
        <v/>
      </c>
      <c r="AA105">
        <f>AF104</f>
        <v/>
      </c>
      <c r="AB105">
        <f>AA105*Plan!D10/100/12</f>
        <v/>
      </c>
      <c r="AC105">
        <f>MIN(Plan!E10,AA105+AB105)</f>
        <v/>
      </c>
      <c r="AD105">
        <f>AA105+AB105-AC105</f>
        <v/>
      </c>
      <c r="AE105">
        <f>MIN(AD105,MAX(0,$B105-((E$5&lt;AC$5)*F105+(K$5&lt;AC$5)*L105+(Q$5&lt;AC$5)*R105+(W$5&lt;AC$5)*X105+(AI$5&lt;AC$5)*AJ105+(AO$5&lt;AC$5)*AP105+(AU$5&lt;AC$5)*AV105)))</f>
        <v/>
      </c>
      <c r="AF105">
        <f>IF(AD105-AE105&lt;0.005,0,AD105-AE105)</f>
        <v/>
      </c>
      <c r="AG105">
        <f>AL104</f>
        <v/>
      </c>
      <c r="AH105">
        <f>AG105*Plan!D11/100/12</f>
        <v/>
      </c>
      <c r="AI105">
        <f>MIN(Plan!E11,AG105+AH105)</f>
        <v/>
      </c>
      <c r="AJ105">
        <f>AG105+AH105-AI105</f>
        <v/>
      </c>
      <c r="AK105">
        <f>MIN(AJ105,MAX(0,$B105-((E$5&lt;AI$5)*F105+(K$5&lt;AI$5)*L105+(Q$5&lt;AI$5)*R105+(W$5&lt;AI$5)*X105+(AC$5&lt;AI$5)*AD105+(AO$5&lt;AI$5)*AP105+(AU$5&lt;AI$5)*AV105)))</f>
        <v/>
      </c>
      <c r="AL105">
        <f>IF(AJ105-AK105&lt;0.005,0,AJ105-AK105)</f>
        <v/>
      </c>
      <c r="AM105">
        <f>AR104</f>
        <v/>
      </c>
      <c r="AN105">
        <f>AM105*Plan!D12/100/12</f>
        <v/>
      </c>
      <c r="AO105">
        <f>MIN(Plan!E12,AM105+AN105)</f>
        <v/>
      </c>
      <c r="AP105">
        <f>AM105+AN105-AO105</f>
        <v/>
      </c>
      <c r="AQ105">
        <f>MIN(AP105,MAX(0,$B105-((E$5&lt;AO$5)*F105+(K$5&lt;AO$5)*L105+(Q$5&lt;AO$5)*R105+(W$5&lt;AO$5)*X105+(AC$5&lt;AO$5)*AD105+(AI$5&lt;AO$5)*AJ105+(AU$5&lt;AO$5)*AV105)))</f>
        <v/>
      </c>
      <c r="AR105">
        <f>IF(AP105-AQ105&lt;0.005,0,AP105-AQ105)</f>
        <v/>
      </c>
      <c r="AS105">
        <f>AX104</f>
        <v/>
      </c>
      <c r="AT105">
        <f>AS105*Plan!D13/100/12</f>
        <v/>
      </c>
      <c r="AU105">
        <f>MIN(Plan!E13,AS105+AT105)</f>
        <v/>
      </c>
      <c r="AV105">
        <f>AS105+AT105-AU105</f>
        <v/>
      </c>
      <c r="AW105">
        <f>MIN(AV105,MAX(0,$B105-((E$5&lt;AU$5)*F105+(K$5&lt;AU$5)*L105+(Q$5&lt;AU$5)*R105+(W$5&lt;AU$5)*X105+(AC$5&lt;AU$5)*AD105+(AI$5&lt;AU$5)*AJ105+(AO$5&lt;AU$5)*AP105)))</f>
        <v/>
      </c>
      <c r="AX105">
        <f>IF(AV105-AW105&lt;0.005,0,AV105-AW105)</f>
        <v/>
      </c>
      <c r="BC105">
        <f>H105+N105+T105+Z105+AF105+AL105+AR105+AX105</f>
        <v/>
      </c>
    </row>
    <row r="106">
      <c r="A106" t="n">
        <v>100</v>
      </c>
      <c r="B106" s="19">
        <f>MAX(0,$B$3-(E106+K106+Q106+W106+AC106+AI106+AO106+AU106))</f>
        <v/>
      </c>
      <c r="C106">
        <f>H105</f>
        <v/>
      </c>
      <c r="D106">
        <f>C106*Plan!D6/100/12</f>
        <v/>
      </c>
      <c r="E106">
        <f>MIN(Plan!E6,C106+D106)</f>
        <v/>
      </c>
      <c r="F106">
        <f>C106+D106-E106</f>
        <v/>
      </c>
      <c r="G106">
        <f>MIN(F106,MAX(0,$B106-((K$5&lt;E$5)*L106+(Q$5&lt;E$5)*R106+(W$5&lt;E$5)*X106+(AC$5&lt;E$5)*AD106+(AI$5&lt;E$5)*AJ106+(AO$5&lt;E$5)*AP106+(AU$5&lt;E$5)*AV106)))</f>
        <v/>
      </c>
      <c r="H106">
        <f>IF(F106-G106&lt;0.005,0,F106-G106)</f>
        <v/>
      </c>
      <c r="I106">
        <f>N105</f>
        <v/>
      </c>
      <c r="J106">
        <f>I106*Plan!D7/100/12</f>
        <v/>
      </c>
      <c r="K106">
        <f>MIN(Plan!E7,I106+J106)</f>
        <v/>
      </c>
      <c r="L106">
        <f>I106+J106-K106</f>
        <v/>
      </c>
      <c r="M106">
        <f>MIN(L106,MAX(0,$B106-((E$5&lt;K$5)*F106+(Q$5&lt;K$5)*R106+(W$5&lt;K$5)*X106+(AC$5&lt;K$5)*AD106+(AI$5&lt;K$5)*AJ106+(AO$5&lt;K$5)*AP106+(AU$5&lt;K$5)*AV106)))</f>
        <v/>
      </c>
      <c r="N106">
        <f>IF(L106-M106&lt;0.005,0,L106-M106)</f>
        <v/>
      </c>
      <c r="O106">
        <f>T105</f>
        <v/>
      </c>
      <c r="P106">
        <f>O106*Plan!D8/100/12</f>
        <v/>
      </c>
      <c r="Q106">
        <f>MIN(Plan!E8,O106+P106)</f>
        <v/>
      </c>
      <c r="R106">
        <f>O106+P106-Q106</f>
        <v/>
      </c>
      <c r="S106">
        <f>MIN(R106,MAX(0,$B106-((E$5&lt;Q$5)*F106+(K$5&lt;Q$5)*L106+(W$5&lt;Q$5)*X106+(AC$5&lt;Q$5)*AD106+(AI$5&lt;Q$5)*AJ106+(AO$5&lt;Q$5)*AP106+(AU$5&lt;Q$5)*AV106)))</f>
        <v/>
      </c>
      <c r="T106">
        <f>IF(R106-S106&lt;0.005,0,R106-S106)</f>
        <v/>
      </c>
      <c r="U106">
        <f>Z105</f>
        <v/>
      </c>
      <c r="V106">
        <f>U106*Plan!D9/100/12</f>
        <v/>
      </c>
      <c r="W106">
        <f>MIN(Plan!E9,U106+V106)</f>
        <v/>
      </c>
      <c r="X106">
        <f>U106+V106-W106</f>
        <v/>
      </c>
      <c r="Y106">
        <f>MIN(X106,MAX(0,$B106-((E$5&lt;W$5)*F106+(K$5&lt;W$5)*L106+(Q$5&lt;W$5)*R106+(AC$5&lt;W$5)*AD106+(AI$5&lt;W$5)*AJ106+(AO$5&lt;W$5)*AP106+(AU$5&lt;W$5)*AV106)))</f>
        <v/>
      </c>
      <c r="Z106">
        <f>IF(X106-Y106&lt;0.005,0,X106-Y106)</f>
        <v/>
      </c>
      <c r="AA106">
        <f>AF105</f>
        <v/>
      </c>
      <c r="AB106">
        <f>AA106*Plan!D10/100/12</f>
        <v/>
      </c>
      <c r="AC106">
        <f>MIN(Plan!E10,AA106+AB106)</f>
        <v/>
      </c>
      <c r="AD106">
        <f>AA106+AB106-AC106</f>
        <v/>
      </c>
      <c r="AE106">
        <f>MIN(AD106,MAX(0,$B106-((E$5&lt;AC$5)*F106+(K$5&lt;AC$5)*L106+(Q$5&lt;AC$5)*R106+(W$5&lt;AC$5)*X106+(AI$5&lt;AC$5)*AJ106+(AO$5&lt;AC$5)*AP106+(AU$5&lt;AC$5)*AV106)))</f>
        <v/>
      </c>
      <c r="AF106">
        <f>IF(AD106-AE106&lt;0.005,0,AD106-AE106)</f>
        <v/>
      </c>
      <c r="AG106">
        <f>AL105</f>
        <v/>
      </c>
      <c r="AH106">
        <f>AG106*Plan!D11/100/12</f>
        <v/>
      </c>
      <c r="AI106">
        <f>MIN(Plan!E11,AG106+AH106)</f>
        <v/>
      </c>
      <c r="AJ106">
        <f>AG106+AH106-AI106</f>
        <v/>
      </c>
      <c r="AK106">
        <f>MIN(AJ106,MAX(0,$B106-((E$5&lt;AI$5)*F106+(K$5&lt;AI$5)*L106+(Q$5&lt;AI$5)*R106+(W$5&lt;AI$5)*X106+(AC$5&lt;AI$5)*AD106+(AO$5&lt;AI$5)*AP106+(AU$5&lt;AI$5)*AV106)))</f>
        <v/>
      </c>
      <c r="AL106">
        <f>IF(AJ106-AK106&lt;0.005,0,AJ106-AK106)</f>
        <v/>
      </c>
      <c r="AM106">
        <f>AR105</f>
        <v/>
      </c>
      <c r="AN106">
        <f>AM106*Plan!D12/100/12</f>
        <v/>
      </c>
      <c r="AO106">
        <f>MIN(Plan!E12,AM106+AN106)</f>
        <v/>
      </c>
      <c r="AP106">
        <f>AM106+AN106-AO106</f>
        <v/>
      </c>
      <c r="AQ106">
        <f>MIN(AP106,MAX(0,$B106-((E$5&lt;AO$5)*F106+(K$5&lt;AO$5)*L106+(Q$5&lt;AO$5)*R106+(W$5&lt;AO$5)*X106+(AC$5&lt;AO$5)*AD106+(AI$5&lt;AO$5)*AJ106+(AU$5&lt;AO$5)*AV106)))</f>
        <v/>
      </c>
      <c r="AR106">
        <f>IF(AP106-AQ106&lt;0.005,0,AP106-AQ106)</f>
        <v/>
      </c>
      <c r="AS106">
        <f>AX105</f>
        <v/>
      </c>
      <c r="AT106">
        <f>AS106*Plan!D13/100/12</f>
        <v/>
      </c>
      <c r="AU106">
        <f>MIN(Plan!E13,AS106+AT106)</f>
        <v/>
      </c>
      <c r="AV106">
        <f>AS106+AT106-AU106</f>
        <v/>
      </c>
      <c r="AW106">
        <f>MIN(AV106,MAX(0,$B106-((E$5&lt;AU$5)*F106+(K$5&lt;AU$5)*L106+(Q$5&lt;AU$5)*R106+(W$5&lt;AU$5)*X106+(AC$5&lt;AU$5)*AD106+(AI$5&lt;AU$5)*AJ106+(AO$5&lt;AU$5)*AP106)))</f>
        <v/>
      </c>
      <c r="AX106">
        <f>IF(AV106-AW106&lt;0.005,0,AV106-AW106)</f>
        <v/>
      </c>
      <c r="BC106">
        <f>H106+N106+T106+Z106+AF106+AL106+AR106+AX106</f>
        <v/>
      </c>
    </row>
    <row r="107">
      <c r="A107" t="n">
        <v>101</v>
      </c>
      <c r="B107" s="19">
        <f>MAX(0,$B$3-(E107+K107+Q107+W107+AC107+AI107+AO107+AU107))</f>
        <v/>
      </c>
      <c r="C107">
        <f>H106</f>
        <v/>
      </c>
      <c r="D107">
        <f>C107*Plan!D6/100/12</f>
        <v/>
      </c>
      <c r="E107">
        <f>MIN(Plan!E6,C107+D107)</f>
        <v/>
      </c>
      <c r="F107">
        <f>C107+D107-E107</f>
        <v/>
      </c>
      <c r="G107">
        <f>MIN(F107,MAX(0,$B107-((K$5&lt;E$5)*L107+(Q$5&lt;E$5)*R107+(W$5&lt;E$5)*X107+(AC$5&lt;E$5)*AD107+(AI$5&lt;E$5)*AJ107+(AO$5&lt;E$5)*AP107+(AU$5&lt;E$5)*AV107)))</f>
        <v/>
      </c>
      <c r="H107">
        <f>IF(F107-G107&lt;0.005,0,F107-G107)</f>
        <v/>
      </c>
      <c r="I107">
        <f>N106</f>
        <v/>
      </c>
      <c r="J107">
        <f>I107*Plan!D7/100/12</f>
        <v/>
      </c>
      <c r="K107">
        <f>MIN(Plan!E7,I107+J107)</f>
        <v/>
      </c>
      <c r="L107">
        <f>I107+J107-K107</f>
        <v/>
      </c>
      <c r="M107">
        <f>MIN(L107,MAX(0,$B107-((E$5&lt;K$5)*F107+(Q$5&lt;K$5)*R107+(W$5&lt;K$5)*X107+(AC$5&lt;K$5)*AD107+(AI$5&lt;K$5)*AJ107+(AO$5&lt;K$5)*AP107+(AU$5&lt;K$5)*AV107)))</f>
        <v/>
      </c>
      <c r="N107">
        <f>IF(L107-M107&lt;0.005,0,L107-M107)</f>
        <v/>
      </c>
      <c r="O107">
        <f>T106</f>
        <v/>
      </c>
      <c r="P107">
        <f>O107*Plan!D8/100/12</f>
        <v/>
      </c>
      <c r="Q107">
        <f>MIN(Plan!E8,O107+P107)</f>
        <v/>
      </c>
      <c r="R107">
        <f>O107+P107-Q107</f>
        <v/>
      </c>
      <c r="S107">
        <f>MIN(R107,MAX(0,$B107-((E$5&lt;Q$5)*F107+(K$5&lt;Q$5)*L107+(W$5&lt;Q$5)*X107+(AC$5&lt;Q$5)*AD107+(AI$5&lt;Q$5)*AJ107+(AO$5&lt;Q$5)*AP107+(AU$5&lt;Q$5)*AV107)))</f>
        <v/>
      </c>
      <c r="T107">
        <f>IF(R107-S107&lt;0.005,0,R107-S107)</f>
        <v/>
      </c>
      <c r="U107">
        <f>Z106</f>
        <v/>
      </c>
      <c r="V107">
        <f>U107*Plan!D9/100/12</f>
        <v/>
      </c>
      <c r="W107">
        <f>MIN(Plan!E9,U107+V107)</f>
        <v/>
      </c>
      <c r="X107">
        <f>U107+V107-W107</f>
        <v/>
      </c>
      <c r="Y107">
        <f>MIN(X107,MAX(0,$B107-((E$5&lt;W$5)*F107+(K$5&lt;W$5)*L107+(Q$5&lt;W$5)*R107+(AC$5&lt;W$5)*AD107+(AI$5&lt;W$5)*AJ107+(AO$5&lt;W$5)*AP107+(AU$5&lt;W$5)*AV107)))</f>
        <v/>
      </c>
      <c r="Z107">
        <f>IF(X107-Y107&lt;0.005,0,X107-Y107)</f>
        <v/>
      </c>
      <c r="AA107">
        <f>AF106</f>
        <v/>
      </c>
      <c r="AB107">
        <f>AA107*Plan!D10/100/12</f>
        <v/>
      </c>
      <c r="AC107">
        <f>MIN(Plan!E10,AA107+AB107)</f>
        <v/>
      </c>
      <c r="AD107">
        <f>AA107+AB107-AC107</f>
        <v/>
      </c>
      <c r="AE107">
        <f>MIN(AD107,MAX(0,$B107-((E$5&lt;AC$5)*F107+(K$5&lt;AC$5)*L107+(Q$5&lt;AC$5)*R107+(W$5&lt;AC$5)*X107+(AI$5&lt;AC$5)*AJ107+(AO$5&lt;AC$5)*AP107+(AU$5&lt;AC$5)*AV107)))</f>
        <v/>
      </c>
      <c r="AF107">
        <f>IF(AD107-AE107&lt;0.005,0,AD107-AE107)</f>
        <v/>
      </c>
      <c r="AG107">
        <f>AL106</f>
        <v/>
      </c>
      <c r="AH107">
        <f>AG107*Plan!D11/100/12</f>
        <v/>
      </c>
      <c r="AI107">
        <f>MIN(Plan!E11,AG107+AH107)</f>
        <v/>
      </c>
      <c r="AJ107">
        <f>AG107+AH107-AI107</f>
        <v/>
      </c>
      <c r="AK107">
        <f>MIN(AJ107,MAX(0,$B107-((E$5&lt;AI$5)*F107+(K$5&lt;AI$5)*L107+(Q$5&lt;AI$5)*R107+(W$5&lt;AI$5)*X107+(AC$5&lt;AI$5)*AD107+(AO$5&lt;AI$5)*AP107+(AU$5&lt;AI$5)*AV107)))</f>
        <v/>
      </c>
      <c r="AL107">
        <f>IF(AJ107-AK107&lt;0.005,0,AJ107-AK107)</f>
        <v/>
      </c>
      <c r="AM107">
        <f>AR106</f>
        <v/>
      </c>
      <c r="AN107">
        <f>AM107*Plan!D12/100/12</f>
        <v/>
      </c>
      <c r="AO107">
        <f>MIN(Plan!E12,AM107+AN107)</f>
        <v/>
      </c>
      <c r="AP107">
        <f>AM107+AN107-AO107</f>
        <v/>
      </c>
      <c r="AQ107">
        <f>MIN(AP107,MAX(0,$B107-((E$5&lt;AO$5)*F107+(K$5&lt;AO$5)*L107+(Q$5&lt;AO$5)*R107+(W$5&lt;AO$5)*X107+(AC$5&lt;AO$5)*AD107+(AI$5&lt;AO$5)*AJ107+(AU$5&lt;AO$5)*AV107)))</f>
        <v/>
      </c>
      <c r="AR107">
        <f>IF(AP107-AQ107&lt;0.005,0,AP107-AQ107)</f>
        <v/>
      </c>
      <c r="AS107">
        <f>AX106</f>
        <v/>
      </c>
      <c r="AT107">
        <f>AS107*Plan!D13/100/12</f>
        <v/>
      </c>
      <c r="AU107">
        <f>MIN(Plan!E13,AS107+AT107)</f>
        <v/>
      </c>
      <c r="AV107">
        <f>AS107+AT107-AU107</f>
        <v/>
      </c>
      <c r="AW107">
        <f>MIN(AV107,MAX(0,$B107-((E$5&lt;AU$5)*F107+(K$5&lt;AU$5)*L107+(Q$5&lt;AU$5)*R107+(W$5&lt;AU$5)*X107+(AC$5&lt;AU$5)*AD107+(AI$5&lt;AU$5)*AJ107+(AO$5&lt;AU$5)*AP107)))</f>
        <v/>
      </c>
      <c r="AX107">
        <f>IF(AV107-AW107&lt;0.005,0,AV107-AW107)</f>
        <v/>
      </c>
      <c r="BC107">
        <f>H107+N107+T107+Z107+AF107+AL107+AR107+AX107</f>
        <v/>
      </c>
    </row>
    <row r="108">
      <c r="A108" t="n">
        <v>102</v>
      </c>
      <c r="B108" s="19">
        <f>MAX(0,$B$3-(E108+K108+Q108+W108+AC108+AI108+AO108+AU108))</f>
        <v/>
      </c>
      <c r="C108">
        <f>H107</f>
        <v/>
      </c>
      <c r="D108">
        <f>C108*Plan!D6/100/12</f>
        <v/>
      </c>
      <c r="E108">
        <f>MIN(Plan!E6,C108+D108)</f>
        <v/>
      </c>
      <c r="F108">
        <f>C108+D108-E108</f>
        <v/>
      </c>
      <c r="G108">
        <f>MIN(F108,MAX(0,$B108-((K$5&lt;E$5)*L108+(Q$5&lt;E$5)*R108+(W$5&lt;E$5)*X108+(AC$5&lt;E$5)*AD108+(AI$5&lt;E$5)*AJ108+(AO$5&lt;E$5)*AP108+(AU$5&lt;E$5)*AV108)))</f>
        <v/>
      </c>
      <c r="H108">
        <f>IF(F108-G108&lt;0.005,0,F108-G108)</f>
        <v/>
      </c>
      <c r="I108">
        <f>N107</f>
        <v/>
      </c>
      <c r="J108">
        <f>I108*Plan!D7/100/12</f>
        <v/>
      </c>
      <c r="K108">
        <f>MIN(Plan!E7,I108+J108)</f>
        <v/>
      </c>
      <c r="L108">
        <f>I108+J108-K108</f>
        <v/>
      </c>
      <c r="M108">
        <f>MIN(L108,MAX(0,$B108-((E$5&lt;K$5)*F108+(Q$5&lt;K$5)*R108+(W$5&lt;K$5)*X108+(AC$5&lt;K$5)*AD108+(AI$5&lt;K$5)*AJ108+(AO$5&lt;K$5)*AP108+(AU$5&lt;K$5)*AV108)))</f>
        <v/>
      </c>
      <c r="N108">
        <f>IF(L108-M108&lt;0.005,0,L108-M108)</f>
        <v/>
      </c>
      <c r="O108">
        <f>T107</f>
        <v/>
      </c>
      <c r="P108">
        <f>O108*Plan!D8/100/12</f>
        <v/>
      </c>
      <c r="Q108">
        <f>MIN(Plan!E8,O108+P108)</f>
        <v/>
      </c>
      <c r="R108">
        <f>O108+P108-Q108</f>
        <v/>
      </c>
      <c r="S108">
        <f>MIN(R108,MAX(0,$B108-((E$5&lt;Q$5)*F108+(K$5&lt;Q$5)*L108+(W$5&lt;Q$5)*X108+(AC$5&lt;Q$5)*AD108+(AI$5&lt;Q$5)*AJ108+(AO$5&lt;Q$5)*AP108+(AU$5&lt;Q$5)*AV108)))</f>
        <v/>
      </c>
      <c r="T108">
        <f>IF(R108-S108&lt;0.005,0,R108-S108)</f>
        <v/>
      </c>
      <c r="U108">
        <f>Z107</f>
        <v/>
      </c>
      <c r="V108">
        <f>U108*Plan!D9/100/12</f>
        <v/>
      </c>
      <c r="W108">
        <f>MIN(Plan!E9,U108+V108)</f>
        <v/>
      </c>
      <c r="X108">
        <f>U108+V108-W108</f>
        <v/>
      </c>
      <c r="Y108">
        <f>MIN(X108,MAX(0,$B108-((E$5&lt;W$5)*F108+(K$5&lt;W$5)*L108+(Q$5&lt;W$5)*R108+(AC$5&lt;W$5)*AD108+(AI$5&lt;W$5)*AJ108+(AO$5&lt;W$5)*AP108+(AU$5&lt;W$5)*AV108)))</f>
        <v/>
      </c>
      <c r="Z108">
        <f>IF(X108-Y108&lt;0.005,0,X108-Y108)</f>
        <v/>
      </c>
      <c r="AA108">
        <f>AF107</f>
        <v/>
      </c>
      <c r="AB108">
        <f>AA108*Plan!D10/100/12</f>
        <v/>
      </c>
      <c r="AC108">
        <f>MIN(Plan!E10,AA108+AB108)</f>
        <v/>
      </c>
      <c r="AD108">
        <f>AA108+AB108-AC108</f>
        <v/>
      </c>
      <c r="AE108">
        <f>MIN(AD108,MAX(0,$B108-((E$5&lt;AC$5)*F108+(K$5&lt;AC$5)*L108+(Q$5&lt;AC$5)*R108+(W$5&lt;AC$5)*X108+(AI$5&lt;AC$5)*AJ108+(AO$5&lt;AC$5)*AP108+(AU$5&lt;AC$5)*AV108)))</f>
        <v/>
      </c>
      <c r="AF108">
        <f>IF(AD108-AE108&lt;0.005,0,AD108-AE108)</f>
        <v/>
      </c>
      <c r="AG108">
        <f>AL107</f>
        <v/>
      </c>
      <c r="AH108">
        <f>AG108*Plan!D11/100/12</f>
        <v/>
      </c>
      <c r="AI108">
        <f>MIN(Plan!E11,AG108+AH108)</f>
        <v/>
      </c>
      <c r="AJ108">
        <f>AG108+AH108-AI108</f>
        <v/>
      </c>
      <c r="AK108">
        <f>MIN(AJ108,MAX(0,$B108-((E$5&lt;AI$5)*F108+(K$5&lt;AI$5)*L108+(Q$5&lt;AI$5)*R108+(W$5&lt;AI$5)*X108+(AC$5&lt;AI$5)*AD108+(AO$5&lt;AI$5)*AP108+(AU$5&lt;AI$5)*AV108)))</f>
        <v/>
      </c>
      <c r="AL108">
        <f>IF(AJ108-AK108&lt;0.005,0,AJ108-AK108)</f>
        <v/>
      </c>
      <c r="AM108">
        <f>AR107</f>
        <v/>
      </c>
      <c r="AN108">
        <f>AM108*Plan!D12/100/12</f>
        <v/>
      </c>
      <c r="AO108">
        <f>MIN(Plan!E12,AM108+AN108)</f>
        <v/>
      </c>
      <c r="AP108">
        <f>AM108+AN108-AO108</f>
        <v/>
      </c>
      <c r="AQ108">
        <f>MIN(AP108,MAX(0,$B108-((E$5&lt;AO$5)*F108+(K$5&lt;AO$5)*L108+(Q$5&lt;AO$5)*R108+(W$5&lt;AO$5)*X108+(AC$5&lt;AO$5)*AD108+(AI$5&lt;AO$5)*AJ108+(AU$5&lt;AO$5)*AV108)))</f>
        <v/>
      </c>
      <c r="AR108">
        <f>IF(AP108-AQ108&lt;0.005,0,AP108-AQ108)</f>
        <v/>
      </c>
      <c r="AS108">
        <f>AX107</f>
        <v/>
      </c>
      <c r="AT108">
        <f>AS108*Plan!D13/100/12</f>
        <v/>
      </c>
      <c r="AU108">
        <f>MIN(Plan!E13,AS108+AT108)</f>
        <v/>
      </c>
      <c r="AV108">
        <f>AS108+AT108-AU108</f>
        <v/>
      </c>
      <c r="AW108">
        <f>MIN(AV108,MAX(0,$B108-((E$5&lt;AU$5)*F108+(K$5&lt;AU$5)*L108+(Q$5&lt;AU$5)*R108+(W$5&lt;AU$5)*X108+(AC$5&lt;AU$5)*AD108+(AI$5&lt;AU$5)*AJ108+(AO$5&lt;AU$5)*AP108)))</f>
        <v/>
      </c>
      <c r="AX108">
        <f>IF(AV108-AW108&lt;0.005,0,AV108-AW108)</f>
        <v/>
      </c>
      <c r="BC108">
        <f>H108+N108+T108+Z108+AF108+AL108+AR108+AX108</f>
        <v/>
      </c>
    </row>
    <row r="109">
      <c r="A109" t="n">
        <v>103</v>
      </c>
      <c r="B109" s="19">
        <f>MAX(0,$B$3-(E109+K109+Q109+W109+AC109+AI109+AO109+AU109))</f>
        <v/>
      </c>
      <c r="C109">
        <f>H108</f>
        <v/>
      </c>
      <c r="D109">
        <f>C109*Plan!D6/100/12</f>
        <v/>
      </c>
      <c r="E109">
        <f>MIN(Plan!E6,C109+D109)</f>
        <v/>
      </c>
      <c r="F109">
        <f>C109+D109-E109</f>
        <v/>
      </c>
      <c r="G109">
        <f>MIN(F109,MAX(0,$B109-((K$5&lt;E$5)*L109+(Q$5&lt;E$5)*R109+(W$5&lt;E$5)*X109+(AC$5&lt;E$5)*AD109+(AI$5&lt;E$5)*AJ109+(AO$5&lt;E$5)*AP109+(AU$5&lt;E$5)*AV109)))</f>
        <v/>
      </c>
      <c r="H109">
        <f>IF(F109-G109&lt;0.005,0,F109-G109)</f>
        <v/>
      </c>
      <c r="I109">
        <f>N108</f>
        <v/>
      </c>
      <c r="J109">
        <f>I109*Plan!D7/100/12</f>
        <v/>
      </c>
      <c r="K109">
        <f>MIN(Plan!E7,I109+J109)</f>
        <v/>
      </c>
      <c r="L109">
        <f>I109+J109-K109</f>
        <v/>
      </c>
      <c r="M109">
        <f>MIN(L109,MAX(0,$B109-((E$5&lt;K$5)*F109+(Q$5&lt;K$5)*R109+(W$5&lt;K$5)*X109+(AC$5&lt;K$5)*AD109+(AI$5&lt;K$5)*AJ109+(AO$5&lt;K$5)*AP109+(AU$5&lt;K$5)*AV109)))</f>
        <v/>
      </c>
      <c r="N109">
        <f>IF(L109-M109&lt;0.005,0,L109-M109)</f>
        <v/>
      </c>
      <c r="O109">
        <f>T108</f>
        <v/>
      </c>
      <c r="P109">
        <f>O109*Plan!D8/100/12</f>
        <v/>
      </c>
      <c r="Q109">
        <f>MIN(Plan!E8,O109+P109)</f>
        <v/>
      </c>
      <c r="R109">
        <f>O109+P109-Q109</f>
        <v/>
      </c>
      <c r="S109">
        <f>MIN(R109,MAX(0,$B109-((E$5&lt;Q$5)*F109+(K$5&lt;Q$5)*L109+(W$5&lt;Q$5)*X109+(AC$5&lt;Q$5)*AD109+(AI$5&lt;Q$5)*AJ109+(AO$5&lt;Q$5)*AP109+(AU$5&lt;Q$5)*AV109)))</f>
        <v/>
      </c>
      <c r="T109">
        <f>IF(R109-S109&lt;0.005,0,R109-S109)</f>
        <v/>
      </c>
      <c r="U109">
        <f>Z108</f>
        <v/>
      </c>
      <c r="V109">
        <f>U109*Plan!D9/100/12</f>
        <v/>
      </c>
      <c r="W109">
        <f>MIN(Plan!E9,U109+V109)</f>
        <v/>
      </c>
      <c r="X109">
        <f>U109+V109-W109</f>
        <v/>
      </c>
      <c r="Y109">
        <f>MIN(X109,MAX(0,$B109-((E$5&lt;W$5)*F109+(K$5&lt;W$5)*L109+(Q$5&lt;W$5)*R109+(AC$5&lt;W$5)*AD109+(AI$5&lt;W$5)*AJ109+(AO$5&lt;W$5)*AP109+(AU$5&lt;W$5)*AV109)))</f>
        <v/>
      </c>
      <c r="Z109">
        <f>IF(X109-Y109&lt;0.005,0,X109-Y109)</f>
        <v/>
      </c>
      <c r="AA109">
        <f>AF108</f>
        <v/>
      </c>
      <c r="AB109">
        <f>AA109*Plan!D10/100/12</f>
        <v/>
      </c>
      <c r="AC109">
        <f>MIN(Plan!E10,AA109+AB109)</f>
        <v/>
      </c>
      <c r="AD109">
        <f>AA109+AB109-AC109</f>
        <v/>
      </c>
      <c r="AE109">
        <f>MIN(AD109,MAX(0,$B109-((E$5&lt;AC$5)*F109+(K$5&lt;AC$5)*L109+(Q$5&lt;AC$5)*R109+(W$5&lt;AC$5)*X109+(AI$5&lt;AC$5)*AJ109+(AO$5&lt;AC$5)*AP109+(AU$5&lt;AC$5)*AV109)))</f>
        <v/>
      </c>
      <c r="AF109">
        <f>IF(AD109-AE109&lt;0.005,0,AD109-AE109)</f>
        <v/>
      </c>
      <c r="AG109">
        <f>AL108</f>
        <v/>
      </c>
      <c r="AH109">
        <f>AG109*Plan!D11/100/12</f>
        <v/>
      </c>
      <c r="AI109">
        <f>MIN(Plan!E11,AG109+AH109)</f>
        <v/>
      </c>
      <c r="AJ109">
        <f>AG109+AH109-AI109</f>
        <v/>
      </c>
      <c r="AK109">
        <f>MIN(AJ109,MAX(0,$B109-((E$5&lt;AI$5)*F109+(K$5&lt;AI$5)*L109+(Q$5&lt;AI$5)*R109+(W$5&lt;AI$5)*X109+(AC$5&lt;AI$5)*AD109+(AO$5&lt;AI$5)*AP109+(AU$5&lt;AI$5)*AV109)))</f>
        <v/>
      </c>
      <c r="AL109">
        <f>IF(AJ109-AK109&lt;0.005,0,AJ109-AK109)</f>
        <v/>
      </c>
      <c r="AM109">
        <f>AR108</f>
        <v/>
      </c>
      <c r="AN109">
        <f>AM109*Plan!D12/100/12</f>
        <v/>
      </c>
      <c r="AO109">
        <f>MIN(Plan!E12,AM109+AN109)</f>
        <v/>
      </c>
      <c r="AP109">
        <f>AM109+AN109-AO109</f>
        <v/>
      </c>
      <c r="AQ109">
        <f>MIN(AP109,MAX(0,$B109-((E$5&lt;AO$5)*F109+(K$5&lt;AO$5)*L109+(Q$5&lt;AO$5)*R109+(W$5&lt;AO$5)*X109+(AC$5&lt;AO$5)*AD109+(AI$5&lt;AO$5)*AJ109+(AU$5&lt;AO$5)*AV109)))</f>
        <v/>
      </c>
      <c r="AR109">
        <f>IF(AP109-AQ109&lt;0.005,0,AP109-AQ109)</f>
        <v/>
      </c>
      <c r="AS109">
        <f>AX108</f>
        <v/>
      </c>
      <c r="AT109">
        <f>AS109*Plan!D13/100/12</f>
        <v/>
      </c>
      <c r="AU109">
        <f>MIN(Plan!E13,AS109+AT109)</f>
        <v/>
      </c>
      <c r="AV109">
        <f>AS109+AT109-AU109</f>
        <v/>
      </c>
      <c r="AW109">
        <f>MIN(AV109,MAX(0,$B109-((E$5&lt;AU$5)*F109+(K$5&lt;AU$5)*L109+(Q$5&lt;AU$5)*R109+(W$5&lt;AU$5)*X109+(AC$5&lt;AU$5)*AD109+(AI$5&lt;AU$5)*AJ109+(AO$5&lt;AU$5)*AP109)))</f>
        <v/>
      </c>
      <c r="AX109">
        <f>IF(AV109-AW109&lt;0.005,0,AV109-AW109)</f>
        <v/>
      </c>
      <c r="BC109">
        <f>H109+N109+T109+Z109+AF109+AL109+AR109+AX109</f>
        <v/>
      </c>
    </row>
    <row r="110">
      <c r="A110" t="n">
        <v>104</v>
      </c>
      <c r="B110" s="19">
        <f>MAX(0,$B$3-(E110+K110+Q110+W110+AC110+AI110+AO110+AU110))</f>
        <v/>
      </c>
      <c r="C110">
        <f>H109</f>
        <v/>
      </c>
      <c r="D110">
        <f>C110*Plan!D6/100/12</f>
        <v/>
      </c>
      <c r="E110">
        <f>MIN(Plan!E6,C110+D110)</f>
        <v/>
      </c>
      <c r="F110">
        <f>C110+D110-E110</f>
        <v/>
      </c>
      <c r="G110">
        <f>MIN(F110,MAX(0,$B110-((K$5&lt;E$5)*L110+(Q$5&lt;E$5)*R110+(W$5&lt;E$5)*X110+(AC$5&lt;E$5)*AD110+(AI$5&lt;E$5)*AJ110+(AO$5&lt;E$5)*AP110+(AU$5&lt;E$5)*AV110)))</f>
        <v/>
      </c>
      <c r="H110">
        <f>IF(F110-G110&lt;0.005,0,F110-G110)</f>
        <v/>
      </c>
      <c r="I110">
        <f>N109</f>
        <v/>
      </c>
      <c r="J110">
        <f>I110*Plan!D7/100/12</f>
        <v/>
      </c>
      <c r="K110">
        <f>MIN(Plan!E7,I110+J110)</f>
        <v/>
      </c>
      <c r="L110">
        <f>I110+J110-K110</f>
        <v/>
      </c>
      <c r="M110">
        <f>MIN(L110,MAX(0,$B110-((E$5&lt;K$5)*F110+(Q$5&lt;K$5)*R110+(W$5&lt;K$5)*X110+(AC$5&lt;K$5)*AD110+(AI$5&lt;K$5)*AJ110+(AO$5&lt;K$5)*AP110+(AU$5&lt;K$5)*AV110)))</f>
        <v/>
      </c>
      <c r="N110">
        <f>IF(L110-M110&lt;0.005,0,L110-M110)</f>
        <v/>
      </c>
      <c r="O110">
        <f>T109</f>
        <v/>
      </c>
      <c r="P110">
        <f>O110*Plan!D8/100/12</f>
        <v/>
      </c>
      <c r="Q110">
        <f>MIN(Plan!E8,O110+P110)</f>
        <v/>
      </c>
      <c r="R110">
        <f>O110+P110-Q110</f>
        <v/>
      </c>
      <c r="S110">
        <f>MIN(R110,MAX(0,$B110-((E$5&lt;Q$5)*F110+(K$5&lt;Q$5)*L110+(W$5&lt;Q$5)*X110+(AC$5&lt;Q$5)*AD110+(AI$5&lt;Q$5)*AJ110+(AO$5&lt;Q$5)*AP110+(AU$5&lt;Q$5)*AV110)))</f>
        <v/>
      </c>
      <c r="T110">
        <f>IF(R110-S110&lt;0.005,0,R110-S110)</f>
        <v/>
      </c>
      <c r="U110">
        <f>Z109</f>
        <v/>
      </c>
      <c r="V110">
        <f>U110*Plan!D9/100/12</f>
        <v/>
      </c>
      <c r="W110">
        <f>MIN(Plan!E9,U110+V110)</f>
        <v/>
      </c>
      <c r="X110">
        <f>U110+V110-W110</f>
        <v/>
      </c>
      <c r="Y110">
        <f>MIN(X110,MAX(0,$B110-((E$5&lt;W$5)*F110+(K$5&lt;W$5)*L110+(Q$5&lt;W$5)*R110+(AC$5&lt;W$5)*AD110+(AI$5&lt;W$5)*AJ110+(AO$5&lt;W$5)*AP110+(AU$5&lt;W$5)*AV110)))</f>
        <v/>
      </c>
      <c r="Z110">
        <f>IF(X110-Y110&lt;0.005,0,X110-Y110)</f>
        <v/>
      </c>
      <c r="AA110">
        <f>AF109</f>
        <v/>
      </c>
      <c r="AB110">
        <f>AA110*Plan!D10/100/12</f>
        <v/>
      </c>
      <c r="AC110">
        <f>MIN(Plan!E10,AA110+AB110)</f>
        <v/>
      </c>
      <c r="AD110">
        <f>AA110+AB110-AC110</f>
        <v/>
      </c>
      <c r="AE110">
        <f>MIN(AD110,MAX(0,$B110-((E$5&lt;AC$5)*F110+(K$5&lt;AC$5)*L110+(Q$5&lt;AC$5)*R110+(W$5&lt;AC$5)*X110+(AI$5&lt;AC$5)*AJ110+(AO$5&lt;AC$5)*AP110+(AU$5&lt;AC$5)*AV110)))</f>
        <v/>
      </c>
      <c r="AF110">
        <f>IF(AD110-AE110&lt;0.005,0,AD110-AE110)</f>
        <v/>
      </c>
      <c r="AG110">
        <f>AL109</f>
        <v/>
      </c>
      <c r="AH110">
        <f>AG110*Plan!D11/100/12</f>
        <v/>
      </c>
      <c r="AI110">
        <f>MIN(Plan!E11,AG110+AH110)</f>
        <v/>
      </c>
      <c r="AJ110">
        <f>AG110+AH110-AI110</f>
        <v/>
      </c>
      <c r="AK110">
        <f>MIN(AJ110,MAX(0,$B110-((E$5&lt;AI$5)*F110+(K$5&lt;AI$5)*L110+(Q$5&lt;AI$5)*R110+(W$5&lt;AI$5)*X110+(AC$5&lt;AI$5)*AD110+(AO$5&lt;AI$5)*AP110+(AU$5&lt;AI$5)*AV110)))</f>
        <v/>
      </c>
      <c r="AL110">
        <f>IF(AJ110-AK110&lt;0.005,0,AJ110-AK110)</f>
        <v/>
      </c>
      <c r="AM110">
        <f>AR109</f>
        <v/>
      </c>
      <c r="AN110">
        <f>AM110*Plan!D12/100/12</f>
        <v/>
      </c>
      <c r="AO110">
        <f>MIN(Plan!E12,AM110+AN110)</f>
        <v/>
      </c>
      <c r="AP110">
        <f>AM110+AN110-AO110</f>
        <v/>
      </c>
      <c r="AQ110">
        <f>MIN(AP110,MAX(0,$B110-((E$5&lt;AO$5)*F110+(K$5&lt;AO$5)*L110+(Q$5&lt;AO$5)*R110+(W$5&lt;AO$5)*X110+(AC$5&lt;AO$5)*AD110+(AI$5&lt;AO$5)*AJ110+(AU$5&lt;AO$5)*AV110)))</f>
        <v/>
      </c>
      <c r="AR110">
        <f>IF(AP110-AQ110&lt;0.005,0,AP110-AQ110)</f>
        <v/>
      </c>
      <c r="AS110">
        <f>AX109</f>
        <v/>
      </c>
      <c r="AT110">
        <f>AS110*Plan!D13/100/12</f>
        <v/>
      </c>
      <c r="AU110">
        <f>MIN(Plan!E13,AS110+AT110)</f>
        <v/>
      </c>
      <c r="AV110">
        <f>AS110+AT110-AU110</f>
        <v/>
      </c>
      <c r="AW110">
        <f>MIN(AV110,MAX(0,$B110-((E$5&lt;AU$5)*F110+(K$5&lt;AU$5)*L110+(Q$5&lt;AU$5)*R110+(W$5&lt;AU$5)*X110+(AC$5&lt;AU$5)*AD110+(AI$5&lt;AU$5)*AJ110+(AO$5&lt;AU$5)*AP110)))</f>
        <v/>
      </c>
      <c r="AX110">
        <f>IF(AV110-AW110&lt;0.005,0,AV110-AW110)</f>
        <v/>
      </c>
      <c r="BC110">
        <f>H110+N110+T110+Z110+AF110+AL110+AR110+AX110</f>
        <v/>
      </c>
    </row>
    <row r="111">
      <c r="A111" t="n">
        <v>105</v>
      </c>
      <c r="B111" s="19">
        <f>MAX(0,$B$3-(E111+K111+Q111+W111+AC111+AI111+AO111+AU111))</f>
        <v/>
      </c>
      <c r="C111">
        <f>H110</f>
        <v/>
      </c>
      <c r="D111">
        <f>C111*Plan!D6/100/12</f>
        <v/>
      </c>
      <c r="E111">
        <f>MIN(Plan!E6,C111+D111)</f>
        <v/>
      </c>
      <c r="F111">
        <f>C111+D111-E111</f>
        <v/>
      </c>
      <c r="G111">
        <f>MIN(F111,MAX(0,$B111-((K$5&lt;E$5)*L111+(Q$5&lt;E$5)*R111+(W$5&lt;E$5)*X111+(AC$5&lt;E$5)*AD111+(AI$5&lt;E$5)*AJ111+(AO$5&lt;E$5)*AP111+(AU$5&lt;E$5)*AV111)))</f>
        <v/>
      </c>
      <c r="H111">
        <f>IF(F111-G111&lt;0.005,0,F111-G111)</f>
        <v/>
      </c>
      <c r="I111">
        <f>N110</f>
        <v/>
      </c>
      <c r="J111">
        <f>I111*Plan!D7/100/12</f>
        <v/>
      </c>
      <c r="K111">
        <f>MIN(Plan!E7,I111+J111)</f>
        <v/>
      </c>
      <c r="L111">
        <f>I111+J111-K111</f>
        <v/>
      </c>
      <c r="M111">
        <f>MIN(L111,MAX(0,$B111-((E$5&lt;K$5)*F111+(Q$5&lt;K$5)*R111+(W$5&lt;K$5)*X111+(AC$5&lt;K$5)*AD111+(AI$5&lt;K$5)*AJ111+(AO$5&lt;K$5)*AP111+(AU$5&lt;K$5)*AV111)))</f>
        <v/>
      </c>
      <c r="N111">
        <f>IF(L111-M111&lt;0.005,0,L111-M111)</f>
        <v/>
      </c>
      <c r="O111">
        <f>T110</f>
        <v/>
      </c>
      <c r="P111">
        <f>O111*Plan!D8/100/12</f>
        <v/>
      </c>
      <c r="Q111">
        <f>MIN(Plan!E8,O111+P111)</f>
        <v/>
      </c>
      <c r="R111">
        <f>O111+P111-Q111</f>
        <v/>
      </c>
      <c r="S111">
        <f>MIN(R111,MAX(0,$B111-((E$5&lt;Q$5)*F111+(K$5&lt;Q$5)*L111+(W$5&lt;Q$5)*X111+(AC$5&lt;Q$5)*AD111+(AI$5&lt;Q$5)*AJ111+(AO$5&lt;Q$5)*AP111+(AU$5&lt;Q$5)*AV111)))</f>
        <v/>
      </c>
      <c r="T111">
        <f>IF(R111-S111&lt;0.005,0,R111-S111)</f>
        <v/>
      </c>
      <c r="U111">
        <f>Z110</f>
        <v/>
      </c>
      <c r="V111">
        <f>U111*Plan!D9/100/12</f>
        <v/>
      </c>
      <c r="W111">
        <f>MIN(Plan!E9,U111+V111)</f>
        <v/>
      </c>
      <c r="X111">
        <f>U111+V111-W111</f>
        <v/>
      </c>
      <c r="Y111">
        <f>MIN(X111,MAX(0,$B111-((E$5&lt;W$5)*F111+(K$5&lt;W$5)*L111+(Q$5&lt;W$5)*R111+(AC$5&lt;W$5)*AD111+(AI$5&lt;W$5)*AJ111+(AO$5&lt;W$5)*AP111+(AU$5&lt;W$5)*AV111)))</f>
        <v/>
      </c>
      <c r="Z111">
        <f>IF(X111-Y111&lt;0.005,0,X111-Y111)</f>
        <v/>
      </c>
      <c r="AA111">
        <f>AF110</f>
        <v/>
      </c>
      <c r="AB111">
        <f>AA111*Plan!D10/100/12</f>
        <v/>
      </c>
      <c r="AC111">
        <f>MIN(Plan!E10,AA111+AB111)</f>
        <v/>
      </c>
      <c r="AD111">
        <f>AA111+AB111-AC111</f>
        <v/>
      </c>
      <c r="AE111">
        <f>MIN(AD111,MAX(0,$B111-((E$5&lt;AC$5)*F111+(K$5&lt;AC$5)*L111+(Q$5&lt;AC$5)*R111+(W$5&lt;AC$5)*X111+(AI$5&lt;AC$5)*AJ111+(AO$5&lt;AC$5)*AP111+(AU$5&lt;AC$5)*AV111)))</f>
        <v/>
      </c>
      <c r="AF111">
        <f>IF(AD111-AE111&lt;0.005,0,AD111-AE111)</f>
        <v/>
      </c>
      <c r="AG111">
        <f>AL110</f>
        <v/>
      </c>
      <c r="AH111">
        <f>AG111*Plan!D11/100/12</f>
        <v/>
      </c>
      <c r="AI111">
        <f>MIN(Plan!E11,AG111+AH111)</f>
        <v/>
      </c>
      <c r="AJ111">
        <f>AG111+AH111-AI111</f>
        <v/>
      </c>
      <c r="AK111">
        <f>MIN(AJ111,MAX(0,$B111-((E$5&lt;AI$5)*F111+(K$5&lt;AI$5)*L111+(Q$5&lt;AI$5)*R111+(W$5&lt;AI$5)*X111+(AC$5&lt;AI$5)*AD111+(AO$5&lt;AI$5)*AP111+(AU$5&lt;AI$5)*AV111)))</f>
        <v/>
      </c>
      <c r="AL111">
        <f>IF(AJ111-AK111&lt;0.005,0,AJ111-AK111)</f>
        <v/>
      </c>
      <c r="AM111">
        <f>AR110</f>
        <v/>
      </c>
      <c r="AN111">
        <f>AM111*Plan!D12/100/12</f>
        <v/>
      </c>
      <c r="AO111">
        <f>MIN(Plan!E12,AM111+AN111)</f>
        <v/>
      </c>
      <c r="AP111">
        <f>AM111+AN111-AO111</f>
        <v/>
      </c>
      <c r="AQ111">
        <f>MIN(AP111,MAX(0,$B111-((E$5&lt;AO$5)*F111+(K$5&lt;AO$5)*L111+(Q$5&lt;AO$5)*R111+(W$5&lt;AO$5)*X111+(AC$5&lt;AO$5)*AD111+(AI$5&lt;AO$5)*AJ111+(AU$5&lt;AO$5)*AV111)))</f>
        <v/>
      </c>
      <c r="AR111">
        <f>IF(AP111-AQ111&lt;0.005,0,AP111-AQ111)</f>
        <v/>
      </c>
      <c r="AS111">
        <f>AX110</f>
        <v/>
      </c>
      <c r="AT111">
        <f>AS111*Plan!D13/100/12</f>
        <v/>
      </c>
      <c r="AU111">
        <f>MIN(Plan!E13,AS111+AT111)</f>
        <v/>
      </c>
      <c r="AV111">
        <f>AS111+AT111-AU111</f>
        <v/>
      </c>
      <c r="AW111">
        <f>MIN(AV111,MAX(0,$B111-((E$5&lt;AU$5)*F111+(K$5&lt;AU$5)*L111+(Q$5&lt;AU$5)*R111+(W$5&lt;AU$5)*X111+(AC$5&lt;AU$5)*AD111+(AI$5&lt;AU$5)*AJ111+(AO$5&lt;AU$5)*AP111)))</f>
        <v/>
      </c>
      <c r="AX111">
        <f>IF(AV111-AW111&lt;0.005,0,AV111-AW111)</f>
        <v/>
      </c>
      <c r="BC111">
        <f>H111+N111+T111+Z111+AF111+AL111+AR111+AX111</f>
        <v/>
      </c>
    </row>
    <row r="112">
      <c r="A112" t="n">
        <v>106</v>
      </c>
      <c r="B112" s="19">
        <f>MAX(0,$B$3-(E112+K112+Q112+W112+AC112+AI112+AO112+AU112))</f>
        <v/>
      </c>
      <c r="C112">
        <f>H111</f>
        <v/>
      </c>
      <c r="D112">
        <f>C112*Plan!D6/100/12</f>
        <v/>
      </c>
      <c r="E112">
        <f>MIN(Plan!E6,C112+D112)</f>
        <v/>
      </c>
      <c r="F112">
        <f>C112+D112-E112</f>
        <v/>
      </c>
      <c r="G112">
        <f>MIN(F112,MAX(0,$B112-((K$5&lt;E$5)*L112+(Q$5&lt;E$5)*R112+(W$5&lt;E$5)*X112+(AC$5&lt;E$5)*AD112+(AI$5&lt;E$5)*AJ112+(AO$5&lt;E$5)*AP112+(AU$5&lt;E$5)*AV112)))</f>
        <v/>
      </c>
      <c r="H112">
        <f>IF(F112-G112&lt;0.005,0,F112-G112)</f>
        <v/>
      </c>
      <c r="I112">
        <f>N111</f>
        <v/>
      </c>
      <c r="J112">
        <f>I112*Plan!D7/100/12</f>
        <v/>
      </c>
      <c r="K112">
        <f>MIN(Plan!E7,I112+J112)</f>
        <v/>
      </c>
      <c r="L112">
        <f>I112+J112-K112</f>
        <v/>
      </c>
      <c r="M112">
        <f>MIN(L112,MAX(0,$B112-((E$5&lt;K$5)*F112+(Q$5&lt;K$5)*R112+(W$5&lt;K$5)*X112+(AC$5&lt;K$5)*AD112+(AI$5&lt;K$5)*AJ112+(AO$5&lt;K$5)*AP112+(AU$5&lt;K$5)*AV112)))</f>
        <v/>
      </c>
      <c r="N112">
        <f>IF(L112-M112&lt;0.005,0,L112-M112)</f>
        <v/>
      </c>
      <c r="O112">
        <f>T111</f>
        <v/>
      </c>
      <c r="P112">
        <f>O112*Plan!D8/100/12</f>
        <v/>
      </c>
      <c r="Q112">
        <f>MIN(Plan!E8,O112+P112)</f>
        <v/>
      </c>
      <c r="R112">
        <f>O112+P112-Q112</f>
        <v/>
      </c>
      <c r="S112">
        <f>MIN(R112,MAX(0,$B112-((E$5&lt;Q$5)*F112+(K$5&lt;Q$5)*L112+(W$5&lt;Q$5)*X112+(AC$5&lt;Q$5)*AD112+(AI$5&lt;Q$5)*AJ112+(AO$5&lt;Q$5)*AP112+(AU$5&lt;Q$5)*AV112)))</f>
        <v/>
      </c>
      <c r="T112">
        <f>IF(R112-S112&lt;0.005,0,R112-S112)</f>
        <v/>
      </c>
      <c r="U112">
        <f>Z111</f>
        <v/>
      </c>
      <c r="V112">
        <f>U112*Plan!D9/100/12</f>
        <v/>
      </c>
      <c r="W112">
        <f>MIN(Plan!E9,U112+V112)</f>
        <v/>
      </c>
      <c r="X112">
        <f>U112+V112-W112</f>
        <v/>
      </c>
      <c r="Y112">
        <f>MIN(X112,MAX(0,$B112-((E$5&lt;W$5)*F112+(K$5&lt;W$5)*L112+(Q$5&lt;W$5)*R112+(AC$5&lt;W$5)*AD112+(AI$5&lt;W$5)*AJ112+(AO$5&lt;W$5)*AP112+(AU$5&lt;W$5)*AV112)))</f>
        <v/>
      </c>
      <c r="Z112">
        <f>IF(X112-Y112&lt;0.005,0,X112-Y112)</f>
        <v/>
      </c>
      <c r="AA112">
        <f>AF111</f>
        <v/>
      </c>
      <c r="AB112">
        <f>AA112*Plan!D10/100/12</f>
        <v/>
      </c>
      <c r="AC112">
        <f>MIN(Plan!E10,AA112+AB112)</f>
        <v/>
      </c>
      <c r="AD112">
        <f>AA112+AB112-AC112</f>
        <v/>
      </c>
      <c r="AE112">
        <f>MIN(AD112,MAX(0,$B112-((E$5&lt;AC$5)*F112+(K$5&lt;AC$5)*L112+(Q$5&lt;AC$5)*R112+(W$5&lt;AC$5)*X112+(AI$5&lt;AC$5)*AJ112+(AO$5&lt;AC$5)*AP112+(AU$5&lt;AC$5)*AV112)))</f>
        <v/>
      </c>
      <c r="AF112">
        <f>IF(AD112-AE112&lt;0.005,0,AD112-AE112)</f>
        <v/>
      </c>
      <c r="AG112">
        <f>AL111</f>
        <v/>
      </c>
      <c r="AH112">
        <f>AG112*Plan!D11/100/12</f>
        <v/>
      </c>
      <c r="AI112">
        <f>MIN(Plan!E11,AG112+AH112)</f>
        <v/>
      </c>
      <c r="AJ112">
        <f>AG112+AH112-AI112</f>
        <v/>
      </c>
      <c r="AK112">
        <f>MIN(AJ112,MAX(0,$B112-((E$5&lt;AI$5)*F112+(K$5&lt;AI$5)*L112+(Q$5&lt;AI$5)*R112+(W$5&lt;AI$5)*X112+(AC$5&lt;AI$5)*AD112+(AO$5&lt;AI$5)*AP112+(AU$5&lt;AI$5)*AV112)))</f>
        <v/>
      </c>
      <c r="AL112">
        <f>IF(AJ112-AK112&lt;0.005,0,AJ112-AK112)</f>
        <v/>
      </c>
      <c r="AM112">
        <f>AR111</f>
        <v/>
      </c>
      <c r="AN112">
        <f>AM112*Plan!D12/100/12</f>
        <v/>
      </c>
      <c r="AO112">
        <f>MIN(Plan!E12,AM112+AN112)</f>
        <v/>
      </c>
      <c r="AP112">
        <f>AM112+AN112-AO112</f>
        <v/>
      </c>
      <c r="AQ112">
        <f>MIN(AP112,MAX(0,$B112-((E$5&lt;AO$5)*F112+(K$5&lt;AO$5)*L112+(Q$5&lt;AO$5)*R112+(W$5&lt;AO$5)*X112+(AC$5&lt;AO$5)*AD112+(AI$5&lt;AO$5)*AJ112+(AU$5&lt;AO$5)*AV112)))</f>
        <v/>
      </c>
      <c r="AR112">
        <f>IF(AP112-AQ112&lt;0.005,0,AP112-AQ112)</f>
        <v/>
      </c>
      <c r="AS112">
        <f>AX111</f>
        <v/>
      </c>
      <c r="AT112">
        <f>AS112*Plan!D13/100/12</f>
        <v/>
      </c>
      <c r="AU112">
        <f>MIN(Plan!E13,AS112+AT112)</f>
        <v/>
      </c>
      <c r="AV112">
        <f>AS112+AT112-AU112</f>
        <v/>
      </c>
      <c r="AW112">
        <f>MIN(AV112,MAX(0,$B112-((E$5&lt;AU$5)*F112+(K$5&lt;AU$5)*L112+(Q$5&lt;AU$5)*R112+(W$5&lt;AU$5)*X112+(AC$5&lt;AU$5)*AD112+(AI$5&lt;AU$5)*AJ112+(AO$5&lt;AU$5)*AP112)))</f>
        <v/>
      </c>
      <c r="AX112">
        <f>IF(AV112-AW112&lt;0.005,0,AV112-AW112)</f>
        <v/>
      </c>
      <c r="BC112">
        <f>H112+N112+T112+Z112+AF112+AL112+AR112+AX112</f>
        <v/>
      </c>
    </row>
    <row r="113">
      <c r="A113" t="n">
        <v>107</v>
      </c>
      <c r="B113" s="19">
        <f>MAX(0,$B$3-(E113+K113+Q113+W113+AC113+AI113+AO113+AU113))</f>
        <v/>
      </c>
      <c r="C113">
        <f>H112</f>
        <v/>
      </c>
      <c r="D113">
        <f>C113*Plan!D6/100/12</f>
        <v/>
      </c>
      <c r="E113">
        <f>MIN(Plan!E6,C113+D113)</f>
        <v/>
      </c>
      <c r="F113">
        <f>C113+D113-E113</f>
        <v/>
      </c>
      <c r="G113">
        <f>MIN(F113,MAX(0,$B113-((K$5&lt;E$5)*L113+(Q$5&lt;E$5)*R113+(W$5&lt;E$5)*X113+(AC$5&lt;E$5)*AD113+(AI$5&lt;E$5)*AJ113+(AO$5&lt;E$5)*AP113+(AU$5&lt;E$5)*AV113)))</f>
        <v/>
      </c>
      <c r="H113">
        <f>IF(F113-G113&lt;0.005,0,F113-G113)</f>
        <v/>
      </c>
      <c r="I113">
        <f>N112</f>
        <v/>
      </c>
      <c r="J113">
        <f>I113*Plan!D7/100/12</f>
        <v/>
      </c>
      <c r="K113">
        <f>MIN(Plan!E7,I113+J113)</f>
        <v/>
      </c>
      <c r="L113">
        <f>I113+J113-K113</f>
        <v/>
      </c>
      <c r="M113">
        <f>MIN(L113,MAX(0,$B113-((E$5&lt;K$5)*F113+(Q$5&lt;K$5)*R113+(W$5&lt;K$5)*X113+(AC$5&lt;K$5)*AD113+(AI$5&lt;K$5)*AJ113+(AO$5&lt;K$5)*AP113+(AU$5&lt;K$5)*AV113)))</f>
        <v/>
      </c>
      <c r="N113">
        <f>IF(L113-M113&lt;0.005,0,L113-M113)</f>
        <v/>
      </c>
      <c r="O113">
        <f>T112</f>
        <v/>
      </c>
      <c r="P113">
        <f>O113*Plan!D8/100/12</f>
        <v/>
      </c>
      <c r="Q113">
        <f>MIN(Plan!E8,O113+P113)</f>
        <v/>
      </c>
      <c r="R113">
        <f>O113+P113-Q113</f>
        <v/>
      </c>
      <c r="S113">
        <f>MIN(R113,MAX(0,$B113-((E$5&lt;Q$5)*F113+(K$5&lt;Q$5)*L113+(W$5&lt;Q$5)*X113+(AC$5&lt;Q$5)*AD113+(AI$5&lt;Q$5)*AJ113+(AO$5&lt;Q$5)*AP113+(AU$5&lt;Q$5)*AV113)))</f>
        <v/>
      </c>
      <c r="T113">
        <f>IF(R113-S113&lt;0.005,0,R113-S113)</f>
        <v/>
      </c>
      <c r="U113">
        <f>Z112</f>
        <v/>
      </c>
      <c r="V113">
        <f>U113*Plan!D9/100/12</f>
        <v/>
      </c>
      <c r="W113">
        <f>MIN(Plan!E9,U113+V113)</f>
        <v/>
      </c>
      <c r="X113">
        <f>U113+V113-W113</f>
        <v/>
      </c>
      <c r="Y113">
        <f>MIN(X113,MAX(0,$B113-((E$5&lt;W$5)*F113+(K$5&lt;W$5)*L113+(Q$5&lt;W$5)*R113+(AC$5&lt;W$5)*AD113+(AI$5&lt;W$5)*AJ113+(AO$5&lt;W$5)*AP113+(AU$5&lt;W$5)*AV113)))</f>
        <v/>
      </c>
      <c r="Z113">
        <f>IF(X113-Y113&lt;0.005,0,X113-Y113)</f>
        <v/>
      </c>
      <c r="AA113">
        <f>AF112</f>
        <v/>
      </c>
      <c r="AB113">
        <f>AA113*Plan!D10/100/12</f>
        <v/>
      </c>
      <c r="AC113">
        <f>MIN(Plan!E10,AA113+AB113)</f>
        <v/>
      </c>
      <c r="AD113">
        <f>AA113+AB113-AC113</f>
        <v/>
      </c>
      <c r="AE113">
        <f>MIN(AD113,MAX(0,$B113-((E$5&lt;AC$5)*F113+(K$5&lt;AC$5)*L113+(Q$5&lt;AC$5)*R113+(W$5&lt;AC$5)*X113+(AI$5&lt;AC$5)*AJ113+(AO$5&lt;AC$5)*AP113+(AU$5&lt;AC$5)*AV113)))</f>
        <v/>
      </c>
      <c r="AF113">
        <f>IF(AD113-AE113&lt;0.005,0,AD113-AE113)</f>
        <v/>
      </c>
      <c r="AG113">
        <f>AL112</f>
        <v/>
      </c>
      <c r="AH113">
        <f>AG113*Plan!D11/100/12</f>
        <v/>
      </c>
      <c r="AI113">
        <f>MIN(Plan!E11,AG113+AH113)</f>
        <v/>
      </c>
      <c r="AJ113">
        <f>AG113+AH113-AI113</f>
        <v/>
      </c>
      <c r="AK113">
        <f>MIN(AJ113,MAX(0,$B113-((E$5&lt;AI$5)*F113+(K$5&lt;AI$5)*L113+(Q$5&lt;AI$5)*R113+(W$5&lt;AI$5)*X113+(AC$5&lt;AI$5)*AD113+(AO$5&lt;AI$5)*AP113+(AU$5&lt;AI$5)*AV113)))</f>
        <v/>
      </c>
      <c r="AL113">
        <f>IF(AJ113-AK113&lt;0.005,0,AJ113-AK113)</f>
        <v/>
      </c>
      <c r="AM113">
        <f>AR112</f>
        <v/>
      </c>
      <c r="AN113">
        <f>AM113*Plan!D12/100/12</f>
        <v/>
      </c>
      <c r="AO113">
        <f>MIN(Plan!E12,AM113+AN113)</f>
        <v/>
      </c>
      <c r="AP113">
        <f>AM113+AN113-AO113</f>
        <v/>
      </c>
      <c r="AQ113">
        <f>MIN(AP113,MAX(0,$B113-((E$5&lt;AO$5)*F113+(K$5&lt;AO$5)*L113+(Q$5&lt;AO$5)*R113+(W$5&lt;AO$5)*X113+(AC$5&lt;AO$5)*AD113+(AI$5&lt;AO$5)*AJ113+(AU$5&lt;AO$5)*AV113)))</f>
        <v/>
      </c>
      <c r="AR113">
        <f>IF(AP113-AQ113&lt;0.005,0,AP113-AQ113)</f>
        <v/>
      </c>
      <c r="AS113">
        <f>AX112</f>
        <v/>
      </c>
      <c r="AT113">
        <f>AS113*Plan!D13/100/12</f>
        <v/>
      </c>
      <c r="AU113">
        <f>MIN(Plan!E13,AS113+AT113)</f>
        <v/>
      </c>
      <c r="AV113">
        <f>AS113+AT113-AU113</f>
        <v/>
      </c>
      <c r="AW113">
        <f>MIN(AV113,MAX(0,$B113-((E$5&lt;AU$5)*F113+(K$5&lt;AU$5)*L113+(Q$5&lt;AU$5)*R113+(W$5&lt;AU$5)*X113+(AC$5&lt;AU$5)*AD113+(AI$5&lt;AU$5)*AJ113+(AO$5&lt;AU$5)*AP113)))</f>
        <v/>
      </c>
      <c r="AX113">
        <f>IF(AV113-AW113&lt;0.005,0,AV113-AW113)</f>
        <v/>
      </c>
      <c r="BC113">
        <f>H113+N113+T113+Z113+AF113+AL113+AR113+AX113</f>
        <v/>
      </c>
    </row>
    <row r="114">
      <c r="A114" t="n">
        <v>108</v>
      </c>
      <c r="B114" s="19">
        <f>MAX(0,$B$3-(E114+K114+Q114+W114+AC114+AI114+AO114+AU114))</f>
        <v/>
      </c>
      <c r="C114">
        <f>H113</f>
        <v/>
      </c>
      <c r="D114">
        <f>C114*Plan!D6/100/12</f>
        <v/>
      </c>
      <c r="E114">
        <f>MIN(Plan!E6,C114+D114)</f>
        <v/>
      </c>
      <c r="F114">
        <f>C114+D114-E114</f>
        <v/>
      </c>
      <c r="G114">
        <f>MIN(F114,MAX(0,$B114-((K$5&lt;E$5)*L114+(Q$5&lt;E$5)*R114+(W$5&lt;E$5)*X114+(AC$5&lt;E$5)*AD114+(AI$5&lt;E$5)*AJ114+(AO$5&lt;E$5)*AP114+(AU$5&lt;E$5)*AV114)))</f>
        <v/>
      </c>
      <c r="H114">
        <f>IF(F114-G114&lt;0.005,0,F114-G114)</f>
        <v/>
      </c>
      <c r="I114">
        <f>N113</f>
        <v/>
      </c>
      <c r="J114">
        <f>I114*Plan!D7/100/12</f>
        <v/>
      </c>
      <c r="K114">
        <f>MIN(Plan!E7,I114+J114)</f>
        <v/>
      </c>
      <c r="L114">
        <f>I114+J114-K114</f>
        <v/>
      </c>
      <c r="M114">
        <f>MIN(L114,MAX(0,$B114-((E$5&lt;K$5)*F114+(Q$5&lt;K$5)*R114+(W$5&lt;K$5)*X114+(AC$5&lt;K$5)*AD114+(AI$5&lt;K$5)*AJ114+(AO$5&lt;K$5)*AP114+(AU$5&lt;K$5)*AV114)))</f>
        <v/>
      </c>
      <c r="N114">
        <f>IF(L114-M114&lt;0.005,0,L114-M114)</f>
        <v/>
      </c>
      <c r="O114">
        <f>T113</f>
        <v/>
      </c>
      <c r="P114">
        <f>O114*Plan!D8/100/12</f>
        <v/>
      </c>
      <c r="Q114">
        <f>MIN(Plan!E8,O114+P114)</f>
        <v/>
      </c>
      <c r="R114">
        <f>O114+P114-Q114</f>
        <v/>
      </c>
      <c r="S114">
        <f>MIN(R114,MAX(0,$B114-((E$5&lt;Q$5)*F114+(K$5&lt;Q$5)*L114+(W$5&lt;Q$5)*X114+(AC$5&lt;Q$5)*AD114+(AI$5&lt;Q$5)*AJ114+(AO$5&lt;Q$5)*AP114+(AU$5&lt;Q$5)*AV114)))</f>
        <v/>
      </c>
      <c r="T114">
        <f>IF(R114-S114&lt;0.005,0,R114-S114)</f>
        <v/>
      </c>
      <c r="U114">
        <f>Z113</f>
        <v/>
      </c>
      <c r="V114">
        <f>U114*Plan!D9/100/12</f>
        <v/>
      </c>
      <c r="W114">
        <f>MIN(Plan!E9,U114+V114)</f>
        <v/>
      </c>
      <c r="X114">
        <f>U114+V114-W114</f>
        <v/>
      </c>
      <c r="Y114">
        <f>MIN(X114,MAX(0,$B114-((E$5&lt;W$5)*F114+(K$5&lt;W$5)*L114+(Q$5&lt;W$5)*R114+(AC$5&lt;W$5)*AD114+(AI$5&lt;W$5)*AJ114+(AO$5&lt;W$5)*AP114+(AU$5&lt;W$5)*AV114)))</f>
        <v/>
      </c>
      <c r="Z114">
        <f>IF(X114-Y114&lt;0.005,0,X114-Y114)</f>
        <v/>
      </c>
      <c r="AA114">
        <f>AF113</f>
        <v/>
      </c>
      <c r="AB114">
        <f>AA114*Plan!D10/100/12</f>
        <v/>
      </c>
      <c r="AC114">
        <f>MIN(Plan!E10,AA114+AB114)</f>
        <v/>
      </c>
      <c r="AD114">
        <f>AA114+AB114-AC114</f>
        <v/>
      </c>
      <c r="AE114">
        <f>MIN(AD114,MAX(0,$B114-((E$5&lt;AC$5)*F114+(K$5&lt;AC$5)*L114+(Q$5&lt;AC$5)*R114+(W$5&lt;AC$5)*X114+(AI$5&lt;AC$5)*AJ114+(AO$5&lt;AC$5)*AP114+(AU$5&lt;AC$5)*AV114)))</f>
        <v/>
      </c>
      <c r="AF114">
        <f>IF(AD114-AE114&lt;0.005,0,AD114-AE114)</f>
        <v/>
      </c>
      <c r="AG114">
        <f>AL113</f>
        <v/>
      </c>
      <c r="AH114">
        <f>AG114*Plan!D11/100/12</f>
        <v/>
      </c>
      <c r="AI114">
        <f>MIN(Plan!E11,AG114+AH114)</f>
        <v/>
      </c>
      <c r="AJ114">
        <f>AG114+AH114-AI114</f>
        <v/>
      </c>
      <c r="AK114">
        <f>MIN(AJ114,MAX(0,$B114-((E$5&lt;AI$5)*F114+(K$5&lt;AI$5)*L114+(Q$5&lt;AI$5)*R114+(W$5&lt;AI$5)*X114+(AC$5&lt;AI$5)*AD114+(AO$5&lt;AI$5)*AP114+(AU$5&lt;AI$5)*AV114)))</f>
        <v/>
      </c>
      <c r="AL114">
        <f>IF(AJ114-AK114&lt;0.005,0,AJ114-AK114)</f>
        <v/>
      </c>
      <c r="AM114">
        <f>AR113</f>
        <v/>
      </c>
      <c r="AN114">
        <f>AM114*Plan!D12/100/12</f>
        <v/>
      </c>
      <c r="AO114">
        <f>MIN(Plan!E12,AM114+AN114)</f>
        <v/>
      </c>
      <c r="AP114">
        <f>AM114+AN114-AO114</f>
        <v/>
      </c>
      <c r="AQ114">
        <f>MIN(AP114,MAX(0,$B114-((E$5&lt;AO$5)*F114+(K$5&lt;AO$5)*L114+(Q$5&lt;AO$5)*R114+(W$5&lt;AO$5)*X114+(AC$5&lt;AO$5)*AD114+(AI$5&lt;AO$5)*AJ114+(AU$5&lt;AO$5)*AV114)))</f>
        <v/>
      </c>
      <c r="AR114">
        <f>IF(AP114-AQ114&lt;0.005,0,AP114-AQ114)</f>
        <v/>
      </c>
      <c r="AS114">
        <f>AX113</f>
        <v/>
      </c>
      <c r="AT114">
        <f>AS114*Plan!D13/100/12</f>
        <v/>
      </c>
      <c r="AU114">
        <f>MIN(Plan!E13,AS114+AT114)</f>
        <v/>
      </c>
      <c r="AV114">
        <f>AS114+AT114-AU114</f>
        <v/>
      </c>
      <c r="AW114">
        <f>MIN(AV114,MAX(0,$B114-((E$5&lt;AU$5)*F114+(K$5&lt;AU$5)*L114+(Q$5&lt;AU$5)*R114+(W$5&lt;AU$5)*X114+(AC$5&lt;AU$5)*AD114+(AI$5&lt;AU$5)*AJ114+(AO$5&lt;AU$5)*AP114)))</f>
        <v/>
      </c>
      <c r="AX114">
        <f>IF(AV114-AW114&lt;0.005,0,AV114-AW114)</f>
        <v/>
      </c>
      <c r="BC114">
        <f>H114+N114+T114+Z114+AF114+AL114+AR114+AX114</f>
        <v/>
      </c>
    </row>
    <row r="115">
      <c r="A115" t="n">
        <v>109</v>
      </c>
      <c r="B115" s="19">
        <f>MAX(0,$B$3-(E115+K115+Q115+W115+AC115+AI115+AO115+AU115))</f>
        <v/>
      </c>
      <c r="C115">
        <f>H114</f>
        <v/>
      </c>
      <c r="D115">
        <f>C115*Plan!D6/100/12</f>
        <v/>
      </c>
      <c r="E115">
        <f>MIN(Plan!E6,C115+D115)</f>
        <v/>
      </c>
      <c r="F115">
        <f>C115+D115-E115</f>
        <v/>
      </c>
      <c r="G115">
        <f>MIN(F115,MAX(0,$B115-((K$5&lt;E$5)*L115+(Q$5&lt;E$5)*R115+(W$5&lt;E$5)*X115+(AC$5&lt;E$5)*AD115+(AI$5&lt;E$5)*AJ115+(AO$5&lt;E$5)*AP115+(AU$5&lt;E$5)*AV115)))</f>
        <v/>
      </c>
      <c r="H115">
        <f>IF(F115-G115&lt;0.005,0,F115-G115)</f>
        <v/>
      </c>
      <c r="I115">
        <f>N114</f>
        <v/>
      </c>
      <c r="J115">
        <f>I115*Plan!D7/100/12</f>
        <v/>
      </c>
      <c r="K115">
        <f>MIN(Plan!E7,I115+J115)</f>
        <v/>
      </c>
      <c r="L115">
        <f>I115+J115-K115</f>
        <v/>
      </c>
      <c r="M115">
        <f>MIN(L115,MAX(0,$B115-((E$5&lt;K$5)*F115+(Q$5&lt;K$5)*R115+(W$5&lt;K$5)*X115+(AC$5&lt;K$5)*AD115+(AI$5&lt;K$5)*AJ115+(AO$5&lt;K$5)*AP115+(AU$5&lt;K$5)*AV115)))</f>
        <v/>
      </c>
      <c r="N115">
        <f>IF(L115-M115&lt;0.005,0,L115-M115)</f>
        <v/>
      </c>
      <c r="O115">
        <f>T114</f>
        <v/>
      </c>
      <c r="P115">
        <f>O115*Plan!D8/100/12</f>
        <v/>
      </c>
      <c r="Q115">
        <f>MIN(Plan!E8,O115+P115)</f>
        <v/>
      </c>
      <c r="R115">
        <f>O115+P115-Q115</f>
        <v/>
      </c>
      <c r="S115">
        <f>MIN(R115,MAX(0,$B115-((E$5&lt;Q$5)*F115+(K$5&lt;Q$5)*L115+(W$5&lt;Q$5)*X115+(AC$5&lt;Q$5)*AD115+(AI$5&lt;Q$5)*AJ115+(AO$5&lt;Q$5)*AP115+(AU$5&lt;Q$5)*AV115)))</f>
        <v/>
      </c>
      <c r="T115">
        <f>IF(R115-S115&lt;0.005,0,R115-S115)</f>
        <v/>
      </c>
      <c r="U115">
        <f>Z114</f>
        <v/>
      </c>
      <c r="V115">
        <f>U115*Plan!D9/100/12</f>
        <v/>
      </c>
      <c r="W115">
        <f>MIN(Plan!E9,U115+V115)</f>
        <v/>
      </c>
      <c r="X115">
        <f>U115+V115-W115</f>
        <v/>
      </c>
      <c r="Y115">
        <f>MIN(X115,MAX(0,$B115-((E$5&lt;W$5)*F115+(K$5&lt;W$5)*L115+(Q$5&lt;W$5)*R115+(AC$5&lt;W$5)*AD115+(AI$5&lt;W$5)*AJ115+(AO$5&lt;W$5)*AP115+(AU$5&lt;W$5)*AV115)))</f>
        <v/>
      </c>
      <c r="Z115">
        <f>IF(X115-Y115&lt;0.005,0,X115-Y115)</f>
        <v/>
      </c>
      <c r="AA115">
        <f>AF114</f>
        <v/>
      </c>
      <c r="AB115">
        <f>AA115*Plan!D10/100/12</f>
        <v/>
      </c>
      <c r="AC115">
        <f>MIN(Plan!E10,AA115+AB115)</f>
        <v/>
      </c>
      <c r="AD115">
        <f>AA115+AB115-AC115</f>
        <v/>
      </c>
      <c r="AE115">
        <f>MIN(AD115,MAX(0,$B115-((E$5&lt;AC$5)*F115+(K$5&lt;AC$5)*L115+(Q$5&lt;AC$5)*R115+(W$5&lt;AC$5)*X115+(AI$5&lt;AC$5)*AJ115+(AO$5&lt;AC$5)*AP115+(AU$5&lt;AC$5)*AV115)))</f>
        <v/>
      </c>
      <c r="AF115">
        <f>IF(AD115-AE115&lt;0.005,0,AD115-AE115)</f>
        <v/>
      </c>
      <c r="AG115">
        <f>AL114</f>
        <v/>
      </c>
      <c r="AH115">
        <f>AG115*Plan!D11/100/12</f>
        <v/>
      </c>
      <c r="AI115">
        <f>MIN(Plan!E11,AG115+AH115)</f>
        <v/>
      </c>
      <c r="AJ115">
        <f>AG115+AH115-AI115</f>
        <v/>
      </c>
      <c r="AK115">
        <f>MIN(AJ115,MAX(0,$B115-((E$5&lt;AI$5)*F115+(K$5&lt;AI$5)*L115+(Q$5&lt;AI$5)*R115+(W$5&lt;AI$5)*X115+(AC$5&lt;AI$5)*AD115+(AO$5&lt;AI$5)*AP115+(AU$5&lt;AI$5)*AV115)))</f>
        <v/>
      </c>
      <c r="AL115">
        <f>IF(AJ115-AK115&lt;0.005,0,AJ115-AK115)</f>
        <v/>
      </c>
      <c r="AM115">
        <f>AR114</f>
        <v/>
      </c>
      <c r="AN115">
        <f>AM115*Plan!D12/100/12</f>
        <v/>
      </c>
      <c r="AO115">
        <f>MIN(Plan!E12,AM115+AN115)</f>
        <v/>
      </c>
      <c r="AP115">
        <f>AM115+AN115-AO115</f>
        <v/>
      </c>
      <c r="AQ115">
        <f>MIN(AP115,MAX(0,$B115-((E$5&lt;AO$5)*F115+(K$5&lt;AO$5)*L115+(Q$5&lt;AO$5)*R115+(W$5&lt;AO$5)*X115+(AC$5&lt;AO$5)*AD115+(AI$5&lt;AO$5)*AJ115+(AU$5&lt;AO$5)*AV115)))</f>
        <v/>
      </c>
      <c r="AR115">
        <f>IF(AP115-AQ115&lt;0.005,0,AP115-AQ115)</f>
        <v/>
      </c>
      <c r="AS115">
        <f>AX114</f>
        <v/>
      </c>
      <c r="AT115">
        <f>AS115*Plan!D13/100/12</f>
        <v/>
      </c>
      <c r="AU115">
        <f>MIN(Plan!E13,AS115+AT115)</f>
        <v/>
      </c>
      <c r="AV115">
        <f>AS115+AT115-AU115</f>
        <v/>
      </c>
      <c r="AW115">
        <f>MIN(AV115,MAX(0,$B115-((E$5&lt;AU$5)*F115+(K$5&lt;AU$5)*L115+(Q$5&lt;AU$5)*R115+(W$5&lt;AU$5)*X115+(AC$5&lt;AU$5)*AD115+(AI$5&lt;AU$5)*AJ115+(AO$5&lt;AU$5)*AP115)))</f>
        <v/>
      </c>
      <c r="AX115">
        <f>IF(AV115-AW115&lt;0.005,0,AV115-AW115)</f>
        <v/>
      </c>
      <c r="BC115">
        <f>H115+N115+T115+Z115+AF115+AL115+AR115+AX115</f>
        <v/>
      </c>
    </row>
    <row r="116">
      <c r="A116" t="n">
        <v>110</v>
      </c>
      <c r="B116" s="19">
        <f>MAX(0,$B$3-(E116+K116+Q116+W116+AC116+AI116+AO116+AU116))</f>
        <v/>
      </c>
      <c r="C116">
        <f>H115</f>
        <v/>
      </c>
      <c r="D116">
        <f>C116*Plan!D6/100/12</f>
        <v/>
      </c>
      <c r="E116">
        <f>MIN(Plan!E6,C116+D116)</f>
        <v/>
      </c>
      <c r="F116">
        <f>C116+D116-E116</f>
        <v/>
      </c>
      <c r="G116">
        <f>MIN(F116,MAX(0,$B116-((K$5&lt;E$5)*L116+(Q$5&lt;E$5)*R116+(W$5&lt;E$5)*X116+(AC$5&lt;E$5)*AD116+(AI$5&lt;E$5)*AJ116+(AO$5&lt;E$5)*AP116+(AU$5&lt;E$5)*AV116)))</f>
        <v/>
      </c>
      <c r="H116">
        <f>IF(F116-G116&lt;0.005,0,F116-G116)</f>
        <v/>
      </c>
      <c r="I116">
        <f>N115</f>
        <v/>
      </c>
      <c r="J116">
        <f>I116*Plan!D7/100/12</f>
        <v/>
      </c>
      <c r="K116">
        <f>MIN(Plan!E7,I116+J116)</f>
        <v/>
      </c>
      <c r="L116">
        <f>I116+J116-K116</f>
        <v/>
      </c>
      <c r="M116">
        <f>MIN(L116,MAX(0,$B116-((E$5&lt;K$5)*F116+(Q$5&lt;K$5)*R116+(W$5&lt;K$5)*X116+(AC$5&lt;K$5)*AD116+(AI$5&lt;K$5)*AJ116+(AO$5&lt;K$5)*AP116+(AU$5&lt;K$5)*AV116)))</f>
        <v/>
      </c>
      <c r="N116">
        <f>IF(L116-M116&lt;0.005,0,L116-M116)</f>
        <v/>
      </c>
      <c r="O116">
        <f>T115</f>
        <v/>
      </c>
      <c r="P116">
        <f>O116*Plan!D8/100/12</f>
        <v/>
      </c>
      <c r="Q116">
        <f>MIN(Plan!E8,O116+P116)</f>
        <v/>
      </c>
      <c r="R116">
        <f>O116+P116-Q116</f>
        <v/>
      </c>
      <c r="S116">
        <f>MIN(R116,MAX(0,$B116-((E$5&lt;Q$5)*F116+(K$5&lt;Q$5)*L116+(W$5&lt;Q$5)*X116+(AC$5&lt;Q$5)*AD116+(AI$5&lt;Q$5)*AJ116+(AO$5&lt;Q$5)*AP116+(AU$5&lt;Q$5)*AV116)))</f>
        <v/>
      </c>
      <c r="T116">
        <f>IF(R116-S116&lt;0.005,0,R116-S116)</f>
        <v/>
      </c>
      <c r="U116">
        <f>Z115</f>
        <v/>
      </c>
      <c r="V116">
        <f>U116*Plan!D9/100/12</f>
        <v/>
      </c>
      <c r="W116">
        <f>MIN(Plan!E9,U116+V116)</f>
        <v/>
      </c>
      <c r="X116">
        <f>U116+V116-W116</f>
        <v/>
      </c>
      <c r="Y116">
        <f>MIN(X116,MAX(0,$B116-((E$5&lt;W$5)*F116+(K$5&lt;W$5)*L116+(Q$5&lt;W$5)*R116+(AC$5&lt;W$5)*AD116+(AI$5&lt;W$5)*AJ116+(AO$5&lt;W$5)*AP116+(AU$5&lt;W$5)*AV116)))</f>
        <v/>
      </c>
      <c r="Z116">
        <f>IF(X116-Y116&lt;0.005,0,X116-Y116)</f>
        <v/>
      </c>
      <c r="AA116">
        <f>AF115</f>
        <v/>
      </c>
      <c r="AB116">
        <f>AA116*Plan!D10/100/12</f>
        <v/>
      </c>
      <c r="AC116">
        <f>MIN(Plan!E10,AA116+AB116)</f>
        <v/>
      </c>
      <c r="AD116">
        <f>AA116+AB116-AC116</f>
        <v/>
      </c>
      <c r="AE116">
        <f>MIN(AD116,MAX(0,$B116-((E$5&lt;AC$5)*F116+(K$5&lt;AC$5)*L116+(Q$5&lt;AC$5)*R116+(W$5&lt;AC$5)*X116+(AI$5&lt;AC$5)*AJ116+(AO$5&lt;AC$5)*AP116+(AU$5&lt;AC$5)*AV116)))</f>
        <v/>
      </c>
      <c r="AF116">
        <f>IF(AD116-AE116&lt;0.005,0,AD116-AE116)</f>
        <v/>
      </c>
      <c r="AG116">
        <f>AL115</f>
        <v/>
      </c>
      <c r="AH116">
        <f>AG116*Plan!D11/100/12</f>
        <v/>
      </c>
      <c r="AI116">
        <f>MIN(Plan!E11,AG116+AH116)</f>
        <v/>
      </c>
      <c r="AJ116">
        <f>AG116+AH116-AI116</f>
        <v/>
      </c>
      <c r="AK116">
        <f>MIN(AJ116,MAX(0,$B116-((E$5&lt;AI$5)*F116+(K$5&lt;AI$5)*L116+(Q$5&lt;AI$5)*R116+(W$5&lt;AI$5)*X116+(AC$5&lt;AI$5)*AD116+(AO$5&lt;AI$5)*AP116+(AU$5&lt;AI$5)*AV116)))</f>
        <v/>
      </c>
      <c r="AL116">
        <f>IF(AJ116-AK116&lt;0.005,0,AJ116-AK116)</f>
        <v/>
      </c>
      <c r="AM116">
        <f>AR115</f>
        <v/>
      </c>
      <c r="AN116">
        <f>AM116*Plan!D12/100/12</f>
        <v/>
      </c>
      <c r="AO116">
        <f>MIN(Plan!E12,AM116+AN116)</f>
        <v/>
      </c>
      <c r="AP116">
        <f>AM116+AN116-AO116</f>
        <v/>
      </c>
      <c r="AQ116">
        <f>MIN(AP116,MAX(0,$B116-((E$5&lt;AO$5)*F116+(K$5&lt;AO$5)*L116+(Q$5&lt;AO$5)*R116+(W$5&lt;AO$5)*X116+(AC$5&lt;AO$5)*AD116+(AI$5&lt;AO$5)*AJ116+(AU$5&lt;AO$5)*AV116)))</f>
        <v/>
      </c>
      <c r="AR116">
        <f>IF(AP116-AQ116&lt;0.005,0,AP116-AQ116)</f>
        <v/>
      </c>
      <c r="AS116">
        <f>AX115</f>
        <v/>
      </c>
      <c r="AT116">
        <f>AS116*Plan!D13/100/12</f>
        <v/>
      </c>
      <c r="AU116">
        <f>MIN(Plan!E13,AS116+AT116)</f>
        <v/>
      </c>
      <c r="AV116">
        <f>AS116+AT116-AU116</f>
        <v/>
      </c>
      <c r="AW116">
        <f>MIN(AV116,MAX(0,$B116-((E$5&lt;AU$5)*F116+(K$5&lt;AU$5)*L116+(Q$5&lt;AU$5)*R116+(W$5&lt;AU$5)*X116+(AC$5&lt;AU$5)*AD116+(AI$5&lt;AU$5)*AJ116+(AO$5&lt;AU$5)*AP116)))</f>
        <v/>
      </c>
      <c r="AX116">
        <f>IF(AV116-AW116&lt;0.005,0,AV116-AW116)</f>
        <v/>
      </c>
      <c r="BC116">
        <f>H116+N116+T116+Z116+AF116+AL116+AR116+AX116</f>
        <v/>
      </c>
    </row>
    <row r="117">
      <c r="A117" t="n">
        <v>111</v>
      </c>
      <c r="B117" s="19">
        <f>MAX(0,$B$3-(E117+K117+Q117+W117+AC117+AI117+AO117+AU117))</f>
        <v/>
      </c>
      <c r="C117">
        <f>H116</f>
        <v/>
      </c>
      <c r="D117">
        <f>C117*Plan!D6/100/12</f>
        <v/>
      </c>
      <c r="E117">
        <f>MIN(Plan!E6,C117+D117)</f>
        <v/>
      </c>
      <c r="F117">
        <f>C117+D117-E117</f>
        <v/>
      </c>
      <c r="G117">
        <f>MIN(F117,MAX(0,$B117-((K$5&lt;E$5)*L117+(Q$5&lt;E$5)*R117+(W$5&lt;E$5)*X117+(AC$5&lt;E$5)*AD117+(AI$5&lt;E$5)*AJ117+(AO$5&lt;E$5)*AP117+(AU$5&lt;E$5)*AV117)))</f>
        <v/>
      </c>
      <c r="H117">
        <f>IF(F117-G117&lt;0.005,0,F117-G117)</f>
        <v/>
      </c>
      <c r="I117">
        <f>N116</f>
        <v/>
      </c>
      <c r="J117">
        <f>I117*Plan!D7/100/12</f>
        <v/>
      </c>
      <c r="K117">
        <f>MIN(Plan!E7,I117+J117)</f>
        <v/>
      </c>
      <c r="L117">
        <f>I117+J117-K117</f>
        <v/>
      </c>
      <c r="M117">
        <f>MIN(L117,MAX(0,$B117-((E$5&lt;K$5)*F117+(Q$5&lt;K$5)*R117+(W$5&lt;K$5)*X117+(AC$5&lt;K$5)*AD117+(AI$5&lt;K$5)*AJ117+(AO$5&lt;K$5)*AP117+(AU$5&lt;K$5)*AV117)))</f>
        <v/>
      </c>
      <c r="N117">
        <f>IF(L117-M117&lt;0.005,0,L117-M117)</f>
        <v/>
      </c>
      <c r="O117">
        <f>T116</f>
        <v/>
      </c>
      <c r="P117">
        <f>O117*Plan!D8/100/12</f>
        <v/>
      </c>
      <c r="Q117">
        <f>MIN(Plan!E8,O117+P117)</f>
        <v/>
      </c>
      <c r="R117">
        <f>O117+P117-Q117</f>
        <v/>
      </c>
      <c r="S117">
        <f>MIN(R117,MAX(0,$B117-((E$5&lt;Q$5)*F117+(K$5&lt;Q$5)*L117+(W$5&lt;Q$5)*X117+(AC$5&lt;Q$5)*AD117+(AI$5&lt;Q$5)*AJ117+(AO$5&lt;Q$5)*AP117+(AU$5&lt;Q$5)*AV117)))</f>
        <v/>
      </c>
      <c r="T117">
        <f>IF(R117-S117&lt;0.005,0,R117-S117)</f>
        <v/>
      </c>
      <c r="U117">
        <f>Z116</f>
        <v/>
      </c>
      <c r="V117">
        <f>U117*Plan!D9/100/12</f>
        <v/>
      </c>
      <c r="W117">
        <f>MIN(Plan!E9,U117+V117)</f>
        <v/>
      </c>
      <c r="X117">
        <f>U117+V117-W117</f>
        <v/>
      </c>
      <c r="Y117">
        <f>MIN(X117,MAX(0,$B117-((E$5&lt;W$5)*F117+(K$5&lt;W$5)*L117+(Q$5&lt;W$5)*R117+(AC$5&lt;W$5)*AD117+(AI$5&lt;W$5)*AJ117+(AO$5&lt;W$5)*AP117+(AU$5&lt;W$5)*AV117)))</f>
        <v/>
      </c>
      <c r="Z117">
        <f>IF(X117-Y117&lt;0.005,0,X117-Y117)</f>
        <v/>
      </c>
      <c r="AA117">
        <f>AF116</f>
        <v/>
      </c>
      <c r="AB117">
        <f>AA117*Plan!D10/100/12</f>
        <v/>
      </c>
      <c r="AC117">
        <f>MIN(Plan!E10,AA117+AB117)</f>
        <v/>
      </c>
      <c r="AD117">
        <f>AA117+AB117-AC117</f>
        <v/>
      </c>
      <c r="AE117">
        <f>MIN(AD117,MAX(0,$B117-((E$5&lt;AC$5)*F117+(K$5&lt;AC$5)*L117+(Q$5&lt;AC$5)*R117+(W$5&lt;AC$5)*X117+(AI$5&lt;AC$5)*AJ117+(AO$5&lt;AC$5)*AP117+(AU$5&lt;AC$5)*AV117)))</f>
        <v/>
      </c>
      <c r="AF117">
        <f>IF(AD117-AE117&lt;0.005,0,AD117-AE117)</f>
        <v/>
      </c>
      <c r="AG117">
        <f>AL116</f>
        <v/>
      </c>
      <c r="AH117">
        <f>AG117*Plan!D11/100/12</f>
        <v/>
      </c>
      <c r="AI117">
        <f>MIN(Plan!E11,AG117+AH117)</f>
        <v/>
      </c>
      <c r="AJ117">
        <f>AG117+AH117-AI117</f>
        <v/>
      </c>
      <c r="AK117">
        <f>MIN(AJ117,MAX(0,$B117-((E$5&lt;AI$5)*F117+(K$5&lt;AI$5)*L117+(Q$5&lt;AI$5)*R117+(W$5&lt;AI$5)*X117+(AC$5&lt;AI$5)*AD117+(AO$5&lt;AI$5)*AP117+(AU$5&lt;AI$5)*AV117)))</f>
        <v/>
      </c>
      <c r="AL117">
        <f>IF(AJ117-AK117&lt;0.005,0,AJ117-AK117)</f>
        <v/>
      </c>
      <c r="AM117">
        <f>AR116</f>
        <v/>
      </c>
      <c r="AN117">
        <f>AM117*Plan!D12/100/12</f>
        <v/>
      </c>
      <c r="AO117">
        <f>MIN(Plan!E12,AM117+AN117)</f>
        <v/>
      </c>
      <c r="AP117">
        <f>AM117+AN117-AO117</f>
        <v/>
      </c>
      <c r="AQ117">
        <f>MIN(AP117,MAX(0,$B117-((E$5&lt;AO$5)*F117+(K$5&lt;AO$5)*L117+(Q$5&lt;AO$5)*R117+(W$5&lt;AO$5)*X117+(AC$5&lt;AO$5)*AD117+(AI$5&lt;AO$5)*AJ117+(AU$5&lt;AO$5)*AV117)))</f>
        <v/>
      </c>
      <c r="AR117">
        <f>IF(AP117-AQ117&lt;0.005,0,AP117-AQ117)</f>
        <v/>
      </c>
      <c r="AS117">
        <f>AX116</f>
        <v/>
      </c>
      <c r="AT117">
        <f>AS117*Plan!D13/100/12</f>
        <v/>
      </c>
      <c r="AU117">
        <f>MIN(Plan!E13,AS117+AT117)</f>
        <v/>
      </c>
      <c r="AV117">
        <f>AS117+AT117-AU117</f>
        <v/>
      </c>
      <c r="AW117">
        <f>MIN(AV117,MAX(0,$B117-((E$5&lt;AU$5)*F117+(K$5&lt;AU$5)*L117+(Q$5&lt;AU$5)*R117+(W$5&lt;AU$5)*X117+(AC$5&lt;AU$5)*AD117+(AI$5&lt;AU$5)*AJ117+(AO$5&lt;AU$5)*AP117)))</f>
        <v/>
      </c>
      <c r="AX117">
        <f>IF(AV117-AW117&lt;0.005,0,AV117-AW117)</f>
        <v/>
      </c>
      <c r="BC117">
        <f>H117+N117+T117+Z117+AF117+AL117+AR117+AX117</f>
        <v/>
      </c>
    </row>
    <row r="118">
      <c r="A118" t="n">
        <v>112</v>
      </c>
      <c r="B118" s="19">
        <f>MAX(0,$B$3-(E118+K118+Q118+W118+AC118+AI118+AO118+AU118))</f>
        <v/>
      </c>
      <c r="C118">
        <f>H117</f>
        <v/>
      </c>
      <c r="D118">
        <f>C118*Plan!D6/100/12</f>
        <v/>
      </c>
      <c r="E118">
        <f>MIN(Plan!E6,C118+D118)</f>
        <v/>
      </c>
      <c r="F118">
        <f>C118+D118-E118</f>
        <v/>
      </c>
      <c r="G118">
        <f>MIN(F118,MAX(0,$B118-((K$5&lt;E$5)*L118+(Q$5&lt;E$5)*R118+(W$5&lt;E$5)*X118+(AC$5&lt;E$5)*AD118+(AI$5&lt;E$5)*AJ118+(AO$5&lt;E$5)*AP118+(AU$5&lt;E$5)*AV118)))</f>
        <v/>
      </c>
      <c r="H118">
        <f>IF(F118-G118&lt;0.005,0,F118-G118)</f>
        <v/>
      </c>
      <c r="I118">
        <f>N117</f>
        <v/>
      </c>
      <c r="J118">
        <f>I118*Plan!D7/100/12</f>
        <v/>
      </c>
      <c r="K118">
        <f>MIN(Plan!E7,I118+J118)</f>
        <v/>
      </c>
      <c r="L118">
        <f>I118+J118-K118</f>
        <v/>
      </c>
      <c r="M118">
        <f>MIN(L118,MAX(0,$B118-((E$5&lt;K$5)*F118+(Q$5&lt;K$5)*R118+(W$5&lt;K$5)*X118+(AC$5&lt;K$5)*AD118+(AI$5&lt;K$5)*AJ118+(AO$5&lt;K$5)*AP118+(AU$5&lt;K$5)*AV118)))</f>
        <v/>
      </c>
      <c r="N118">
        <f>IF(L118-M118&lt;0.005,0,L118-M118)</f>
        <v/>
      </c>
      <c r="O118">
        <f>T117</f>
        <v/>
      </c>
      <c r="P118">
        <f>O118*Plan!D8/100/12</f>
        <v/>
      </c>
      <c r="Q118">
        <f>MIN(Plan!E8,O118+P118)</f>
        <v/>
      </c>
      <c r="R118">
        <f>O118+P118-Q118</f>
        <v/>
      </c>
      <c r="S118">
        <f>MIN(R118,MAX(0,$B118-((E$5&lt;Q$5)*F118+(K$5&lt;Q$5)*L118+(W$5&lt;Q$5)*X118+(AC$5&lt;Q$5)*AD118+(AI$5&lt;Q$5)*AJ118+(AO$5&lt;Q$5)*AP118+(AU$5&lt;Q$5)*AV118)))</f>
        <v/>
      </c>
      <c r="T118">
        <f>IF(R118-S118&lt;0.005,0,R118-S118)</f>
        <v/>
      </c>
      <c r="U118">
        <f>Z117</f>
        <v/>
      </c>
      <c r="V118">
        <f>U118*Plan!D9/100/12</f>
        <v/>
      </c>
      <c r="W118">
        <f>MIN(Plan!E9,U118+V118)</f>
        <v/>
      </c>
      <c r="X118">
        <f>U118+V118-W118</f>
        <v/>
      </c>
      <c r="Y118">
        <f>MIN(X118,MAX(0,$B118-((E$5&lt;W$5)*F118+(K$5&lt;W$5)*L118+(Q$5&lt;W$5)*R118+(AC$5&lt;W$5)*AD118+(AI$5&lt;W$5)*AJ118+(AO$5&lt;W$5)*AP118+(AU$5&lt;W$5)*AV118)))</f>
        <v/>
      </c>
      <c r="Z118">
        <f>IF(X118-Y118&lt;0.005,0,X118-Y118)</f>
        <v/>
      </c>
      <c r="AA118">
        <f>AF117</f>
        <v/>
      </c>
      <c r="AB118">
        <f>AA118*Plan!D10/100/12</f>
        <v/>
      </c>
      <c r="AC118">
        <f>MIN(Plan!E10,AA118+AB118)</f>
        <v/>
      </c>
      <c r="AD118">
        <f>AA118+AB118-AC118</f>
        <v/>
      </c>
      <c r="AE118">
        <f>MIN(AD118,MAX(0,$B118-((E$5&lt;AC$5)*F118+(K$5&lt;AC$5)*L118+(Q$5&lt;AC$5)*R118+(W$5&lt;AC$5)*X118+(AI$5&lt;AC$5)*AJ118+(AO$5&lt;AC$5)*AP118+(AU$5&lt;AC$5)*AV118)))</f>
        <v/>
      </c>
      <c r="AF118">
        <f>IF(AD118-AE118&lt;0.005,0,AD118-AE118)</f>
        <v/>
      </c>
      <c r="AG118">
        <f>AL117</f>
        <v/>
      </c>
      <c r="AH118">
        <f>AG118*Plan!D11/100/12</f>
        <v/>
      </c>
      <c r="AI118">
        <f>MIN(Plan!E11,AG118+AH118)</f>
        <v/>
      </c>
      <c r="AJ118">
        <f>AG118+AH118-AI118</f>
        <v/>
      </c>
      <c r="AK118">
        <f>MIN(AJ118,MAX(0,$B118-((E$5&lt;AI$5)*F118+(K$5&lt;AI$5)*L118+(Q$5&lt;AI$5)*R118+(W$5&lt;AI$5)*X118+(AC$5&lt;AI$5)*AD118+(AO$5&lt;AI$5)*AP118+(AU$5&lt;AI$5)*AV118)))</f>
        <v/>
      </c>
      <c r="AL118">
        <f>IF(AJ118-AK118&lt;0.005,0,AJ118-AK118)</f>
        <v/>
      </c>
      <c r="AM118">
        <f>AR117</f>
        <v/>
      </c>
      <c r="AN118">
        <f>AM118*Plan!D12/100/12</f>
        <v/>
      </c>
      <c r="AO118">
        <f>MIN(Plan!E12,AM118+AN118)</f>
        <v/>
      </c>
      <c r="AP118">
        <f>AM118+AN118-AO118</f>
        <v/>
      </c>
      <c r="AQ118">
        <f>MIN(AP118,MAX(0,$B118-((E$5&lt;AO$5)*F118+(K$5&lt;AO$5)*L118+(Q$5&lt;AO$5)*R118+(W$5&lt;AO$5)*X118+(AC$5&lt;AO$5)*AD118+(AI$5&lt;AO$5)*AJ118+(AU$5&lt;AO$5)*AV118)))</f>
        <v/>
      </c>
      <c r="AR118">
        <f>IF(AP118-AQ118&lt;0.005,0,AP118-AQ118)</f>
        <v/>
      </c>
      <c r="AS118">
        <f>AX117</f>
        <v/>
      </c>
      <c r="AT118">
        <f>AS118*Plan!D13/100/12</f>
        <v/>
      </c>
      <c r="AU118">
        <f>MIN(Plan!E13,AS118+AT118)</f>
        <v/>
      </c>
      <c r="AV118">
        <f>AS118+AT118-AU118</f>
        <v/>
      </c>
      <c r="AW118">
        <f>MIN(AV118,MAX(0,$B118-((E$5&lt;AU$5)*F118+(K$5&lt;AU$5)*L118+(Q$5&lt;AU$5)*R118+(W$5&lt;AU$5)*X118+(AC$5&lt;AU$5)*AD118+(AI$5&lt;AU$5)*AJ118+(AO$5&lt;AU$5)*AP118)))</f>
        <v/>
      </c>
      <c r="AX118">
        <f>IF(AV118-AW118&lt;0.005,0,AV118-AW118)</f>
        <v/>
      </c>
      <c r="BC118">
        <f>H118+N118+T118+Z118+AF118+AL118+AR118+AX118</f>
        <v/>
      </c>
    </row>
    <row r="119">
      <c r="A119" t="n">
        <v>113</v>
      </c>
      <c r="B119" s="19">
        <f>MAX(0,$B$3-(E119+K119+Q119+W119+AC119+AI119+AO119+AU119))</f>
        <v/>
      </c>
      <c r="C119">
        <f>H118</f>
        <v/>
      </c>
      <c r="D119">
        <f>C119*Plan!D6/100/12</f>
        <v/>
      </c>
      <c r="E119">
        <f>MIN(Plan!E6,C119+D119)</f>
        <v/>
      </c>
      <c r="F119">
        <f>C119+D119-E119</f>
        <v/>
      </c>
      <c r="G119">
        <f>MIN(F119,MAX(0,$B119-((K$5&lt;E$5)*L119+(Q$5&lt;E$5)*R119+(W$5&lt;E$5)*X119+(AC$5&lt;E$5)*AD119+(AI$5&lt;E$5)*AJ119+(AO$5&lt;E$5)*AP119+(AU$5&lt;E$5)*AV119)))</f>
        <v/>
      </c>
      <c r="H119">
        <f>IF(F119-G119&lt;0.005,0,F119-G119)</f>
        <v/>
      </c>
      <c r="I119">
        <f>N118</f>
        <v/>
      </c>
      <c r="J119">
        <f>I119*Plan!D7/100/12</f>
        <v/>
      </c>
      <c r="K119">
        <f>MIN(Plan!E7,I119+J119)</f>
        <v/>
      </c>
      <c r="L119">
        <f>I119+J119-K119</f>
        <v/>
      </c>
      <c r="M119">
        <f>MIN(L119,MAX(0,$B119-((E$5&lt;K$5)*F119+(Q$5&lt;K$5)*R119+(W$5&lt;K$5)*X119+(AC$5&lt;K$5)*AD119+(AI$5&lt;K$5)*AJ119+(AO$5&lt;K$5)*AP119+(AU$5&lt;K$5)*AV119)))</f>
        <v/>
      </c>
      <c r="N119">
        <f>IF(L119-M119&lt;0.005,0,L119-M119)</f>
        <v/>
      </c>
      <c r="O119">
        <f>T118</f>
        <v/>
      </c>
      <c r="P119">
        <f>O119*Plan!D8/100/12</f>
        <v/>
      </c>
      <c r="Q119">
        <f>MIN(Plan!E8,O119+P119)</f>
        <v/>
      </c>
      <c r="R119">
        <f>O119+P119-Q119</f>
        <v/>
      </c>
      <c r="S119">
        <f>MIN(R119,MAX(0,$B119-((E$5&lt;Q$5)*F119+(K$5&lt;Q$5)*L119+(W$5&lt;Q$5)*X119+(AC$5&lt;Q$5)*AD119+(AI$5&lt;Q$5)*AJ119+(AO$5&lt;Q$5)*AP119+(AU$5&lt;Q$5)*AV119)))</f>
        <v/>
      </c>
      <c r="T119">
        <f>IF(R119-S119&lt;0.005,0,R119-S119)</f>
        <v/>
      </c>
      <c r="U119">
        <f>Z118</f>
        <v/>
      </c>
      <c r="V119">
        <f>U119*Plan!D9/100/12</f>
        <v/>
      </c>
      <c r="W119">
        <f>MIN(Plan!E9,U119+V119)</f>
        <v/>
      </c>
      <c r="X119">
        <f>U119+V119-W119</f>
        <v/>
      </c>
      <c r="Y119">
        <f>MIN(X119,MAX(0,$B119-((E$5&lt;W$5)*F119+(K$5&lt;W$5)*L119+(Q$5&lt;W$5)*R119+(AC$5&lt;W$5)*AD119+(AI$5&lt;W$5)*AJ119+(AO$5&lt;W$5)*AP119+(AU$5&lt;W$5)*AV119)))</f>
        <v/>
      </c>
      <c r="Z119">
        <f>IF(X119-Y119&lt;0.005,0,X119-Y119)</f>
        <v/>
      </c>
      <c r="AA119">
        <f>AF118</f>
        <v/>
      </c>
      <c r="AB119">
        <f>AA119*Plan!D10/100/12</f>
        <v/>
      </c>
      <c r="AC119">
        <f>MIN(Plan!E10,AA119+AB119)</f>
        <v/>
      </c>
      <c r="AD119">
        <f>AA119+AB119-AC119</f>
        <v/>
      </c>
      <c r="AE119">
        <f>MIN(AD119,MAX(0,$B119-((E$5&lt;AC$5)*F119+(K$5&lt;AC$5)*L119+(Q$5&lt;AC$5)*R119+(W$5&lt;AC$5)*X119+(AI$5&lt;AC$5)*AJ119+(AO$5&lt;AC$5)*AP119+(AU$5&lt;AC$5)*AV119)))</f>
        <v/>
      </c>
      <c r="AF119">
        <f>IF(AD119-AE119&lt;0.005,0,AD119-AE119)</f>
        <v/>
      </c>
      <c r="AG119">
        <f>AL118</f>
        <v/>
      </c>
      <c r="AH119">
        <f>AG119*Plan!D11/100/12</f>
        <v/>
      </c>
      <c r="AI119">
        <f>MIN(Plan!E11,AG119+AH119)</f>
        <v/>
      </c>
      <c r="AJ119">
        <f>AG119+AH119-AI119</f>
        <v/>
      </c>
      <c r="AK119">
        <f>MIN(AJ119,MAX(0,$B119-((E$5&lt;AI$5)*F119+(K$5&lt;AI$5)*L119+(Q$5&lt;AI$5)*R119+(W$5&lt;AI$5)*X119+(AC$5&lt;AI$5)*AD119+(AO$5&lt;AI$5)*AP119+(AU$5&lt;AI$5)*AV119)))</f>
        <v/>
      </c>
      <c r="AL119">
        <f>IF(AJ119-AK119&lt;0.005,0,AJ119-AK119)</f>
        <v/>
      </c>
      <c r="AM119">
        <f>AR118</f>
        <v/>
      </c>
      <c r="AN119">
        <f>AM119*Plan!D12/100/12</f>
        <v/>
      </c>
      <c r="AO119">
        <f>MIN(Plan!E12,AM119+AN119)</f>
        <v/>
      </c>
      <c r="AP119">
        <f>AM119+AN119-AO119</f>
        <v/>
      </c>
      <c r="AQ119">
        <f>MIN(AP119,MAX(0,$B119-((E$5&lt;AO$5)*F119+(K$5&lt;AO$5)*L119+(Q$5&lt;AO$5)*R119+(W$5&lt;AO$5)*X119+(AC$5&lt;AO$5)*AD119+(AI$5&lt;AO$5)*AJ119+(AU$5&lt;AO$5)*AV119)))</f>
        <v/>
      </c>
      <c r="AR119">
        <f>IF(AP119-AQ119&lt;0.005,0,AP119-AQ119)</f>
        <v/>
      </c>
      <c r="AS119">
        <f>AX118</f>
        <v/>
      </c>
      <c r="AT119">
        <f>AS119*Plan!D13/100/12</f>
        <v/>
      </c>
      <c r="AU119">
        <f>MIN(Plan!E13,AS119+AT119)</f>
        <v/>
      </c>
      <c r="AV119">
        <f>AS119+AT119-AU119</f>
        <v/>
      </c>
      <c r="AW119">
        <f>MIN(AV119,MAX(0,$B119-((E$5&lt;AU$5)*F119+(K$5&lt;AU$5)*L119+(Q$5&lt;AU$5)*R119+(W$5&lt;AU$5)*X119+(AC$5&lt;AU$5)*AD119+(AI$5&lt;AU$5)*AJ119+(AO$5&lt;AU$5)*AP119)))</f>
        <v/>
      </c>
      <c r="AX119">
        <f>IF(AV119-AW119&lt;0.005,0,AV119-AW119)</f>
        <v/>
      </c>
      <c r="BC119">
        <f>H119+N119+T119+Z119+AF119+AL119+AR119+AX119</f>
        <v/>
      </c>
    </row>
    <row r="120">
      <c r="A120" t="n">
        <v>114</v>
      </c>
      <c r="B120" s="19">
        <f>MAX(0,$B$3-(E120+K120+Q120+W120+AC120+AI120+AO120+AU120))</f>
        <v/>
      </c>
      <c r="C120">
        <f>H119</f>
        <v/>
      </c>
      <c r="D120">
        <f>C120*Plan!D6/100/12</f>
        <v/>
      </c>
      <c r="E120">
        <f>MIN(Plan!E6,C120+D120)</f>
        <v/>
      </c>
      <c r="F120">
        <f>C120+D120-E120</f>
        <v/>
      </c>
      <c r="G120">
        <f>MIN(F120,MAX(0,$B120-((K$5&lt;E$5)*L120+(Q$5&lt;E$5)*R120+(W$5&lt;E$5)*X120+(AC$5&lt;E$5)*AD120+(AI$5&lt;E$5)*AJ120+(AO$5&lt;E$5)*AP120+(AU$5&lt;E$5)*AV120)))</f>
        <v/>
      </c>
      <c r="H120">
        <f>IF(F120-G120&lt;0.005,0,F120-G120)</f>
        <v/>
      </c>
      <c r="I120">
        <f>N119</f>
        <v/>
      </c>
      <c r="J120">
        <f>I120*Plan!D7/100/12</f>
        <v/>
      </c>
      <c r="K120">
        <f>MIN(Plan!E7,I120+J120)</f>
        <v/>
      </c>
      <c r="L120">
        <f>I120+J120-K120</f>
        <v/>
      </c>
      <c r="M120">
        <f>MIN(L120,MAX(0,$B120-((E$5&lt;K$5)*F120+(Q$5&lt;K$5)*R120+(W$5&lt;K$5)*X120+(AC$5&lt;K$5)*AD120+(AI$5&lt;K$5)*AJ120+(AO$5&lt;K$5)*AP120+(AU$5&lt;K$5)*AV120)))</f>
        <v/>
      </c>
      <c r="N120">
        <f>IF(L120-M120&lt;0.005,0,L120-M120)</f>
        <v/>
      </c>
      <c r="O120">
        <f>T119</f>
        <v/>
      </c>
      <c r="P120">
        <f>O120*Plan!D8/100/12</f>
        <v/>
      </c>
      <c r="Q120">
        <f>MIN(Plan!E8,O120+P120)</f>
        <v/>
      </c>
      <c r="R120">
        <f>O120+P120-Q120</f>
        <v/>
      </c>
      <c r="S120">
        <f>MIN(R120,MAX(0,$B120-((E$5&lt;Q$5)*F120+(K$5&lt;Q$5)*L120+(W$5&lt;Q$5)*X120+(AC$5&lt;Q$5)*AD120+(AI$5&lt;Q$5)*AJ120+(AO$5&lt;Q$5)*AP120+(AU$5&lt;Q$5)*AV120)))</f>
        <v/>
      </c>
      <c r="T120">
        <f>IF(R120-S120&lt;0.005,0,R120-S120)</f>
        <v/>
      </c>
      <c r="U120">
        <f>Z119</f>
        <v/>
      </c>
      <c r="V120">
        <f>U120*Plan!D9/100/12</f>
        <v/>
      </c>
      <c r="W120">
        <f>MIN(Plan!E9,U120+V120)</f>
        <v/>
      </c>
      <c r="X120">
        <f>U120+V120-W120</f>
        <v/>
      </c>
      <c r="Y120">
        <f>MIN(X120,MAX(0,$B120-((E$5&lt;W$5)*F120+(K$5&lt;W$5)*L120+(Q$5&lt;W$5)*R120+(AC$5&lt;W$5)*AD120+(AI$5&lt;W$5)*AJ120+(AO$5&lt;W$5)*AP120+(AU$5&lt;W$5)*AV120)))</f>
        <v/>
      </c>
      <c r="Z120">
        <f>IF(X120-Y120&lt;0.005,0,X120-Y120)</f>
        <v/>
      </c>
      <c r="AA120">
        <f>AF119</f>
        <v/>
      </c>
      <c r="AB120">
        <f>AA120*Plan!D10/100/12</f>
        <v/>
      </c>
      <c r="AC120">
        <f>MIN(Plan!E10,AA120+AB120)</f>
        <v/>
      </c>
      <c r="AD120">
        <f>AA120+AB120-AC120</f>
        <v/>
      </c>
      <c r="AE120">
        <f>MIN(AD120,MAX(0,$B120-((E$5&lt;AC$5)*F120+(K$5&lt;AC$5)*L120+(Q$5&lt;AC$5)*R120+(W$5&lt;AC$5)*X120+(AI$5&lt;AC$5)*AJ120+(AO$5&lt;AC$5)*AP120+(AU$5&lt;AC$5)*AV120)))</f>
        <v/>
      </c>
      <c r="AF120">
        <f>IF(AD120-AE120&lt;0.005,0,AD120-AE120)</f>
        <v/>
      </c>
      <c r="AG120">
        <f>AL119</f>
        <v/>
      </c>
      <c r="AH120">
        <f>AG120*Plan!D11/100/12</f>
        <v/>
      </c>
      <c r="AI120">
        <f>MIN(Plan!E11,AG120+AH120)</f>
        <v/>
      </c>
      <c r="AJ120">
        <f>AG120+AH120-AI120</f>
        <v/>
      </c>
      <c r="AK120">
        <f>MIN(AJ120,MAX(0,$B120-((E$5&lt;AI$5)*F120+(K$5&lt;AI$5)*L120+(Q$5&lt;AI$5)*R120+(W$5&lt;AI$5)*X120+(AC$5&lt;AI$5)*AD120+(AO$5&lt;AI$5)*AP120+(AU$5&lt;AI$5)*AV120)))</f>
        <v/>
      </c>
      <c r="AL120">
        <f>IF(AJ120-AK120&lt;0.005,0,AJ120-AK120)</f>
        <v/>
      </c>
      <c r="AM120">
        <f>AR119</f>
        <v/>
      </c>
      <c r="AN120">
        <f>AM120*Plan!D12/100/12</f>
        <v/>
      </c>
      <c r="AO120">
        <f>MIN(Plan!E12,AM120+AN120)</f>
        <v/>
      </c>
      <c r="AP120">
        <f>AM120+AN120-AO120</f>
        <v/>
      </c>
      <c r="AQ120">
        <f>MIN(AP120,MAX(0,$B120-((E$5&lt;AO$5)*F120+(K$5&lt;AO$5)*L120+(Q$5&lt;AO$5)*R120+(W$5&lt;AO$5)*X120+(AC$5&lt;AO$5)*AD120+(AI$5&lt;AO$5)*AJ120+(AU$5&lt;AO$5)*AV120)))</f>
        <v/>
      </c>
      <c r="AR120">
        <f>IF(AP120-AQ120&lt;0.005,0,AP120-AQ120)</f>
        <v/>
      </c>
      <c r="AS120">
        <f>AX119</f>
        <v/>
      </c>
      <c r="AT120">
        <f>AS120*Plan!D13/100/12</f>
        <v/>
      </c>
      <c r="AU120">
        <f>MIN(Plan!E13,AS120+AT120)</f>
        <v/>
      </c>
      <c r="AV120">
        <f>AS120+AT120-AU120</f>
        <v/>
      </c>
      <c r="AW120">
        <f>MIN(AV120,MAX(0,$B120-((E$5&lt;AU$5)*F120+(K$5&lt;AU$5)*L120+(Q$5&lt;AU$5)*R120+(W$5&lt;AU$5)*X120+(AC$5&lt;AU$5)*AD120+(AI$5&lt;AU$5)*AJ120+(AO$5&lt;AU$5)*AP120)))</f>
        <v/>
      </c>
      <c r="AX120">
        <f>IF(AV120-AW120&lt;0.005,0,AV120-AW120)</f>
        <v/>
      </c>
      <c r="BC120">
        <f>H120+N120+T120+Z120+AF120+AL120+AR120+AX120</f>
        <v/>
      </c>
    </row>
    <row r="121">
      <c r="A121" t="n">
        <v>115</v>
      </c>
      <c r="B121" s="19">
        <f>MAX(0,$B$3-(E121+K121+Q121+W121+AC121+AI121+AO121+AU121))</f>
        <v/>
      </c>
      <c r="C121">
        <f>H120</f>
        <v/>
      </c>
      <c r="D121">
        <f>C121*Plan!D6/100/12</f>
        <v/>
      </c>
      <c r="E121">
        <f>MIN(Plan!E6,C121+D121)</f>
        <v/>
      </c>
      <c r="F121">
        <f>C121+D121-E121</f>
        <v/>
      </c>
      <c r="G121">
        <f>MIN(F121,MAX(0,$B121-((K$5&lt;E$5)*L121+(Q$5&lt;E$5)*R121+(W$5&lt;E$5)*X121+(AC$5&lt;E$5)*AD121+(AI$5&lt;E$5)*AJ121+(AO$5&lt;E$5)*AP121+(AU$5&lt;E$5)*AV121)))</f>
        <v/>
      </c>
      <c r="H121">
        <f>IF(F121-G121&lt;0.005,0,F121-G121)</f>
        <v/>
      </c>
      <c r="I121">
        <f>N120</f>
        <v/>
      </c>
      <c r="J121">
        <f>I121*Plan!D7/100/12</f>
        <v/>
      </c>
      <c r="K121">
        <f>MIN(Plan!E7,I121+J121)</f>
        <v/>
      </c>
      <c r="L121">
        <f>I121+J121-K121</f>
        <v/>
      </c>
      <c r="M121">
        <f>MIN(L121,MAX(0,$B121-((E$5&lt;K$5)*F121+(Q$5&lt;K$5)*R121+(W$5&lt;K$5)*X121+(AC$5&lt;K$5)*AD121+(AI$5&lt;K$5)*AJ121+(AO$5&lt;K$5)*AP121+(AU$5&lt;K$5)*AV121)))</f>
        <v/>
      </c>
      <c r="N121">
        <f>IF(L121-M121&lt;0.005,0,L121-M121)</f>
        <v/>
      </c>
      <c r="O121">
        <f>T120</f>
        <v/>
      </c>
      <c r="P121">
        <f>O121*Plan!D8/100/12</f>
        <v/>
      </c>
      <c r="Q121">
        <f>MIN(Plan!E8,O121+P121)</f>
        <v/>
      </c>
      <c r="R121">
        <f>O121+P121-Q121</f>
        <v/>
      </c>
      <c r="S121">
        <f>MIN(R121,MAX(0,$B121-((E$5&lt;Q$5)*F121+(K$5&lt;Q$5)*L121+(W$5&lt;Q$5)*X121+(AC$5&lt;Q$5)*AD121+(AI$5&lt;Q$5)*AJ121+(AO$5&lt;Q$5)*AP121+(AU$5&lt;Q$5)*AV121)))</f>
        <v/>
      </c>
      <c r="T121">
        <f>IF(R121-S121&lt;0.005,0,R121-S121)</f>
        <v/>
      </c>
      <c r="U121">
        <f>Z120</f>
        <v/>
      </c>
      <c r="V121">
        <f>U121*Plan!D9/100/12</f>
        <v/>
      </c>
      <c r="W121">
        <f>MIN(Plan!E9,U121+V121)</f>
        <v/>
      </c>
      <c r="X121">
        <f>U121+V121-W121</f>
        <v/>
      </c>
      <c r="Y121">
        <f>MIN(X121,MAX(0,$B121-((E$5&lt;W$5)*F121+(K$5&lt;W$5)*L121+(Q$5&lt;W$5)*R121+(AC$5&lt;W$5)*AD121+(AI$5&lt;W$5)*AJ121+(AO$5&lt;W$5)*AP121+(AU$5&lt;W$5)*AV121)))</f>
        <v/>
      </c>
      <c r="Z121">
        <f>IF(X121-Y121&lt;0.005,0,X121-Y121)</f>
        <v/>
      </c>
      <c r="AA121">
        <f>AF120</f>
        <v/>
      </c>
      <c r="AB121">
        <f>AA121*Plan!D10/100/12</f>
        <v/>
      </c>
      <c r="AC121">
        <f>MIN(Plan!E10,AA121+AB121)</f>
        <v/>
      </c>
      <c r="AD121">
        <f>AA121+AB121-AC121</f>
        <v/>
      </c>
      <c r="AE121">
        <f>MIN(AD121,MAX(0,$B121-((E$5&lt;AC$5)*F121+(K$5&lt;AC$5)*L121+(Q$5&lt;AC$5)*R121+(W$5&lt;AC$5)*X121+(AI$5&lt;AC$5)*AJ121+(AO$5&lt;AC$5)*AP121+(AU$5&lt;AC$5)*AV121)))</f>
        <v/>
      </c>
      <c r="AF121">
        <f>IF(AD121-AE121&lt;0.005,0,AD121-AE121)</f>
        <v/>
      </c>
      <c r="AG121">
        <f>AL120</f>
        <v/>
      </c>
      <c r="AH121">
        <f>AG121*Plan!D11/100/12</f>
        <v/>
      </c>
      <c r="AI121">
        <f>MIN(Plan!E11,AG121+AH121)</f>
        <v/>
      </c>
      <c r="AJ121">
        <f>AG121+AH121-AI121</f>
        <v/>
      </c>
      <c r="AK121">
        <f>MIN(AJ121,MAX(0,$B121-((E$5&lt;AI$5)*F121+(K$5&lt;AI$5)*L121+(Q$5&lt;AI$5)*R121+(W$5&lt;AI$5)*X121+(AC$5&lt;AI$5)*AD121+(AO$5&lt;AI$5)*AP121+(AU$5&lt;AI$5)*AV121)))</f>
        <v/>
      </c>
      <c r="AL121">
        <f>IF(AJ121-AK121&lt;0.005,0,AJ121-AK121)</f>
        <v/>
      </c>
      <c r="AM121">
        <f>AR120</f>
        <v/>
      </c>
      <c r="AN121">
        <f>AM121*Plan!D12/100/12</f>
        <v/>
      </c>
      <c r="AO121">
        <f>MIN(Plan!E12,AM121+AN121)</f>
        <v/>
      </c>
      <c r="AP121">
        <f>AM121+AN121-AO121</f>
        <v/>
      </c>
      <c r="AQ121">
        <f>MIN(AP121,MAX(0,$B121-((E$5&lt;AO$5)*F121+(K$5&lt;AO$5)*L121+(Q$5&lt;AO$5)*R121+(W$5&lt;AO$5)*X121+(AC$5&lt;AO$5)*AD121+(AI$5&lt;AO$5)*AJ121+(AU$5&lt;AO$5)*AV121)))</f>
        <v/>
      </c>
      <c r="AR121">
        <f>IF(AP121-AQ121&lt;0.005,0,AP121-AQ121)</f>
        <v/>
      </c>
      <c r="AS121">
        <f>AX120</f>
        <v/>
      </c>
      <c r="AT121">
        <f>AS121*Plan!D13/100/12</f>
        <v/>
      </c>
      <c r="AU121">
        <f>MIN(Plan!E13,AS121+AT121)</f>
        <v/>
      </c>
      <c r="AV121">
        <f>AS121+AT121-AU121</f>
        <v/>
      </c>
      <c r="AW121">
        <f>MIN(AV121,MAX(0,$B121-((E$5&lt;AU$5)*F121+(K$5&lt;AU$5)*L121+(Q$5&lt;AU$5)*R121+(W$5&lt;AU$5)*X121+(AC$5&lt;AU$5)*AD121+(AI$5&lt;AU$5)*AJ121+(AO$5&lt;AU$5)*AP121)))</f>
        <v/>
      </c>
      <c r="AX121">
        <f>IF(AV121-AW121&lt;0.005,0,AV121-AW121)</f>
        <v/>
      </c>
      <c r="BC121">
        <f>H121+N121+T121+Z121+AF121+AL121+AR121+AX121</f>
        <v/>
      </c>
    </row>
    <row r="122">
      <c r="A122" t="n">
        <v>116</v>
      </c>
      <c r="B122" s="19">
        <f>MAX(0,$B$3-(E122+K122+Q122+W122+AC122+AI122+AO122+AU122))</f>
        <v/>
      </c>
      <c r="C122">
        <f>H121</f>
        <v/>
      </c>
      <c r="D122">
        <f>C122*Plan!D6/100/12</f>
        <v/>
      </c>
      <c r="E122">
        <f>MIN(Plan!E6,C122+D122)</f>
        <v/>
      </c>
      <c r="F122">
        <f>C122+D122-E122</f>
        <v/>
      </c>
      <c r="G122">
        <f>MIN(F122,MAX(0,$B122-((K$5&lt;E$5)*L122+(Q$5&lt;E$5)*R122+(W$5&lt;E$5)*X122+(AC$5&lt;E$5)*AD122+(AI$5&lt;E$5)*AJ122+(AO$5&lt;E$5)*AP122+(AU$5&lt;E$5)*AV122)))</f>
        <v/>
      </c>
      <c r="H122">
        <f>IF(F122-G122&lt;0.005,0,F122-G122)</f>
        <v/>
      </c>
      <c r="I122">
        <f>N121</f>
        <v/>
      </c>
      <c r="J122">
        <f>I122*Plan!D7/100/12</f>
        <v/>
      </c>
      <c r="K122">
        <f>MIN(Plan!E7,I122+J122)</f>
        <v/>
      </c>
      <c r="L122">
        <f>I122+J122-K122</f>
        <v/>
      </c>
      <c r="M122">
        <f>MIN(L122,MAX(0,$B122-((E$5&lt;K$5)*F122+(Q$5&lt;K$5)*R122+(W$5&lt;K$5)*X122+(AC$5&lt;K$5)*AD122+(AI$5&lt;K$5)*AJ122+(AO$5&lt;K$5)*AP122+(AU$5&lt;K$5)*AV122)))</f>
        <v/>
      </c>
      <c r="N122">
        <f>IF(L122-M122&lt;0.005,0,L122-M122)</f>
        <v/>
      </c>
      <c r="O122">
        <f>T121</f>
        <v/>
      </c>
      <c r="P122">
        <f>O122*Plan!D8/100/12</f>
        <v/>
      </c>
      <c r="Q122">
        <f>MIN(Plan!E8,O122+P122)</f>
        <v/>
      </c>
      <c r="R122">
        <f>O122+P122-Q122</f>
        <v/>
      </c>
      <c r="S122">
        <f>MIN(R122,MAX(0,$B122-((E$5&lt;Q$5)*F122+(K$5&lt;Q$5)*L122+(W$5&lt;Q$5)*X122+(AC$5&lt;Q$5)*AD122+(AI$5&lt;Q$5)*AJ122+(AO$5&lt;Q$5)*AP122+(AU$5&lt;Q$5)*AV122)))</f>
        <v/>
      </c>
      <c r="T122">
        <f>IF(R122-S122&lt;0.005,0,R122-S122)</f>
        <v/>
      </c>
      <c r="U122">
        <f>Z121</f>
        <v/>
      </c>
      <c r="V122">
        <f>U122*Plan!D9/100/12</f>
        <v/>
      </c>
      <c r="W122">
        <f>MIN(Plan!E9,U122+V122)</f>
        <v/>
      </c>
      <c r="X122">
        <f>U122+V122-W122</f>
        <v/>
      </c>
      <c r="Y122">
        <f>MIN(X122,MAX(0,$B122-((E$5&lt;W$5)*F122+(K$5&lt;W$5)*L122+(Q$5&lt;W$5)*R122+(AC$5&lt;W$5)*AD122+(AI$5&lt;W$5)*AJ122+(AO$5&lt;W$5)*AP122+(AU$5&lt;W$5)*AV122)))</f>
        <v/>
      </c>
      <c r="Z122">
        <f>IF(X122-Y122&lt;0.005,0,X122-Y122)</f>
        <v/>
      </c>
      <c r="AA122">
        <f>AF121</f>
        <v/>
      </c>
      <c r="AB122">
        <f>AA122*Plan!D10/100/12</f>
        <v/>
      </c>
      <c r="AC122">
        <f>MIN(Plan!E10,AA122+AB122)</f>
        <v/>
      </c>
      <c r="AD122">
        <f>AA122+AB122-AC122</f>
        <v/>
      </c>
      <c r="AE122">
        <f>MIN(AD122,MAX(0,$B122-((E$5&lt;AC$5)*F122+(K$5&lt;AC$5)*L122+(Q$5&lt;AC$5)*R122+(W$5&lt;AC$5)*X122+(AI$5&lt;AC$5)*AJ122+(AO$5&lt;AC$5)*AP122+(AU$5&lt;AC$5)*AV122)))</f>
        <v/>
      </c>
      <c r="AF122">
        <f>IF(AD122-AE122&lt;0.005,0,AD122-AE122)</f>
        <v/>
      </c>
      <c r="AG122">
        <f>AL121</f>
        <v/>
      </c>
      <c r="AH122">
        <f>AG122*Plan!D11/100/12</f>
        <v/>
      </c>
      <c r="AI122">
        <f>MIN(Plan!E11,AG122+AH122)</f>
        <v/>
      </c>
      <c r="AJ122">
        <f>AG122+AH122-AI122</f>
        <v/>
      </c>
      <c r="AK122">
        <f>MIN(AJ122,MAX(0,$B122-((E$5&lt;AI$5)*F122+(K$5&lt;AI$5)*L122+(Q$5&lt;AI$5)*R122+(W$5&lt;AI$5)*X122+(AC$5&lt;AI$5)*AD122+(AO$5&lt;AI$5)*AP122+(AU$5&lt;AI$5)*AV122)))</f>
        <v/>
      </c>
      <c r="AL122">
        <f>IF(AJ122-AK122&lt;0.005,0,AJ122-AK122)</f>
        <v/>
      </c>
      <c r="AM122">
        <f>AR121</f>
        <v/>
      </c>
      <c r="AN122">
        <f>AM122*Plan!D12/100/12</f>
        <v/>
      </c>
      <c r="AO122">
        <f>MIN(Plan!E12,AM122+AN122)</f>
        <v/>
      </c>
      <c r="AP122">
        <f>AM122+AN122-AO122</f>
        <v/>
      </c>
      <c r="AQ122">
        <f>MIN(AP122,MAX(0,$B122-((E$5&lt;AO$5)*F122+(K$5&lt;AO$5)*L122+(Q$5&lt;AO$5)*R122+(W$5&lt;AO$5)*X122+(AC$5&lt;AO$5)*AD122+(AI$5&lt;AO$5)*AJ122+(AU$5&lt;AO$5)*AV122)))</f>
        <v/>
      </c>
      <c r="AR122">
        <f>IF(AP122-AQ122&lt;0.005,0,AP122-AQ122)</f>
        <v/>
      </c>
      <c r="AS122">
        <f>AX121</f>
        <v/>
      </c>
      <c r="AT122">
        <f>AS122*Plan!D13/100/12</f>
        <v/>
      </c>
      <c r="AU122">
        <f>MIN(Plan!E13,AS122+AT122)</f>
        <v/>
      </c>
      <c r="AV122">
        <f>AS122+AT122-AU122</f>
        <v/>
      </c>
      <c r="AW122">
        <f>MIN(AV122,MAX(0,$B122-((E$5&lt;AU$5)*F122+(K$5&lt;AU$5)*L122+(Q$5&lt;AU$5)*R122+(W$5&lt;AU$5)*X122+(AC$5&lt;AU$5)*AD122+(AI$5&lt;AU$5)*AJ122+(AO$5&lt;AU$5)*AP122)))</f>
        <v/>
      </c>
      <c r="AX122">
        <f>IF(AV122-AW122&lt;0.005,0,AV122-AW122)</f>
        <v/>
      </c>
      <c r="BC122">
        <f>H122+N122+T122+Z122+AF122+AL122+AR122+AX122</f>
        <v/>
      </c>
    </row>
    <row r="123">
      <c r="A123" t="n">
        <v>117</v>
      </c>
      <c r="B123" s="19">
        <f>MAX(0,$B$3-(E123+K123+Q123+W123+AC123+AI123+AO123+AU123))</f>
        <v/>
      </c>
      <c r="C123">
        <f>H122</f>
        <v/>
      </c>
      <c r="D123">
        <f>C123*Plan!D6/100/12</f>
        <v/>
      </c>
      <c r="E123">
        <f>MIN(Plan!E6,C123+D123)</f>
        <v/>
      </c>
      <c r="F123">
        <f>C123+D123-E123</f>
        <v/>
      </c>
      <c r="G123">
        <f>MIN(F123,MAX(0,$B123-((K$5&lt;E$5)*L123+(Q$5&lt;E$5)*R123+(W$5&lt;E$5)*X123+(AC$5&lt;E$5)*AD123+(AI$5&lt;E$5)*AJ123+(AO$5&lt;E$5)*AP123+(AU$5&lt;E$5)*AV123)))</f>
        <v/>
      </c>
      <c r="H123">
        <f>IF(F123-G123&lt;0.005,0,F123-G123)</f>
        <v/>
      </c>
      <c r="I123">
        <f>N122</f>
        <v/>
      </c>
      <c r="J123">
        <f>I123*Plan!D7/100/12</f>
        <v/>
      </c>
      <c r="K123">
        <f>MIN(Plan!E7,I123+J123)</f>
        <v/>
      </c>
      <c r="L123">
        <f>I123+J123-K123</f>
        <v/>
      </c>
      <c r="M123">
        <f>MIN(L123,MAX(0,$B123-((E$5&lt;K$5)*F123+(Q$5&lt;K$5)*R123+(W$5&lt;K$5)*X123+(AC$5&lt;K$5)*AD123+(AI$5&lt;K$5)*AJ123+(AO$5&lt;K$5)*AP123+(AU$5&lt;K$5)*AV123)))</f>
        <v/>
      </c>
      <c r="N123">
        <f>IF(L123-M123&lt;0.005,0,L123-M123)</f>
        <v/>
      </c>
      <c r="O123">
        <f>T122</f>
        <v/>
      </c>
      <c r="P123">
        <f>O123*Plan!D8/100/12</f>
        <v/>
      </c>
      <c r="Q123">
        <f>MIN(Plan!E8,O123+P123)</f>
        <v/>
      </c>
      <c r="R123">
        <f>O123+P123-Q123</f>
        <v/>
      </c>
      <c r="S123">
        <f>MIN(R123,MAX(0,$B123-((E$5&lt;Q$5)*F123+(K$5&lt;Q$5)*L123+(W$5&lt;Q$5)*X123+(AC$5&lt;Q$5)*AD123+(AI$5&lt;Q$5)*AJ123+(AO$5&lt;Q$5)*AP123+(AU$5&lt;Q$5)*AV123)))</f>
        <v/>
      </c>
      <c r="T123">
        <f>IF(R123-S123&lt;0.005,0,R123-S123)</f>
        <v/>
      </c>
      <c r="U123">
        <f>Z122</f>
        <v/>
      </c>
      <c r="V123">
        <f>U123*Plan!D9/100/12</f>
        <v/>
      </c>
      <c r="W123">
        <f>MIN(Plan!E9,U123+V123)</f>
        <v/>
      </c>
      <c r="X123">
        <f>U123+V123-W123</f>
        <v/>
      </c>
      <c r="Y123">
        <f>MIN(X123,MAX(0,$B123-((E$5&lt;W$5)*F123+(K$5&lt;W$5)*L123+(Q$5&lt;W$5)*R123+(AC$5&lt;W$5)*AD123+(AI$5&lt;W$5)*AJ123+(AO$5&lt;W$5)*AP123+(AU$5&lt;W$5)*AV123)))</f>
        <v/>
      </c>
      <c r="Z123">
        <f>IF(X123-Y123&lt;0.005,0,X123-Y123)</f>
        <v/>
      </c>
      <c r="AA123">
        <f>AF122</f>
        <v/>
      </c>
      <c r="AB123">
        <f>AA123*Plan!D10/100/12</f>
        <v/>
      </c>
      <c r="AC123">
        <f>MIN(Plan!E10,AA123+AB123)</f>
        <v/>
      </c>
      <c r="AD123">
        <f>AA123+AB123-AC123</f>
        <v/>
      </c>
      <c r="AE123">
        <f>MIN(AD123,MAX(0,$B123-((E$5&lt;AC$5)*F123+(K$5&lt;AC$5)*L123+(Q$5&lt;AC$5)*R123+(W$5&lt;AC$5)*X123+(AI$5&lt;AC$5)*AJ123+(AO$5&lt;AC$5)*AP123+(AU$5&lt;AC$5)*AV123)))</f>
        <v/>
      </c>
      <c r="AF123">
        <f>IF(AD123-AE123&lt;0.005,0,AD123-AE123)</f>
        <v/>
      </c>
      <c r="AG123">
        <f>AL122</f>
        <v/>
      </c>
      <c r="AH123">
        <f>AG123*Plan!D11/100/12</f>
        <v/>
      </c>
      <c r="AI123">
        <f>MIN(Plan!E11,AG123+AH123)</f>
        <v/>
      </c>
      <c r="AJ123">
        <f>AG123+AH123-AI123</f>
        <v/>
      </c>
      <c r="AK123">
        <f>MIN(AJ123,MAX(0,$B123-((E$5&lt;AI$5)*F123+(K$5&lt;AI$5)*L123+(Q$5&lt;AI$5)*R123+(W$5&lt;AI$5)*X123+(AC$5&lt;AI$5)*AD123+(AO$5&lt;AI$5)*AP123+(AU$5&lt;AI$5)*AV123)))</f>
        <v/>
      </c>
      <c r="AL123">
        <f>IF(AJ123-AK123&lt;0.005,0,AJ123-AK123)</f>
        <v/>
      </c>
      <c r="AM123">
        <f>AR122</f>
        <v/>
      </c>
      <c r="AN123">
        <f>AM123*Plan!D12/100/12</f>
        <v/>
      </c>
      <c r="AO123">
        <f>MIN(Plan!E12,AM123+AN123)</f>
        <v/>
      </c>
      <c r="AP123">
        <f>AM123+AN123-AO123</f>
        <v/>
      </c>
      <c r="AQ123">
        <f>MIN(AP123,MAX(0,$B123-((E$5&lt;AO$5)*F123+(K$5&lt;AO$5)*L123+(Q$5&lt;AO$5)*R123+(W$5&lt;AO$5)*X123+(AC$5&lt;AO$5)*AD123+(AI$5&lt;AO$5)*AJ123+(AU$5&lt;AO$5)*AV123)))</f>
        <v/>
      </c>
      <c r="AR123">
        <f>IF(AP123-AQ123&lt;0.005,0,AP123-AQ123)</f>
        <v/>
      </c>
      <c r="AS123">
        <f>AX122</f>
        <v/>
      </c>
      <c r="AT123">
        <f>AS123*Plan!D13/100/12</f>
        <v/>
      </c>
      <c r="AU123">
        <f>MIN(Plan!E13,AS123+AT123)</f>
        <v/>
      </c>
      <c r="AV123">
        <f>AS123+AT123-AU123</f>
        <v/>
      </c>
      <c r="AW123">
        <f>MIN(AV123,MAX(0,$B123-((E$5&lt;AU$5)*F123+(K$5&lt;AU$5)*L123+(Q$5&lt;AU$5)*R123+(W$5&lt;AU$5)*X123+(AC$5&lt;AU$5)*AD123+(AI$5&lt;AU$5)*AJ123+(AO$5&lt;AU$5)*AP123)))</f>
        <v/>
      </c>
      <c r="AX123">
        <f>IF(AV123-AW123&lt;0.005,0,AV123-AW123)</f>
        <v/>
      </c>
      <c r="BC123">
        <f>H123+N123+T123+Z123+AF123+AL123+AR123+AX123</f>
        <v/>
      </c>
    </row>
    <row r="124">
      <c r="A124" t="n">
        <v>118</v>
      </c>
      <c r="B124" s="19">
        <f>MAX(0,$B$3-(E124+K124+Q124+W124+AC124+AI124+AO124+AU124))</f>
        <v/>
      </c>
      <c r="C124">
        <f>H123</f>
        <v/>
      </c>
      <c r="D124">
        <f>C124*Plan!D6/100/12</f>
        <v/>
      </c>
      <c r="E124">
        <f>MIN(Plan!E6,C124+D124)</f>
        <v/>
      </c>
      <c r="F124">
        <f>C124+D124-E124</f>
        <v/>
      </c>
      <c r="G124">
        <f>MIN(F124,MAX(0,$B124-((K$5&lt;E$5)*L124+(Q$5&lt;E$5)*R124+(W$5&lt;E$5)*X124+(AC$5&lt;E$5)*AD124+(AI$5&lt;E$5)*AJ124+(AO$5&lt;E$5)*AP124+(AU$5&lt;E$5)*AV124)))</f>
        <v/>
      </c>
      <c r="H124">
        <f>IF(F124-G124&lt;0.005,0,F124-G124)</f>
        <v/>
      </c>
      <c r="I124">
        <f>N123</f>
        <v/>
      </c>
      <c r="J124">
        <f>I124*Plan!D7/100/12</f>
        <v/>
      </c>
      <c r="K124">
        <f>MIN(Plan!E7,I124+J124)</f>
        <v/>
      </c>
      <c r="L124">
        <f>I124+J124-K124</f>
        <v/>
      </c>
      <c r="M124">
        <f>MIN(L124,MAX(0,$B124-((E$5&lt;K$5)*F124+(Q$5&lt;K$5)*R124+(W$5&lt;K$5)*X124+(AC$5&lt;K$5)*AD124+(AI$5&lt;K$5)*AJ124+(AO$5&lt;K$5)*AP124+(AU$5&lt;K$5)*AV124)))</f>
        <v/>
      </c>
      <c r="N124">
        <f>IF(L124-M124&lt;0.005,0,L124-M124)</f>
        <v/>
      </c>
      <c r="O124">
        <f>T123</f>
        <v/>
      </c>
      <c r="P124">
        <f>O124*Plan!D8/100/12</f>
        <v/>
      </c>
      <c r="Q124">
        <f>MIN(Plan!E8,O124+P124)</f>
        <v/>
      </c>
      <c r="R124">
        <f>O124+P124-Q124</f>
        <v/>
      </c>
      <c r="S124">
        <f>MIN(R124,MAX(0,$B124-((E$5&lt;Q$5)*F124+(K$5&lt;Q$5)*L124+(W$5&lt;Q$5)*X124+(AC$5&lt;Q$5)*AD124+(AI$5&lt;Q$5)*AJ124+(AO$5&lt;Q$5)*AP124+(AU$5&lt;Q$5)*AV124)))</f>
        <v/>
      </c>
      <c r="T124">
        <f>IF(R124-S124&lt;0.005,0,R124-S124)</f>
        <v/>
      </c>
      <c r="U124">
        <f>Z123</f>
        <v/>
      </c>
      <c r="V124">
        <f>U124*Plan!D9/100/12</f>
        <v/>
      </c>
      <c r="W124">
        <f>MIN(Plan!E9,U124+V124)</f>
        <v/>
      </c>
      <c r="X124">
        <f>U124+V124-W124</f>
        <v/>
      </c>
      <c r="Y124">
        <f>MIN(X124,MAX(0,$B124-((E$5&lt;W$5)*F124+(K$5&lt;W$5)*L124+(Q$5&lt;W$5)*R124+(AC$5&lt;W$5)*AD124+(AI$5&lt;W$5)*AJ124+(AO$5&lt;W$5)*AP124+(AU$5&lt;W$5)*AV124)))</f>
        <v/>
      </c>
      <c r="Z124">
        <f>IF(X124-Y124&lt;0.005,0,X124-Y124)</f>
        <v/>
      </c>
      <c r="AA124">
        <f>AF123</f>
        <v/>
      </c>
      <c r="AB124">
        <f>AA124*Plan!D10/100/12</f>
        <v/>
      </c>
      <c r="AC124">
        <f>MIN(Plan!E10,AA124+AB124)</f>
        <v/>
      </c>
      <c r="AD124">
        <f>AA124+AB124-AC124</f>
        <v/>
      </c>
      <c r="AE124">
        <f>MIN(AD124,MAX(0,$B124-((E$5&lt;AC$5)*F124+(K$5&lt;AC$5)*L124+(Q$5&lt;AC$5)*R124+(W$5&lt;AC$5)*X124+(AI$5&lt;AC$5)*AJ124+(AO$5&lt;AC$5)*AP124+(AU$5&lt;AC$5)*AV124)))</f>
        <v/>
      </c>
      <c r="AF124">
        <f>IF(AD124-AE124&lt;0.005,0,AD124-AE124)</f>
        <v/>
      </c>
      <c r="AG124">
        <f>AL123</f>
        <v/>
      </c>
      <c r="AH124">
        <f>AG124*Plan!D11/100/12</f>
        <v/>
      </c>
      <c r="AI124">
        <f>MIN(Plan!E11,AG124+AH124)</f>
        <v/>
      </c>
      <c r="AJ124">
        <f>AG124+AH124-AI124</f>
        <v/>
      </c>
      <c r="AK124">
        <f>MIN(AJ124,MAX(0,$B124-((E$5&lt;AI$5)*F124+(K$5&lt;AI$5)*L124+(Q$5&lt;AI$5)*R124+(W$5&lt;AI$5)*X124+(AC$5&lt;AI$5)*AD124+(AO$5&lt;AI$5)*AP124+(AU$5&lt;AI$5)*AV124)))</f>
        <v/>
      </c>
      <c r="AL124">
        <f>IF(AJ124-AK124&lt;0.005,0,AJ124-AK124)</f>
        <v/>
      </c>
      <c r="AM124">
        <f>AR123</f>
        <v/>
      </c>
      <c r="AN124">
        <f>AM124*Plan!D12/100/12</f>
        <v/>
      </c>
      <c r="AO124">
        <f>MIN(Plan!E12,AM124+AN124)</f>
        <v/>
      </c>
      <c r="AP124">
        <f>AM124+AN124-AO124</f>
        <v/>
      </c>
      <c r="AQ124">
        <f>MIN(AP124,MAX(0,$B124-((E$5&lt;AO$5)*F124+(K$5&lt;AO$5)*L124+(Q$5&lt;AO$5)*R124+(W$5&lt;AO$5)*X124+(AC$5&lt;AO$5)*AD124+(AI$5&lt;AO$5)*AJ124+(AU$5&lt;AO$5)*AV124)))</f>
        <v/>
      </c>
      <c r="AR124">
        <f>IF(AP124-AQ124&lt;0.005,0,AP124-AQ124)</f>
        <v/>
      </c>
      <c r="AS124">
        <f>AX123</f>
        <v/>
      </c>
      <c r="AT124">
        <f>AS124*Plan!D13/100/12</f>
        <v/>
      </c>
      <c r="AU124">
        <f>MIN(Plan!E13,AS124+AT124)</f>
        <v/>
      </c>
      <c r="AV124">
        <f>AS124+AT124-AU124</f>
        <v/>
      </c>
      <c r="AW124">
        <f>MIN(AV124,MAX(0,$B124-((E$5&lt;AU$5)*F124+(K$5&lt;AU$5)*L124+(Q$5&lt;AU$5)*R124+(W$5&lt;AU$5)*X124+(AC$5&lt;AU$5)*AD124+(AI$5&lt;AU$5)*AJ124+(AO$5&lt;AU$5)*AP124)))</f>
        <v/>
      </c>
      <c r="AX124">
        <f>IF(AV124-AW124&lt;0.005,0,AV124-AW124)</f>
        <v/>
      </c>
      <c r="BC124">
        <f>H124+N124+T124+Z124+AF124+AL124+AR124+AX124</f>
        <v/>
      </c>
    </row>
    <row r="125">
      <c r="A125" t="n">
        <v>119</v>
      </c>
      <c r="B125" s="19">
        <f>MAX(0,$B$3-(E125+K125+Q125+W125+AC125+AI125+AO125+AU125))</f>
        <v/>
      </c>
      <c r="C125">
        <f>H124</f>
        <v/>
      </c>
      <c r="D125">
        <f>C125*Plan!D6/100/12</f>
        <v/>
      </c>
      <c r="E125">
        <f>MIN(Plan!E6,C125+D125)</f>
        <v/>
      </c>
      <c r="F125">
        <f>C125+D125-E125</f>
        <v/>
      </c>
      <c r="G125">
        <f>MIN(F125,MAX(0,$B125-((K$5&lt;E$5)*L125+(Q$5&lt;E$5)*R125+(W$5&lt;E$5)*X125+(AC$5&lt;E$5)*AD125+(AI$5&lt;E$5)*AJ125+(AO$5&lt;E$5)*AP125+(AU$5&lt;E$5)*AV125)))</f>
        <v/>
      </c>
      <c r="H125">
        <f>IF(F125-G125&lt;0.005,0,F125-G125)</f>
        <v/>
      </c>
      <c r="I125">
        <f>N124</f>
        <v/>
      </c>
      <c r="J125">
        <f>I125*Plan!D7/100/12</f>
        <v/>
      </c>
      <c r="K125">
        <f>MIN(Plan!E7,I125+J125)</f>
        <v/>
      </c>
      <c r="L125">
        <f>I125+J125-K125</f>
        <v/>
      </c>
      <c r="M125">
        <f>MIN(L125,MAX(0,$B125-((E$5&lt;K$5)*F125+(Q$5&lt;K$5)*R125+(W$5&lt;K$5)*X125+(AC$5&lt;K$5)*AD125+(AI$5&lt;K$5)*AJ125+(AO$5&lt;K$5)*AP125+(AU$5&lt;K$5)*AV125)))</f>
        <v/>
      </c>
      <c r="N125">
        <f>IF(L125-M125&lt;0.005,0,L125-M125)</f>
        <v/>
      </c>
      <c r="O125">
        <f>T124</f>
        <v/>
      </c>
      <c r="P125">
        <f>O125*Plan!D8/100/12</f>
        <v/>
      </c>
      <c r="Q125">
        <f>MIN(Plan!E8,O125+P125)</f>
        <v/>
      </c>
      <c r="R125">
        <f>O125+P125-Q125</f>
        <v/>
      </c>
      <c r="S125">
        <f>MIN(R125,MAX(0,$B125-((E$5&lt;Q$5)*F125+(K$5&lt;Q$5)*L125+(W$5&lt;Q$5)*X125+(AC$5&lt;Q$5)*AD125+(AI$5&lt;Q$5)*AJ125+(AO$5&lt;Q$5)*AP125+(AU$5&lt;Q$5)*AV125)))</f>
        <v/>
      </c>
      <c r="T125">
        <f>IF(R125-S125&lt;0.005,0,R125-S125)</f>
        <v/>
      </c>
      <c r="U125">
        <f>Z124</f>
        <v/>
      </c>
      <c r="V125">
        <f>U125*Plan!D9/100/12</f>
        <v/>
      </c>
      <c r="W125">
        <f>MIN(Plan!E9,U125+V125)</f>
        <v/>
      </c>
      <c r="X125">
        <f>U125+V125-W125</f>
        <v/>
      </c>
      <c r="Y125">
        <f>MIN(X125,MAX(0,$B125-((E$5&lt;W$5)*F125+(K$5&lt;W$5)*L125+(Q$5&lt;W$5)*R125+(AC$5&lt;W$5)*AD125+(AI$5&lt;W$5)*AJ125+(AO$5&lt;W$5)*AP125+(AU$5&lt;W$5)*AV125)))</f>
        <v/>
      </c>
      <c r="Z125">
        <f>IF(X125-Y125&lt;0.005,0,X125-Y125)</f>
        <v/>
      </c>
      <c r="AA125">
        <f>AF124</f>
        <v/>
      </c>
      <c r="AB125">
        <f>AA125*Plan!D10/100/12</f>
        <v/>
      </c>
      <c r="AC125">
        <f>MIN(Plan!E10,AA125+AB125)</f>
        <v/>
      </c>
      <c r="AD125">
        <f>AA125+AB125-AC125</f>
        <v/>
      </c>
      <c r="AE125">
        <f>MIN(AD125,MAX(0,$B125-((E$5&lt;AC$5)*F125+(K$5&lt;AC$5)*L125+(Q$5&lt;AC$5)*R125+(W$5&lt;AC$5)*X125+(AI$5&lt;AC$5)*AJ125+(AO$5&lt;AC$5)*AP125+(AU$5&lt;AC$5)*AV125)))</f>
        <v/>
      </c>
      <c r="AF125">
        <f>IF(AD125-AE125&lt;0.005,0,AD125-AE125)</f>
        <v/>
      </c>
      <c r="AG125">
        <f>AL124</f>
        <v/>
      </c>
      <c r="AH125">
        <f>AG125*Plan!D11/100/12</f>
        <v/>
      </c>
      <c r="AI125">
        <f>MIN(Plan!E11,AG125+AH125)</f>
        <v/>
      </c>
      <c r="AJ125">
        <f>AG125+AH125-AI125</f>
        <v/>
      </c>
      <c r="AK125">
        <f>MIN(AJ125,MAX(0,$B125-((E$5&lt;AI$5)*F125+(K$5&lt;AI$5)*L125+(Q$5&lt;AI$5)*R125+(W$5&lt;AI$5)*X125+(AC$5&lt;AI$5)*AD125+(AO$5&lt;AI$5)*AP125+(AU$5&lt;AI$5)*AV125)))</f>
        <v/>
      </c>
      <c r="AL125">
        <f>IF(AJ125-AK125&lt;0.005,0,AJ125-AK125)</f>
        <v/>
      </c>
      <c r="AM125">
        <f>AR124</f>
        <v/>
      </c>
      <c r="AN125">
        <f>AM125*Plan!D12/100/12</f>
        <v/>
      </c>
      <c r="AO125">
        <f>MIN(Plan!E12,AM125+AN125)</f>
        <v/>
      </c>
      <c r="AP125">
        <f>AM125+AN125-AO125</f>
        <v/>
      </c>
      <c r="AQ125">
        <f>MIN(AP125,MAX(0,$B125-((E$5&lt;AO$5)*F125+(K$5&lt;AO$5)*L125+(Q$5&lt;AO$5)*R125+(W$5&lt;AO$5)*X125+(AC$5&lt;AO$5)*AD125+(AI$5&lt;AO$5)*AJ125+(AU$5&lt;AO$5)*AV125)))</f>
        <v/>
      </c>
      <c r="AR125">
        <f>IF(AP125-AQ125&lt;0.005,0,AP125-AQ125)</f>
        <v/>
      </c>
      <c r="AS125">
        <f>AX124</f>
        <v/>
      </c>
      <c r="AT125">
        <f>AS125*Plan!D13/100/12</f>
        <v/>
      </c>
      <c r="AU125">
        <f>MIN(Plan!E13,AS125+AT125)</f>
        <v/>
      </c>
      <c r="AV125">
        <f>AS125+AT125-AU125</f>
        <v/>
      </c>
      <c r="AW125">
        <f>MIN(AV125,MAX(0,$B125-((E$5&lt;AU$5)*F125+(K$5&lt;AU$5)*L125+(Q$5&lt;AU$5)*R125+(W$5&lt;AU$5)*X125+(AC$5&lt;AU$5)*AD125+(AI$5&lt;AU$5)*AJ125+(AO$5&lt;AU$5)*AP125)))</f>
        <v/>
      </c>
      <c r="AX125">
        <f>IF(AV125-AW125&lt;0.005,0,AV125-AW125)</f>
        <v/>
      </c>
      <c r="BC125">
        <f>H125+N125+T125+Z125+AF125+AL125+AR125+AX125</f>
        <v/>
      </c>
    </row>
    <row r="126">
      <c r="A126" t="n">
        <v>120</v>
      </c>
      <c r="B126" s="19">
        <f>MAX(0,$B$3-(E126+K126+Q126+W126+AC126+AI126+AO126+AU126))</f>
        <v/>
      </c>
      <c r="C126">
        <f>H125</f>
        <v/>
      </c>
      <c r="D126">
        <f>C126*Plan!D6/100/12</f>
        <v/>
      </c>
      <c r="E126">
        <f>MIN(Plan!E6,C126+D126)</f>
        <v/>
      </c>
      <c r="F126">
        <f>C126+D126-E126</f>
        <v/>
      </c>
      <c r="G126">
        <f>MIN(F126,MAX(0,$B126-((K$5&lt;E$5)*L126+(Q$5&lt;E$5)*R126+(W$5&lt;E$5)*X126+(AC$5&lt;E$5)*AD126+(AI$5&lt;E$5)*AJ126+(AO$5&lt;E$5)*AP126+(AU$5&lt;E$5)*AV126)))</f>
        <v/>
      </c>
      <c r="H126">
        <f>IF(F126-G126&lt;0.005,0,F126-G126)</f>
        <v/>
      </c>
      <c r="I126">
        <f>N125</f>
        <v/>
      </c>
      <c r="J126">
        <f>I126*Plan!D7/100/12</f>
        <v/>
      </c>
      <c r="K126">
        <f>MIN(Plan!E7,I126+J126)</f>
        <v/>
      </c>
      <c r="L126">
        <f>I126+J126-K126</f>
        <v/>
      </c>
      <c r="M126">
        <f>MIN(L126,MAX(0,$B126-((E$5&lt;K$5)*F126+(Q$5&lt;K$5)*R126+(W$5&lt;K$5)*X126+(AC$5&lt;K$5)*AD126+(AI$5&lt;K$5)*AJ126+(AO$5&lt;K$5)*AP126+(AU$5&lt;K$5)*AV126)))</f>
        <v/>
      </c>
      <c r="N126">
        <f>IF(L126-M126&lt;0.005,0,L126-M126)</f>
        <v/>
      </c>
      <c r="O126">
        <f>T125</f>
        <v/>
      </c>
      <c r="P126">
        <f>O126*Plan!D8/100/12</f>
        <v/>
      </c>
      <c r="Q126">
        <f>MIN(Plan!E8,O126+P126)</f>
        <v/>
      </c>
      <c r="R126">
        <f>O126+P126-Q126</f>
        <v/>
      </c>
      <c r="S126">
        <f>MIN(R126,MAX(0,$B126-((E$5&lt;Q$5)*F126+(K$5&lt;Q$5)*L126+(W$5&lt;Q$5)*X126+(AC$5&lt;Q$5)*AD126+(AI$5&lt;Q$5)*AJ126+(AO$5&lt;Q$5)*AP126+(AU$5&lt;Q$5)*AV126)))</f>
        <v/>
      </c>
      <c r="T126">
        <f>IF(R126-S126&lt;0.005,0,R126-S126)</f>
        <v/>
      </c>
      <c r="U126">
        <f>Z125</f>
        <v/>
      </c>
      <c r="V126">
        <f>U126*Plan!D9/100/12</f>
        <v/>
      </c>
      <c r="W126">
        <f>MIN(Plan!E9,U126+V126)</f>
        <v/>
      </c>
      <c r="X126">
        <f>U126+V126-W126</f>
        <v/>
      </c>
      <c r="Y126">
        <f>MIN(X126,MAX(0,$B126-((E$5&lt;W$5)*F126+(K$5&lt;W$5)*L126+(Q$5&lt;W$5)*R126+(AC$5&lt;W$5)*AD126+(AI$5&lt;W$5)*AJ126+(AO$5&lt;W$5)*AP126+(AU$5&lt;W$5)*AV126)))</f>
        <v/>
      </c>
      <c r="Z126">
        <f>IF(X126-Y126&lt;0.005,0,X126-Y126)</f>
        <v/>
      </c>
      <c r="AA126">
        <f>AF125</f>
        <v/>
      </c>
      <c r="AB126">
        <f>AA126*Plan!D10/100/12</f>
        <v/>
      </c>
      <c r="AC126">
        <f>MIN(Plan!E10,AA126+AB126)</f>
        <v/>
      </c>
      <c r="AD126">
        <f>AA126+AB126-AC126</f>
        <v/>
      </c>
      <c r="AE126">
        <f>MIN(AD126,MAX(0,$B126-((E$5&lt;AC$5)*F126+(K$5&lt;AC$5)*L126+(Q$5&lt;AC$5)*R126+(W$5&lt;AC$5)*X126+(AI$5&lt;AC$5)*AJ126+(AO$5&lt;AC$5)*AP126+(AU$5&lt;AC$5)*AV126)))</f>
        <v/>
      </c>
      <c r="AF126">
        <f>IF(AD126-AE126&lt;0.005,0,AD126-AE126)</f>
        <v/>
      </c>
      <c r="AG126">
        <f>AL125</f>
        <v/>
      </c>
      <c r="AH126">
        <f>AG126*Plan!D11/100/12</f>
        <v/>
      </c>
      <c r="AI126">
        <f>MIN(Plan!E11,AG126+AH126)</f>
        <v/>
      </c>
      <c r="AJ126">
        <f>AG126+AH126-AI126</f>
        <v/>
      </c>
      <c r="AK126">
        <f>MIN(AJ126,MAX(0,$B126-((E$5&lt;AI$5)*F126+(K$5&lt;AI$5)*L126+(Q$5&lt;AI$5)*R126+(W$5&lt;AI$5)*X126+(AC$5&lt;AI$5)*AD126+(AO$5&lt;AI$5)*AP126+(AU$5&lt;AI$5)*AV126)))</f>
        <v/>
      </c>
      <c r="AL126">
        <f>IF(AJ126-AK126&lt;0.005,0,AJ126-AK126)</f>
        <v/>
      </c>
      <c r="AM126">
        <f>AR125</f>
        <v/>
      </c>
      <c r="AN126">
        <f>AM126*Plan!D12/100/12</f>
        <v/>
      </c>
      <c r="AO126">
        <f>MIN(Plan!E12,AM126+AN126)</f>
        <v/>
      </c>
      <c r="AP126">
        <f>AM126+AN126-AO126</f>
        <v/>
      </c>
      <c r="AQ126">
        <f>MIN(AP126,MAX(0,$B126-((E$5&lt;AO$5)*F126+(K$5&lt;AO$5)*L126+(Q$5&lt;AO$5)*R126+(W$5&lt;AO$5)*X126+(AC$5&lt;AO$5)*AD126+(AI$5&lt;AO$5)*AJ126+(AU$5&lt;AO$5)*AV126)))</f>
        <v/>
      </c>
      <c r="AR126">
        <f>IF(AP126-AQ126&lt;0.005,0,AP126-AQ126)</f>
        <v/>
      </c>
      <c r="AS126">
        <f>AX125</f>
        <v/>
      </c>
      <c r="AT126">
        <f>AS126*Plan!D13/100/12</f>
        <v/>
      </c>
      <c r="AU126">
        <f>MIN(Plan!E13,AS126+AT126)</f>
        <v/>
      </c>
      <c r="AV126">
        <f>AS126+AT126-AU126</f>
        <v/>
      </c>
      <c r="AW126">
        <f>MIN(AV126,MAX(0,$B126-((E$5&lt;AU$5)*F126+(K$5&lt;AU$5)*L126+(Q$5&lt;AU$5)*R126+(W$5&lt;AU$5)*X126+(AC$5&lt;AU$5)*AD126+(AI$5&lt;AU$5)*AJ126+(AO$5&lt;AU$5)*AP126)))</f>
        <v/>
      </c>
      <c r="AX126">
        <f>IF(AV126-AW126&lt;0.005,0,AV126-AW126)</f>
        <v/>
      </c>
      <c r="BC126">
        <f>H126+N126+T126+Z126+AF126+AL126+AR126+AX126</f>
        <v/>
      </c>
    </row>
    <row r="127">
      <c r="A127" t="n">
        <v>121</v>
      </c>
      <c r="B127" s="19">
        <f>MAX(0,$B$3-(E127+K127+Q127+W127+AC127+AI127+AO127+AU127))</f>
        <v/>
      </c>
      <c r="C127">
        <f>H126</f>
        <v/>
      </c>
      <c r="D127">
        <f>C127*Plan!D6/100/12</f>
        <v/>
      </c>
      <c r="E127">
        <f>MIN(Plan!E6,C127+D127)</f>
        <v/>
      </c>
      <c r="F127">
        <f>C127+D127-E127</f>
        <v/>
      </c>
      <c r="G127">
        <f>MIN(F127,MAX(0,$B127-((K$5&lt;E$5)*L127+(Q$5&lt;E$5)*R127+(W$5&lt;E$5)*X127+(AC$5&lt;E$5)*AD127+(AI$5&lt;E$5)*AJ127+(AO$5&lt;E$5)*AP127+(AU$5&lt;E$5)*AV127)))</f>
        <v/>
      </c>
      <c r="H127">
        <f>IF(F127-G127&lt;0.005,0,F127-G127)</f>
        <v/>
      </c>
      <c r="I127">
        <f>N126</f>
        <v/>
      </c>
      <c r="J127">
        <f>I127*Plan!D7/100/12</f>
        <v/>
      </c>
      <c r="K127">
        <f>MIN(Plan!E7,I127+J127)</f>
        <v/>
      </c>
      <c r="L127">
        <f>I127+J127-K127</f>
        <v/>
      </c>
      <c r="M127">
        <f>MIN(L127,MAX(0,$B127-((E$5&lt;K$5)*F127+(Q$5&lt;K$5)*R127+(W$5&lt;K$5)*X127+(AC$5&lt;K$5)*AD127+(AI$5&lt;K$5)*AJ127+(AO$5&lt;K$5)*AP127+(AU$5&lt;K$5)*AV127)))</f>
        <v/>
      </c>
      <c r="N127">
        <f>IF(L127-M127&lt;0.005,0,L127-M127)</f>
        <v/>
      </c>
      <c r="O127">
        <f>T126</f>
        <v/>
      </c>
      <c r="P127">
        <f>O127*Plan!D8/100/12</f>
        <v/>
      </c>
      <c r="Q127">
        <f>MIN(Plan!E8,O127+P127)</f>
        <v/>
      </c>
      <c r="R127">
        <f>O127+P127-Q127</f>
        <v/>
      </c>
      <c r="S127">
        <f>MIN(R127,MAX(0,$B127-((E$5&lt;Q$5)*F127+(K$5&lt;Q$5)*L127+(W$5&lt;Q$5)*X127+(AC$5&lt;Q$5)*AD127+(AI$5&lt;Q$5)*AJ127+(AO$5&lt;Q$5)*AP127+(AU$5&lt;Q$5)*AV127)))</f>
        <v/>
      </c>
      <c r="T127">
        <f>IF(R127-S127&lt;0.005,0,R127-S127)</f>
        <v/>
      </c>
      <c r="U127">
        <f>Z126</f>
        <v/>
      </c>
      <c r="V127">
        <f>U127*Plan!D9/100/12</f>
        <v/>
      </c>
      <c r="W127">
        <f>MIN(Plan!E9,U127+V127)</f>
        <v/>
      </c>
      <c r="X127">
        <f>U127+V127-W127</f>
        <v/>
      </c>
      <c r="Y127">
        <f>MIN(X127,MAX(0,$B127-((E$5&lt;W$5)*F127+(K$5&lt;W$5)*L127+(Q$5&lt;W$5)*R127+(AC$5&lt;W$5)*AD127+(AI$5&lt;W$5)*AJ127+(AO$5&lt;W$5)*AP127+(AU$5&lt;W$5)*AV127)))</f>
        <v/>
      </c>
      <c r="Z127">
        <f>IF(X127-Y127&lt;0.005,0,X127-Y127)</f>
        <v/>
      </c>
      <c r="AA127">
        <f>AF126</f>
        <v/>
      </c>
      <c r="AB127">
        <f>AA127*Plan!D10/100/12</f>
        <v/>
      </c>
      <c r="AC127">
        <f>MIN(Plan!E10,AA127+AB127)</f>
        <v/>
      </c>
      <c r="AD127">
        <f>AA127+AB127-AC127</f>
        <v/>
      </c>
      <c r="AE127">
        <f>MIN(AD127,MAX(0,$B127-((E$5&lt;AC$5)*F127+(K$5&lt;AC$5)*L127+(Q$5&lt;AC$5)*R127+(W$5&lt;AC$5)*X127+(AI$5&lt;AC$5)*AJ127+(AO$5&lt;AC$5)*AP127+(AU$5&lt;AC$5)*AV127)))</f>
        <v/>
      </c>
      <c r="AF127">
        <f>IF(AD127-AE127&lt;0.005,0,AD127-AE127)</f>
        <v/>
      </c>
      <c r="AG127">
        <f>AL126</f>
        <v/>
      </c>
      <c r="AH127">
        <f>AG127*Plan!D11/100/12</f>
        <v/>
      </c>
      <c r="AI127">
        <f>MIN(Plan!E11,AG127+AH127)</f>
        <v/>
      </c>
      <c r="AJ127">
        <f>AG127+AH127-AI127</f>
        <v/>
      </c>
      <c r="AK127">
        <f>MIN(AJ127,MAX(0,$B127-((E$5&lt;AI$5)*F127+(K$5&lt;AI$5)*L127+(Q$5&lt;AI$5)*R127+(W$5&lt;AI$5)*X127+(AC$5&lt;AI$5)*AD127+(AO$5&lt;AI$5)*AP127+(AU$5&lt;AI$5)*AV127)))</f>
        <v/>
      </c>
      <c r="AL127">
        <f>IF(AJ127-AK127&lt;0.005,0,AJ127-AK127)</f>
        <v/>
      </c>
      <c r="AM127">
        <f>AR126</f>
        <v/>
      </c>
      <c r="AN127">
        <f>AM127*Plan!D12/100/12</f>
        <v/>
      </c>
      <c r="AO127">
        <f>MIN(Plan!E12,AM127+AN127)</f>
        <v/>
      </c>
      <c r="AP127">
        <f>AM127+AN127-AO127</f>
        <v/>
      </c>
      <c r="AQ127">
        <f>MIN(AP127,MAX(0,$B127-((E$5&lt;AO$5)*F127+(K$5&lt;AO$5)*L127+(Q$5&lt;AO$5)*R127+(W$5&lt;AO$5)*X127+(AC$5&lt;AO$5)*AD127+(AI$5&lt;AO$5)*AJ127+(AU$5&lt;AO$5)*AV127)))</f>
        <v/>
      </c>
      <c r="AR127">
        <f>IF(AP127-AQ127&lt;0.005,0,AP127-AQ127)</f>
        <v/>
      </c>
      <c r="AS127">
        <f>AX126</f>
        <v/>
      </c>
      <c r="AT127">
        <f>AS127*Plan!D13/100/12</f>
        <v/>
      </c>
      <c r="AU127">
        <f>MIN(Plan!E13,AS127+AT127)</f>
        <v/>
      </c>
      <c r="AV127">
        <f>AS127+AT127-AU127</f>
        <v/>
      </c>
      <c r="AW127">
        <f>MIN(AV127,MAX(0,$B127-((E$5&lt;AU$5)*F127+(K$5&lt;AU$5)*L127+(Q$5&lt;AU$5)*R127+(W$5&lt;AU$5)*X127+(AC$5&lt;AU$5)*AD127+(AI$5&lt;AU$5)*AJ127+(AO$5&lt;AU$5)*AP127)))</f>
        <v/>
      </c>
      <c r="AX127">
        <f>IF(AV127-AW127&lt;0.005,0,AV127-AW127)</f>
        <v/>
      </c>
      <c r="BC127">
        <f>H127+N127+T127+Z127+AF127+AL127+AR127+AX127</f>
        <v/>
      </c>
    </row>
    <row r="128">
      <c r="A128" t="n">
        <v>122</v>
      </c>
      <c r="B128" s="19">
        <f>MAX(0,$B$3-(E128+K128+Q128+W128+AC128+AI128+AO128+AU128))</f>
        <v/>
      </c>
      <c r="C128">
        <f>H127</f>
        <v/>
      </c>
      <c r="D128">
        <f>C128*Plan!D6/100/12</f>
        <v/>
      </c>
      <c r="E128">
        <f>MIN(Plan!E6,C128+D128)</f>
        <v/>
      </c>
      <c r="F128">
        <f>C128+D128-E128</f>
        <v/>
      </c>
      <c r="G128">
        <f>MIN(F128,MAX(0,$B128-((K$5&lt;E$5)*L128+(Q$5&lt;E$5)*R128+(W$5&lt;E$5)*X128+(AC$5&lt;E$5)*AD128+(AI$5&lt;E$5)*AJ128+(AO$5&lt;E$5)*AP128+(AU$5&lt;E$5)*AV128)))</f>
        <v/>
      </c>
      <c r="H128">
        <f>IF(F128-G128&lt;0.005,0,F128-G128)</f>
        <v/>
      </c>
      <c r="I128">
        <f>N127</f>
        <v/>
      </c>
      <c r="J128">
        <f>I128*Plan!D7/100/12</f>
        <v/>
      </c>
      <c r="K128">
        <f>MIN(Plan!E7,I128+J128)</f>
        <v/>
      </c>
      <c r="L128">
        <f>I128+J128-K128</f>
        <v/>
      </c>
      <c r="M128">
        <f>MIN(L128,MAX(0,$B128-((E$5&lt;K$5)*F128+(Q$5&lt;K$5)*R128+(W$5&lt;K$5)*X128+(AC$5&lt;K$5)*AD128+(AI$5&lt;K$5)*AJ128+(AO$5&lt;K$5)*AP128+(AU$5&lt;K$5)*AV128)))</f>
        <v/>
      </c>
      <c r="N128">
        <f>IF(L128-M128&lt;0.005,0,L128-M128)</f>
        <v/>
      </c>
      <c r="O128">
        <f>T127</f>
        <v/>
      </c>
      <c r="P128">
        <f>O128*Plan!D8/100/12</f>
        <v/>
      </c>
      <c r="Q128">
        <f>MIN(Plan!E8,O128+P128)</f>
        <v/>
      </c>
      <c r="R128">
        <f>O128+P128-Q128</f>
        <v/>
      </c>
      <c r="S128">
        <f>MIN(R128,MAX(0,$B128-((E$5&lt;Q$5)*F128+(K$5&lt;Q$5)*L128+(W$5&lt;Q$5)*X128+(AC$5&lt;Q$5)*AD128+(AI$5&lt;Q$5)*AJ128+(AO$5&lt;Q$5)*AP128+(AU$5&lt;Q$5)*AV128)))</f>
        <v/>
      </c>
      <c r="T128">
        <f>IF(R128-S128&lt;0.005,0,R128-S128)</f>
        <v/>
      </c>
      <c r="U128">
        <f>Z127</f>
        <v/>
      </c>
      <c r="V128">
        <f>U128*Plan!D9/100/12</f>
        <v/>
      </c>
      <c r="W128">
        <f>MIN(Plan!E9,U128+V128)</f>
        <v/>
      </c>
      <c r="X128">
        <f>U128+V128-W128</f>
        <v/>
      </c>
      <c r="Y128">
        <f>MIN(X128,MAX(0,$B128-((E$5&lt;W$5)*F128+(K$5&lt;W$5)*L128+(Q$5&lt;W$5)*R128+(AC$5&lt;W$5)*AD128+(AI$5&lt;W$5)*AJ128+(AO$5&lt;W$5)*AP128+(AU$5&lt;W$5)*AV128)))</f>
        <v/>
      </c>
      <c r="Z128">
        <f>IF(X128-Y128&lt;0.005,0,X128-Y128)</f>
        <v/>
      </c>
      <c r="AA128">
        <f>AF127</f>
        <v/>
      </c>
      <c r="AB128">
        <f>AA128*Plan!D10/100/12</f>
        <v/>
      </c>
      <c r="AC128">
        <f>MIN(Plan!E10,AA128+AB128)</f>
        <v/>
      </c>
      <c r="AD128">
        <f>AA128+AB128-AC128</f>
        <v/>
      </c>
      <c r="AE128">
        <f>MIN(AD128,MAX(0,$B128-((E$5&lt;AC$5)*F128+(K$5&lt;AC$5)*L128+(Q$5&lt;AC$5)*R128+(W$5&lt;AC$5)*X128+(AI$5&lt;AC$5)*AJ128+(AO$5&lt;AC$5)*AP128+(AU$5&lt;AC$5)*AV128)))</f>
        <v/>
      </c>
      <c r="AF128">
        <f>IF(AD128-AE128&lt;0.005,0,AD128-AE128)</f>
        <v/>
      </c>
      <c r="AG128">
        <f>AL127</f>
        <v/>
      </c>
      <c r="AH128">
        <f>AG128*Plan!D11/100/12</f>
        <v/>
      </c>
      <c r="AI128">
        <f>MIN(Plan!E11,AG128+AH128)</f>
        <v/>
      </c>
      <c r="AJ128">
        <f>AG128+AH128-AI128</f>
        <v/>
      </c>
      <c r="AK128">
        <f>MIN(AJ128,MAX(0,$B128-((E$5&lt;AI$5)*F128+(K$5&lt;AI$5)*L128+(Q$5&lt;AI$5)*R128+(W$5&lt;AI$5)*X128+(AC$5&lt;AI$5)*AD128+(AO$5&lt;AI$5)*AP128+(AU$5&lt;AI$5)*AV128)))</f>
        <v/>
      </c>
      <c r="AL128">
        <f>IF(AJ128-AK128&lt;0.005,0,AJ128-AK128)</f>
        <v/>
      </c>
      <c r="AM128">
        <f>AR127</f>
        <v/>
      </c>
      <c r="AN128">
        <f>AM128*Plan!D12/100/12</f>
        <v/>
      </c>
      <c r="AO128">
        <f>MIN(Plan!E12,AM128+AN128)</f>
        <v/>
      </c>
      <c r="AP128">
        <f>AM128+AN128-AO128</f>
        <v/>
      </c>
      <c r="AQ128">
        <f>MIN(AP128,MAX(0,$B128-((E$5&lt;AO$5)*F128+(K$5&lt;AO$5)*L128+(Q$5&lt;AO$5)*R128+(W$5&lt;AO$5)*X128+(AC$5&lt;AO$5)*AD128+(AI$5&lt;AO$5)*AJ128+(AU$5&lt;AO$5)*AV128)))</f>
        <v/>
      </c>
      <c r="AR128">
        <f>IF(AP128-AQ128&lt;0.005,0,AP128-AQ128)</f>
        <v/>
      </c>
      <c r="AS128">
        <f>AX127</f>
        <v/>
      </c>
      <c r="AT128">
        <f>AS128*Plan!D13/100/12</f>
        <v/>
      </c>
      <c r="AU128">
        <f>MIN(Plan!E13,AS128+AT128)</f>
        <v/>
      </c>
      <c r="AV128">
        <f>AS128+AT128-AU128</f>
        <v/>
      </c>
      <c r="AW128">
        <f>MIN(AV128,MAX(0,$B128-((E$5&lt;AU$5)*F128+(K$5&lt;AU$5)*L128+(Q$5&lt;AU$5)*R128+(W$5&lt;AU$5)*X128+(AC$5&lt;AU$5)*AD128+(AI$5&lt;AU$5)*AJ128+(AO$5&lt;AU$5)*AP128)))</f>
        <v/>
      </c>
      <c r="AX128">
        <f>IF(AV128-AW128&lt;0.005,0,AV128-AW128)</f>
        <v/>
      </c>
      <c r="BC128">
        <f>H128+N128+T128+Z128+AF128+AL128+AR128+AX128</f>
        <v/>
      </c>
    </row>
    <row r="129">
      <c r="A129" t="n">
        <v>123</v>
      </c>
      <c r="B129" s="19">
        <f>MAX(0,$B$3-(E129+K129+Q129+W129+AC129+AI129+AO129+AU129))</f>
        <v/>
      </c>
      <c r="C129">
        <f>H128</f>
        <v/>
      </c>
      <c r="D129">
        <f>C129*Plan!D6/100/12</f>
        <v/>
      </c>
      <c r="E129">
        <f>MIN(Plan!E6,C129+D129)</f>
        <v/>
      </c>
      <c r="F129">
        <f>C129+D129-E129</f>
        <v/>
      </c>
      <c r="G129">
        <f>MIN(F129,MAX(0,$B129-((K$5&lt;E$5)*L129+(Q$5&lt;E$5)*R129+(W$5&lt;E$5)*X129+(AC$5&lt;E$5)*AD129+(AI$5&lt;E$5)*AJ129+(AO$5&lt;E$5)*AP129+(AU$5&lt;E$5)*AV129)))</f>
        <v/>
      </c>
      <c r="H129">
        <f>IF(F129-G129&lt;0.005,0,F129-G129)</f>
        <v/>
      </c>
      <c r="I129">
        <f>N128</f>
        <v/>
      </c>
      <c r="J129">
        <f>I129*Plan!D7/100/12</f>
        <v/>
      </c>
      <c r="K129">
        <f>MIN(Plan!E7,I129+J129)</f>
        <v/>
      </c>
      <c r="L129">
        <f>I129+J129-K129</f>
        <v/>
      </c>
      <c r="M129">
        <f>MIN(L129,MAX(0,$B129-((E$5&lt;K$5)*F129+(Q$5&lt;K$5)*R129+(W$5&lt;K$5)*X129+(AC$5&lt;K$5)*AD129+(AI$5&lt;K$5)*AJ129+(AO$5&lt;K$5)*AP129+(AU$5&lt;K$5)*AV129)))</f>
        <v/>
      </c>
      <c r="N129">
        <f>IF(L129-M129&lt;0.005,0,L129-M129)</f>
        <v/>
      </c>
      <c r="O129">
        <f>T128</f>
        <v/>
      </c>
      <c r="P129">
        <f>O129*Plan!D8/100/12</f>
        <v/>
      </c>
      <c r="Q129">
        <f>MIN(Plan!E8,O129+P129)</f>
        <v/>
      </c>
      <c r="R129">
        <f>O129+P129-Q129</f>
        <v/>
      </c>
      <c r="S129">
        <f>MIN(R129,MAX(0,$B129-((E$5&lt;Q$5)*F129+(K$5&lt;Q$5)*L129+(W$5&lt;Q$5)*X129+(AC$5&lt;Q$5)*AD129+(AI$5&lt;Q$5)*AJ129+(AO$5&lt;Q$5)*AP129+(AU$5&lt;Q$5)*AV129)))</f>
        <v/>
      </c>
      <c r="T129">
        <f>IF(R129-S129&lt;0.005,0,R129-S129)</f>
        <v/>
      </c>
      <c r="U129">
        <f>Z128</f>
        <v/>
      </c>
      <c r="V129">
        <f>U129*Plan!D9/100/12</f>
        <v/>
      </c>
      <c r="W129">
        <f>MIN(Plan!E9,U129+V129)</f>
        <v/>
      </c>
      <c r="X129">
        <f>U129+V129-W129</f>
        <v/>
      </c>
      <c r="Y129">
        <f>MIN(X129,MAX(0,$B129-((E$5&lt;W$5)*F129+(K$5&lt;W$5)*L129+(Q$5&lt;W$5)*R129+(AC$5&lt;W$5)*AD129+(AI$5&lt;W$5)*AJ129+(AO$5&lt;W$5)*AP129+(AU$5&lt;W$5)*AV129)))</f>
        <v/>
      </c>
      <c r="Z129">
        <f>IF(X129-Y129&lt;0.005,0,X129-Y129)</f>
        <v/>
      </c>
      <c r="AA129">
        <f>AF128</f>
        <v/>
      </c>
      <c r="AB129">
        <f>AA129*Plan!D10/100/12</f>
        <v/>
      </c>
      <c r="AC129">
        <f>MIN(Plan!E10,AA129+AB129)</f>
        <v/>
      </c>
      <c r="AD129">
        <f>AA129+AB129-AC129</f>
        <v/>
      </c>
      <c r="AE129">
        <f>MIN(AD129,MAX(0,$B129-((E$5&lt;AC$5)*F129+(K$5&lt;AC$5)*L129+(Q$5&lt;AC$5)*R129+(W$5&lt;AC$5)*X129+(AI$5&lt;AC$5)*AJ129+(AO$5&lt;AC$5)*AP129+(AU$5&lt;AC$5)*AV129)))</f>
        <v/>
      </c>
      <c r="AF129">
        <f>IF(AD129-AE129&lt;0.005,0,AD129-AE129)</f>
        <v/>
      </c>
      <c r="AG129">
        <f>AL128</f>
        <v/>
      </c>
      <c r="AH129">
        <f>AG129*Plan!D11/100/12</f>
        <v/>
      </c>
      <c r="AI129">
        <f>MIN(Plan!E11,AG129+AH129)</f>
        <v/>
      </c>
      <c r="AJ129">
        <f>AG129+AH129-AI129</f>
        <v/>
      </c>
      <c r="AK129">
        <f>MIN(AJ129,MAX(0,$B129-((E$5&lt;AI$5)*F129+(K$5&lt;AI$5)*L129+(Q$5&lt;AI$5)*R129+(W$5&lt;AI$5)*X129+(AC$5&lt;AI$5)*AD129+(AO$5&lt;AI$5)*AP129+(AU$5&lt;AI$5)*AV129)))</f>
        <v/>
      </c>
      <c r="AL129">
        <f>IF(AJ129-AK129&lt;0.005,0,AJ129-AK129)</f>
        <v/>
      </c>
      <c r="AM129">
        <f>AR128</f>
        <v/>
      </c>
      <c r="AN129">
        <f>AM129*Plan!D12/100/12</f>
        <v/>
      </c>
      <c r="AO129">
        <f>MIN(Plan!E12,AM129+AN129)</f>
        <v/>
      </c>
      <c r="AP129">
        <f>AM129+AN129-AO129</f>
        <v/>
      </c>
      <c r="AQ129">
        <f>MIN(AP129,MAX(0,$B129-((E$5&lt;AO$5)*F129+(K$5&lt;AO$5)*L129+(Q$5&lt;AO$5)*R129+(W$5&lt;AO$5)*X129+(AC$5&lt;AO$5)*AD129+(AI$5&lt;AO$5)*AJ129+(AU$5&lt;AO$5)*AV129)))</f>
        <v/>
      </c>
      <c r="AR129">
        <f>IF(AP129-AQ129&lt;0.005,0,AP129-AQ129)</f>
        <v/>
      </c>
      <c r="AS129">
        <f>AX128</f>
        <v/>
      </c>
      <c r="AT129">
        <f>AS129*Plan!D13/100/12</f>
        <v/>
      </c>
      <c r="AU129">
        <f>MIN(Plan!E13,AS129+AT129)</f>
        <v/>
      </c>
      <c r="AV129">
        <f>AS129+AT129-AU129</f>
        <v/>
      </c>
      <c r="AW129">
        <f>MIN(AV129,MAX(0,$B129-((E$5&lt;AU$5)*F129+(K$5&lt;AU$5)*L129+(Q$5&lt;AU$5)*R129+(W$5&lt;AU$5)*X129+(AC$5&lt;AU$5)*AD129+(AI$5&lt;AU$5)*AJ129+(AO$5&lt;AU$5)*AP129)))</f>
        <v/>
      </c>
      <c r="AX129">
        <f>IF(AV129-AW129&lt;0.005,0,AV129-AW129)</f>
        <v/>
      </c>
      <c r="BC129">
        <f>H129+N129+T129+Z129+AF129+AL129+AR129+AX129</f>
        <v/>
      </c>
    </row>
    <row r="130">
      <c r="A130" t="n">
        <v>124</v>
      </c>
      <c r="B130" s="19">
        <f>MAX(0,$B$3-(E130+K130+Q130+W130+AC130+AI130+AO130+AU130))</f>
        <v/>
      </c>
      <c r="C130">
        <f>H129</f>
        <v/>
      </c>
      <c r="D130">
        <f>C130*Plan!D6/100/12</f>
        <v/>
      </c>
      <c r="E130">
        <f>MIN(Plan!E6,C130+D130)</f>
        <v/>
      </c>
      <c r="F130">
        <f>C130+D130-E130</f>
        <v/>
      </c>
      <c r="G130">
        <f>MIN(F130,MAX(0,$B130-((K$5&lt;E$5)*L130+(Q$5&lt;E$5)*R130+(W$5&lt;E$5)*X130+(AC$5&lt;E$5)*AD130+(AI$5&lt;E$5)*AJ130+(AO$5&lt;E$5)*AP130+(AU$5&lt;E$5)*AV130)))</f>
        <v/>
      </c>
      <c r="H130">
        <f>IF(F130-G130&lt;0.005,0,F130-G130)</f>
        <v/>
      </c>
      <c r="I130">
        <f>N129</f>
        <v/>
      </c>
      <c r="J130">
        <f>I130*Plan!D7/100/12</f>
        <v/>
      </c>
      <c r="K130">
        <f>MIN(Plan!E7,I130+J130)</f>
        <v/>
      </c>
      <c r="L130">
        <f>I130+J130-K130</f>
        <v/>
      </c>
      <c r="M130">
        <f>MIN(L130,MAX(0,$B130-((E$5&lt;K$5)*F130+(Q$5&lt;K$5)*R130+(W$5&lt;K$5)*X130+(AC$5&lt;K$5)*AD130+(AI$5&lt;K$5)*AJ130+(AO$5&lt;K$5)*AP130+(AU$5&lt;K$5)*AV130)))</f>
        <v/>
      </c>
      <c r="N130">
        <f>IF(L130-M130&lt;0.005,0,L130-M130)</f>
        <v/>
      </c>
      <c r="O130">
        <f>T129</f>
        <v/>
      </c>
      <c r="P130">
        <f>O130*Plan!D8/100/12</f>
        <v/>
      </c>
      <c r="Q130">
        <f>MIN(Plan!E8,O130+P130)</f>
        <v/>
      </c>
      <c r="R130">
        <f>O130+P130-Q130</f>
        <v/>
      </c>
      <c r="S130">
        <f>MIN(R130,MAX(0,$B130-((E$5&lt;Q$5)*F130+(K$5&lt;Q$5)*L130+(W$5&lt;Q$5)*X130+(AC$5&lt;Q$5)*AD130+(AI$5&lt;Q$5)*AJ130+(AO$5&lt;Q$5)*AP130+(AU$5&lt;Q$5)*AV130)))</f>
        <v/>
      </c>
      <c r="T130">
        <f>IF(R130-S130&lt;0.005,0,R130-S130)</f>
        <v/>
      </c>
      <c r="U130">
        <f>Z129</f>
        <v/>
      </c>
      <c r="V130">
        <f>U130*Plan!D9/100/12</f>
        <v/>
      </c>
      <c r="W130">
        <f>MIN(Plan!E9,U130+V130)</f>
        <v/>
      </c>
      <c r="X130">
        <f>U130+V130-W130</f>
        <v/>
      </c>
      <c r="Y130">
        <f>MIN(X130,MAX(0,$B130-((E$5&lt;W$5)*F130+(K$5&lt;W$5)*L130+(Q$5&lt;W$5)*R130+(AC$5&lt;W$5)*AD130+(AI$5&lt;W$5)*AJ130+(AO$5&lt;W$5)*AP130+(AU$5&lt;W$5)*AV130)))</f>
        <v/>
      </c>
      <c r="Z130">
        <f>IF(X130-Y130&lt;0.005,0,X130-Y130)</f>
        <v/>
      </c>
      <c r="AA130">
        <f>AF129</f>
        <v/>
      </c>
      <c r="AB130">
        <f>AA130*Plan!D10/100/12</f>
        <v/>
      </c>
      <c r="AC130">
        <f>MIN(Plan!E10,AA130+AB130)</f>
        <v/>
      </c>
      <c r="AD130">
        <f>AA130+AB130-AC130</f>
        <v/>
      </c>
      <c r="AE130">
        <f>MIN(AD130,MAX(0,$B130-((E$5&lt;AC$5)*F130+(K$5&lt;AC$5)*L130+(Q$5&lt;AC$5)*R130+(W$5&lt;AC$5)*X130+(AI$5&lt;AC$5)*AJ130+(AO$5&lt;AC$5)*AP130+(AU$5&lt;AC$5)*AV130)))</f>
        <v/>
      </c>
      <c r="AF130">
        <f>IF(AD130-AE130&lt;0.005,0,AD130-AE130)</f>
        <v/>
      </c>
      <c r="AG130">
        <f>AL129</f>
        <v/>
      </c>
      <c r="AH130">
        <f>AG130*Plan!D11/100/12</f>
        <v/>
      </c>
      <c r="AI130">
        <f>MIN(Plan!E11,AG130+AH130)</f>
        <v/>
      </c>
      <c r="AJ130">
        <f>AG130+AH130-AI130</f>
        <v/>
      </c>
      <c r="AK130">
        <f>MIN(AJ130,MAX(0,$B130-((E$5&lt;AI$5)*F130+(K$5&lt;AI$5)*L130+(Q$5&lt;AI$5)*R130+(W$5&lt;AI$5)*X130+(AC$5&lt;AI$5)*AD130+(AO$5&lt;AI$5)*AP130+(AU$5&lt;AI$5)*AV130)))</f>
        <v/>
      </c>
      <c r="AL130">
        <f>IF(AJ130-AK130&lt;0.005,0,AJ130-AK130)</f>
        <v/>
      </c>
      <c r="AM130">
        <f>AR129</f>
        <v/>
      </c>
      <c r="AN130">
        <f>AM130*Plan!D12/100/12</f>
        <v/>
      </c>
      <c r="AO130">
        <f>MIN(Plan!E12,AM130+AN130)</f>
        <v/>
      </c>
      <c r="AP130">
        <f>AM130+AN130-AO130</f>
        <v/>
      </c>
      <c r="AQ130">
        <f>MIN(AP130,MAX(0,$B130-((E$5&lt;AO$5)*F130+(K$5&lt;AO$5)*L130+(Q$5&lt;AO$5)*R130+(W$5&lt;AO$5)*X130+(AC$5&lt;AO$5)*AD130+(AI$5&lt;AO$5)*AJ130+(AU$5&lt;AO$5)*AV130)))</f>
        <v/>
      </c>
      <c r="AR130">
        <f>IF(AP130-AQ130&lt;0.005,0,AP130-AQ130)</f>
        <v/>
      </c>
      <c r="AS130">
        <f>AX129</f>
        <v/>
      </c>
      <c r="AT130">
        <f>AS130*Plan!D13/100/12</f>
        <v/>
      </c>
      <c r="AU130">
        <f>MIN(Plan!E13,AS130+AT130)</f>
        <v/>
      </c>
      <c r="AV130">
        <f>AS130+AT130-AU130</f>
        <v/>
      </c>
      <c r="AW130">
        <f>MIN(AV130,MAX(0,$B130-((E$5&lt;AU$5)*F130+(K$5&lt;AU$5)*L130+(Q$5&lt;AU$5)*R130+(W$5&lt;AU$5)*X130+(AC$5&lt;AU$5)*AD130+(AI$5&lt;AU$5)*AJ130+(AO$5&lt;AU$5)*AP130)))</f>
        <v/>
      </c>
      <c r="AX130">
        <f>IF(AV130-AW130&lt;0.005,0,AV130-AW130)</f>
        <v/>
      </c>
      <c r="BC130">
        <f>H130+N130+T130+Z130+AF130+AL130+AR130+AX130</f>
        <v/>
      </c>
    </row>
    <row r="131">
      <c r="A131" t="n">
        <v>125</v>
      </c>
      <c r="B131" s="19">
        <f>MAX(0,$B$3-(E131+K131+Q131+W131+AC131+AI131+AO131+AU131))</f>
        <v/>
      </c>
      <c r="C131">
        <f>H130</f>
        <v/>
      </c>
      <c r="D131">
        <f>C131*Plan!D6/100/12</f>
        <v/>
      </c>
      <c r="E131">
        <f>MIN(Plan!E6,C131+D131)</f>
        <v/>
      </c>
      <c r="F131">
        <f>C131+D131-E131</f>
        <v/>
      </c>
      <c r="G131">
        <f>MIN(F131,MAX(0,$B131-((K$5&lt;E$5)*L131+(Q$5&lt;E$5)*R131+(W$5&lt;E$5)*X131+(AC$5&lt;E$5)*AD131+(AI$5&lt;E$5)*AJ131+(AO$5&lt;E$5)*AP131+(AU$5&lt;E$5)*AV131)))</f>
        <v/>
      </c>
      <c r="H131">
        <f>IF(F131-G131&lt;0.005,0,F131-G131)</f>
        <v/>
      </c>
      <c r="I131">
        <f>N130</f>
        <v/>
      </c>
      <c r="J131">
        <f>I131*Plan!D7/100/12</f>
        <v/>
      </c>
      <c r="K131">
        <f>MIN(Plan!E7,I131+J131)</f>
        <v/>
      </c>
      <c r="L131">
        <f>I131+J131-K131</f>
        <v/>
      </c>
      <c r="M131">
        <f>MIN(L131,MAX(0,$B131-((E$5&lt;K$5)*F131+(Q$5&lt;K$5)*R131+(W$5&lt;K$5)*X131+(AC$5&lt;K$5)*AD131+(AI$5&lt;K$5)*AJ131+(AO$5&lt;K$5)*AP131+(AU$5&lt;K$5)*AV131)))</f>
        <v/>
      </c>
      <c r="N131">
        <f>IF(L131-M131&lt;0.005,0,L131-M131)</f>
        <v/>
      </c>
      <c r="O131">
        <f>T130</f>
        <v/>
      </c>
      <c r="P131">
        <f>O131*Plan!D8/100/12</f>
        <v/>
      </c>
      <c r="Q131">
        <f>MIN(Plan!E8,O131+P131)</f>
        <v/>
      </c>
      <c r="R131">
        <f>O131+P131-Q131</f>
        <v/>
      </c>
      <c r="S131">
        <f>MIN(R131,MAX(0,$B131-((E$5&lt;Q$5)*F131+(K$5&lt;Q$5)*L131+(W$5&lt;Q$5)*X131+(AC$5&lt;Q$5)*AD131+(AI$5&lt;Q$5)*AJ131+(AO$5&lt;Q$5)*AP131+(AU$5&lt;Q$5)*AV131)))</f>
        <v/>
      </c>
      <c r="T131">
        <f>IF(R131-S131&lt;0.005,0,R131-S131)</f>
        <v/>
      </c>
      <c r="U131">
        <f>Z130</f>
        <v/>
      </c>
      <c r="V131">
        <f>U131*Plan!D9/100/12</f>
        <v/>
      </c>
      <c r="W131">
        <f>MIN(Plan!E9,U131+V131)</f>
        <v/>
      </c>
      <c r="X131">
        <f>U131+V131-W131</f>
        <v/>
      </c>
      <c r="Y131">
        <f>MIN(X131,MAX(0,$B131-((E$5&lt;W$5)*F131+(K$5&lt;W$5)*L131+(Q$5&lt;W$5)*R131+(AC$5&lt;W$5)*AD131+(AI$5&lt;W$5)*AJ131+(AO$5&lt;W$5)*AP131+(AU$5&lt;W$5)*AV131)))</f>
        <v/>
      </c>
      <c r="Z131">
        <f>IF(X131-Y131&lt;0.005,0,X131-Y131)</f>
        <v/>
      </c>
      <c r="AA131">
        <f>AF130</f>
        <v/>
      </c>
      <c r="AB131">
        <f>AA131*Plan!D10/100/12</f>
        <v/>
      </c>
      <c r="AC131">
        <f>MIN(Plan!E10,AA131+AB131)</f>
        <v/>
      </c>
      <c r="AD131">
        <f>AA131+AB131-AC131</f>
        <v/>
      </c>
      <c r="AE131">
        <f>MIN(AD131,MAX(0,$B131-((E$5&lt;AC$5)*F131+(K$5&lt;AC$5)*L131+(Q$5&lt;AC$5)*R131+(W$5&lt;AC$5)*X131+(AI$5&lt;AC$5)*AJ131+(AO$5&lt;AC$5)*AP131+(AU$5&lt;AC$5)*AV131)))</f>
        <v/>
      </c>
      <c r="AF131">
        <f>IF(AD131-AE131&lt;0.005,0,AD131-AE131)</f>
        <v/>
      </c>
      <c r="AG131">
        <f>AL130</f>
        <v/>
      </c>
      <c r="AH131">
        <f>AG131*Plan!D11/100/12</f>
        <v/>
      </c>
      <c r="AI131">
        <f>MIN(Plan!E11,AG131+AH131)</f>
        <v/>
      </c>
      <c r="AJ131">
        <f>AG131+AH131-AI131</f>
        <v/>
      </c>
      <c r="AK131">
        <f>MIN(AJ131,MAX(0,$B131-((E$5&lt;AI$5)*F131+(K$5&lt;AI$5)*L131+(Q$5&lt;AI$5)*R131+(W$5&lt;AI$5)*X131+(AC$5&lt;AI$5)*AD131+(AO$5&lt;AI$5)*AP131+(AU$5&lt;AI$5)*AV131)))</f>
        <v/>
      </c>
      <c r="AL131">
        <f>IF(AJ131-AK131&lt;0.005,0,AJ131-AK131)</f>
        <v/>
      </c>
      <c r="AM131">
        <f>AR130</f>
        <v/>
      </c>
      <c r="AN131">
        <f>AM131*Plan!D12/100/12</f>
        <v/>
      </c>
      <c r="AO131">
        <f>MIN(Plan!E12,AM131+AN131)</f>
        <v/>
      </c>
      <c r="AP131">
        <f>AM131+AN131-AO131</f>
        <v/>
      </c>
      <c r="AQ131">
        <f>MIN(AP131,MAX(0,$B131-((E$5&lt;AO$5)*F131+(K$5&lt;AO$5)*L131+(Q$5&lt;AO$5)*R131+(W$5&lt;AO$5)*X131+(AC$5&lt;AO$5)*AD131+(AI$5&lt;AO$5)*AJ131+(AU$5&lt;AO$5)*AV131)))</f>
        <v/>
      </c>
      <c r="AR131">
        <f>IF(AP131-AQ131&lt;0.005,0,AP131-AQ131)</f>
        <v/>
      </c>
      <c r="AS131">
        <f>AX130</f>
        <v/>
      </c>
      <c r="AT131">
        <f>AS131*Plan!D13/100/12</f>
        <v/>
      </c>
      <c r="AU131">
        <f>MIN(Plan!E13,AS131+AT131)</f>
        <v/>
      </c>
      <c r="AV131">
        <f>AS131+AT131-AU131</f>
        <v/>
      </c>
      <c r="AW131">
        <f>MIN(AV131,MAX(0,$B131-((E$5&lt;AU$5)*F131+(K$5&lt;AU$5)*L131+(Q$5&lt;AU$5)*R131+(W$5&lt;AU$5)*X131+(AC$5&lt;AU$5)*AD131+(AI$5&lt;AU$5)*AJ131+(AO$5&lt;AU$5)*AP131)))</f>
        <v/>
      </c>
      <c r="AX131">
        <f>IF(AV131-AW131&lt;0.005,0,AV131-AW131)</f>
        <v/>
      </c>
      <c r="BC131">
        <f>H131+N131+T131+Z131+AF131+AL131+AR131+AX131</f>
        <v/>
      </c>
    </row>
    <row r="132">
      <c r="A132" t="n">
        <v>126</v>
      </c>
      <c r="B132" s="19">
        <f>MAX(0,$B$3-(E132+K132+Q132+W132+AC132+AI132+AO132+AU132))</f>
        <v/>
      </c>
      <c r="C132">
        <f>H131</f>
        <v/>
      </c>
      <c r="D132">
        <f>C132*Plan!D6/100/12</f>
        <v/>
      </c>
      <c r="E132">
        <f>MIN(Plan!E6,C132+D132)</f>
        <v/>
      </c>
      <c r="F132">
        <f>C132+D132-E132</f>
        <v/>
      </c>
      <c r="G132">
        <f>MIN(F132,MAX(0,$B132-((K$5&lt;E$5)*L132+(Q$5&lt;E$5)*R132+(W$5&lt;E$5)*X132+(AC$5&lt;E$5)*AD132+(AI$5&lt;E$5)*AJ132+(AO$5&lt;E$5)*AP132+(AU$5&lt;E$5)*AV132)))</f>
        <v/>
      </c>
      <c r="H132">
        <f>IF(F132-G132&lt;0.005,0,F132-G132)</f>
        <v/>
      </c>
      <c r="I132">
        <f>N131</f>
        <v/>
      </c>
      <c r="J132">
        <f>I132*Plan!D7/100/12</f>
        <v/>
      </c>
      <c r="K132">
        <f>MIN(Plan!E7,I132+J132)</f>
        <v/>
      </c>
      <c r="L132">
        <f>I132+J132-K132</f>
        <v/>
      </c>
      <c r="M132">
        <f>MIN(L132,MAX(0,$B132-((E$5&lt;K$5)*F132+(Q$5&lt;K$5)*R132+(W$5&lt;K$5)*X132+(AC$5&lt;K$5)*AD132+(AI$5&lt;K$5)*AJ132+(AO$5&lt;K$5)*AP132+(AU$5&lt;K$5)*AV132)))</f>
        <v/>
      </c>
      <c r="N132">
        <f>IF(L132-M132&lt;0.005,0,L132-M132)</f>
        <v/>
      </c>
      <c r="O132">
        <f>T131</f>
        <v/>
      </c>
      <c r="P132">
        <f>O132*Plan!D8/100/12</f>
        <v/>
      </c>
      <c r="Q132">
        <f>MIN(Plan!E8,O132+P132)</f>
        <v/>
      </c>
      <c r="R132">
        <f>O132+P132-Q132</f>
        <v/>
      </c>
      <c r="S132">
        <f>MIN(R132,MAX(0,$B132-((E$5&lt;Q$5)*F132+(K$5&lt;Q$5)*L132+(W$5&lt;Q$5)*X132+(AC$5&lt;Q$5)*AD132+(AI$5&lt;Q$5)*AJ132+(AO$5&lt;Q$5)*AP132+(AU$5&lt;Q$5)*AV132)))</f>
        <v/>
      </c>
      <c r="T132">
        <f>IF(R132-S132&lt;0.005,0,R132-S132)</f>
        <v/>
      </c>
      <c r="U132">
        <f>Z131</f>
        <v/>
      </c>
      <c r="V132">
        <f>U132*Plan!D9/100/12</f>
        <v/>
      </c>
      <c r="W132">
        <f>MIN(Plan!E9,U132+V132)</f>
        <v/>
      </c>
      <c r="X132">
        <f>U132+V132-W132</f>
        <v/>
      </c>
      <c r="Y132">
        <f>MIN(X132,MAX(0,$B132-((E$5&lt;W$5)*F132+(K$5&lt;W$5)*L132+(Q$5&lt;W$5)*R132+(AC$5&lt;W$5)*AD132+(AI$5&lt;W$5)*AJ132+(AO$5&lt;W$5)*AP132+(AU$5&lt;W$5)*AV132)))</f>
        <v/>
      </c>
      <c r="Z132">
        <f>IF(X132-Y132&lt;0.005,0,X132-Y132)</f>
        <v/>
      </c>
      <c r="AA132">
        <f>AF131</f>
        <v/>
      </c>
      <c r="AB132">
        <f>AA132*Plan!D10/100/12</f>
        <v/>
      </c>
      <c r="AC132">
        <f>MIN(Plan!E10,AA132+AB132)</f>
        <v/>
      </c>
      <c r="AD132">
        <f>AA132+AB132-AC132</f>
        <v/>
      </c>
      <c r="AE132">
        <f>MIN(AD132,MAX(0,$B132-((E$5&lt;AC$5)*F132+(K$5&lt;AC$5)*L132+(Q$5&lt;AC$5)*R132+(W$5&lt;AC$5)*X132+(AI$5&lt;AC$5)*AJ132+(AO$5&lt;AC$5)*AP132+(AU$5&lt;AC$5)*AV132)))</f>
        <v/>
      </c>
      <c r="AF132">
        <f>IF(AD132-AE132&lt;0.005,0,AD132-AE132)</f>
        <v/>
      </c>
      <c r="AG132">
        <f>AL131</f>
        <v/>
      </c>
      <c r="AH132">
        <f>AG132*Plan!D11/100/12</f>
        <v/>
      </c>
      <c r="AI132">
        <f>MIN(Plan!E11,AG132+AH132)</f>
        <v/>
      </c>
      <c r="AJ132">
        <f>AG132+AH132-AI132</f>
        <v/>
      </c>
      <c r="AK132">
        <f>MIN(AJ132,MAX(0,$B132-((E$5&lt;AI$5)*F132+(K$5&lt;AI$5)*L132+(Q$5&lt;AI$5)*R132+(W$5&lt;AI$5)*X132+(AC$5&lt;AI$5)*AD132+(AO$5&lt;AI$5)*AP132+(AU$5&lt;AI$5)*AV132)))</f>
        <v/>
      </c>
      <c r="AL132">
        <f>IF(AJ132-AK132&lt;0.005,0,AJ132-AK132)</f>
        <v/>
      </c>
      <c r="AM132">
        <f>AR131</f>
        <v/>
      </c>
      <c r="AN132">
        <f>AM132*Plan!D12/100/12</f>
        <v/>
      </c>
      <c r="AO132">
        <f>MIN(Plan!E12,AM132+AN132)</f>
        <v/>
      </c>
      <c r="AP132">
        <f>AM132+AN132-AO132</f>
        <v/>
      </c>
      <c r="AQ132">
        <f>MIN(AP132,MAX(0,$B132-((E$5&lt;AO$5)*F132+(K$5&lt;AO$5)*L132+(Q$5&lt;AO$5)*R132+(W$5&lt;AO$5)*X132+(AC$5&lt;AO$5)*AD132+(AI$5&lt;AO$5)*AJ132+(AU$5&lt;AO$5)*AV132)))</f>
        <v/>
      </c>
      <c r="AR132">
        <f>IF(AP132-AQ132&lt;0.005,0,AP132-AQ132)</f>
        <v/>
      </c>
      <c r="AS132">
        <f>AX131</f>
        <v/>
      </c>
      <c r="AT132">
        <f>AS132*Plan!D13/100/12</f>
        <v/>
      </c>
      <c r="AU132">
        <f>MIN(Plan!E13,AS132+AT132)</f>
        <v/>
      </c>
      <c r="AV132">
        <f>AS132+AT132-AU132</f>
        <v/>
      </c>
      <c r="AW132">
        <f>MIN(AV132,MAX(0,$B132-((E$5&lt;AU$5)*F132+(K$5&lt;AU$5)*L132+(Q$5&lt;AU$5)*R132+(W$5&lt;AU$5)*X132+(AC$5&lt;AU$5)*AD132+(AI$5&lt;AU$5)*AJ132+(AO$5&lt;AU$5)*AP132)))</f>
        <v/>
      </c>
      <c r="AX132">
        <f>IF(AV132-AW132&lt;0.005,0,AV132-AW132)</f>
        <v/>
      </c>
      <c r="BC132">
        <f>H132+N132+T132+Z132+AF132+AL132+AR132+AX132</f>
        <v/>
      </c>
    </row>
    <row r="133">
      <c r="A133" t="n">
        <v>127</v>
      </c>
      <c r="B133" s="19">
        <f>MAX(0,$B$3-(E133+K133+Q133+W133+AC133+AI133+AO133+AU133))</f>
        <v/>
      </c>
      <c r="C133">
        <f>H132</f>
        <v/>
      </c>
      <c r="D133">
        <f>C133*Plan!D6/100/12</f>
        <v/>
      </c>
      <c r="E133">
        <f>MIN(Plan!E6,C133+D133)</f>
        <v/>
      </c>
      <c r="F133">
        <f>C133+D133-E133</f>
        <v/>
      </c>
      <c r="G133">
        <f>MIN(F133,MAX(0,$B133-((K$5&lt;E$5)*L133+(Q$5&lt;E$5)*R133+(W$5&lt;E$5)*X133+(AC$5&lt;E$5)*AD133+(AI$5&lt;E$5)*AJ133+(AO$5&lt;E$5)*AP133+(AU$5&lt;E$5)*AV133)))</f>
        <v/>
      </c>
      <c r="H133">
        <f>IF(F133-G133&lt;0.005,0,F133-G133)</f>
        <v/>
      </c>
      <c r="I133">
        <f>N132</f>
        <v/>
      </c>
      <c r="J133">
        <f>I133*Plan!D7/100/12</f>
        <v/>
      </c>
      <c r="K133">
        <f>MIN(Plan!E7,I133+J133)</f>
        <v/>
      </c>
      <c r="L133">
        <f>I133+J133-K133</f>
        <v/>
      </c>
      <c r="M133">
        <f>MIN(L133,MAX(0,$B133-((E$5&lt;K$5)*F133+(Q$5&lt;K$5)*R133+(W$5&lt;K$5)*X133+(AC$5&lt;K$5)*AD133+(AI$5&lt;K$5)*AJ133+(AO$5&lt;K$5)*AP133+(AU$5&lt;K$5)*AV133)))</f>
        <v/>
      </c>
      <c r="N133">
        <f>IF(L133-M133&lt;0.005,0,L133-M133)</f>
        <v/>
      </c>
      <c r="O133">
        <f>T132</f>
        <v/>
      </c>
      <c r="P133">
        <f>O133*Plan!D8/100/12</f>
        <v/>
      </c>
      <c r="Q133">
        <f>MIN(Plan!E8,O133+P133)</f>
        <v/>
      </c>
      <c r="R133">
        <f>O133+P133-Q133</f>
        <v/>
      </c>
      <c r="S133">
        <f>MIN(R133,MAX(0,$B133-((E$5&lt;Q$5)*F133+(K$5&lt;Q$5)*L133+(W$5&lt;Q$5)*X133+(AC$5&lt;Q$5)*AD133+(AI$5&lt;Q$5)*AJ133+(AO$5&lt;Q$5)*AP133+(AU$5&lt;Q$5)*AV133)))</f>
        <v/>
      </c>
      <c r="T133">
        <f>IF(R133-S133&lt;0.005,0,R133-S133)</f>
        <v/>
      </c>
      <c r="U133">
        <f>Z132</f>
        <v/>
      </c>
      <c r="V133">
        <f>U133*Plan!D9/100/12</f>
        <v/>
      </c>
      <c r="W133">
        <f>MIN(Plan!E9,U133+V133)</f>
        <v/>
      </c>
      <c r="X133">
        <f>U133+V133-W133</f>
        <v/>
      </c>
      <c r="Y133">
        <f>MIN(X133,MAX(0,$B133-((E$5&lt;W$5)*F133+(K$5&lt;W$5)*L133+(Q$5&lt;W$5)*R133+(AC$5&lt;W$5)*AD133+(AI$5&lt;W$5)*AJ133+(AO$5&lt;W$5)*AP133+(AU$5&lt;W$5)*AV133)))</f>
        <v/>
      </c>
      <c r="Z133">
        <f>IF(X133-Y133&lt;0.005,0,X133-Y133)</f>
        <v/>
      </c>
      <c r="AA133">
        <f>AF132</f>
        <v/>
      </c>
      <c r="AB133">
        <f>AA133*Plan!D10/100/12</f>
        <v/>
      </c>
      <c r="AC133">
        <f>MIN(Plan!E10,AA133+AB133)</f>
        <v/>
      </c>
      <c r="AD133">
        <f>AA133+AB133-AC133</f>
        <v/>
      </c>
      <c r="AE133">
        <f>MIN(AD133,MAX(0,$B133-((E$5&lt;AC$5)*F133+(K$5&lt;AC$5)*L133+(Q$5&lt;AC$5)*R133+(W$5&lt;AC$5)*X133+(AI$5&lt;AC$5)*AJ133+(AO$5&lt;AC$5)*AP133+(AU$5&lt;AC$5)*AV133)))</f>
        <v/>
      </c>
      <c r="AF133">
        <f>IF(AD133-AE133&lt;0.005,0,AD133-AE133)</f>
        <v/>
      </c>
      <c r="AG133">
        <f>AL132</f>
        <v/>
      </c>
      <c r="AH133">
        <f>AG133*Plan!D11/100/12</f>
        <v/>
      </c>
      <c r="AI133">
        <f>MIN(Plan!E11,AG133+AH133)</f>
        <v/>
      </c>
      <c r="AJ133">
        <f>AG133+AH133-AI133</f>
        <v/>
      </c>
      <c r="AK133">
        <f>MIN(AJ133,MAX(0,$B133-((E$5&lt;AI$5)*F133+(K$5&lt;AI$5)*L133+(Q$5&lt;AI$5)*R133+(W$5&lt;AI$5)*X133+(AC$5&lt;AI$5)*AD133+(AO$5&lt;AI$5)*AP133+(AU$5&lt;AI$5)*AV133)))</f>
        <v/>
      </c>
      <c r="AL133">
        <f>IF(AJ133-AK133&lt;0.005,0,AJ133-AK133)</f>
        <v/>
      </c>
      <c r="AM133">
        <f>AR132</f>
        <v/>
      </c>
      <c r="AN133">
        <f>AM133*Plan!D12/100/12</f>
        <v/>
      </c>
      <c r="AO133">
        <f>MIN(Plan!E12,AM133+AN133)</f>
        <v/>
      </c>
      <c r="AP133">
        <f>AM133+AN133-AO133</f>
        <v/>
      </c>
      <c r="AQ133">
        <f>MIN(AP133,MAX(0,$B133-((E$5&lt;AO$5)*F133+(K$5&lt;AO$5)*L133+(Q$5&lt;AO$5)*R133+(W$5&lt;AO$5)*X133+(AC$5&lt;AO$5)*AD133+(AI$5&lt;AO$5)*AJ133+(AU$5&lt;AO$5)*AV133)))</f>
        <v/>
      </c>
      <c r="AR133">
        <f>IF(AP133-AQ133&lt;0.005,0,AP133-AQ133)</f>
        <v/>
      </c>
      <c r="AS133">
        <f>AX132</f>
        <v/>
      </c>
      <c r="AT133">
        <f>AS133*Plan!D13/100/12</f>
        <v/>
      </c>
      <c r="AU133">
        <f>MIN(Plan!E13,AS133+AT133)</f>
        <v/>
      </c>
      <c r="AV133">
        <f>AS133+AT133-AU133</f>
        <v/>
      </c>
      <c r="AW133">
        <f>MIN(AV133,MAX(0,$B133-((E$5&lt;AU$5)*F133+(K$5&lt;AU$5)*L133+(Q$5&lt;AU$5)*R133+(W$5&lt;AU$5)*X133+(AC$5&lt;AU$5)*AD133+(AI$5&lt;AU$5)*AJ133+(AO$5&lt;AU$5)*AP133)))</f>
        <v/>
      </c>
      <c r="AX133">
        <f>IF(AV133-AW133&lt;0.005,0,AV133-AW133)</f>
        <v/>
      </c>
      <c r="BC133">
        <f>H133+N133+T133+Z133+AF133+AL133+AR133+AX133</f>
        <v/>
      </c>
    </row>
    <row r="134">
      <c r="A134" t="n">
        <v>128</v>
      </c>
      <c r="B134" s="19">
        <f>MAX(0,$B$3-(E134+K134+Q134+W134+AC134+AI134+AO134+AU134))</f>
        <v/>
      </c>
      <c r="C134">
        <f>H133</f>
        <v/>
      </c>
      <c r="D134">
        <f>C134*Plan!D6/100/12</f>
        <v/>
      </c>
      <c r="E134">
        <f>MIN(Plan!E6,C134+D134)</f>
        <v/>
      </c>
      <c r="F134">
        <f>C134+D134-E134</f>
        <v/>
      </c>
      <c r="G134">
        <f>MIN(F134,MAX(0,$B134-((K$5&lt;E$5)*L134+(Q$5&lt;E$5)*R134+(W$5&lt;E$5)*X134+(AC$5&lt;E$5)*AD134+(AI$5&lt;E$5)*AJ134+(AO$5&lt;E$5)*AP134+(AU$5&lt;E$5)*AV134)))</f>
        <v/>
      </c>
      <c r="H134">
        <f>IF(F134-G134&lt;0.005,0,F134-G134)</f>
        <v/>
      </c>
      <c r="I134">
        <f>N133</f>
        <v/>
      </c>
      <c r="J134">
        <f>I134*Plan!D7/100/12</f>
        <v/>
      </c>
      <c r="K134">
        <f>MIN(Plan!E7,I134+J134)</f>
        <v/>
      </c>
      <c r="L134">
        <f>I134+J134-K134</f>
        <v/>
      </c>
      <c r="M134">
        <f>MIN(L134,MAX(0,$B134-((E$5&lt;K$5)*F134+(Q$5&lt;K$5)*R134+(W$5&lt;K$5)*X134+(AC$5&lt;K$5)*AD134+(AI$5&lt;K$5)*AJ134+(AO$5&lt;K$5)*AP134+(AU$5&lt;K$5)*AV134)))</f>
        <v/>
      </c>
      <c r="N134">
        <f>IF(L134-M134&lt;0.005,0,L134-M134)</f>
        <v/>
      </c>
      <c r="O134">
        <f>T133</f>
        <v/>
      </c>
      <c r="P134">
        <f>O134*Plan!D8/100/12</f>
        <v/>
      </c>
      <c r="Q134">
        <f>MIN(Plan!E8,O134+P134)</f>
        <v/>
      </c>
      <c r="R134">
        <f>O134+P134-Q134</f>
        <v/>
      </c>
      <c r="S134">
        <f>MIN(R134,MAX(0,$B134-((E$5&lt;Q$5)*F134+(K$5&lt;Q$5)*L134+(W$5&lt;Q$5)*X134+(AC$5&lt;Q$5)*AD134+(AI$5&lt;Q$5)*AJ134+(AO$5&lt;Q$5)*AP134+(AU$5&lt;Q$5)*AV134)))</f>
        <v/>
      </c>
      <c r="T134">
        <f>IF(R134-S134&lt;0.005,0,R134-S134)</f>
        <v/>
      </c>
      <c r="U134">
        <f>Z133</f>
        <v/>
      </c>
      <c r="V134">
        <f>U134*Plan!D9/100/12</f>
        <v/>
      </c>
      <c r="W134">
        <f>MIN(Plan!E9,U134+V134)</f>
        <v/>
      </c>
      <c r="X134">
        <f>U134+V134-W134</f>
        <v/>
      </c>
      <c r="Y134">
        <f>MIN(X134,MAX(0,$B134-((E$5&lt;W$5)*F134+(K$5&lt;W$5)*L134+(Q$5&lt;W$5)*R134+(AC$5&lt;W$5)*AD134+(AI$5&lt;W$5)*AJ134+(AO$5&lt;W$5)*AP134+(AU$5&lt;W$5)*AV134)))</f>
        <v/>
      </c>
      <c r="Z134">
        <f>IF(X134-Y134&lt;0.005,0,X134-Y134)</f>
        <v/>
      </c>
      <c r="AA134">
        <f>AF133</f>
        <v/>
      </c>
      <c r="AB134">
        <f>AA134*Plan!D10/100/12</f>
        <v/>
      </c>
      <c r="AC134">
        <f>MIN(Plan!E10,AA134+AB134)</f>
        <v/>
      </c>
      <c r="AD134">
        <f>AA134+AB134-AC134</f>
        <v/>
      </c>
      <c r="AE134">
        <f>MIN(AD134,MAX(0,$B134-((E$5&lt;AC$5)*F134+(K$5&lt;AC$5)*L134+(Q$5&lt;AC$5)*R134+(W$5&lt;AC$5)*X134+(AI$5&lt;AC$5)*AJ134+(AO$5&lt;AC$5)*AP134+(AU$5&lt;AC$5)*AV134)))</f>
        <v/>
      </c>
      <c r="AF134">
        <f>IF(AD134-AE134&lt;0.005,0,AD134-AE134)</f>
        <v/>
      </c>
      <c r="AG134">
        <f>AL133</f>
        <v/>
      </c>
      <c r="AH134">
        <f>AG134*Plan!D11/100/12</f>
        <v/>
      </c>
      <c r="AI134">
        <f>MIN(Plan!E11,AG134+AH134)</f>
        <v/>
      </c>
      <c r="AJ134">
        <f>AG134+AH134-AI134</f>
        <v/>
      </c>
      <c r="AK134">
        <f>MIN(AJ134,MAX(0,$B134-((E$5&lt;AI$5)*F134+(K$5&lt;AI$5)*L134+(Q$5&lt;AI$5)*R134+(W$5&lt;AI$5)*X134+(AC$5&lt;AI$5)*AD134+(AO$5&lt;AI$5)*AP134+(AU$5&lt;AI$5)*AV134)))</f>
        <v/>
      </c>
      <c r="AL134">
        <f>IF(AJ134-AK134&lt;0.005,0,AJ134-AK134)</f>
        <v/>
      </c>
      <c r="AM134">
        <f>AR133</f>
        <v/>
      </c>
      <c r="AN134">
        <f>AM134*Plan!D12/100/12</f>
        <v/>
      </c>
      <c r="AO134">
        <f>MIN(Plan!E12,AM134+AN134)</f>
        <v/>
      </c>
      <c r="AP134">
        <f>AM134+AN134-AO134</f>
        <v/>
      </c>
      <c r="AQ134">
        <f>MIN(AP134,MAX(0,$B134-((E$5&lt;AO$5)*F134+(K$5&lt;AO$5)*L134+(Q$5&lt;AO$5)*R134+(W$5&lt;AO$5)*X134+(AC$5&lt;AO$5)*AD134+(AI$5&lt;AO$5)*AJ134+(AU$5&lt;AO$5)*AV134)))</f>
        <v/>
      </c>
      <c r="AR134">
        <f>IF(AP134-AQ134&lt;0.005,0,AP134-AQ134)</f>
        <v/>
      </c>
      <c r="AS134">
        <f>AX133</f>
        <v/>
      </c>
      <c r="AT134">
        <f>AS134*Plan!D13/100/12</f>
        <v/>
      </c>
      <c r="AU134">
        <f>MIN(Plan!E13,AS134+AT134)</f>
        <v/>
      </c>
      <c r="AV134">
        <f>AS134+AT134-AU134</f>
        <v/>
      </c>
      <c r="AW134">
        <f>MIN(AV134,MAX(0,$B134-((E$5&lt;AU$5)*F134+(K$5&lt;AU$5)*L134+(Q$5&lt;AU$5)*R134+(W$5&lt;AU$5)*X134+(AC$5&lt;AU$5)*AD134+(AI$5&lt;AU$5)*AJ134+(AO$5&lt;AU$5)*AP134)))</f>
        <v/>
      </c>
      <c r="AX134">
        <f>IF(AV134-AW134&lt;0.005,0,AV134-AW134)</f>
        <v/>
      </c>
      <c r="BC134">
        <f>H134+N134+T134+Z134+AF134+AL134+AR134+AX134</f>
        <v/>
      </c>
    </row>
    <row r="135">
      <c r="A135" t="n">
        <v>129</v>
      </c>
      <c r="B135" s="19">
        <f>MAX(0,$B$3-(E135+K135+Q135+W135+AC135+AI135+AO135+AU135))</f>
        <v/>
      </c>
      <c r="C135">
        <f>H134</f>
        <v/>
      </c>
      <c r="D135">
        <f>C135*Plan!D6/100/12</f>
        <v/>
      </c>
      <c r="E135">
        <f>MIN(Plan!E6,C135+D135)</f>
        <v/>
      </c>
      <c r="F135">
        <f>C135+D135-E135</f>
        <v/>
      </c>
      <c r="G135">
        <f>MIN(F135,MAX(0,$B135-((K$5&lt;E$5)*L135+(Q$5&lt;E$5)*R135+(W$5&lt;E$5)*X135+(AC$5&lt;E$5)*AD135+(AI$5&lt;E$5)*AJ135+(AO$5&lt;E$5)*AP135+(AU$5&lt;E$5)*AV135)))</f>
        <v/>
      </c>
      <c r="H135">
        <f>IF(F135-G135&lt;0.005,0,F135-G135)</f>
        <v/>
      </c>
      <c r="I135">
        <f>N134</f>
        <v/>
      </c>
      <c r="J135">
        <f>I135*Plan!D7/100/12</f>
        <v/>
      </c>
      <c r="K135">
        <f>MIN(Plan!E7,I135+J135)</f>
        <v/>
      </c>
      <c r="L135">
        <f>I135+J135-K135</f>
        <v/>
      </c>
      <c r="M135">
        <f>MIN(L135,MAX(0,$B135-((E$5&lt;K$5)*F135+(Q$5&lt;K$5)*R135+(W$5&lt;K$5)*X135+(AC$5&lt;K$5)*AD135+(AI$5&lt;K$5)*AJ135+(AO$5&lt;K$5)*AP135+(AU$5&lt;K$5)*AV135)))</f>
        <v/>
      </c>
      <c r="N135">
        <f>IF(L135-M135&lt;0.005,0,L135-M135)</f>
        <v/>
      </c>
      <c r="O135">
        <f>T134</f>
        <v/>
      </c>
      <c r="P135">
        <f>O135*Plan!D8/100/12</f>
        <v/>
      </c>
      <c r="Q135">
        <f>MIN(Plan!E8,O135+P135)</f>
        <v/>
      </c>
      <c r="R135">
        <f>O135+P135-Q135</f>
        <v/>
      </c>
      <c r="S135">
        <f>MIN(R135,MAX(0,$B135-((E$5&lt;Q$5)*F135+(K$5&lt;Q$5)*L135+(W$5&lt;Q$5)*X135+(AC$5&lt;Q$5)*AD135+(AI$5&lt;Q$5)*AJ135+(AO$5&lt;Q$5)*AP135+(AU$5&lt;Q$5)*AV135)))</f>
        <v/>
      </c>
      <c r="T135">
        <f>IF(R135-S135&lt;0.005,0,R135-S135)</f>
        <v/>
      </c>
      <c r="U135">
        <f>Z134</f>
        <v/>
      </c>
      <c r="V135">
        <f>U135*Plan!D9/100/12</f>
        <v/>
      </c>
      <c r="W135">
        <f>MIN(Plan!E9,U135+V135)</f>
        <v/>
      </c>
      <c r="X135">
        <f>U135+V135-W135</f>
        <v/>
      </c>
      <c r="Y135">
        <f>MIN(X135,MAX(0,$B135-((E$5&lt;W$5)*F135+(K$5&lt;W$5)*L135+(Q$5&lt;W$5)*R135+(AC$5&lt;W$5)*AD135+(AI$5&lt;W$5)*AJ135+(AO$5&lt;W$5)*AP135+(AU$5&lt;W$5)*AV135)))</f>
        <v/>
      </c>
      <c r="Z135">
        <f>IF(X135-Y135&lt;0.005,0,X135-Y135)</f>
        <v/>
      </c>
      <c r="AA135">
        <f>AF134</f>
        <v/>
      </c>
      <c r="AB135">
        <f>AA135*Plan!D10/100/12</f>
        <v/>
      </c>
      <c r="AC135">
        <f>MIN(Plan!E10,AA135+AB135)</f>
        <v/>
      </c>
      <c r="AD135">
        <f>AA135+AB135-AC135</f>
        <v/>
      </c>
      <c r="AE135">
        <f>MIN(AD135,MAX(0,$B135-((E$5&lt;AC$5)*F135+(K$5&lt;AC$5)*L135+(Q$5&lt;AC$5)*R135+(W$5&lt;AC$5)*X135+(AI$5&lt;AC$5)*AJ135+(AO$5&lt;AC$5)*AP135+(AU$5&lt;AC$5)*AV135)))</f>
        <v/>
      </c>
      <c r="AF135">
        <f>IF(AD135-AE135&lt;0.005,0,AD135-AE135)</f>
        <v/>
      </c>
      <c r="AG135">
        <f>AL134</f>
        <v/>
      </c>
      <c r="AH135">
        <f>AG135*Plan!D11/100/12</f>
        <v/>
      </c>
      <c r="AI135">
        <f>MIN(Plan!E11,AG135+AH135)</f>
        <v/>
      </c>
      <c r="AJ135">
        <f>AG135+AH135-AI135</f>
        <v/>
      </c>
      <c r="AK135">
        <f>MIN(AJ135,MAX(0,$B135-((E$5&lt;AI$5)*F135+(K$5&lt;AI$5)*L135+(Q$5&lt;AI$5)*R135+(W$5&lt;AI$5)*X135+(AC$5&lt;AI$5)*AD135+(AO$5&lt;AI$5)*AP135+(AU$5&lt;AI$5)*AV135)))</f>
        <v/>
      </c>
      <c r="AL135">
        <f>IF(AJ135-AK135&lt;0.005,0,AJ135-AK135)</f>
        <v/>
      </c>
      <c r="AM135">
        <f>AR134</f>
        <v/>
      </c>
      <c r="AN135">
        <f>AM135*Plan!D12/100/12</f>
        <v/>
      </c>
      <c r="AO135">
        <f>MIN(Plan!E12,AM135+AN135)</f>
        <v/>
      </c>
      <c r="AP135">
        <f>AM135+AN135-AO135</f>
        <v/>
      </c>
      <c r="AQ135">
        <f>MIN(AP135,MAX(0,$B135-((E$5&lt;AO$5)*F135+(K$5&lt;AO$5)*L135+(Q$5&lt;AO$5)*R135+(W$5&lt;AO$5)*X135+(AC$5&lt;AO$5)*AD135+(AI$5&lt;AO$5)*AJ135+(AU$5&lt;AO$5)*AV135)))</f>
        <v/>
      </c>
      <c r="AR135">
        <f>IF(AP135-AQ135&lt;0.005,0,AP135-AQ135)</f>
        <v/>
      </c>
      <c r="AS135">
        <f>AX134</f>
        <v/>
      </c>
      <c r="AT135">
        <f>AS135*Plan!D13/100/12</f>
        <v/>
      </c>
      <c r="AU135">
        <f>MIN(Plan!E13,AS135+AT135)</f>
        <v/>
      </c>
      <c r="AV135">
        <f>AS135+AT135-AU135</f>
        <v/>
      </c>
      <c r="AW135">
        <f>MIN(AV135,MAX(0,$B135-((E$5&lt;AU$5)*F135+(K$5&lt;AU$5)*L135+(Q$5&lt;AU$5)*R135+(W$5&lt;AU$5)*X135+(AC$5&lt;AU$5)*AD135+(AI$5&lt;AU$5)*AJ135+(AO$5&lt;AU$5)*AP135)))</f>
        <v/>
      </c>
      <c r="AX135">
        <f>IF(AV135-AW135&lt;0.005,0,AV135-AW135)</f>
        <v/>
      </c>
      <c r="BC135">
        <f>H135+N135+T135+Z135+AF135+AL135+AR135+AX135</f>
        <v/>
      </c>
    </row>
    <row r="136">
      <c r="A136" t="n">
        <v>130</v>
      </c>
      <c r="B136" s="19">
        <f>MAX(0,$B$3-(E136+K136+Q136+W136+AC136+AI136+AO136+AU136))</f>
        <v/>
      </c>
      <c r="C136">
        <f>H135</f>
        <v/>
      </c>
      <c r="D136">
        <f>C136*Plan!D6/100/12</f>
        <v/>
      </c>
      <c r="E136">
        <f>MIN(Plan!E6,C136+D136)</f>
        <v/>
      </c>
      <c r="F136">
        <f>C136+D136-E136</f>
        <v/>
      </c>
      <c r="G136">
        <f>MIN(F136,MAX(0,$B136-((K$5&lt;E$5)*L136+(Q$5&lt;E$5)*R136+(W$5&lt;E$5)*X136+(AC$5&lt;E$5)*AD136+(AI$5&lt;E$5)*AJ136+(AO$5&lt;E$5)*AP136+(AU$5&lt;E$5)*AV136)))</f>
        <v/>
      </c>
      <c r="H136">
        <f>IF(F136-G136&lt;0.005,0,F136-G136)</f>
        <v/>
      </c>
      <c r="I136">
        <f>N135</f>
        <v/>
      </c>
      <c r="J136">
        <f>I136*Plan!D7/100/12</f>
        <v/>
      </c>
      <c r="K136">
        <f>MIN(Plan!E7,I136+J136)</f>
        <v/>
      </c>
      <c r="L136">
        <f>I136+J136-K136</f>
        <v/>
      </c>
      <c r="M136">
        <f>MIN(L136,MAX(0,$B136-((E$5&lt;K$5)*F136+(Q$5&lt;K$5)*R136+(W$5&lt;K$5)*X136+(AC$5&lt;K$5)*AD136+(AI$5&lt;K$5)*AJ136+(AO$5&lt;K$5)*AP136+(AU$5&lt;K$5)*AV136)))</f>
        <v/>
      </c>
      <c r="N136">
        <f>IF(L136-M136&lt;0.005,0,L136-M136)</f>
        <v/>
      </c>
      <c r="O136">
        <f>T135</f>
        <v/>
      </c>
      <c r="P136">
        <f>O136*Plan!D8/100/12</f>
        <v/>
      </c>
      <c r="Q136">
        <f>MIN(Plan!E8,O136+P136)</f>
        <v/>
      </c>
      <c r="R136">
        <f>O136+P136-Q136</f>
        <v/>
      </c>
      <c r="S136">
        <f>MIN(R136,MAX(0,$B136-((E$5&lt;Q$5)*F136+(K$5&lt;Q$5)*L136+(W$5&lt;Q$5)*X136+(AC$5&lt;Q$5)*AD136+(AI$5&lt;Q$5)*AJ136+(AO$5&lt;Q$5)*AP136+(AU$5&lt;Q$5)*AV136)))</f>
        <v/>
      </c>
      <c r="T136">
        <f>IF(R136-S136&lt;0.005,0,R136-S136)</f>
        <v/>
      </c>
      <c r="U136">
        <f>Z135</f>
        <v/>
      </c>
      <c r="V136">
        <f>U136*Plan!D9/100/12</f>
        <v/>
      </c>
      <c r="W136">
        <f>MIN(Plan!E9,U136+V136)</f>
        <v/>
      </c>
      <c r="X136">
        <f>U136+V136-W136</f>
        <v/>
      </c>
      <c r="Y136">
        <f>MIN(X136,MAX(0,$B136-((E$5&lt;W$5)*F136+(K$5&lt;W$5)*L136+(Q$5&lt;W$5)*R136+(AC$5&lt;W$5)*AD136+(AI$5&lt;W$5)*AJ136+(AO$5&lt;W$5)*AP136+(AU$5&lt;W$5)*AV136)))</f>
        <v/>
      </c>
      <c r="Z136">
        <f>IF(X136-Y136&lt;0.005,0,X136-Y136)</f>
        <v/>
      </c>
      <c r="AA136">
        <f>AF135</f>
        <v/>
      </c>
      <c r="AB136">
        <f>AA136*Plan!D10/100/12</f>
        <v/>
      </c>
      <c r="AC136">
        <f>MIN(Plan!E10,AA136+AB136)</f>
        <v/>
      </c>
      <c r="AD136">
        <f>AA136+AB136-AC136</f>
        <v/>
      </c>
      <c r="AE136">
        <f>MIN(AD136,MAX(0,$B136-((E$5&lt;AC$5)*F136+(K$5&lt;AC$5)*L136+(Q$5&lt;AC$5)*R136+(W$5&lt;AC$5)*X136+(AI$5&lt;AC$5)*AJ136+(AO$5&lt;AC$5)*AP136+(AU$5&lt;AC$5)*AV136)))</f>
        <v/>
      </c>
      <c r="AF136">
        <f>IF(AD136-AE136&lt;0.005,0,AD136-AE136)</f>
        <v/>
      </c>
      <c r="AG136">
        <f>AL135</f>
        <v/>
      </c>
      <c r="AH136">
        <f>AG136*Plan!D11/100/12</f>
        <v/>
      </c>
      <c r="AI136">
        <f>MIN(Plan!E11,AG136+AH136)</f>
        <v/>
      </c>
      <c r="AJ136">
        <f>AG136+AH136-AI136</f>
        <v/>
      </c>
      <c r="AK136">
        <f>MIN(AJ136,MAX(0,$B136-((E$5&lt;AI$5)*F136+(K$5&lt;AI$5)*L136+(Q$5&lt;AI$5)*R136+(W$5&lt;AI$5)*X136+(AC$5&lt;AI$5)*AD136+(AO$5&lt;AI$5)*AP136+(AU$5&lt;AI$5)*AV136)))</f>
        <v/>
      </c>
      <c r="AL136">
        <f>IF(AJ136-AK136&lt;0.005,0,AJ136-AK136)</f>
        <v/>
      </c>
      <c r="AM136">
        <f>AR135</f>
        <v/>
      </c>
      <c r="AN136">
        <f>AM136*Plan!D12/100/12</f>
        <v/>
      </c>
      <c r="AO136">
        <f>MIN(Plan!E12,AM136+AN136)</f>
        <v/>
      </c>
      <c r="AP136">
        <f>AM136+AN136-AO136</f>
        <v/>
      </c>
      <c r="AQ136">
        <f>MIN(AP136,MAX(0,$B136-((E$5&lt;AO$5)*F136+(K$5&lt;AO$5)*L136+(Q$5&lt;AO$5)*R136+(W$5&lt;AO$5)*X136+(AC$5&lt;AO$5)*AD136+(AI$5&lt;AO$5)*AJ136+(AU$5&lt;AO$5)*AV136)))</f>
        <v/>
      </c>
      <c r="AR136">
        <f>IF(AP136-AQ136&lt;0.005,0,AP136-AQ136)</f>
        <v/>
      </c>
      <c r="AS136">
        <f>AX135</f>
        <v/>
      </c>
      <c r="AT136">
        <f>AS136*Plan!D13/100/12</f>
        <v/>
      </c>
      <c r="AU136">
        <f>MIN(Plan!E13,AS136+AT136)</f>
        <v/>
      </c>
      <c r="AV136">
        <f>AS136+AT136-AU136</f>
        <v/>
      </c>
      <c r="AW136">
        <f>MIN(AV136,MAX(0,$B136-((E$5&lt;AU$5)*F136+(K$5&lt;AU$5)*L136+(Q$5&lt;AU$5)*R136+(W$5&lt;AU$5)*X136+(AC$5&lt;AU$5)*AD136+(AI$5&lt;AU$5)*AJ136+(AO$5&lt;AU$5)*AP136)))</f>
        <v/>
      </c>
      <c r="AX136">
        <f>IF(AV136-AW136&lt;0.005,0,AV136-AW136)</f>
        <v/>
      </c>
      <c r="BC136">
        <f>H136+N136+T136+Z136+AF136+AL136+AR136+AX136</f>
        <v/>
      </c>
    </row>
    <row r="137">
      <c r="A137" t="n">
        <v>131</v>
      </c>
      <c r="B137" s="19">
        <f>MAX(0,$B$3-(E137+K137+Q137+W137+AC137+AI137+AO137+AU137))</f>
        <v/>
      </c>
      <c r="C137">
        <f>H136</f>
        <v/>
      </c>
      <c r="D137">
        <f>C137*Plan!D6/100/12</f>
        <v/>
      </c>
      <c r="E137">
        <f>MIN(Plan!E6,C137+D137)</f>
        <v/>
      </c>
      <c r="F137">
        <f>C137+D137-E137</f>
        <v/>
      </c>
      <c r="G137">
        <f>MIN(F137,MAX(0,$B137-((K$5&lt;E$5)*L137+(Q$5&lt;E$5)*R137+(W$5&lt;E$5)*X137+(AC$5&lt;E$5)*AD137+(AI$5&lt;E$5)*AJ137+(AO$5&lt;E$5)*AP137+(AU$5&lt;E$5)*AV137)))</f>
        <v/>
      </c>
      <c r="H137">
        <f>IF(F137-G137&lt;0.005,0,F137-G137)</f>
        <v/>
      </c>
      <c r="I137">
        <f>N136</f>
        <v/>
      </c>
      <c r="J137">
        <f>I137*Plan!D7/100/12</f>
        <v/>
      </c>
      <c r="K137">
        <f>MIN(Plan!E7,I137+J137)</f>
        <v/>
      </c>
      <c r="L137">
        <f>I137+J137-K137</f>
        <v/>
      </c>
      <c r="M137">
        <f>MIN(L137,MAX(0,$B137-((E$5&lt;K$5)*F137+(Q$5&lt;K$5)*R137+(W$5&lt;K$5)*X137+(AC$5&lt;K$5)*AD137+(AI$5&lt;K$5)*AJ137+(AO$5&lt;K$5)*AP137+(AU$5&lt;K$5)*AV137)))</f>
        <v/>
      </c>
      <c r="N137">
        <f>IF(L137-M137&lt;0.005,0,L137-M137)</f>
        <v/>
      </c>
      <c r="O137">
        <f>T136</f>
        <v/>
      </c>
      <c r="P137">
        <f>O137*Plan!D8/100/12</f>
        <v/>
      </c>
      <c r="Q137">
        <f>MIN(Plan!E8,O137+P137)</f>
        <v/>
      </c>
      <c r="R137">
        <f>O137+P137-Q137</f>
        <v/>
      </c>
      <c r="S137">
        <f>MIN(R137,MAX(0,$B137-((E$5&lt;Q$5)*F137+(K$5&lt;Q$5)*L137+(W$5&lt;Q$5)*X137+(AC$5&lt;Q$5)*AD137+(AI$5&lt;Q$5)*AJ137+(AO$5&lt;Q$5)*AP137+(AU$5&lt;Q$5)*AV137)))</f>
        <v/>
      </c>
      <c r="T137">
        <f>IF(R137-S137&lt;0.005,0,R137-S137)</f>
        <v/>
      </c>
      <c r="U137">
        <f>Z136</f>
        <v/>
      </c>
      <c r="V137">
        <f>U137*Plan!D9/100/12</f>
        <v/>
      </c>
      <c r="W137">
        <f>MIN(Plan!E9,U137+V137)</f>
        <v/>
      </c>
      <c r="X137">
        <f>U137+V137-W137</f>
        <v/>
      </c>
      <c r="Y137">
        <f>MIN(X137,MAX(0,$B137-((E$5&lt;W$5)*F137+(K$5&lt;W$5)*L137+(Q$5&lt;W$5)*R137+(AC$5&lt;W$5)*AD137+(AI$5&lt;W$5)*AJ137+(AO$5&lt;W$5)*AP137+(AU$5&lt;W$5)*AV137)))</f>
        <v/>
      </c>
      <c r="Z137">
        <f>IF(X137-Y137&lt;0.005,0,X137-Y137)</f>
        <v/>
      </c>
      <c r="AA137">
        <f>AF136</f>
        <v/>
      </c>
      <c r="AB137">
        <f>AA137*Plan!D10/100/12</f>
        <v/>
      </c>
      <c r="AC137">
        <f>MIN(Plan!E10,AA137+AB137)</f>
        <v/>
      </c>
      <c r="AD137">
        <f>AA137+AB137-AC137</f>
        <v/>
      </c>
      <c r="AE137">
        <f>MIN(AD137,MAX(0,$B137-((E$5&lt;AC$5)*F137+(K$5&lt;AC$5)*L137+(Q$5&lt;AC$5)*R137+(W$5&lt;AC$5)*X137+(AI$5&lt;AC$5)*AJ137+(AO$5&lt;AC$5)*AP137+(AU$5&lt;AC$5)*AV137)))</f>
        <v/>
      </c>
      <c r="AF137">
        <f>IF(AD137-AE137&lt;0.005,0,AD137-AE137)</f>
        <v/>
      </c>
      <c r="AG137">
        <f>AL136</f>
        <v/>
      </c>
      <c r="AH137">
        <f>AG137*Plan!D11/100/12</f>
        <v/>
      </c>
      <c r="AI137">
        <f>MIN(Plan!E11,AG137+AH137)</f>
        <v/>
      </c>
      <c r="AJ137">
        <f>AG137+AH137-AI137</f>
        <v/>
      </c>
      <c r="AK137">
        <f>MIN(AJ137,MAX(0,$B137-((E$5&lt;AI$5)*F137+(K$5&lt;AI$5)*L137+(Q$5&lt;AI$5)*R137+(W$5&lt;AI$5)*X137+(AC$5&lt;AI$5)*AD137+(AO$5&lt;AI$5)*AP137+(AU$5&lt;AI$5)*AV137)))</f>
        <v/>
      </c>
      <c r="AL137">
        <f>IF(AJ137-AK137&lt;0.005,0,AJ137-AK137)</f>
        <v/>
      </c>
      <c r="AM137">
        <f>AR136</f>
        <v/>
      </c>
      <c r="AN137">
        <f>AM137*Plan!D12/100/12</f>
        <v/>
      </c>
      <c r="AO137">
        <f>MIN(Plan!E12,AM137+AN137)</f>
        <v/>
      </c>
      <c r="AP137">
        <f>AM137+AN137-AO137</f>
        <v/>
      </c>
      <c r="AQ137">
        <f>MIN(AP137,MAX(0,$B137-((E$5&lt;AO$5)*F137+(K$5&lt;AO$5)*L137+(Q$5&lt;AO$5)*R137+(W$5&lt;AO$5)*X137+(AC$5&lt;AO$5)*AD137+(AI$5&lt;AO$5)*AJ137+(AU$5&lt;AO$5)*AV137)))</f>
        <v/>
      </c>
      <c r="AR137">
        <f>IF(AP137-AQ137&lt;0.005,0,AP137-AQ137)</f>
        <v/>
      </c>
      <c r="AS137">
        <f>AX136</f>
        <v/>
      </c>
      <c r="AT137">
        <f>AS137*Plan!D13/100/12</f>
        <v/>
      </c>
      <c r="AU137">
        <f>MIN(Plan!E13,AS137+AT137)</f>
        <v/>
      </c>
      <c r="AV137">
        <f>AS137+AT137-AU137</f>
        <v/>
      </c>
      <c r="AW137">
        <f>MIN(AV137,MAX(0,$B137-((E$5&lt;AU$5)*F137+(K$5&lt;AU$5)*L137+(Q$5&lt;AU$5)*R137+(W$5&lt;AU$5)*X137+(AC$5&lt;AU$5)*AD137+(AI$5&lt;AU$5)*AJ137+(AO$5&lt;AU$5)*AP137)))</f>
        <v/>
      </c>
      <c r="AX137">
        <f>IF(AV137-AW137&lt;0.005,0,AV137-AW137)</f>
        <v/>
      </c>
      <c r="BC137">
        <f>H137+N137+T137+Z137+AF137+AL137+AR137+AX137</f>
        <v/>
      </c>
    </row>
    <row r="138">
      <c r="A138" t="n">
        <v>132</v>
      </c>
      <c r="B138" s="19">
        <f>MAX(0,$B$3-(E138+K138+Q138+W138+AC138+AI138+AO138+AU138))</f>
        <v/>
      </c>
      <c r="C138">
        <f>H137</f>
        <v/>
      </c>
      <c r="D138">
        <f>C138*Plan!D6/100/12</f>
        <v/>
      </c>
      <c r="E138">
        <f>MIN(Plan!E6,C138+D138)</f>
        <v/>
      </c>
      <c r="F138">
        <f>C138+D138-E138</f>
        <v/>
      </c>
      <c r="G138">
        <f>MIN(F138,MAX(0,$B138-((K$5&lt;E$5)*L138+(Q$5&lt;E$5)*R138+(W$5&lt;E$5)*X138+(AC$5&lt;E$5)*AD138+(AI$5&lt;E$5)*AJ138+(AO$5&lt;E$5)*AP138+(AU$5&lt;E$5)*AV138)))</f>
        <v/>
      </c>
      <c r="H138">
        <f>IF(F138-G138&lt;0.005,0,F138-G138)</f>
        <v/>
      </c>
      <c r="I138">
        <f>N137</f>
        <v/>
      </c>
      <c r="J138">
        <f>I138*Plan!D7/100/12</f>
        <v/>
      </c>
      <c r="K138">
        <f>MIN(Plan!E7,I138+J138)</f>
        <v/>
      </c>
      <c r="L138">
        <f>I138+J138-K138</f>
        <v/>
      </c>
      <c r="M138">
        <f>MIN(L138,MAX(0,$B138-((E$5&lt;K$5)*F138+(Q$5&lt;K$5)*R138+(W$5&lt;K$5)*X138+(AC$5&lt;K$5)*AD138+(AI$5&lt;K$5)*AJ138+(AO$5&lt;K$5)*AP138+(AU$5&lt;K$5)*AV138)))</f>
        <v/>
      </c>
      <c r="N138">
        <f>IF(L138-M138&lt;0.005,0,L138-M138)</f>
        <v/>
      </c>
      <c r="O138">
        <f>T137</f>
        <v/>
      </c>
      <c r="P138">
        <f>O138*Plan!D8/100/12</f>
        <v/>
      </c>
      <c r="Q138">
        <f>MIN(Plan!E8,O138+P138)</f>
        <v/>
      </c>
      <c r="R138">
        <f>O138+P138-Q138</f>
        <v/>
      </c>
      <c r="S138">
        <f>MIN(R138,MAX(0,$B138-((E$5&lt;Q$5)*F138+(K$5&lt;Q$5)*L138+(W$5&lt;Q$5)*X138+(AC$5&lt;Q$5)*AD138+(AI$5&lt;Q$5)*AJ138+(AO$5&lt;Q$5)*AP138+(AU$5&lt;Q$5)*AV138)))</f>
        <v/>
      </c>
      <c r="T138">
        <f>IF(R138-S138&lt;0.005,0,R138-S138)</f>
        <v/>
      </c>
      <c r="U138">
        <f>Z137</f>
        <v/>
      </c>
      <c r="V138">
        <f>U138*Plan!D9/100/12</f>
        <v/>
      </c>
      <c r="W138">
        <f>MIN(Plan!E9,U138+V138)</f>
        <v/>
      </c>
      <c r="X138">
        <f>U138+V138-W138</f>
        <v/>
      </c>
      <c r="Y138">
        <f>MIN(X138,MAX(0,$B138-((E$5&lt;W$5)*F138+(K$5&lt;W$5)*L138+(Q$5&lt;W$5)*R138+(AC$5&lt;W$5)*AD138+(AI$5&lt;W$5)*AJ138+(AO$5&lt;W$5)*AP138+(AU$5&lt;W$5)*AV138)))</f>
        <v/>
      </c>
      <c r="Z138">
        <f>IF(X138-Y138&lt;0.005,0,X138-Y138)</f>
        <v/>
      </c>
      <c r="AA138">
        <f>AF137</f>
        <v/>
      </c>
      <c r="AB138">
        <f>AA138*Plan!D10/100/12</f>
        <v/>
      </c>
      <c r="AC138">
        <f>MIN(Plan!E10,AA138+AB138)</f>
        <v/>
      </c>
      <c r="AD138">
        <f>AA138+AB138-AC138</f>
        <v/>
      </c>
      <c r="AE138">
        <f>MIN(AD138,MAX(0,$B138-((E$5&lt;AC$5)*F138+(K$5&lt;AC$5)*L138+(Q$5&lt;AC$5)*R138+(W$5&lt;AC$5)*X138+(AI$5&lt;AC$5)*AJ138+(AO$5&lt;AC$5)*AP138+(AU$5&lt;AC$5)*AV138)))</f>
        <v/>
      </c>
      <c r="AF138">
        <f>IF(AD138-AE138&lt;0.005,0,AD138-AE138)</f>
        <v/>
      </c>
      <c r="AG138">
        <f>AL137</f>
        <v/>
      </c>
      <c r="AH138">
        <f>AG138*Plan!D11/100/12</f>
        <v/>
      </c>
      <c r="AI138">
        <f>MIN(Plan!E11,AG138+AH138)</f>
        <v/>
      </c>
      <c r="AJ138">
        <f>AG138+AH138-AI138</f>
        <v/>
      </c>
      <c r="AK138">
        <f>MIN(AJ138,MAX(0,$B138-((E$5&lt;AI$5)*F138+(K$5&lt;AI$5)*L138+(Q$5&lt;AI$5)*R138+(W$5&lt;AI$5)*X138+(AC$5&lt;AI$5)*AD138+(AO$5&lt;AI$5)*AP138+(AU$5&lt;AI$5)*AV138)))</f>
        <v/>
      </c>
      <c r="AL138">
        <f>IF(AJ138-AK138&lt;0.005,0,AJ138-AK138)</f>
        <v/>
      </c>
      <c r="AM138">
        <f>AR137</f>
        <v/>
      </c>
      <c r="AN138">
        <f>AM138*Plan!D12/100/12</f>
        <v/>
      </c>
      <c r="AO138">
        <f>MIN(Plan!E12,AM138+AN138)</f>
        <v/>
      </c>
      <c r="AP138">
        <f>AM138+AN138-AO138</f>
        <v/>
      </c>
      <c r="AQ138">
        <f>MIN(AP138,MAX(0,$B138-((E$5&lt;AO$5)*F138+(K$5&lt;AO$5)*L138+(Q$5&lt;AO$5)*R138+(W$5&lt;AO$5)*X138+(AC$5&lt;AO$5)*AD138+(AI$5&lt;AO$5)*AJ138+(AU$5&lt;AO$5)*AV138)))</f>
        <v/>
      </c>
      <c r="AR138">
        <f>IF(AP138-AQ138&lt;0.005,0,AP138-AQ138)</f>
        <v/>
      </c>
      <c r="AS138">
        <f>AX137</f>
        <v/>
      </c>
      <c r="AT138">
        <f>AS138*Plan!D13/100/12</f>
        <v/>
      </c>
      <c r="AU138">
        <f>MIN(Plan!E13,AS138+AT138)</f>
        <v/>
      </c>
      <c r="AV138">
        <f>AS138+AT138-AU138</f>
        <v/>
      </c>
      <c r="AW138">
        <f>MIN(AV138,MAX(0,$B138-((E$5&lt;AU$5)*F138+(K$5&lt;AU$5)*L138+(Q$5&lt;AU$5)*R138+(W$5&lt;AU$5)*X138+(AC$5&lt;AU$5)*AD138+(AI$5&lt;AU$5)*AJ138+(AO$5&lt;AU$5)*AP138)))</f>
        <v/>
      </c>
      <c r="AX138">
        <f>IF(AV138-AW138&lt;0.005,0,AV138-AW138)</f>
        <v/>
      </c>
      <c r="BC138">
        <f>H138+N138+T138+Z138+AF138+AL138+AR138+AX138</f>
        <v/>
      </c>
    </row>
    <row r="139">
      <c r="A139" t="n">
        <v>133</v>
      </c>
      <c r="B139" s="19">
        <f>MAX(0,$B$3-(E139+K139+Q139+W139+AC139+AI139+AO139+AU139))</f>
        <v/>
      </c>
      <c r="C139">
        <f>H138</f>
        <v/>
      </c>
      <c r="D139">
        <f>C139*Plan!D6/100/12</f>
        <v/>
      </c>
      <c r="E139">
        <f>MIN(Plan!E6,C139+D139)</f>
        <v/>
      </c>
      <c r="F139">
        <f>C139+D139-E139</f>
        <v/>
      </c>
      <c r="G139">
        <f>MIN(F139,MAX(0,$B139-((K$5&lt;E$5)*L139+(Q$5&lt;E$5)*R139+(W$5&lt;E$5)*X139+(AC$5&lt;E$5)*AD139+(AI$5&lt;E$5)*AJ139+(AO$5&lt;E$5)*AP139+(AU$5&lt;E$5)*AV139)))</f>
        <v/>
      </c>
      <c r="H139">
        <f>IF(F139-G139&lt;0.005,0,F139-G139)</f>
        <v/>
      </c>
      <c r="I139">
        <f>N138</f>
        <v/>
      </c>
      <c r="J139">
        <f>I139*Plan!D7/100/12</f>
        <v/>
      </c>
      <c r="K139">
        <f>MIN(Plan!E7,I139+J139)</f>
        <v/>
      </c>
      <c r="L139">
        <f>I139+J139-K139</f>
        <v/>
      </c>
      <c r="M139">
        <f>MIN(L139,MAX(0,$B139-((E$5&lt;K$5)*F139+(Q$5&lt;K$5)*R139+(W$5&lt;K$5)*X139+(AC$5&lt;K$5)*AD139+(AI$5&lt;K$5)*AJ139+(AO$5&lt;K$5)*AP139+(AU$5&lt;K$5)*AV139)))</f>
        <v/>
      </c>
      <c r="N139">
        <f>IF(L139-M139&lt;0.005,0,L139-M139)</f>
        <v/>
      </c>
      <c r="O139">
        <f>T138</f>
        <v/>
      </c>
      <c r="P139">
        <f>O139*Plan!D8/100/12</f>
        <v/>
      </c>
      <c r="Q139">
        <f>MIN(Plan!E8,O139+P139)</f>
        <v/>
      </c>
      <c r="R139">
        <f>O139+P139-Q139</f>
        <v/>
      </c>
      <c r="S139">
        <f>MIN(R139,MAX(0,$B139-((E$5&lt;Q$5)*F139+(K$5&lt;Q$5)*L139+(W$5&lt;Q$5)*X139+(AC$5&lt;Q$5)*AD139+(AI$5&lt;Q$5)*AJ139+(AO$5&lt;Q$5)*AP139+(AU$5&lt;Q$5)*AV139)))</f>
        <v/>
      </c>
      <c r="T139">
        <f>IF(R139-S139&lt;0.005,0,R139-S139)</f>
        <v/>
      </c>
      <c r="U139">
        <f>Z138</f>
        <v/>
      </c>
      <c r="V139">
        <f>U139*Plan!D9/100/12</f>
        <v/>
      </c>
      <c r="W139">
        <f>MIN(Plan!E9,U139+V139)</f>
        <v/>
      </c>
      <c r="X139">
        <f>U139+V139-W139</f>
        <v/>
      </c>
      <c r="Y139">
        <f>MIN(X139,MAX(0,$B139-((E$5&lt;W$5)*F139+(K$5&lt;W$5)*L139+(Q$5&lt;W$5)*R139+(AC$5&lt;W$5)*AD139+(AI$5&lt;W$5)*AJ139+(AO$5&lt;W$5)*AP139+(AU$5&lt;W$5)*AV139)))</f>
        <v/>
      </c>
      <c r="Z139">
        <f>IF(X139-Y139&lt;0.005,0,X139-Y139)</f>
        <v/>
      </c>
      <c r="AA139">
        <f>AF138</f>
        <v/>
      </c>
      <c r="AB139">
        <f>AA139*Plan!D10/100/12</f>
        <v/>
      </c>
      <c r="AC139">
        <f>MIN(Plan!E10,AA139+AB139)</f>
        <v/>
      </c>
      <c r="AD139">
        <f>AA139+AB139-AC139</f>
        <v/>
      </c>
      <c r="AE139">
        <f>MIN(AD139,MAX(0,$B139-((E$5&lt;AC$5)*F139+(K$5&lt;AC$5)*L139+(Q$5&lt;AC$5)*R139+(W$5&lt;AC$5)*X139+(AI$5&lt;AC$5)*AJ139+(AO$5&lt;AC$5)*AP139+(AU$5&lt;AC$5)*AV139)))</f>
        <v/>
      </c>
      <c r="AF139">
        <f>IF(AD139-AE139&lt;0.005,0,AD139-AE139)</f>
        <v/>
      </c>
      <c r="AG139">
        <f>AL138</f>
        <v/>
      </c>
      <c r="AH139">
        <f>AG139*Plan!D11/100/12</f>
        <v/>
      </c>
      <c r="AI139">
        <f>MIN(Plan!E11,AG139+AH139)</f>
        <v/>
      </c>
      <c r="AJ139">
        <f>AG139+AH139-AI139</f>
        <v/>
      </c>
      <c r="AK139">
        <f>MIN(AJ139,MAX(0,$B139-((E$5&lt;AI$5)*F139+(K$5&lt;AI$5)*L139+(Q$5&lt;AI$5)*R139+(W$5&lt;AI$5)*X139+(AC$5&lt;AI$5)*AD139+(AO$5&lt;AI$5)*AP139+(AU$5&lt;AI$5)*AV139)))</f>
        <v/>
      </c>
      <c r="AL139">
        <f>IF(AJ139-AK139&lt;0.005,0,AJ139-AK139)</f>
        <v/>
      </c>
      <c r="AM139">
        <f>AR138</f>
        <v/>
      </c>
      <c r="AN139">
        <f>AM139*Plan!D12/100/12</f>
        <v/>
      </c>
      <c r="AO139">
        <f>MIN(Plan!E12,AM139+AN139)</f>
        <v/>
      </c>
      <c r="AP139">
        <f>AM139+AN139-AO139</f>
        <v/>
      </c>
      <c r="AQ139">
        <f>MIN(AP139,MAX(0,$B139-((E$5&lt;AO$5)*F139+(K$5&lt;AO$5)*L139+(Q$5&lt;AO$5)*R139+(W$5&lt;AO$5)*X139+(AC$5&lt;AO$5)*AD139+(AI$5&lt;AO$5)*AJ139+(AU$5&lt;AO$5)*AV139)))</f>
        <v/>
      </c>
      <c r="AR139">
        <f>IF(AP139-AQ139&lt;0.005,0,AP139-AQ139)</f>
        <v/>
      </c>
      <c r="AS139">
        <f>AX138</f>
        <v/>
      </c>
      <c r="AT139">
        <f>AS139*Plan!D13/100/12</f>
        <v/>
      </c>
      <c r="AU139">
        <f>MIN(Plan!E13,AS139+AT139)</f>
        <v/>
      </c>
      <c r="AV139">
        <f>AS139+AT139-AU139</f>
        <v/>
      </c>
      <c r="AW139">
        <f>MIN(AV139,MAX(0,$B139-((E$5&lt;AU$5)*F139+(K$5&lt;AU$5)*L139+(Q$5&lt;AU$5)*R139+(W$5&lt;AU$5)*X139+(AC$5&lt;AU$5)*AD139+(AI$5&lt;AU$5)*AJ139+(AO$5&lt;AU$5)*AP139)))</f>
        <v/>
      </c>
      <c r="AX139">
        <f>IF(AV139-AW139&lt;0.005,0,AV139-AW139)</f>
        <v/>
      </c>
      <c r="BC139">
        <f>H139+N139+T139+Z139+AF139+AL139+AR139+AX139</f>
        <v/>
      </c>
    </row>
    <row r="140">
      <c r="A140" t="n">
        <v>134</v>
      </c>
      <c r="B140" s="19">
        <f>MAX(0,$B$3-(E140+K140+Q140+W140+AC140+AI140+AO140+AU140))</f>
        <v/>
      </c>
      <c r="C140">
        <f>H139</f>
        <v/>
      </c>
      <c r="D140">
        <f>C140*Plan!D6/100/12</f>
        <v/>
      </c>
      <c r="E140">
        <f>MIN(Plan!E6,C140+D140)</f>
        <v/>
      </c>
      <c r="F140">
        <f>C140+D140-E140</f>
        <v/>
      </c>
      <c r="G140">
        <f>MIN(F140,MAX(0,$B140-((K$5&lt;E$5)*L140+(Q$5&lt;E$5)*R140+(W$5&lt;E$5)*X140+(AC$5&lt;E$5)*AD140+(AI$5&lt;E$5)*AJ140+(AO$5&lt;E$5)*AP140+(AU$5&lt;E$5)*AV140)))</f>
        <v/>
      </c>
      <c r="H140">
        <f>IF(F140-G140&lt;0.005,0,F140-G140)</f>
        <v/>
      </c>
      <c r="I140">
        <f>N139</f>
        <v/>
      </c>
      <c r="J140">
        <f>I140*Plan!D7/100/12</f>
        <v/>
      </c>
      <c r="K140">
        <f>MIN(Plan!E7,I140+J140)</f>
        <v/>
      </c>
      <c r="L140">
        <f>I140+J140-K140</f>
        <v/>
      </c>
      <c r="M140">
        <f>MIN(L140,MAX(0,$B140-((E$5&lt;K$5)*F140+(Q$5&lt;K$5)*R140+(W$5&lt;K$5)*X140+(AC$5&lt;K$5)*AD140+(AI$5&lt;K$5)*AJ140+(AO$5&lt;K$5)*AP140+(AU$5&lt;K$5)*AV140)))</f>
        <v/>
      </c>
      <c r="N140">
        <f>IF(L140-M140&lt;0.005,0,L140-M140)</f>
        <v/>
      </c>
      <c r="O140">
        <f>T139</f>
        <v/>
      </c>
      <c r="P140">
        <f>O140*Plan!D8/100/12</f>
        <v/>
      </c>
      <c r="Q140">
        <f>MIN(Plan!E8,O140+P140)</f>
        <v/>
      </c>
      <c r="R140">
        <f>O140+P140-Q140</f>
        <v/>
      </c>
      <c r="S140">
        <f>MIN(R140,MAX(0,$B140-((E$5&lt;Q$5)*F140+(K$5&lt;Q$5)*L140+(W$5&lt;Q$5)*X140+(AC$5&lt;Q$5)*AD140+(AI$5&lt;Q$5)*AJ140+(AO$5&lt;Q$5)*AP140+(AU$5&lt;Q$5)*AV140)))</f>
        <v/>
      </c>
      <c r="T140">
        <f>IF(R140-S140&lt;0.005,0,R140-S140)</f>
        <v/>
      </c>
      <c r="U140">
        <f>Z139</f>
        <v/>
      </c>
      <c r="V140">
        <f>U140*Plan!D9/100/12</f>
        <v/>
      </c>
      <c r="W140">
        <f>MIN(Plan!E9,U140+V140)</f>
        <v/>
      </c>
      <c r="X140">
        <f>U140+V140-W140</f>
        <v/>
      </c>
      <c r="Y140">
        <f>MIN(X140,MAX(0,$B140-((E$5&lt;W$5)*F140+(K$5&lt;W$5)*L140+(Q$5&lt;W$5)*R140+(AC$5&lt;W$5)*AD140+(AI$5&lt;W$5)*AJ140+(AO$5&lt;W$5)*AP140+(AU$5&lt;W$5)*AV140)))</f>
        <v/>
      </c>
      <c r="Z140">
        <f>IF(X140-Y140&lt;0.005,0,X140-Y140)</f>
        <v/>
      </c>
      <c r="AA140">
        <f>AF139</f>
        <v/>
      </c>
      <c r="AB140">
        <f>AA140*Plan!D10/100/12</f>
        <v/>
      </c>
      <c r="AC140">
        <f>MIN(Plan!E10,AA140+AB140)</f>
        <v/>
      </c>
      <c r="AD140">
        <f>AA140+AB140-AC140</f>
        <v/>
      </c>
      <c r="AE140">
        <f>MIN(AD140,MAX(0,$B140-((E$5&lt;AC$5)*F140+(K$5&lt;AC$5)*L140+(Q$5&lt;AC$5)*R140+(W$5&lt;AC$5)*X140+(AI$5&lt;AC$5)*AJ140+(AO$5&lt;AC$5)*AP140+(AU$5&lt;AC$5)*AV140)))</f>
        <v/>
      </c>
      <c r="AF140">
        <f>IF(AD140-AE140&lt;0.005,0,AD140-AE140)</f>
        <v/>
      </c>
      <c r="AG140">
        <f>AL139</f>
        <v/>
      </c>
      <c r="AH140">
        <f>AG140*Plan!D11/100/12</f>
        <v/>
      </c>
      <c r="AI140">
        <f>MIN(Plan!E11,AG140+AH140)</f>
        <v/>
      </c>
      <c r="AJ140">
        <f>AG140+AH140-AI140</f>
        <v/>
      </c>
      <c r="AK140">
        <f>MIN(AJ140,MAX(0,$B140-((E$5&lt;AI$5)*F140+(K$5&lt;AI$5)*L140+(Q$5&lt;AI$5)*R140+(W$5&lt;AI$5)*X140+(AC$5&lt;AI$5)*AD140+(AO$5&lt;AI$5)*AP140+(AU$5&lt;AI$5)*AV140)))</f>
        <v/>
      </c>
      <c r="AL140">
        <f>IF(AJ140-AK140&lt;0.005,0,AJ140-AK140)</f>
        <v/>
      </c>
      <c r="AM140">
        <f>AR139</f>
        <v/>
      </c>
      <c r="AN140">
        <f>AM140*Plan!D12/100/12</f>
        <v/>
      </c>
      <c r="AO140">
        <f>MIN(Plan!E12,AM140+AN140)</f>
        <v/>
      </c>
      <c r="AP140">
        <f>AM140+AN140-AO140</f>
        <v/>
      </c>
      <c r="AQ140">
        <f>MIN(AP140,MAX(0,$B140-((E$5&lt;AO$5)*F140+(K$5&lt;AO$5)*L140+(Q$5&lt;AO$5)*R140+(W$5&lt;AO$5)*X140+(AC$5&lt;AO$5)*AD140+(AI$5&lt;AO$5)*AJ140+(AU$5&lt;AO$5)*AV140)))</f>
        <v/>
      </c>
      <c r="AR140">
        <f>IF(AP140-AQ140&lt;0.005,0,AP140-AQ140)</f>
        <v/>
      </c>
      <c r="AS140">
        <f>AX139</f>
        <v/>
      </c>
      <c r="AT140">
        <f>AS140*Plan!D13/100/12</f>
        <v/>
      </c>
      <c r="AU140">
        <f>MIN(Plan!E13,AS140+AT140)</f>
        <v/>
      </c>
      <c r="AV140">
        <f>AS140+AT140-AU140</f>
        <v/>
      </c>
      <c r="AW140">
        <f>MIN(AV140,MAX(0,$B140-((E$5&lt;AU$5)*F140+(K$5&lt;AU$5)*L140+(Q$5&lt;AU$5)*R140+(W$5&lt;AU$5)*X140+(AC$5&lt;AU$5)*AD140+(AI$5&lt;AU$5)*AJ140+(AO$5&lt;AU$5)*AP140)))</f>
        <v/>
      </c>
      <c r="AX140">
        <f>IF(AV140-AW140&lt;0.005,0,AV140-AW140)</f>
        <v/>
      </c>
      <c r="BC140">
        <f>H140+N140+T140+Z140+AF140+AL140+AR140+AX140</f>
        <v/>
      </c>
    </row>
    <row r="141">
      <c r="A141" t="n">
        <v>135</v>
      </c>
      <c r="B141" s="19">
        <f>MAX(0,$B$3-(E141+K141+Q141+W141+AC141+AI141+AO141+AU141))</f>
        <v/>
      </c>
      <c r="C141">
        <f>H140</f>
        <v/>
      </c>
      <c r="D141">
        <f>C141*Plan!D6/100/12</f>
        <v/>
      </c>
      <c r="E141">
        <f>MIN(Plan!E6,C141+D141)</f>
        <v/>
      </c>
      <c r="F141">
        <f>C141+D141-E141</f>
        <v/>
      </c>
      <c r="G141">
        <f>MIN(F141,MAX(0,$B141-((K$5&lt;E$5)*L141+(Q$5&lt;E$5)*R141+(W$5&lt;E$5)*X141+(AC$5&lt;E$5)*AD141+(AI$5&lt;E$5)*AJ141+(AO$5&lt;E$5)*AP141+(AU$5&lt;E$5)*AV141)))</f>
        <v/>
      </c>
      <c r="H141">
        <f>IF(F141-G141&lt;0.005,0,F141-G141)</f>
        <v/>
      </c>
      <c r="I141">
        <f>N140</f>
        <v/>
      </c>
      <c r="J141">
        <f>I141*Plan!D7/100/12</f>
        <v/>
      </c>
      <c r="K141">
        <f>MIN(Plan!E7,I141+J141)</f>
        <v/>
      </c>
      <c r="L141">
        <f>I141+J141-K141</f>
        <v/>
      </c>
      <c r="M141">
        <f>MIN(L141,MAX(0,$B141-((E$5&lt;K$5)*F141+(Q$5&lt;K$5)*R141+(W$5&lt;K$5)*X141+(AC$5&lt;K$5)*AD141+(AI$5&lt;K$5)*AJ141+(AO$5&lt;K$5)*AP141+(AU$5&lt;K$5)*AV141)))</f>
        <v/>
      </c>
      <c r="N141">
        <f>IF(L141-M141&lt;0.005,0,L141-M141)</f>
        <v/>
      </c>
      <c r="O141">
        <f>T140</f>
        <v/>
      </c>
      <c r="P141">
        <f>O141*Plan!D8/100/12</f>
        <v/>
      </c>
      <c r="Q141">
        <f>MIN(Plan!E8,O141+P141)</f>
        <v/>
      </c>
      <c r="R141">
        <f>O141+P141-Q141</f>
        <v/>
      </c>
      <c r="S141">
        <f>MIN(R141,MAX(0,$B141-((E$5&lt;Q$5)*F141+(K$5&lt;Q$5)*L141+(W$5&lt;Q$5)*X141+(AC$5&lt;Q$5)*AD141+(AI$5&lt;Q$5)*AJ141+(AO$5&lt;Q$5)*AP141+(AU$5&lt;Q$5)*AV141)))</f>
        <v/>
      </c>
      <c r="T141">
        <f>IF(R141-S141&lt;0.005,0,R141-S141)</f>
        <v/>
      </c>
      <c r="U141">
        <f>Z140</f>
        <v/>
      </c>
      <c r="V141">
        <f>U141*Plan!D9/100/12</f>
        <v/>
      </c>
      <c r="W141">
        <f>MIN(Plan!E9,U141+V141)</f>
        <v/>
      </c>
      <c r="X141">
        <f>U141+V141-W141</f>
        <v/>
      </c>
      <c r="Y141">
        <f>MIN(X141,MAX(0,$B141-((E$5&lt;W$5)*F141+(K$5&lt;W$5)*L141+(Q$5&lt;W$5)*R141+(AC$5&lt;W$5)*AD141+(AI$5&lt;W$5)*AJ141+(AO$5&lt;W$5)*AP141+(AU$5&lt;W$5)*AV141)))</f>
        <v/>
      </c>
      <c r="Z141">
        <f>IF(X141-Y141&lt;0.005,0,X141-Y141)</f>
        <v/>
      </c>
      <c r="AA141">
        <f>AF140</f>
        <v/>
      </c>
      <c r="AB141">
        <f>AA141*Plan!D10/100/12</f>
        <v/>
      </c>
      <c r="AC141">
        <f>MIN(Plan!E10,AA141+AB141)</f>
        <v/>
      </c>
      <c r="AD141">
        <f>AA141+AB141-AC141</f>
        <v/>
      </c>
      <c r="AE141">
        <f>MIN(AD141,MAX(0,$B141-((E$5&lt;AC$5)*F141+(K$5&lt;AC$5)*L141+(Q$5&lt;AC$5)*R141+(W$5&lt;AC$5)*X141+(AI$5&lt;AC$5)*AJ141+(AO$5&lt;AC$5)*AP141+(AU$5&lt;AC$5)*AV141)))</f>
        <v/>
      </c>
      <c r="AF141">
        <f>IF(AD141-AE141&lt;0.005,0,AD141-AE141)</f>
        <v/>
      </c>
      <c r="AG141">
        <f>AL140</f>
        <v/>
      </c>
      <c r="AH141">
        <f>AG141*Plan!D11/100/12</f>
        <v/>
      </c>
      <c r="AI141">
        <f>MIN(Plan!E11,AG141+AH141)</f>
        <v/>
      </c>
      <c r="AJ141">
        <f>AG141+AH141-AI141</f>
        <v/>
      </c>
      <c r="AK141">
        <f>MIN(AJ141,MAX(0,$B141-((E$5&lt;AI$5)*F141+(K$5&lt;AI$5)*L141+(Q$5&lt;AI$5)*R141+(W$5&lt;AI$5)*X141+(AC$5&lt;AI$5)*AD141+(AO$5&lt;AI$5)*AP141+(AU$5&lt;AI$5)*AV141)))</f>
        <v/>
      </c>
      <c r="AL141">
        <f>IF(AJ141-AK141&lt;0.005,0,AJ141-AK141)</f>
        <v/>
      </c>
      <c r="AM141">
        <f>AR140</f>
        <v/>
      </c>
      <c r="AN141">
        <f>AM141*Plan!D12/100/12</f>
        <v/>
      </c>
      <c r="AO141">
        <f>MIN(Plan!E12,AM141+AN141)</f>
        <v/>
      </c>
      <c r="AP141">
        <f>AM141+AN141-AO141</f>
        <v/>
      </c>
      <c r="AQ141">
        <f>MIN(AP141,MAX(0,$B141-((E$5&lt;AO$5)*F141+(K$5&lt;AO$5)*L141+(Q$5&lt;AO$5)*R141+(W$5&lt;AO$5)*X141+(AC$5&lt;AO$5)*AD141+(AI$5&lt;AO$5)*AJ141+(AU$5&lt;AO$5)*AV141)))</f>
        <v/>
      </c>
      <c r="AR141">
        <f>IF(AP141-AQ141&lt;0.005,0,AP141-AQ141)</f>
        <v/>
      </c>
      <c r="AS141">
        <f>AX140</f>
        <v/>
      </c>
      <c r="AT141">
        <f>AS141*Plan!D13/100/12</f>
        <v/>
      </c>
      <c r="AU141">
        <f>MIN(Plan!E13,AS141+AT141)</f>
        <v/>
      </c>
      <c r="AV141">
        <f>AS141+AT141-AU141</f>
        <v/>
      </c>
      <c r="AW141">
        <f>MIN(AV141,MAX(0,$B141-((E$5&lt;AU$5)*F141+(K$5&lt;AU$5)*L141+(Q$5&lt;AU$5)*R141+(W$5&lt;AU$5)*X141+(AC$5&lt;AU$5)*AD141+(AI$5&lt;AU$5)*AJ141+(AO$5&lt;AU$5)*AP141)))</f>
        <v/>
      </c>
      <c r="AX141">
        <f>IF(AV141-AW141&lt;0.005,0,AV141-AW141)</f>
        <v/>
      </c>
      <c r="BC141">
        <f>H141+N141+T141+Z141+AF141+AL141+AR141+AX141</f>
        <v/>
      </c>
    </row>
    <row r="142">
      <c r="A142" t="n">
        <v>136</v>
      </c>
      <c r="B142" s="19">
        <f>MAX(0,$B$3-(E142+K142+Q142+W142+AC142+AI142+AO142+AU142))</f>
        <v/>
      </c>
      <c r="C142">
        <f>H141</f>
        <v/>
      </c>
      <c r="D142">
        <f>C142*Plan!D6/100/12</f>
        <v/>
      </c>
      <c r="E142">
        <f>MIN(Plan!E6,C142+D142)</f>
        <v/>
      </c>
      <c r="F142">
        <f>C142+D142-E142</f>
        <v/>
      </c>
      <c r="G142">
        <f>MIN(F142,MAX(0,$B142-((K$5&lt;E$5)*L142+(Q$5&lt;E$5)*R142+(W$5&lt;E$5)*X142+(AC$5&lt;E$5)*AD142+(AI$5&lt;E$5)*AJ142+(AO$5&lt;E$5)*AP142+(AU$5&lt;E$5)*AV142)))</f>
        <v/>
      </c>
      <c r="H142">
        <f>IF(F142-G142&lt;0.005,0,F142-G142)</f>
        <v/>
      </c>
      <c r="I142">
        <f>N141</f>
        <v/>
      </c>
      <c r="J142">
        <f>I142*Plan!D7/100/12</f>
        <v/>
      </c>
      <c r="K142">
        <f>MIN(Plan!E7,I142+J142)</f>
        <v/>
      </c>
      <c r="L142">
        <f>I142+J142-K142</f>
        <v/>
      </c>
      <c r="M142">
        <f>MIN(L142,MAX(0,$B142-((E$5&lt;K$5)*F142+(Q$5&lt;K$5)*R142+(W$5&lt;K$5)*X142+(AC$5&lt;K$5)*AD142+(AI$5&lt;K$5)*AJ142+(AO$5&lt;K$5)*AP142+(AU$5&lt;K$5)*AV142)))</f>
        <v/>
      </c>
      <c r="N142">
        <f>IF(L142-M142&lt;0.005,0,L142-M142)</f>
        <v/>
      </c>
      <c r="O142">
        <f>T141</f>
        <v/>
      </c>
      <c r="P142">
        <f>O142*Plan!D8/100/12</f>
        <v/>
      </c>
      <c r="Q142">
        <f>MIN(Plan!E8,O142+P142)</f>
        <v/>
      </c>
      <c r="R142">
        <f>O142+P142-Q142</f>
        <v/>
      </c>
      <c r="S142">
        <f>MIN(R142,MAX(0,$B142-((E$5&lt;Q$5)*F142+(K$5&lt;Q$5)*L142+(W$5&lt;Q$5)*X142+(AC$5&lt;Q$5)*AD142+(AI$5&lt;Q$5)*AJ142+(AO$5&lt;Q$5)*AP142+(AU$5&lt;Q$5)*AV142)))</f>
        <v/>
      </c>
      <c r="T142">
        <f>IF(R142-S142&lt;0.005,0,R142-S142)</f>
        <v/>
      </c>
      <c r="U142">
        <f>Z141</f>
        <v/>
      </c>
      <c r="V142">
        <f>U142*Plan!D9/100/12</f>
        <v/>
      </c>
      <c r="W142">
        <f>MIN(Plan!E9,U142+V142)</f>
        <v/>
      </c>
      <c r="X142">
        <f>U142+V142-W142</f>
        <v/>
      </c>
      <c r="Y142">
        <f>MIN(X142,MAX(0,$B142-((E$5&lt;W$5)*F142+(K$5&lt;W$5)*L142+(Q$5&lt;W$5)*R142+(AC$5&lt;W$5)*AD142+(AI$5&lt;W$5)*AJ142+(AO$5&lt;W$5)*AP142+(AU$5&lt;W$5)*AV142)))</f>
        <v/>
      </c>
      <c r="Z142">
        <f>IF(X142-Y142&lt;0.005,0,X142-Y142)</f>
        <v/>
      </c>
      <c r="AA142">
        <f>AF141</f>
        <v/>
      </c>
      <c r="AB142">
        <f>AA142*Plan!D10/100/12</f>
        <v/>
      </c>
      <c r="AC142">
        <f>MIN(Plan!E10,AA142+AB142)</f>
        <v/>
      </c>
      <c r="AD142">
        <f>AA142+AB142-AC142</f>
        <v/>
      </c>
      <c r="AE142">
        <f>MIN(AD142,MAX(0,$B142-((E$5&lt;AC$5)*F142+(K$5&lt;AC$5)*L142+(Q$5&lt;AC$5)*R142+(W$5&lt;AC$5)*X142+(AI$5&lt;AC$5)*AJ142+(AO$5&lt;AC$5)*AP142+(AU$5&lt;AC$5)*AV142)))</f>
        <v/>
      </c>
      <c r="AF142">
        <f>IF(AD142-AE142&lt;0.005,0,AD142-AE142)</f>
        <v/>
      </c>
      <c r="AG142">
        <f>AL141</f>
        <v/>
      </c>
      <c r="AH142">
        <f>AG142*Plan!D11/100/12</f>
        <v/>
      </c>
      <c r="AI142">
        <f>MIN(Plan!E11,AG142+AH142)</f>
        <v/>
      </c>
      <c r="AJ142">
        <f>AG142+AH142-AI142</f>
        <v/>
      </c>
      <c r="AK142">
        <f>MIN(AJ142,MAX(0,$B142-((E$5&lt;AI$5)*F142+(K$5&lt;AI$5)*L142+(Q$5&lt;AI$5)*R142+(W$5&lt;AI$5)*X142+(AC$5&lt;AI$5)*AD142+(AO$5&lt;AI$5)*AP142+(AU$5&lt;AI$5)*AV142)))</f>
        <v/>
      </c>
      <c r="AL142">
        <f>IF(AJ142-AK142&lt;0.005,0,AJ142-AK142)</f>
        <v/>
      </c>
      <c r="AM142">
        <f>AR141</f>
        <v/>
      </c>
      <c r="AN142">
        <f>AM142*Plan!D12/100/12</f>
        <v/>
      </c>
      <c r="AO142">
        <f>MIN(Plan!E12,AM142+AN142)</f>
        <v/>
      </c>
      <c r="AP142">
        <f>AM142+AN142-AO142</f>
        <v/>
      </c>
      <c r="AQ142">
        <f>MIN(AP142,MAX(0,$B142-((E$5&lt;AO$5)*F142+(K$5&lt;AO$5)*L142+(Q$5&lt;AO$5)*R142+(W$5&lt;AO$5)*X142+(AC$5&lt;AO$5)*AD142+(AI$5&lt;AO$5)*AJ142+(AU$5&lt;AO$5)*AV142)))</f>
        <v/>
      </c>
      <c r="AR142">
        <f>IF(AP142-AQ142&lt;0.005,0,AP142-AQ142)</f>
        <v/>
      </c>
      <c r="AS142">
        <f>AX141</f>
        <v/>
      </c>
      <c r="AT142">
        <f>AS142*Plan!D13/100/12</f>
        <v/>
      </c>
      <c r="AU142">
        <f>MIN(Plan!E13,AS142+AT142)</f>
        <v/>
      </c>
      <c r="AV142">
        <f>AS142+AT142-AU142</f>
        <v/>
      </c>
      <c r="AW142">
        <f>MIN(AV142,MAX(0,$B142-((E$5&lt;AU$5)*F142+(K$5&lt;AU$5)*L142+(Q$5&lt;AU$5)*R142+(W$5&lt;AU$5)*X142+(AC$5&lt;AU$5)*AD142+(AI$5&lt;AU$5)*AJ142+(AO$5&lt;AU$5)*AP142)))</f>
        <v/>
      </c>
      <c r="AX142">
        <f>IF(AV142-AW142&lt;0.005,0,AV142-AW142)</f>
        <v/>
      </c>
      <c r="BC142">
        <f>H142+N142+T142+Z142+AF142+AL142+AR142+AX142</f>
        <v/>
      </c>
    </row>
    <row r="143">
      <c r="A143" t="n">
        <v>137</v>
      </c>
      <c r="B143" s="19">
        <f>MAX(0,$B$3-(E143+K143+Q143+W143+AC143+AI143+AO143+AU143))</f>
        <v/>
      </c>
      <c r="C143">
        <f>H142</f>
        <v/>
      </c>
      <c r="D143">
        <f>C143*Plan!D6/100/12</f>
        <v/>
      </c>
      <c r="E143">
        <f>MIN(Plan!E6,C143+D143)</f>
        <v/>
      </c>
      <c r="F143">
        <f>C143+D143-E143</f>
        <v/>
      </c>
      <c r="G143">
        <f>MIN(F143,MAX(0,$B143-((K$5&lt;E$5)*L143+(Q$5&lt;E$5)*R143+(W$5&lt;E$5)*X143+(AC$5&lt;E$5)*AD143+(AI$5&lt;E$5)*AJ143+(AO$5&lt;E$5)*AP143+(AU$5&lt;E$5)*AV143)))</f>
        <v/>
      </c>
      <c r="H143">
        <f>IF(F143-G143&lt;0.005,0,F143-G143)</f>
        <v/>
      </c>
      <c r="I143">
        <f>N142</f>
        <v/>
      </c>
      <c r="J143">
        <f>I143*Plan!D7/100/12</f>
        <v/>
      </c>
      <c r="K143">
        <f>MIN(Plan!E7,I143+J143)</f>
        <v/>
      </c>
      <c r="L143">
        <f>I143+J143-K143</f>
        <v/>
      </c>
      <c r="M143">
        <f>MIN(L143,MAX(0,$B143-((E$5&lt;K$5)*F143+(Q$5&lt;K$5)*R143+(W$5&lt;K$5)*X143+(AC$5&lt;K$5)*AD143+(AI$5&lt;K$5)*AJ143+(AO$5&lt;K$5)*AP143+(AU$5&lt;K$5)*AV143)))</f>
        <v/>
      </c>
      <c r="N143">
        <f>IF(L143-M143&lt;0.005,0,L143-M143)</f>
        <v/>
      </c>
      <c r="O143">
        <f>T142</f>
        <v/>
      </c>
      <c r="P143">
        <f>O143*Plan!D8/100/12</f>
        <v/>
      </c>
      <c r="Q143">
        <f>MIN(Plan!E8,O143+P143)</f>
        <v/>
      </c>
      <c r="R143">
        <f>O143+P143-Q143</f>
        <v/>
      </c>
      <c r="S143">
        <f>MIN(R143,MAX(0,$B143-((E$5&lt;Q$5)*F143+(K$5&lt;Q$5)*L143+(W$5&lt;Q$5)*X143+(AC$5&lt;Q$5)*AD143+(AI$5&lt;Q$5)*AJ143+(AO$5&lt;Q$5)*AP143+(AU$5&lt;Q$5)*AV143)))</f>
        <v/>
      </c>
      <c r="T143">
        <f>IF(R143-S143&lt;0.005,0,R143-S143)</f>
        <v/>
      </c>
      <c r="U143">
        <f>Z142</f>
        <v/>
      </c>
      <c r="V143">
        <f>U143*Plan!D9/100/12</f>
        <v/>
      </c>
      <c r="W143">
        <f>MIN(Plan!E9,U143+V143)</f>
        <v/>
      </c>
      <c r="X143">
        <f>U143+V143-W143</f>
        <v/>
      </c>
      <c r="Y143">
        <f>MIN(X143,MAX(0,$B143-((E$5&lt;W$5)*F143+(K$5&lt;W$5)*L143+(Q$5&lt;W$5)*R143+(AC$5&lt;W$5)*AD143+(AI$5&lt;W$5)*AJ143+(AO$5&lt;W$5)*AP143+(AU$5&lt;W$5)*AV143)))</f>
        <v/>
      </c>
      <c r="Z143">
        <f>IF(X143-Y143&lt;0.005,0,X143-Y143)</f>
        <v/>
      </c>
      <c r="AA143">
        <f>AF142</f>
        <v/>
      </c>
      <c r="AB143">
        <f>AA143*Plan!D10/100/12</f>
        <v/>
      </c>
      <c r="AC143">
        <f>MIN(Plan!E10,AA143+AB143)</f>
        <v/>
      </c>
      <c r="AD143">
        <f>AA143+AB143-AC143</f>
        <v/>
      </c>
      <c r="AE143">
        <f>MIN(AD143,MAX(0,$B143-((E$5&lt;AC$5)*F143+(K$5&lt;AC$5)*L143+(Q$5&lt;AC$5)*R143+(W$5&lt;AC$5)*X143+(AI$5&lt;AC$5)*AJ143+(AO$5&lt;AC$5)*AP143+(AU$5&lt;AC$5)*AV143)))</f>
        <v/>
      </c>
      <c r="AF143">
        <f>IF(AD143-AE143&lt;0.005,0,AD143-AE143)</f>
        <v/>
      </c>
      <c r="AG143">
        <f>AL142</f>
        <v/>
      </c>
      <c r="AH143">
        <f>AG143*Plan!D11/100/12</f>
        <v/>
      </c>
      <c r="AI143">
        <f>MIN(Plan!E11,AG143+AH143)</f>
        <v/>
      </c>
      <c r="AJ143">
        <f>AG143+AH143-AI143</f>
        <v/>
      </c>
      <c r="AK143">
        <f>MIN(AJ143,MAX(0,$B143-((E$5&lt;AI$5)*F143+(K$5&lt;AI$5)*L143+(Q$5&lt;AI$5)*R143+(W$5&lt;AI$5)*X143+(AC$5&lt;AI$5)*AD143+(AO$5&lt;AI$5)*AP143+(AU$5&lt;AI$5)*AV143)))</f>
        <v/>
      </c>
      <c r="AL143">
        <f>IF(AJ143-AK143&lt;0.005,0,AJ143-AK143)</f>
        <v/>
      </c>
      <c r="AM143">
        <f>AR142</f>
        <v/>
      </c>
      <c r="AN143">
        <f>AM143*Plan!D12/100/12</f>
        <v/>
      </c>
      <c r="AO143">
        <f>MIN(Plan!E12,AM143+AN143)</f>
        <v/>
      </c>
      <c r="AP143">
        <f>AM143+AN143-AO143</f>
        <v/>
      </c>
      <c r="AQ143">
        <f>MIN(AP143,MAX(0,$B143-((E$5&lt;AO$5)*F143+(K$5&lt;AO$5)*L143+(Q$5&lt;AO$5)*R143+(W$5&lt;AO$5)*X143+(AC$5&lt;AO$5)*AD143+(AI$5&lt;AO$5)*AJ143+(AU$5&lt;AO$5)*AV143)))</f>
        <v/>
      </c>
      <c r="AR143">
        <f>IF(AP143-AQ143&lt;0.005,0,AP143-AQ143)</f>
        <v/>
      </c>
      <c r="AS143">
        <f>AX142</f>
        <v/>
      </c>
      <c r="AT143">
        <f>AS143*Plan!D13/100/12</f>
        <v/>
      </c>
      <c r="AU143">
        <f>MIN(Plan!E13,AS143+AT143)</f>
        <v/>
      </c>
      <c r="AV143">
        <f>AS143+AT143-AU143</f>
        <v/>
      </c>
      <c r="AW143">
        <f>MIN(AV143,MAX(0,$B143-((E$5&lt;AU$5)*F143+(K$5&lt;AU$5)*L143+(Q$5&lt;AU$5)*R143+(W$5&lt;AU$5)*X143+(AC$5&lt;AU$5)*AD143+(AI$5&lt;AU$5)*AJ143+(AO$5&lt;AU$5)*AP143)))</f>
        <v/>
      </c>
      <c r="AX143">
        <f>IF(AV143-AW143&lt;0.005,0,AV143-AW143)</f>
        <v/>
      </c>
      <c r="BC143">
        <f>H143+N143+T143+Z143+AF143+AL143+AR143+AX143</f>
        <v/>
      </c>
    </row>
    <row r="144">
      <c r="A144" t="n">
        <v>138</v>
      </c>
      <c r="B144" s="19">
        <f>MAX(0,$B$3-(E144+K144+Q144+W144+AC144+AI144+AO144+AU144))</f>
        <v/>
      </c>
      <c r="C144">
        <f>H143</f>
        <v/>
      </c>
      <c r="D144">
        <f>C144*Plan!D6/100/12</f>
        <v/>
      </c>
      <c r="E144">
        <f>MIN(Plan!E6,C144+D144)</f>
        <v/>
      </c>
      <c r="F144">
        <f>C144+D144-E144</f>
        <v/>
      </c>
      <c r="G144">
        <f>MIN(F144,MAX(0,$B144-((K$5&lt;E$5)*L144+(Q$5&lt;E$5)*R144+(W$5&lt;E$5)*X144+(AC$5&lt;E$5)*AD144+(AI$5&lt;E$5)*AJ144+(AO$5&lt;E$5)*AP144+(AU$5&lt;E$5)*AV144)))</f>
        <v/>
      </c>
      <c r="H144">
        <f>IF(F144-G144&lt;0.005,0,F144-G144)</f>
        <v/>
      </c>
      <c r="I144">
        <f>N143</f>
        <v/>
      </c>
      <c r="J144">
        <f>I144*Plan!D7/100/12</f>
        <v/>
      </c>
      <c r="K144">
        <f>MIN(Plan!E7,I144+J144)</f>
        <v/>
      </c>
      <c r="L144">
        <f>I144+J144-K144</f>
        <v/>
      </c>
      <c r="M144">
        <f>MIN(L144,MAX(0,$B144-((E$5&lt;K$5)*F144+(Q$5&lt;K$5)*R144+(W$5&lt;K$5)*X144+(AC$5&lt;K$5)*AD144+(AI$5&lt;K$5)*AJ144+(AO$5&lt;K$5)*AP144+(AU$5&lt;K$5)*AV144)))</f>
        <v/>
      </c>
      <c r="N144">
        <f>IF(L144-M144&lt;0.005,0,L144-M144)</f>
        <v/>
      </c>
      <c r="O144">
        <f>T143</f>
        <v/>
      </c>
      <c r="P144">
        <f>O144*Plan!D8/100/12</f>
        <v/>
      </c>
      <c r="Q144">
        <f>MIN(Plan!E8,O144+P144)</f>
        <v/>
      </c>
      <c r="R144">
        <f>O144+P144-Q144</f>
        <v/>
      </c>
      <c r="S144">
        <f>MIN(R144,MAX(0,$B144-((E$5&lt;Q$5)*F144+(K$5&lt;Q$5)*L144+(W$5&lt;Q$5)*X144+(AC$5&lt;Q$5)*AD144+(AI$5&lt;Q$5)*AJ144+(AO$5&lt;Q$5)*AP144+(AU$5&lt;Q$5)*AV144)))</f>
        <v/>
      </c>
      <c r="T144">
        <f>IF(R144-S144&lt;0.005,0,R144-S144)</f>
        <v/>
      </c>
      <c r="U144">
        <f>Z143</f>
        <v/>
      </c>
      <c r="V144">
        <f>U144*Plan!D9/100/12</f>
        <v/>
      </c>
      <c r="W144">
        <f>MIN(Plan!E9,U144+V144)</f>
        <v/>
      </c>
      <c r="X144">
        <f>U144+V144-W144</f>
        <v/>
      </c>
      <c r="Y144">
        <f>MIN(X144,MAX(0,$B144-((E$5&lt;W$5)*F144+(K$5&lt;W$5)*L144+(Q$5&lt;W$5)*R144+(AC$5&lt;W$5)*AD144+(AI$5&lt;W$5)*AJ144+(AO$5&lt;W$5)*AP144+(AU$5&lt;W$5)*AV144)))</f>
        <v/>
      </c>
      <c r="Z144">
        <f>IF(X144-Y144&lt;0.005,0,X144-Y144)</f>
        <v/>
      </c>
      <c r="AA144">
        <f>AF143</f>
        <v/>
      </c>
      <c r="AB144">
        <f>AA144*Plan!D10/100/12</f>
        <v/>
      </c>
      <c r="AC144">
        <f>MIN(Plan!E10,AA144+AB144)</f>
        <v/>
      </c>
      <c r="AD144">
        <f>AA144+AB144-AC144</f>
        <v/>
      </c>
      <c r="AE144">
        <f>MIN(AD144,MAX(0,$B144-((E$5&lt;AC$5)*F144+(K$5&lt;AC$5)*L144+(Q$5&lt;AC$5)*R144+(W$5&lt;AC$5)*X144+(AI$5&lt;AC$5)*AJ144+(AO$5&lt;AC$5)*AP144+(AU$5&lt;AC$5)*AV144)))</f>
        <v/>
      </c>
      <c r="AF144">
        <f>IF(AD144-AE144&lt;0.005,0,AD144-AE144)</f>
        <v/>
      </c>
      <c r="AG144">
        <f>AL143</f>
        <v/>
      </c>
      <c r="AH144">
        <f>AG144*Plan!D11/100/12</f>
        <v/>
      </c>
      <c r="AI144">
        <f>MIN(Plan!E11,AG144+AH144)</f>
        <v/>
      </c>
      <c r="AJ144">
        <f>AG144+AH144-AI144</f>
        <v/>
      </c>
      <c r="AK144">
        <f>MIN(AJ144,MAX(0,$B144-((E$5&lt;AI$5)*F144+(K$5&lt;AI$5)*L144+(Q$5&lt;AI$5)*R144+(W$5&lt;AI$5)*X144+(AC$5&lt;AI$5)*AD144+(AO$5&lt;AI$5)*AP144+(AU$5&lt;AI$5)*AV144)))</f>
        <v/>
      </c>
      <c r="AL144">
        <f>IF(AJ144-AK144&lt;0.005,0,AJ144-AK144)</f>
        <v/>
      </c>
      <c r="AM144">
        <f>AR143</f>
        <v/>
      </c>
      <c r="AN144">
        <f>AM144*Plan!D12/100/12</f>
        <v/>
      </c>
      <c r="AO144">
        <f>MIN(Plan!E12,AM144+AN144)</f>
        <v/>
      </c>
      <c r="AP144">
        <f>AM144+AN144-AO144</f>
        <v/>
      </c>
      <c r="AQ144">
        <f>MIN(AP144,MAX(0,$B144-((E$5&lt;AO$5)*F144+(K$5&lt;AO$5)*L144+(Q$5&lt;AO$5)*R144+(W$5&lt;AO$5)*X144+(AC$5&lt;AO$5)*AD144+(AI$5&lt;AO$5)*AJ144+(AU$5&lt;AO$5)*AV144)))</f>
        <v/>
      </c>
      <c r="AR144">
        <f>IF(AP144-AQ144&lt;0.005,0,AP144-AQ144)</f>
        <v/>
      </c>
      <c r="AS144">
        <f>AX143</f>
        <v/>
      </c>
      <c r="AT144">
        <f>AS144*Plan!D13/100/12</f>
        <v/>
      </c>
      <c r="AU144">
        <f>MIN(Plan!E13,AS144+AT144)</f>
        <v/>
      </c>
      <c r="AV144">
        <f>AS144+AT144-AU144</f>
        <v/>
      </c>
      <c r="AW144">
        <f>MIN(AV144,MAX(0,$B144-((E$5&lt;AU$5)*F144+(K$5&lt;AU$5)*L144+(Q$5&lt;AU$5)*R144+(W$5&lt;AU$5)*X144+(AC$5&lt;AU$5)*AD144+(AI$5&lt;AU$5)*AJ144+(AO$5&lt;AU$5)*AP144)))</f>
        <v/>
      </c>
      <c r="AX144">
        <f>IF(AV144-AW144&lt;0.005,0,AV144-AW144)</f>
        <v/>
      </c>
      <c r="BC144">
        <f>H144+N144+T144+Z144+AF144+AL144+AR144+AX144</f>
        <v/>
      </c>
    </row>
    <row r="145">
      <c r="A145" t="n">
        <v>139</v>
      </c>
      <c r="B145" s="19">
        <f>MAX(0,$B$3-(E145+K145+Q145+W145+AC145+AI145+AO145+AU145))</f>
        <v/>
      </c>
      <c r="C145">
        <f>H144</f>
        <v/>
      </c>
      <c r="D145">
        <f>C145*Plan!D6/100/12</f>
        <v/>
      </c>
      <c r="E145">
        <f>MIN(Plan!E6,C145+D145)</f>
        <v/>
      </c>
      <c r="F145">
        <f>C145+D145-E145</f>
        <v/>
      </c>
      <c r="G145">
        <f>MIN(F145,MAX(0,$B145-((K$5&lt;E$5)*L145+(Q$5&lt;E$5)*R145+(W$5&lt;E$5)*X145+(AC$5&lt;E$5)*AD145+(AI$5&lt;E$5)*AJ145+(AO$5&lt;E$5)*AP145+(AU$5&lt;E$5)*AV145)))</f>
        <v/>
      </c>
      <c r="H145">
        <f>IF(F145-G145&lt;0.005,0,F145-G145)</f>
        <v/>
      </c>
      <c r="I145">
        <f>N144</f>
        <v/>
      </c>
      <c r="J145">
        <f>I145*Plan!D7/100/12</f>
        <v/>
      </c>
      <c r="K145">
        <f>MIN(Plan!E7,I145+J145)</f>
        <v/>
      </c>
      <c r="L145">
        <f>I145+J145-K145</f>
        <v/>
      </c>
      <c r="M145">
        <f>MIN(L145,MAX(0,$B145-((E$5&lt;K$5)*F145+(Q$5&lt;K$5)*R145+(W$5&lt;K$5)*X145+(AC$5&lt;K$5)*AD145+(AI$5&lt;K$5)*AJ145+(AO$5&lt;K$5)*AP145+(AU$5&lt;K$5)*AV145)))</f>
        <v/>
      </c>
      <c r="N145">
        <f>IF(L145-M145&lt;0.005,0,L145-M145)</f>
        <v/>
      </c>
      <c r="O145">
        <f>T144</f>
        <v/>
      </c>
      <c r="P145">
        <f>O145*Plan!D8/100/12</f>
        <v/>
      </c>
      <c r="Q145">
        <f>MIN(Plan!E8,O145+P145)</f>
        <v/>
      </c>
      <c r="R145">
        <f>O145+P145-Q145</f>
        <v/>
      </c>
      <c r="S145">
        <f>MIN(R145,MAX(0,$B145-((E$5&lt;Q$5)*F145+(K$5&lt;Q$5)*L145+(W$5&lt;Q$5)*X145+(AC$5&lt;Q$5)*AD145+(AI$5&lt;Q$5)*AJ145+(AO$5&lt;Q$5)*AP145+(AU$5&lt;Q$5)*AV145)))</f>
        <v/>
      </c>
      <c r="T145">
        <f>IF(R145-S145&lt;0.005,0,R145-S145)</f>
        <v/>
      </c>
      <c r="U145">
        <f>Z144</f>
        <v/>
      </c>
      <c r="V145">
        <f>U145*Plan!D9/100/12</f>
        <v/>
      </c>
      <c r="W145">
        <f>MIN(Plan!E9,U145+V145)</f>
        <v/>
      </c>
      <c r="X145">
        <f>U145+V145-W145</f>
        <v/>
      </c>
      <c r="Y145">
        <f>MIN(X145,MAX(0,$B145-((E$5&lt;W$5)*F145+(K$5&lt;W$5)*L145+(Q$5&lt;W$5)*R145+(AC$5&lt;W$5)*AD145+(AI$5&lt;W$5)*AJ145+(AO$5&lt;W$5)*AP145+(AU$5&lt;W$5)*AV145)))</f>
        <v/>
      </c>
      <c r="Z145">
        <f>IF(X145-Y145&lt;0.005,0,X145-Y145)</f>
        <v/>
      </c>
      <c r="AA145">
        <f>AF144</f>
        <v/>
      </c>
      <c r="AB145">
        <f>AA145*Plan!D10/100/12</f>
        <v/>
      </c>
      <c r="AC145">
        <f>MIN(Plan!E10,AA145+AB145)</f>
        <v/>
      </c>
      <c r="AD145">
        <f>AA145+AB145-AC145</f>
        <v/>
      </c>
      <c r="AE145">
        <f>MIN(AD145,MAX(0,$B145-((E$5&lt;AC$5)*F145+(K$5&lt;AC$5)*L145+(Q$5&lt;AC$5)*R145+(W$5&lt;AC$5)*X145+(AI$5&lt;AC$5)*AJ145+(AO$5&lt;AC$5)*AP145+(AU$5&lt;AC$5)*AV145)))</f>
        <v/>
      </c>
      <c r="AF145">
        <f>IF(AD145-AE145&lt;0.005,0,AD145-AE145)</f>
        <v/>
      </c>
      <c r="AG145">
        <f>AL144</f>
        <v/>
      </c>
      <c r="AH145">
        <f>AG145*Plan!D11/100/12</f>
        <v/>
      </c>
      <c r="AI145">
        <f>MIN(Plan!E11,AG145+AH145)</f>
        <v/>
      </c>
      <c r="AJ145">
        <f>AG145+AH145-AI145</f>
        <v/>
      </c>
      <c r="AK145">
        <f>MIN(AJ145,MAX(0,$B145-((E$5&lt;AI$5)*F145+(K$5&lt;AI$5)*L145+(Q$5&lt;AI$5)*R145+(W$5&lt;AI$5)*X145+(AC$5&lt;AI$5)*AD145+(AO$5&lt;AI$5)*AP145+(AU$5&lt;AI$5)*AV145)))</f>
        <v/>
      </c>
      <c r="AL145">
        <f>IF(AJ145-AK145&lt;0.005,0,AJ145-AK145)</f>
        <v/>
      </c>
      <c r="AM145">
        <f>AR144</f>
        <v/>
      </c>
      <c r="AN145">
        <f>AM145*Plan!D12/100/12</f>
        <v/>
      </c>
      <c r="AO145">
        <f>MIN(Plan!E12,AM145+AN145)</f>
        <v/>
      </c>
      <c r="AP145">
        <f>AM145+AN145-AO145</f>
        <v/>
      </c>
      <c r="AQ145">
        <f>MIN(AP145,MAX(0,$B145-((E$5&lt;AO$5)*F145+(K$5&lt;AO$5)*L145+(Q$5&lt;AO$5)*R145+(W$5&lt;AO$5)*X145+(AC$5&lt;AO$5)*AD145+(AI$5&lt;AO$5)*AJ145+(AU$5&lt;AO$5)*AV145)))</f>
        <v/>
      </c>
      <c r="AR145">
        <f>IF(AP145-AQ145&lt;0.005,0,AP145-AQ145)</f>
        <v/>
      </c>
      <c r="AS145">
        <f>AX144</f>
        <v/>
      </c>
      <c r="AT145">
        <f>AS145*Plan!D13/100/12</f>
        <v/>
      </c>
      <c r="AU145">
        <f>MIN(Plan!E13,AS145+AT145)</f>
        <v/>
      </c>
      <c r="AV145">
        <f>AS145+AT145-AU145</f>
        <v/>
      </c>
      <c r="AW145">
        <f>MIN(AV145,MAX(0,$B145-((E$5&lt;AU$5)*F145+(K$5&lt;AU$5)*L145+(Q$5&lt;AU$5)*R145+(W$5&lt;AU$5)*X145+(AC$5&lt;AU$5)*AD145+(AI$5&lt;AU$5)*AJ145+(AO$5&lt;AU$5)*AP145)))</f>
        <v/>
      </c>
      <c r="AX145">
        <f>IF(AV145-AW145&lt;0.005,0,AV145-AW145)</f>
        <v/>
      </c>
      <c r="BC145">
        <f>H145+N145+T145+Z145+AF145+AL145+AR145+AX145</f>
        <v/>
      </c>
    </row>
    <row r="146">
      <c r="A146" t="n">
        <v>140</v>
      </c>
      <c r="B146" s="19">
        <f>MAX(0,$B$3-(E146+K146+Q146+W146+AC146+AI146+AO146+AU146))</f>
        <v/>
      </c>
      <c r="C146">
        <f>H145</f>
        <v/>
      </c>
      <c r="D146">
        <f>C146*Plan!D6/100/12</f>
        <v/>
      </c>
      <c r="E146">
        <f>MIN(Plan!E6,C146+D146)</f>
        <v/>
      </c>
      <c r="F146">
        <f>C146+D146-E146</f>
        <v/>
      </c>
      <c r="G146">
        <f>MIN(F146,MAX(0,$B146-((K$5&lt;E$5)*L146+(Q$5&lt;E$5)*R146+(W$5&lt;E$5)*X146+(AC$5&lt;E$5)*AD146+(AI$5&lt;E$5)*AJ146+(AO$5&lt;E$5)*AP146+(AU$5&lt;E$5)*AV146)))</f>
        <v/>
      </c>
      <c r="H146">
        <f>IF(F146-G146&lt;0.005,0,F146-G146)</f>
        <v/>
      </c>
      <c r="I146">
        <f>N145</f>
        <v/>
      </c>
      <c r="J146">
        <f>I146*Plan!D7/100/12</f>
        <v/>
      </c>
      <c r="K146">
        <f>MIN(Plan!E7,I146+J146)</f>
        <v/>
      </c>
      <c r="L146">
        <f>I146+J146-K146</f>
        <v/>
      </c>
      <c r="M146">
        <f>MIN(L146,MAX(0,$B146-((E$5&lt;K$5)*F146+(Q$5&lt;K$5)*R146+(W$5&lt;K$5)*X146+(AC$5&lt;K$5)*AD146+(AI$5&lt;K$5)*AJ146+(AO$5&lt;K$5)*AP146+(AU$5&lt;K$5)*AV146)))</f>
        <v/>
      </c>
      <c r="N146">
        <f>IF(L146-M146&lt;0.005,0,L146-M146)</f>
        <v/>
      </c>
      <c r="O146">
        <f>T145</f>
        <v/>
      </c>
      <c r="P146">
        <f>O146*Plan!D8/100/12</f>
        <v/>
      </c>
      <c r="Q146">
        <f>MIN(Plan!E8,O146+P146)</f>
        <v/>
      </c>
      <c r="R146">
        <f>O146+P146-Q146</f>
        <v/>
      </c>
      <c r="S146">
        <f>MIN(R146,MAX(0,$B146-((E$5&lt;Q$5)*F146+(K$5&lt;Q$5)*L146+(W$5&lt;Q$5)*X146+(AC$5&lt;Q$5)*AD146+(AI$5&lt;Q$5)*AJ146+(AO$5&lt;Q$5)*AP146+(AU$5&lt;Q$5)*AV146)))</f>
        <v/>
      </c>
      <c r="T146">
        <f>IF(R146-S146&lt;0.005,0,R146-S146)</f>
        <v/>
      </c>
      <c r="U146">
        <f>Z145</f>
        <v/>
      </c>
      <c r="V146">
        <f>U146*Plan!D9/100/12</f>
        <v/>
      </c>
      <c r="W146">
        <f>MIN(Plan!E9,U146+V146)</f>
        <v/>
      </c>
      <c r="X146">
        <f>U146+V146-W146</f>
        <v/>
      </c>
      <c r="Y146">
        <f>MIN(X146,MAX(0,$B146-((E$5&lt;W$5)*F146+(K$5&lt;W$5)*L146+(Q$5&lt;W$5)*R146+(AC$5&lt;W$5)*AD146+(AI$5&lt;W$5)*AJ146+(AO$5&lt;W$5)*AP146+(AU$5&lt;W$5)*AV146)))</f>
        <v/>
      </c>
      <c r="Z146">
        <f>IF(X146-Y146&lt;0.005,0,X146-Y146)</f>
        <v/>
      </c>
      <c r="AA146">
        <f>AF145</f>
        <v/>
      </c>
      <c r="AB146">
        <f>AA146*Plan!D10/100/12</f>
        <v/>
      </c>
      <c r="AC146">
        <f>MIN(Plan!E10,AA146+AB146)</f>
        <v/>
      </c>
      <c r="AD146">
        <f>AA146+AB146-AC146</f>
        <v/>
      </c>
      <c r="AE146">
        <f>MIN(AD146,MAX(0,$B146-((E$5&lt;AC$5)*F146+(K$5&lt;AC$5)*L146+(Q$5&lt;AC$5)*R146+(W$5&lt;AC$5)*X146+(AI$5&lt;AC$5)*AJ146+(AO$5&lt;AC$5)*AP146+(AU$5&lt;AC$5)*AV146)))</f>
        <v/>
      </c>
      <c r="AF146">
        <f>IF(AD146-AE146&lt;0.005,0,AD146-AE146)</f>
        <v/>
      </c>
      <c r="AG146">
        <f>AL145</f>
        <v/>
      </c>
      <c r="AH146">
        <f>AG146*Plan!D11/100/12</f>
        <v/>
      </c>
      <c r="AI146">
        <f>MIN(Plan!E11,AG146+AH146)</f>
        <v/>
      </c>
      <c r="AJ146">
        <f>AG146+AH146-AI146</f>
        <v/>
      </c>
      <c r="AK146">
        <f>MIN(AJ146,MAX(0,$B146-((E$5&lt;AI$5)*F146+(K$5&lt;AI$5)*L146+(Q$5&lt;AI$5)*R146+(W$5&lt;AI$5)*X146+(AC$5&lt;AI$5)*AD146+(AO$5&lt;AI$5)*AP146+(AU$5&lt;AI$5)*AV146)))</f>
        <v/>
      </c>
      <c r="AL146">
        <f>IF(AJ146-AK146&lt;0.005,0,AJ146-AK146)</f>
        <v/>
      </c>
      <c r="AM146">
        <f>AR145</f>
        <v/>
      </c>
      <c r="AN146">
        <f>AM146*Plan!D12/100/12</f>
        <v/>
      </c>
      <c r="AO146">
        <f>MIN(Plan!E12,AM146+AN146)</f>
        <v/>
      </c>
      <c r="AP146">
        <f>AM146+AN146-AO146</f>
        <v/>
      </c>
      <c r="AQ146">
        <f>MIN(AP146,MAX(0,$B146-((E$5&lt;AO$5)*F146+(K$5&lt;AO$5)*L146+(Q$5&lt;AO$5)*R146+(W$5&lt;AO$5)*X146+(AC$5&lt;AO$5)*AD146+(AI$5&lt;AO$5)*AJ146+(AU$5&lt;AO$5)*AV146)))</f>
        <v/>
      </c>
      <c r="AR146">
        <f>IF(AP146-AQ146&lt;0.005,0,AP146-AQ146)</f>
        <v/>
      </c>
      <c r="AS146">
        <f>AX145</f>
        <v/>
      </c>
      <c r="AT146">
        <f>AS146*Plan!D13/100/12</f>
        <v/>
      </c>
      <c r="AU146">
        <f>MIN(Plan!E13,AS146+AT146)</f>
        <v/>
      </c>
      <c r="AV146">
        <f>AS146+AT146-AU146</f>
        <v/>
      </c>
      <c r="AW146">
        <f>MIN(AV146,MAX(0,$B146-((E$5&lt;AU$5)*F146+(K$5&lt;AU$5)*L146+(Q$5&lt;AU$5)*R146+(W$5&lt;AU$5)*X146+(AC$5&lt;AU$5)*AD146+(AI$5&lt;AU$5)*AJ146+(AO$5&lt;AU$5)*AP146)))</f>
        <v/>
      </c>
      <c r="AX146">
        <f>IF(AV146-AW146&lt;0.005,0,AV146-AW146)</f>
        <v/>
      </c>
      <c r="BC146">
        <f>H146+N146+T146+Z146+AF146+AL146+AR146+AX146</f>
        <v/>
      </c>
    </row>
    <row r="147">
      <c r="A147" t="n">
        <v>141</v>
      </c>
      <c r="B147" s="19">
        <f>MAX(0,$B$3-(E147+K147+Q147+W147+AC147+AI147+AO147+AU147))</f>
        <v/>
      </c>
      <c r="C147">
        <f>H146</f>
        <v/>
      </c>
      <c r="D147">
        <f>C147*Plan!D6/100/12</f>
        <v/>
      </c>
      <c r="E147">
        <f>MIN(Plan!E6,C147+D147)</f>
        <v/>
      </c>
      <c r="F147">
        <f>C147+D147-E147</f>
        <v/>
      </c>
      <c r="G147">
        <f>MIN(F147,MAX(0,$B147-((K$5&lt;E$5)*L147+(Q$5&lt;E$5)*R147+(W$5&lt;E$5)*X147+(AC$5&lt;E$5)*AD147+(AI$5&lt;E$5)*AJ147+(AO$5&lt;E$5)*AP147+(AU$5&lt;E$5)*AV147)))</f>
        <v/>
      </c>
      <c r="H147">
        <f>IF(F147-G147&lt;0.005,0,F147-G147)</f>
        <v/>
      </c>
      <c r="I147">
        <f>N146</f>
        <v/>
      </c>
      <c r="J147">
        <f>I147*Plan!D7/100/12</f>
        <v/>
      </c>
      <c r="K147">
        <f>MIN(Plan!E7,I147+J147)</f>
        <v/>
      </c>
      <c r="L147">
        <f>I147+J147-K147</f>
        <v/>
      </c>
      <c r="M147">
        <f>MIN(L147,MAX(0,$B147-((E$5&lt;K$5)*F147+(Q$5&lt;K$5)*R147+(W$5&lt;K$5)*X147+(AC$5&lt;K$5)*AD147+(AI$5&lt;K$5)*AJ147+(AO$5&lt;K$5)*AP147+(AU$5&lt;K$5)*AV147)))</f>
        <v/>
      </c>
      <c r="N147">
        <f>IF(L147-M147&lt;0.005,0,L147-M147)</f>
        <v/>
      </c>
      <c r="O147">
        <f>T146</f>
        <v/>
      </c>
      <c r="P147">
        <f>O147*Plan!D8/100/12</f>
        <v/>
      </c>
      <c r="Q147">
        <f>MIN(Plan!E8,O147+P147)</f>
        <v/>
      </c>
      <c r="R147">
        <f>O147+P147-Q147</f>
        <v/>
      </c>
      <c r="S147">
        <f>MIN(R147,MAX(0,$B147-((E$5&lt;Q$5)*F147+(K$5&lt;Q$5)*L147+(W$5&lt;Q$5)*X147+(AC$5&lt;Q$5)*AD147+(AI$5&lt;Q$5)*AJ147+(AO$5&lt;Q$5)*AP147+(AU$5&lt;Q$5)*AV147)))</f>
        <v/>
      </c>
      <c r="T147">
        <f>IF(R147-S147&lt;0.005,0,R147-S147)</f>
        <v/>
      </c>
      <c r="U147">
        <f>Z146</f>
        <v/>
      </c>
      <c r="V147">
        <f>U147*Plan!D9/100/12</f>
        <v/>
      </c>
      <c r="W147">
        <f>MIN(Plan!E9,U147+V147)</f>
        <v/>
      </c>
      <c r="X147">
        <f>U147+V147-W147</f>
        <v/>
      </c>
      <c r="Y147">
        <f>MIN(X147,MAX(0,$B147-((E$5&lt;W$5)*F147+(K$5&lt;W$5)*L147+(Q$5&lt;W$5)*R147+(AC$5&lt;W$5)*AD147+(AI$5&lt;W$5)*AJ147+(AO$5&lt;W$5)*AP147+(AU$5&lt;W$5)*AV147)))</f>
        <v/>
      </c>
      <c r="Z147">
        <f>IF(X147-Y147&lt;0.005,0,X147-Y147)</f>
        <v/>
      </c>
      <c r="AA147">
        <f>AF146</f>
        <v/>
      </c>
      <c r="AB147">
        <f>AA147*Plan!D10/100/12</f>
        <v/>
      </c>
      <c r="AC147">
        <f>MIN(Plan!E10,AA147+AB147)</f>
        <v/>
      </c>
      <c r="AD147">
        <f>AA147+AB147-AC147</f>
        <v/>
      </c>
      <c r="AE147">
        <f>MIN(AD147,MAX(0,$B147-((E$5&lt;AC$5)*F147+(K$5&lt;AC$5)*L147+(Q$5&lt;AC$5)*R147+(W$5&lt;AC$5)*X147+(AI$5&lt;AC$5)*AJ147+(AO$5&lt;AC$5)*AP147+(AU$5&lt;AC$5)*AV147)))</f>
        <v/>
      </c>
      <c r="AF147">
        <f>IF(AD147-AE147&lt;0.005,0,AD147-AE147)</f>
        <v/>
      </c>
      <c r="AG147">
        <f>AL146</f>
        <v/>
      </c>
      <c r="AH147">
        <f>AG147*Plan!D11/100/12</f>
        <v/>
      </c>
      <c r="AI147">
        <f>MIN(Plan!E11,AG147+AH147)</f>
        <v/>
      </c>
      <c r="AJ147">
        <f>AG147+AH147-AI147</f>
        <v/>
      </c>
      <c r="AK147">
        <f>MIN(AJ147,MAX(0,$B147-((E$5&lt;AI$5)*F147+(K$5&lt;AI$5)*L147+(Q$5&lt;AI$5)*R147+(W$5&lt;AI$5)*X147+(AC$5&lt;AI$5)*AD147+(AO$5&lt;AI$5)*AP147+(AU$5&lt;AI$5)*AV147)))</f>
        <v/>
      </c>
      <c r="AL147">
        <f>IF(AJ147-AK147&lt;0.005,0,AJ147-AK147)</f>
        <v/>
      </c>
      <c r="AM147">
        <f>AR146</f>
        <v/>
      </c>
      <c r="AN147">
        <f>AM147*Plan!D12/100/12</f>
        <v/>
      </c>
      <c r="AO147">
        <f>MIN(Plan!E12,AM147+AN147)</f>
        <v/>
      </c>
      <c r="AP147">
        <f>AM147+AN147-AO147</f>
        <v/>
      </c>
      <c r="AQ147">
        <f>MIN(AP147,MAX(0,$B147-((E$5&lt;AO$5)*F147+(K$5&lt;AO$5)*L147+(Q$5&lt;AO$5)*R147+(W$5&lt;AO$5)*X147+(AC$5&lt;AO$5)*AD147+(AI$5&lt;AO$5)*AJ147+(AU$5&lt;AO$5)*AV147)))</f>
        <v/>
      </c>
      <c r="AR147">
        <f>IF(AP147-AQ147&lt;0.005,0,AP147-AQ147)</f>
        <v/>
      </c>
      <c r="AS147">
        <f>AX146</f>
        <v/>
      </c>
      <c r="AT147">
        <f>AS147*Plan!D13/100/12</f>
        <v/>
      </c>
      <c r="AU147">
        <f>MIN(Plan!E13,AS147+AT147)</f>
        <v/>
      </c>
      <c r="AV147">
        <f>AS147+AT147-AU147</f>
        <v/>
      </c>
      <c r="AW147">
        <f>MIN(AV147,MAX(0,$B147-((E$5&lt;AU$5)*F147+(K$5&lt;AU$5)*L147+(Q$5&lt;AU$5)*R147+(W$5&lt;AU$5)*X147+(AC$5&lt;AU$5)*AD147+(AI$5&lt;AU$5)*AJ147+(AO$5&lt;AU$5)*AP147)))</f>
        <v/>
      </c>
      <c r="AX147">
        <f>IF(AV147-AW147&lt;0.005,0,AV147-AW147)</f>
        <v/>
      </c>
      <c r="BC147">
        <f>H147+N147+T147+Z147+AF147+AL147+AR147+AX147</f>
        <v/>
      </c>
    </row>
    <row r="148">
      <c r="A148" t="n">
        <v>142</v>
      </c>
      <c r="B148" s="19">
        <f>MAX(0,$B$3-(E148+K148+Q148+W148+AC148+AI148+AO148+AU148))</f>
        <v/>
      </c>
      <c r="C148">
        <f>H147</f>
        <v/>
      </c>
      <c r="D148">
        <f>C148*Plan!D6/100/12</f>
        <v/>
      </c>
      <c r="E148">
        <f>MIN(Plan!E6,C148+D148)</f>
        <v/>
      </c>
      <c r="F148">
        <f>C148+D148-E148</f>
        <v/>
      </c>
      <c r="G148">
        <f>MIN(F148,MAX(0,$B148-((K$5&lt;E$5)*L148+(Q$5&lt;E$5)*R148+(W$5&lt;E$5)*X148+(AC$5&lt;E$5)*AD148+(AI$5&lt;E$5)*AJ148+(AO$5&lt;E$5)*AP148+(AU$5&lt;E$5)*AV148)))</f>
        <v/>
      </c>
      <c r="H148">
        <f>IF(F148-G148&lt;0.005,0,F148-G148)</f>
        <v/>
      </c>
      <c r="I148">
        <f>N147</f>
        <v/>
      </c>
      <c r="J148">
        <f>I148*Plan!D7/100/12</f>
        <v/>
      </c>
      <c r="K148">
        <f>MIN(Plan!E7,I148+J148)</f>
        <v/>
      </c>
      <c r="L148">
        <f>I148+J148-K148</f>
        <v/>
      </c>
      <c r="M148">
        <f>MIN(L148,MAX(0,$B148-((E$5&lt;K$5)*F148+(Q$5&lt;K$5)*R148+(W$5&lt;K$5)*X148+(AC$5&lt;K$5)*AD148+(AI$5&lt;K$5)*AJ148+(AO$5&lt;K$5)*AP148+(AU$5&lt;K$5)*AV148)))</f>
        <v/>
      </c>
      <c r="N148">
        <f>IF(L148-M148&lt;0.005,0,L148-M148)</f>
        <v/>
      </c>
      <c r="O148">
        <f>T147</f>
        <v/>
      </c>
      <c r="P148">
        <f>O148*Plan!D8/100/12</f>
        <v/>
      </c>
      <c r="Q148">
        <f>MIN(Plan!E8,O148+P148)</f>
        <v/>
      </c>
      <c r="R148">
        <f>O148+P148-Q148</f>
        <v/>
      </c>
      <c r="S148">
        <f>MIN(R148,MAX(0,$B148-((E$5&lt;Q$5)*F148+(K$5&lt;Q$5)*L148+(W$5&lt;Q$5)*X148+(AC$5&lt;Q$5)*AD148+(AI$5&lt;Q$5)*AJ148+(AO$5&lt;Q$5)*AP148+(AU$5&lt;Q$5)*AV148)))</f>
        <v/>
      </c>
      <c r="T148">
        <f>IF(R148-S148&lt;0.005,0,R148-S148)</f>
        <v/>
      </c>
      <c r="U148">
        <f>Z147</f>
        <v/>
      </c>
      <c r="V148">
        <f>U148*Plan!D9/100/12</f>
        <v/>
      </c>
      <c r="W148">
        <f>MIN(Plan!E9,U148+V148)</f>
        <v/>
      </c>
      <c r="X148">
        <f>U148+V148-W148</f>
        <v/>
      </c>
      <c r="Y148">
        <f>MIN(X148,MAX(0,$B148-((E$5&lt;W$5)*F148+(K$5&lt;W$5)*L148+(Q$5&lt;W$5)*R148+(AC$5&lt;W$5)*AD148+(AI$5&lt;W$5)*AJ148+(AO$5&lt;W$5)*AP148+(AU$5&lt;W$5)*AV148)))</f>
        <v/>
      </c>
      <c r="Z148">
        <f>IF(X148-Y148&lt;0.005,0,X148-Y148)</f>
        <v/>
      </c>
      <c r="AA148">
        <f>AF147</f>
        <v/>
      </c>
      <c r="AB148">
        <f>AA148*Plan!D10/100/12</f>
        <v/>
      </c>
      <c r="AC148">
        <f>MIN(Plan!E10,AA148+AB148)</f>
        <v/>
      </c>
      <c r="AD148">
        <f>AA148+AB148-AC148</f>
        <v/>
      </c>
      <c r="AE148">
        <f>MIN(AD148,MAX(0,$B148-((E$5&lt;AC$5)*F148+(K$5&lt;AC$5)*L148+(Q$5&lt;AC$5)*R148+(W$5&lt;AC$5)*X148+(AI$5&lt;AC$5)*AJ148+(AO$5&lt;AC$5)*AP148+(AU$5&lt;AC$5)*AV148)))</f>
        <v/>
      </c>
      <c r="AF148">
        <f>IF(AD148-AE148&lt;0.005,0,AD148-AE148)</f>
        <v/>
      </c>
      <c r="AG148">
        <f>AL147</f>
        <v/>
      </c>
      <c r="AH148">
        <f>AG148*Plan!D11/100/12</f>
        <v/>
      </c>
      <c r="AI148">
        <f>MIN(Plan!E11,AG148+AH148)</f>
        <v/>
      </c>
      <c r="AJ148">
        <f>AG148+AH148-AI148</f>
        <v/>
      </c>
      <c r="AK148">
        <f>MIN(AJ148,MAX(0,$B148-((E$5&lt;AI$5)*F148+(K$5&lt;AI$5)*L148+(Q$5&lt;AI$5)*R148+(W$5&lt;AI$5)*X148+(AC$5&lt;AI$5)*AD148+(AO$5&lt;AI$5)*AP148+(AU$5&lt;AI$5)*AV148)))</f>
        <v/>
      </c>
      <c r="AL148">
        <f>IF(AJ148-AK148&lt;0.005,0,AJ148-AK148)</f>
        <v/>
      </c>
      <c r="AM148">
        <f>AR147</f>
        <v/>
      </c>
      <c r="AN148">
        <f>AM148*Plan!D12/100/12</f>
        <v/>
      </c>
      <c r="AO148">
        <f>MIN(Plan!E12,AM148+AN148)</f>
        <v/>
      </c>
      <c r="AP148">
        <f>AM148+AN148-AO148</f>
        <v/>
      </c>
      <c r="AQ148">
        <f>MIN(AP148,MAX(0,$B148-((E$5&lt;AO$5)*F148+(K$5&lt;AO$5)*L148+(Q$5&lt;AO$5)*R148+(W$5&lt;AO$5)*X148+(AC$5&lt;AO$5)*AD148+(AI$5&lt;AO$5)*AJ148+(AU$5&lt;AO$5)*AV148)))</f>
        <v/>
      </c>
      <c r="AR148">
        <f>IF(AP148-AQ148&lt;0.005,0,AP148-AQ148)</f>
        <v/>
      </c>
      <c r="AS148">
        <f>AX147</f>
        <v/>
      </c>
      <c r="AT148">
        <f>AS148*Plan!D13/100/12</f>
        <v/>
      </c>
      <c r="AU148">
        <f>MIN(Plan!E13,AS148+AT148)</f>
        <v/>
      </c>
      <c r="AV148">
        <f>AS148+AT148-AU148</f>
        <v/>
      </c>
      <c r="AW148">
        <f>MIN(AV148,MAX(0,$B148-((E$5&lt;AU$5)*F148+(K$5&lt;AU$5)*L148+(Q$5&lt;AU$5)*R148+(W$5&lt;AU$5)*X148+(AC$5&lt;AU$5)*AD148+(AI$5&lt;AU$5)*AJ148+(AO$5&lt;AU$5)*AP148)))</f>
        <v/>
      </c>
      <c r="AX148">
        <f>IF(AV148-AW148&lt;0.005,0,AV148-AW148)</f>
        <v/>
      </c>
      <c r="BC148">
        <f>H148+N148+T148+Z148+AF148+AL148+AR148+AX148</f>
        <v/>
      </c>
    </row>
    <row r="149">
      <c r="A149" t="n">
        <v>143</v>
      </c>
      <c r="B149" s="19">
        <f>MAX(0,$B$3-(E149+K149+Q149+W149+AC149+AI149+AO149+AU149))</f>
        <v/>
      </c>
      <c r="C149">
        <f>H148</f>
        <v/>
      </c>
      <c r="D149">
        <f>C149*Plan!D6/100/12</f>
        <v/>
      </c>
      <c r="E149">
        <f>MIN(Plan!E6,C149+D149)</f>
        <v/>
      </c>
      <c r="F149">
        <f>C149+D149-E149</f>
        <v/>
      </c>
      <c r="G149">
        <f>MIN(F149,MAX(0,$B149-((K$5&lt;E$5)*L149+(Q$5&lt;E$5)*R149+(W$5&lt;E$5)*X149+(AC$5&lt;E$5)*AD149+(AI$5&lt;E$5)*AJ149+(AO$5&lt;E$5)*AP149+(AU$5&lt;E$5)*AV149)))</f>
        <v/>
      </c>
      <c r="H149">
        <f>IF(F149-G149&lt;0.005,0,F149-G149)</f>
        <v/>
      </c>
      <c r="I149">
        <f>N148</f>
        <v/>
      </c>
      <c r="J149">
        <f>I149*Plan!D7/100/12</f>
        <v/>
      </c>
      <c r="K149">
        <f>MIN(Plan!E7,I149+J149)</f>
        <v/>
      </c>
      <c r="L149">
        <f>I149+J149-K149</f>
        <v/>
      </c>
      <c r="M149">
        <f>MIN(L149,MAX(0,$B149-((E$5&lt;K$5)*F149+(Q$5&lt;K$5)*R149+(W$5&lt;K$5)*X149+(AC$5&lt;K$5)*AD149+(AI$5&lt;K$5)*AJ149+(AO$5&lt;K$5)*AP149+(AU$5&lt;K$5)*AV149)))</f>
        <v/>
      </c>
      <c r="N149">
        <f>IF(L149-M149&lt;0.005,0,L149-M149)</f>
        <v/>
      </c>
      <c r="O149">
        <f>T148</f>
        <v/>
      </c>
      <c r="P149">
        <f>O149*Plan!D8/100/12</f>
        <v/>
      </c>
      <c r="Q149">
        <f>MIN(Plan!E8,O149+P149)</f>
        <v/>
      </c>
      <c r="R149">
        <f>O149+P149-Q149</f>
        <v/>
      </c>
      <c r="S149">
        <f>MIN(R149,MAX(0,$B149-((E$5&lt;Q$5)*F149+(K$5&lt;Q$5)*L149+(W$5&lt;Q$5)*X149+(AC$5&lt;Q$5)*AD149+(AI$5&lt;Q$5)*AJ149+(AO$5&lt;Q$5)*AP149+(AU$5&lt;Q$5)*AV149)))</f>
        <v/>
      </c>
      <c r="T149">
        <f>IF(R149-S149&lt;0.005,0,R149-S149)</f>
        <v/>
      </c>
      <c r="U149">
        <f>Z148</f>
        <v/>
      </c>
      <c r="V149">
        <f>U149*Plan!D9/100/12</f>
        <v/>
      </c>
      <c r="W149">
        <f>MIN(Plan!E9,U149+V149)</f>
        <v/>
      </c>
      <c r="X149">
        <f>U149+V149-W149</f>
        <v/>
      </c>
      <c r="Y149">
        <f>MIN(X149,MAX(0,$B149-((E$5&lt;W$5)*F149+(K$5&lt;W$5)*L149+(Q$5&lt;W$5)*R149+(AC$5&lt;W$5)*AD149+(AI$5&lt;W$5)*AJ149+(AO$5&lt;W$5)*AP149+(AU$5&lt;W$5)*AV149)))</f>
        <v/>
      </c>
      <c r="Z149">
        <f>IF(X149-Y149&lt;0.005,0,X149-Y149)</f>
        <v/>
      </c>
      <c r="AA149">
        <f>AF148</f>
        <v/>
      </c>
      <c r="AB149">
        <f>AA149*Plan!D10/100/12</f>
        <v/>
      </c>
      <c r="AC149">
        <f>MIN(Plan!E10,AA149+AB149)</f>
        <v/>
      </c>
      <c r="AD149">
        <f>AA149+AB149-AC149</f>
        <v/>
      </c>
      <c r="AE149">
        <f>MIN(AD149,MAX(0,$B149-((E$5&lt;AC$5)*F149+(K$5&lt;AC$5)*L149+(Q$5&lt;AC$5)*R149+(W$5&lt;AC$5)*X149+(AI$5&lt;AC$5)*AJ149+(AO$5&lt;AC$5)*AP149+(AU$5&lt;AC$5)*AV149)))</f>
        <v/>
      </c>
      <c r="AF149">
        <f>IF(AD149-AE149&lt;0.005,0,AD149-AE149)</f>
        <v/>
      </c>
      <c r="AG149">
        <f>AL148</f>
        <v/>
      </c>
      <c r="AH149">
        <f>AG149*Plan!D11/100/12</f>
        <v/>
      </c>
      <c r="AI149">
        <f>MIN(Plan!E11,AG149+AH149)</f>
        <v/>
      </c>
      <c r="AJ149">
        <f>AG149+AH149-AI149</f>
        <v/>
      </c>
      <c r="AK149">
        <f>MIN(AJ149,MAX(0,$B149-((E$5&lt;AI$5)*F149+(K$5&lt;AI$5)*L149+(Q$5&lt;AI$5)*R149+(W$5&lt;AI$5)*X149+(AC$5&lt;AI$5)*AD149+(AO$5&lt;AI$5)*AP149+(AU$5&lt;AI$5)*AV149)))</f>
        <v/>
      </c>
      <c r="AL149">
        <f>IF(AJ149-AK149&lt;0.005,0,AJ149-AK149)</f>
        <v/>
      </c>
      <c r="AM149">
        <f>AR148</f>
        <v/>
      </c>
      <c r="AN149">
        <f>AM149*Plan!D12/100/12</f>
        <v/>
      </c>
      <c r="AO149">
        <f>MIN(Plan!E12,AM149+AN149)</f>
        <v/>
      </c>
      <c r="AP149">
        <f>AM149+AN149-AO149</f>
        <v/>
      </c>
      <c r="AQ149">
        <f>MIN(AP149,MAX(0,$B149-((E$5&lt;AO$5)*F149+(K$5&lt;AO$5)*L149+(Q$5&lt;AO$5)*R149+(W$5&lt;AO$5)*X149+(AC$5&lt;AO$5)*AD149+(AI$5&lt;AO$5)*AJ149+(AU$5&lt;AO$5)*AV149)))</f>
        <v/>
      </c>
      <c r="AR149">
        <f>IF(AP149-AQ149&lt;0.005,0,AP149-AQ149)</f>
        <v/>
      </c>
      <c r="AS149">
        <f>AX148</f>
        <v/>
      </c>
      <c r="AT149">
        <f>AS149*Plan!D13/100/12</f>
        <v/>
      </c>
      <c r="AU149">
        <f>MIN(Plan!E13,AS149+AT149)</f>
        <v/>
      </c>
      <c r="AV149">
        <f>AS149+AT149-AU149</f>
        <v/>
      </c>
      <c r="AW149">
        <f>MIN(AV149,MAX(0,$B149-((E$5&lt;AU$5)*F149+(K$5&lt;AU$5)*L149+(Q$5&lt;AU$5)*R149+(W$5&lt;AU$5)*X149+(AC$5&lt;AU$5)*AD149+(AI$5&lt;AU$5)*AJ149+(AO$5&lt;AU$5)*AP149)))</f>
        <v/>
      </c>
      <c r="AX149">
        <f>IF(AV149-AW149&lt;0.005,0,AV149-AW149)</f>
        <v/>
      </c>
      <c r="BC149">
        <f>H149+N149+T149+Z149+AF149+AL149+AR149+AX149</f>
        <v/>
      </c>
    </row>
    <row r="150">
      <c r="A150" t="n">
        <v>144</v>
      </c>
      <c r="B150" s="19">
        <f>MAX(0,$B$3-(E150+K150+Q150+W150+AC150+AI150+AO150+AU150))</f>
        <v/>
      </c>
      <c r="C150">
        <f>H149</f>
        <v/>
      </c>
      <c r="D150">
        <f>C150*Plan!D6/100/12</f>
        <v/>
      </c>
      <c r="E150">
        <f>MIN(Plan!E6,C150+D150)</f>
        <v/>
      </c>
      <c r="F150">
        <f>C150+D150-E150</f>
        <v/>
      </c>
      <c r="G150">
        <f>MIN(F150,MAX(0,$B150-((K$5&lt;E$5)*L150+(Q$5&lt;E$5)*R150+(W$5&lt;E$5)*X150+(AC$5&lt;E$5)*AD150+(AI$5&lt;E$5)*AJ150+(AO$5&lt;E$5)*AP150+(AU$5&lt;E$5)*AV150)))</f>
        <v/>
      </c>
      <c r="H150">
        <f>IF(F150-G150&lt;0.005,0,F150-G150)</f>
        <v/>
      </c>
      <c r="I150">
        <f>N149</f>
        <v/>
      </c>
      <c r="J150">
        <f>I150*Plan!D7/100/12</f>
        <v/>
      </c>
      <c r="K150">
        <f>MIN(Plan!E7,I150+J150)</f>
        <v/>
      </c>
      <c r="L150">
        <f>I150+J150-K150</f>
        <v/>
      </c>
      <c r="M150">
        <f>MIN(L150,MAX(0,$B150-((E$5&lt;K$5)*F150+(Q$5&lt;K$5)*R150+(W$5&lt;K$5)*X150+(AC$5&lt;K$5)*AD150+(AI$5&lt;K$5)*AJ150+(AO$5&lt;K$5)*AP150+(AU$5&lt;K$5)*AV150)))</f>
        <v/>
      </c>
      <c r="N150">
        <f>IF(L150-M150&lt;0.005,0,L150-M150)</f>
        <v/>
      </c>
      <c r="O150">
        <f>T149</f>
        <v/>
      </c>
      <c r="P150">
        <f>O150*Plan!D8/100/12</f>
        <v/>
      </c>
      <c r="Q150">
        <f>MIN(Plan!E8,O150+P150)</f>
        <v/>
      </c>
      <c r="R150">
        <f>O150+P150-Q150</f>
        <v/>
      </c>
      <c r="S150">
        <f>MIN(R150,MAX(0,$B150-((E$5&lt;Q$5)*F150+(K$5&lt;Q$5)*L150+(W$5&lt;Q$5)*X150+(AC$5&lt;Q$5)*AD150+(AI$5&lt;Q$5)*AJ150+(AO$5&lt;Q$5)*AP150+(AU$5&lt;Q$5)*AV150)))</f>
        <v/>
      </c>
      <c r="T150">
        <f>IF(R150-S150&lt;0.005,0,R150-S150)</f>
        <v/>
      </c>
      <c r="U150">
        <f>Z149</f>
        <v/>
      </c>
      <c r="V150">
        <f>U150*Plan!D9/100/12</f>
        <v/>
      </c>
      <c r="W150">
        <f>MIN(Plan!E9,U150+V150)</f>
        <v/>
      </c>
      <c r="X150">
        <f>U150+V150-W150</f>
        <v/>
      </c>
      <c r="Y150">
        <f>MIN(X150,MAX(0,$B150-((E$5&lt;W$5)*F150+(K$5&lt;W$5)*L150+(Q$5&lt;W$5)*R150+(AC$5&lt;W$5)*AD150+(AI$5&lt;W$5)*AJ150+(AO$5&lt;W$5)*AP150+(AU$5&lt;W$5)*AV150)))</f>
        <v/>
      </c>
      <c r="Z150">
        <f>IF(X150-Y150&lt;0.005,0,X150-Y150)</f>
        <v/>
      </c>
      <c r="AA150">
        <f>AF149</f>
        <v/>
      </c>
      <c r="AB150">
        <f>AA150*Plan!D10/100/12</f>
        <v/>
      </c>
      <c r="AC150">
        <f>MIN(Plan!E10,AA150+AB150)</f>
        <v/>
      </c>
      <c r="AD150">
        <f>AA150+AB150-AC150</f>
        <v/>
      </c>
      <c r="AE150">
        <f>MIN(AD150,MAX(0,$B150-((E$5&lt;AC$5)*F150+(K$5&lt;AC$5)*L150+(Q$5&lt;AC$5)*R150+(W$5&lt;AC$5)*X150+(AI$5&lt;AC$5)*AJ150+(AO$5&lt;AC$5)*AP150+(AU$5&lt;AC$5)*AV150)))</f>
        <v/>
      </c>
      <c r="AF150">
        <f>IF(AD150-AE150&lt;0.005,0,AD150-AE150)</f>
        <v/>
      </c>
      <c r="AG150">
        <f>AL149</f>
        <v/>
      </c>
      <c r="AH150">
        <f>AG150*Plan!D11/100/12</f>
        <v/>
      </c>
      <c r="AI150">
        <f>MIN(Plan!E11,AG150+AH150)</f>
        <v/>
      </c>
      <c r="AJ150">
        <f>AG150+AH150-AI150</f>
        <v/>
      </c>
      <c r="AK150">
        <f>MIN(AJ150,MAX(0,$B150-((E$5&lt;AI$5)*F150+(K$5&lt;AI$5)*L150+(Q$5&lt;AI$5)*R150+(W$5&lt;AI$5)*X150+(AC$5&lt;AI$5)*AD150+(AO$5&lt;AI$5)*AP150+(AU$5&lt;AI$5)*AV150)))</f>
        <v/>
      </c>
      <c r="AL150">
        <f>IF(AJ150-AK150&lt;0.005,0,AJ150-AK150)</f>
        <v/>
      </c>
      <c r="AM150">
        <f>AR149</f>
        <v/>
      </c>
      <c r="AN150">
        <f>AM150*Plan!D12/100/12</f>
        <v/>
      </c>
      <c r="AO150">
        <f>MIN(Plan!E12,AM150+AN150)</f>
        <v/>
      </c>
      <c r="AP150">
        <f>AM150+AN150-AO150</f>
        <v/>
      </c>
      <c r="AQ150">
        <f>MIN(AP150,MAX(0,$B150-((E$5&lt;AO$5)*F150+(K$5&lt;AO$5)*L150+(Q$5&lt;AO$5)*R150+(W$5&lt;AO$5)*X150+(AC$5&lt;AO$5)*AD150+(AI$5&lt;AO$5)*AJ150+(AU$5&lt;AO$5)*AV150)))</f>
        <v/>
      </c>
      <c r="AR150">
        <f>IF(AP150-AQ150&lt;0.005,0,AP150-AQ150)</f>
        <v/>
      </c>
      <c r="AS150">
        <f>AX149</f>
        <v/>
      </c>
      <c r="AT150">
        <f>AS150*Plan!D13/100/12</f>
        <v/>
      </c>
      <c r="AU150">
        <f>MIN(Plan!E13,AS150+AT150)</f>
        <v/>
      </c>
      <c r="AV150">
        <f>AS150+AT150-AU150</f>
        <v/>
      </c>
      <c r="AW150">
        <f>MIN(AV150,MAX(0,$B150-((E$5&lt;AU$5)*F150+(K$5&lt;AU$5)*L150+(Q$5&lt;AU$5)*R150+(W$5&lt;AU$5)*X150+(AC$5&lt;AU$5)*AD150+(AI$5&lt;AU$5)*AJ150+(AO$5&lt;AU$5)*AP150)))</f>
        <v/>
      </c>
      <c r="AX150">
        <f>IF(AV150-AW150&lt;0.005,0,AV150-AW150)</f>
        <v/>
      </c>
      <c r="BC150">
        <f>H150+N150+T150+Z150+AF150+AL150+AR150+AX150</f>
        <v/>
      </c>
    </row>
    <row r="151">
      <c r="A151" t="n">
        <v>145</v>
      </c>
      <c r="B151" s="19">
        <f>MAX(0,$B$3-(E151+K151+Q151+W151+AC151+AI151+AO151+AU151))</f>
        <v/>
      </c>
      <c r="C151">
        <f>H150</f>
        <v/>
      </c>
      <c r="D151">
        <f>C151*Plan!D6/100/12</f>
        <v/>
      </c>
      <c r="E151">
        <f>MIN(Plan!E6,C151+D151)</f>
        <v/>
      </c>
      <c r="F151">
        <f>C151+D151-E151</f>
        <v/>
      </c>
      <c r="G151">
        <f>MIN(F151,MAX(0,$B151-((K$5&lt;E$5)*L151+(Q$5&lt;E$5)*R151+(W$5&lt;E$5)*X151+(AC$5&lt;E$5)*AD151+(AI$5&lt;E$5)*AJ151+(AO$5&lt;E$5)*AP151+(AU$5&lt;E$5)*AV151)))</f>
        <v/>
      </c>
      <c r="H151">
        <f>IF(F151-G151&lt;0.005,0,F151-G151)</f>
        <v/>
      </c>
      <c r="I151">
        <f>N150</f>
        <v/>
      </c>
      <c r="J151">
        <f>I151*Plan!D7/100/12</f>
        <v/>
      </c>
      <c r="K151">
        <f>MIN(Plan!E7,I151+J151)</f>
        <v/>
      </c>
      <c r="L151">
        <f>I151+J151-K151</f>
        <v/>
      </c>
      <c r="M151">
        <f>MIN(L151,MAX(0,$B151-((E$5&lt;K$5)*F151+(Q$5&lt;K$5)*R151+(W$5&lt;K$5)*X151+(AC$5&lt;K$5)*AD151+(AI$5&lt;K$5)*AJ151+(AO$5&lt;K$5)*AP151+(AU$5&lt;K$5)*AV151)))</f>
        <v/>
      </c>
      <c r="N151">
        <f>IF(L151-M151&lt;0.005,0,L151-M151)</f>
        <v/>
      </c>
      <c r="O151">
        <f>T150</f>
        <v/>
      </c>
      <c r="P151">
        <f>O151*Plan!D8/100/12</f>
        <v/>
      </c>
      <c r="Q151">
        <f>MIN(Plan!E8,O151+P151)</f>
        <v/>
      </c>
      <c r="R151">
        <f>O151+P151-Q151</f>
        <v/>
      </c>
      <c r="S151">
        <f>MIN(R151,MAX(0,$B151-((E$5&lt;Q$5)*F151+(K$5&lt;Q$5)*L151+(W$5&lt;Q$5)*X151+(AC$5&lt;Q$5)*AD151+(AI$5&lt;Q$5)*AJ151+(AO$5&lt;Q$5)*AP151+(AU$5&lt;Q$5)*AV151)))</f>
        <v/>
      </c>
      <c r="T151">
        <f>IF(R151-S151&lt;0.005,0,R151-S151)</f>
        <v/>
      </c>
      <c r="U151">
        <f>Z150</f>
        <v/>
      </c>
      <c r="V151">
        <f>U151*Plan!D9/100/12</f>
        <v/>
      </c>
      <c r="W151">
        <f>MIN(Plan!E9,U151+V151)</f>
        <v/>
      </c>
      <c r="X151">
        <f>U151+V151-W151</f>
        <v/>
      </c>
      <c r="Y151">
        <f>MIN(X151,MAX(0,$B151-((E$5&lt;W$5)*F151+(K$5&lt;W$5)*L151+(Q$5&lt;W$5)*R151+(AC$5&lt;W$5)*AD151+(AI$5&lt;W$5)*AJ151+(AO$5&lt;W$5)*AP151+(AU$5&lt;W$5)*AV151)))</f>
        <v/>
      </c>
      <c r="Z151">
        <f>IF(X151-Y151&lt;0.005,0,X151-Y151)</f>
        <v/>
      </c>
      <c r="AA151">
        <f>AF150</f>
        <v/>
      </c>
      <c r="AB151">
        <f>AA151*Plan!D10/100/12</f>
        <v/>
      </c>
      <c r="AC151">
        <f>MIN(Plan!E10,AA151+AB151)</f>
        <v/>
      </c>
      <c r="AD151">
        <f>AA151+AB151-AC151</f>
        <v/>
      </c>
      <c r="AE151">
        <f>MIN(AD151,MAX(0,$B151-((E$5&lt;AC$5)*F151+(K$5&lt;AC$5)*L151+(Q$5&lt;AC$5)*R151+(W$5&lt;AC$5)*X151+(AI$5&lt;AC$5)*AJ151+(AO$5&lt;AC$5)*AP151+(AU$5&lt;AC$5)*AV151)))</f>
        <v/>
      </c>
      <c r="AF151">
        <f>IF(AD151-AE151&lt;0.005,0,AD151-AE151)</f>
        <v/>
      </c>
      <c r="AG151">
        <f>AL150</f>
        <v/>
      </c>
      <c r="AH151">
        <f>AG151*Plan!D11/100/12</f>
        <v/>
      </c>
      <c r="AI151">
        <f>MIN(Plan!E11,AG151+AH151)</f>
        <v/>
      </c>
      <c r="AJ151">
        <f>AG151+AH151-AI151</f>
        <v/>
      </c>
      <c r="AK151">
        <f>MIN(AJ151,MAX(0,$B151-((E$5&lt;AI$5)*F151+(K$5&lt;AI$5)*L151+(Q$5&lt;AI$5)*R151+(W$5&lt;AI$5)*X151+(AC$5&lt;AI$5)*AD151+(AO$5&lt;AI$5)*AP151+(AU$5&lt;AI$5)*AV151)))</f>
        <v/>
      </c>
      <c r="AL151">
        <f>IF(AJ151-AK151&lt;0.005,0,AJ151-AK151)</f>
        <v/>
      </c>
      <c r="AM151">
        <f>AR150</f>
        <v/>
      </c>
      <c r="AN151">
        <f>AM151*Plan!D12/100/12</f>
        <v/>
      </c>
      <c r="AO151">
        <f>MIN(Plan!E12,AM151+AN151)</f>
        <v/>
      </c>
      <c r="AP151">
        <f>AM151+AN151-AO151</f>
        <v/>
      </c>
      <c r="AQ151">
        <f>MIN(AP151,MAX(0,$B151-((E$5&lt;AO$5)*F151+(K$5&lt;AO$5)*L151+(Q$5&lt;AO$5)*R151+(W$5&lt;AO$5)*X151+(AC$5&lt;AO$5)*AD151+(AI$5&lt;AO$5)*AJ151+(AU$5&lt;AO$5)*AV151)))</f>
        <v/>
      </c>
      <c r="AR151">
        <f>IF(AP151-AQ151&lt;0.005,0,AP151-AQ151)</f>
        <v/>
      </c>
      <c r="AS151">
        <f>AX150</f>
        <v/>
      </c>
      <c r="AT151">
        <f>AS151*Plan!D13/100/12</f>
        <v/>
      </c>
      <c r="AU151">
        <f>MIN(Plan!E13,AS151+AT151)</f>
        <v/>
      </c>
      <c r="AV151">
        <f>AS151+AT151-AU151</f>
        <v/>
      </c>
      <c r="AW151">
        <f>MIN(AV151,MAX(0,$B151-((E$5&lt;AU$5)*F151+(K$5&lt;AU$5)*L151+(Q$5&lt;AU$5)*R151+(W$5&lt;AU$5)*X151+(AC$5&lt;AU$5)*AD151+(AI$5&lt;AU$5)*AJ151+(AO$5&lt;AU$5)*AP151)))</f>
        <v/>
      </c>
      <c r="AX151">
        <f>IF(AV151-AW151&lt;0.005,0,AV151-AW151)</f>
        <v/>
      </c>
      <c r="BC151">
        <f>H151+N151+T151+Z151+AF151+AL151+AR151+AX151</f>
        <v/>
      </c>
    </row>
    <row r="152">
      <c r="A152" t="n">
        <v>146</v>
      </c>
      <c r="B152" s="19">
        <f>MAX(0,$B$3-(E152+K152+Q152+W152+AC152+AI152+AO152+AU152))</f>
        <v/>
      </c>
      <c r="C152">
        <f>H151</f>
        <v/>
      </c>
      <c r="D152">
        <f>C152*Plan!D6/100/12</f>
        <v/>
      </c>
      <c r="E152">
        <f>MIN(Plan!E6,C152+D152)</f>
        <v/>
      </c>
      <c r="F152">
        <f>C152+D152-E152</f>
        <v/>
      </c>
      <c r="G152">
        <f>MIN(F152,MAX(0,$B152-((K$5&lt;E$5)*L152+(Q$5&lt;E$5)*R152+(W$5&lt;E$5)*X152+(AC$5&lt;E$5)*AD152+(AI$5&lt;E$5)*AJ152+(AO$5&lt;E$5)*AP152+(AU$5&lt;E$5)*AV152)))</f>
        <v/>
      </c>
      <c r="H152">
        <f>IF(F152-G152&lt;0.005,0,F152-G152)</f>
        <v/>
      </c>
      <c r="I152">
        <f>N151</f>
        <v/>
      </c>
      <c r="J152">
        <f>I152*Plan!D7/100/12</f>
        <v/>
      </c>
      <c r="K152">
        <f>MIN(Plan!E7,I152+J152)</f>
        <v/>
      </c>
      <c r="L152">
        <f>I152+J152-K152</f>
        <v/>
      </c>
      <c r="M152">
        <f>MIN(L152,MAX(0,$B152-((E$5&lt;K$5)*F152+(Q$5&lt;K$5)*R152+(W$5&lt;K$5)*X152+(AC$5&lt;K$5)*AD152+(AI$5&lt;K$5)*AJ152+(AO$5&lt;K$5)*AP152+(AU$5&lt;K$5)*AV152)))</f>
        <v/>
      </c>
      <c r="N152">
        <f>IF(L152-M152&lt;0.005,0,L152-M152)</f>
        <v/>
      </c>
      <c r="O152">
        <f>T151</f>
        <v/>
      </c>
      <c r="P152">
        <f>O152*Plan!D8/100/12</f>
        <v/>
      </c>
      <c r="Q152">
        <f>MIN(Plan!E8,O152+P152)</f>
        <v/>
      </c>
      <c r="R152">
        <f>O152+P152-Q152</f>
        <v/>
      </c>
      <c r="S152">
        <f>MIN(R152,MAX(0,$B152-((E$5&lt;Q$5)*F152+(K$5&lt;Q$5)*L152+(W$5&lt;Q$5)*X152+(AC$5&lt;Q$5)*AD152+(AI$5&lt;Q$5)*AJ152+(AO$5&lt;Q$5)*AP152+(AU$5&lt;Q$5)*AV152)))</f>
        <v/>
      </c>
      <c r="T152">
        <f>IF(R152-S152&lt;0.005,0,R152-S152)</f>
        <v/>
      </c>
      <c r="U152">
        <f>Z151</f>
        <v/>
      </c>
      <c r="V152">
        <f>U152*Plan!D9/100/12</f>
        <v/>
      </c>
      <c r="W152">
        <f>MIN(Plan!E9,U152+V152)</f>
        <v/>
      </c>
      <c r="X152">
        <f>U152+V152-W152</f>
        <v/>
      </c>
      <c r="Y152">
        <f>MIN(X152,MAX(0,$B152-((E$5&lt;W$5)*F152+(K$5&lt;W$5)*L152+(Q$5&lt;W$5)*R152+(AC$5&lt;W$5)*AD152+(AI$5&lt;W$5)*AJ152+(AO$5&lt;W$5)*AP152+(AU$5&lt;W$5)*AV152)))</f>
        <v/>
      </c>
      <c r="Z152">
        <f>IF(X152-Y152&lt;0.005,0,X152-Y152)</f>
        <v/>
      </c>
      <c r="AA152">
        <f>AF151</f>
        <v/>
      </c>
      <c r="AB152">
        <f>AA152*Plan!D10/100/12</f>
        <v/>
      </c>
      <c r="AC152">
        <f>MIN(Plan!E10,AA152+AB152)</f>
        <v/>
      </c>
      <c r="AD152">
        <f>AA152+AB152-AC152</f>
        <v/>
      </c>
      <c r="AE152">
        <f>MIN(AD152,MAX(0,$B152-((E$5&lt;AC$5)*F152+(K$5&lt;AC$5)*L152+(Q$5&lt;AC$5)*R152+(W$5&lt;AC$5)*X152+(AI$5&lt;AC$5)*AJ152+(AO$5&lt;AC$5)*AP152+(AU$5&lt;AC$5)*AV152)))</f>
        <v/>
      </c>
      <c r="AF152">
        <f>IF(AD152-AE152&lt;0.005,0,AD152-AE152)</f>
        <v/>
      </c>
      <c r="AG152">
        <f>AL151</f>
        <v/>
      </c>
      <c r="AH152">
        <f>AG152*Plan!D11/100/12</f>
        <v/>
      </c>
      <c r="AI152">
        <f>MIN(Plan!E11,AG152+AH152)</f>
        <v/>
      </c>
      <c r="AJ152">
        <f>AG152+AH152-AI152</f>
        <v/>
      </c>
      <c r="AK152">
        <f>MIN(AJ152,MAX(0,$B152-((E$5&lt;AI$5)*F152+(K$5&lt;AI$5)*L152+(Q$5&lt;AI$5)*R152+(W$5&lt;AI$5)*X152+(AC$5&lt;AI$5)*AD152+(AO$5&lt;AI$5)*AP152+(AU$5&lt;AI$5)*AV152)))</f>
        <v/>
      </c>
      <c r="AL152">
        <f>IF(AJ152-AK152&lt;0.005,0,AJ152-AK152)</f>
        <v/>
      </c>
      <c r="AM152">
        <f>AR151</f>
        <v/>
      </c>
      <c r="AN152">
        <f>AM152*Plan!D12/100/12</f>
        <v/>
      </c>
      <c r="AO152">
        <f>MIN(Plan!E12,AM152+AN152)</f>
        <v/>
      </c>
      <c r="AP152">
        <f>AM152+AN152-AO152</f>
        <v/>
      </c>
      <c r="AQ152">
        <f>MIN(AP152,MAX(0,$B152-((E$5&lt;AO$5)*F152+(K$5&lt;AO$5)*L152+(Q$5&lt;AO$5)*R152+(W$5&lt;AO$5)*X152+(AC$5&lt;AO$5)*AD152+(AI$5&lt;AO$5)*AJ152+(AU$5&lt;AO$5)*AV152)))</f>
        <v/>
      </c>
      <c r="AR152">
        <f>IF(AP152-AQ152&lt;0.005,0,AP152-AQ152)</f>
        <v/>
      </c>
      <c r="AS152">
        <f>AX151</f>
        <v/>
      </c>
      <c r="AT152">
        <f>AS152*Plan!D13/100/12</f>
        <v/>
      </c>
      <c r="AU152">
        <f>MIN(Plan!E13,AS152+AT152)</f>
        <v/>
      </c>
      <c r="AV152">
        <f>AS152+AT152-AU152</f>
        <v/>
      </c>
      <c r="AW152">
        <f>MIN(AV152,MAX(0,$B152-((E$5&lt;AU$5)*F152+(K$5&lt;AU$5)*L152+(Q$5&lt;AU$5)*R152+(W$5&lt;AU$5)*X152+(AC$5&lt;AU$5)*AD152+(AI$5&lt;AU$5)*AJ152+(AO$5&lt;AU$5)*AP152)))</f>
        <v/>
      </c>
      <c r="AX152">
        <f>IF(AV152-AW152&lt;0.005,0,AV152-AW152)</f>
        <v/>
      </c>
      <c r="BC152">
        <f>H152+N152+T152+Z152+AF152+AL152+AR152+AX152</f>
        <v/>
      </c>
    </row>
    <row r="153">
      <c r="A153" t="n">
        <v>147</v>
      </c>
      <c r="B153" s="19">
        <f>MAX(0,$B$3-(E153+K153+Q153+W153+AC153+AI153+AO153+AU153))</f>
        <v/>
      </c>
      <c r="C153">
        <f>H152</f>
        <v/>
      </c>
      <c r="D153">
        <f>C153*Plan!D6/100/12</f>
        <v/>
      </c>
      <c r="E153">
        <f>MIN(Plan!E6,C153+D153)</f>
        <v/>
      </c>
      <c r="F153">
        <f>C153+D153-E153</f>
        <v/>
      </c>
      <c r="G153">
        <f>MIN(F153,MAX(0,$B153-((K$5&lt;E$5)*L153+(Q$5&lt;E$5)*R153+(W$5&lt;E$5)*X153+(AC$5&lt;E$5)*AD153+(AI$5&lt;E$5)*AJ153+(AO$5&lt;E$5)*AP153+(AU$5&lt;E$5)*AV153)))</f>
        <v/>
      </c>
      <c r="H153">
        <f>IF(F153-G153&lt;0.005,0,F153-G153)</f>
        <v/>
      </c>
      <c r="I153">
        <f>N152</f>
        <v/>
      </c>
      <c r="J153">
        <f>I153*Plan!D7/100/12</f>
        <v/>
      </c>
      <c r="K153">
        <f>MIN(Plan!E7,I153+J153)</f>
        <v/>
      </c>
      <c r="L153">
        <f>I153+J153-K153</f>
        <v/>
      </c>
      <c r="M153">
        <f>MIN(L153,MAX(0,$B153-((E$5&lt;K$5)*F153+(Q$5&lt;K$5)*R153+(W$5&lt;K$5)*X153+(AC$5&lt;K$5)*AD153+(AI$5&lt;K$5)*AJ153+(AO$5&lt;K$5)*AP153+(AU$5&lt;K$5)*AV153)))</f>
        <v/>
      </c>
      <c r="N153">
        <f>IF(L153-M153&lt;0.005,0,L153-M153)</f>
        <v/>
      </c>
      <c r="O153">
        <f>T152</f>
        <v/>
      </c>
      <c r="P153">
        <f>O153*Plan!D8/100/12</f>
        <v/>
      </c>
      <c r="Q153">
        <f>MIN(Plan!E8,O153+P153)</f>
        <v/>
      </c>
      <c r="R153">
        <f>O153+P153-Q153</f>
        <v/>
      </c>
      <c r="S153">
        <f>MIN(R153,MAX(0,$B153-((E$5&lt;Q$5)*F153+(K$5&lt;Q$5)*L153+(W$5&lt;Q$5)*X153+(AC$5&lt;Q$5)*AD153+(AI$5&lt;Q$5)*AJ153+(AO$5&lt;Q$5)*AP153+(AU$5&lt;Q$5)*AV153)))</f>
        <v/>
      </c>
      <c r="T153">
        <f>IF(R153-S153&lt;0.005,0,R153-S153)</f>
        <v/>
      </c>
      <c r="U153">
        <f>Z152</f>
        <v/>
      </c>
      <c r="V153">
        <f>U153*Plan!D9/100/12</f>
        <v/>
      </c>
      <c r="W153">
        <f>MIN(Plan!E9,U153+V153)</f>
        <v/>
      </c>
      <c r="X153">
        <f>U153+V153-W153</f>
        <v/>
      </c>
      <c r="Y153">
        <f>MIN(X153,MAX(0,$B153-((E$5&lt;W$5)*F153+(K$5&lt;W$5)*L153+(Q$5&lt;W$5)*R153+(AC$5&lt;W$5)*AD153+(AI$5&lt;W$5)*AJ153+(AO$5&lt;W$5)*AP153+(AU$5&lt;W$5)*AV153)))</f>
        <v/>
      </c>
      <c r="Z153">
        <f>IF(X153-Y153&lt;0.005,0,X153-Y153)</f>
        <v/>
      </c>
      <c r="AA153">
        <f>AF152</f>
        <v/>
      </c>
      <c r="AB153">
        <f>AA153*Plan!D10/100/12</f>
        <v/>
      </c>
      <c r="AC153">
        <f>MIN(Plan!E10,AA153+AB153)</f>
        <v/>
      </c>
      <c r="AD153">
        <f>AA153+AB153-AC153</f>
        <v/>
      </c>
      <c r="AE153">
        <f>MIN(AD153,MAX(0,$B153-((E$5&lt;AC$5)*F153+(K$5&lt;AC$5)*L153+(Q$5&lt;AC$5)*R153+(W$5&lt;AC$5)*X153+(AI$5&lt;AC$5)*AJ153+(AO$5&lt;AC$5)*AP153+(AU$5&lt;AC$5)*AV153)))</f>
        <v/>
      </c>
      <c r="AF153">
        <f>IF(AD153-AE153&lt;0.005,0,AD153-AE153)</f>
        <v/>
      </c>
      <c r="AG153">
        <f>AL152</f>
        <v/>
      </c>
      <c r="AH153">
        <f>AG153*Plan!D11/100/12</f>
        <v/>
      </c>
      <c r="AI153">
        <f>MIN(Plan!E11,AG153+AH153)</f>
        <v/>
      </c>
      <c r="AJ153">
        <f>AG153+AH153-AI153</f>
        <v/>
      </c>
      <c r="AK153">
        <f>MIN(AJ153,MAX(0,$B153-((E$5&lt;AI$5)*F153+(K$5&lt;AI$5)*L153+(Q$5&lt;AI$5)*R153+(W$5&lt;AI$5)*X153+(AC$5&lt;AI$5)*AD153+(AO$5&lt;AI$5)*AP153+(AU$5&lt;AI$5)*AV153)))</f>
        <v/>
      </c>
      <c r="AL153">
        <f>IF(AJ153-AK153&lt;0.005,0,AJ153-AK153)</f>
        <v/>
      </c>
      <c r="AM153">
        <f>AR152</f>
        <v/>
      </c>
      <c r="AN153">
        <f>AM153*Plan!D12/100/12</f>
        <v/>
      </c>
      <c r="AO153">
        <f>MIN(Plan!E12,AM153+AN153)</f>
        <v/>
      </c>
      <c r="AP153">
        <f>AM153+AN153-AO153</f>
        <v/>
      </c>
      <c r="AQ153">
        <f>MIN(AP153,MAX(0,$B153-((E$5&lt;AO$5)*F153+(K$5&lt;AO$5)*L153+(Q$5&lt;AO$5)*R153+(W$5&lt;AO$5)*X153+(AC$5&lt;AO$5)*AD153+(AI$5&lt;AO$5)*AJ153+(AU$5&lt;AO$5)*AV153)))</f>
        <v/>
      </c>
      <c r="AR153">
        <f>IF(AP153-AQ153&lt;0.005,0,AP153-AQ153)</f>
        <v/>
      </c>
      <c r="AS153">
        <f>AX152</f>
        <v/>
      </c>
      <c r="AT153">
        <f>AS153*Plan!D13/100/12</f>
        <v/>
      </c>
      <c r="AU153">
        <f>MIN(Plan!E13,AS153+AT153)</f>
        <v/>
      </c>
      <c r="AV153">
        <f>AS153+AT153-AU153</f>
        <v/>
      </c>
      <c r="AW153">
        <f>MIN(AV153,MAX(0,$B153-((E$5&lt;AU$5)*F153+(K$5&lt;AU$5)*L153+(Q$5&lt;AU$5)*R153+(W$5&lt;AU$5)*X153+(AC$5&lt;AU$5)*AD153+(AI$5&lt;AU$5)*AJ153+(AO$5&lt;AU$5)*AP153)))</f>
        <v/>
      </c>
      <c r="AX153">
        <f>IF(AV153-AW153&lt;0.005,0,AV153-AW153)</f>
        <v/>
      </c>
      <c r="BC153">
        <f>H153+N153+T153+Z153+AF153+AL153+AR153+AX153</f>
        <v/>
      </c>
    </row>
    <row r="154">
      <c r="A154" t="n">
        <v>148</v>
      </c>
      <c r="B154" s="19">
        <f>MAX(0,$B$3-(E154+K154+Q154+W154+AC154+AI154+AO154+AU154))</f>
        <v/>
      </c>
      <c r="C154">
        <f>H153</f>
        <v/>
      </c>
      <c r="D154">
        <f>C154*Plan!D6/100/12</f>
        <v/>
      </c>
      <c r="E154">
        <f>MIN(Plan!E6,C154+D154)</f>
        <v/>
      </c>
      <c r="F154">
        <f>C154+D154-E154</f>
        <v/>
      </c>
      <c r="G154">
        <f>MIN(F154,MAX(0,$B154-((K$5&lt;E$5)*L154+(Q$5&lt;E$5)*R154+(W$5&lt;E$5)*X154+(AC$5&lt;E$5)*AD154+(AI$5&lt;E$5)*AJ154+(AO$5&lt;E$5)*AP154+(AU$5&lt;E$5)*AV154)))</f>
        <v/>
      </c>
      <c r="H154">
        <f>IF(F154-G154&lt;0.005,0,F154-G154)</f>
        <v/>
      </c>
      <c r="I154">
        <f>N153</f>
        <v/>
      </c>
      <c r="J154">
        <f>I154*Plan!D7/100/12</f>
        <v/>
      </c>
      <c r="K154">
        <f>MIN(Plan!E7,I154+J154)</f>
        <v/>
      </c>
      <c r="L154">
        <f>I154+J154-K154</f>
        <v/>
      </c>
      <c r="M154">
        <f>MIN(L154,MAX(0,$B154-((E$5&lt;K$5)*F154+(Q$5&lt;K$5)*R154+(W$5&lt;K$5)*X154+(AC$5&lt;K$5)*AD154+(AI$5&lt;K$5)*AJ154+(AO$5&lt;K$5)*AP154+(AU$5&lt;K$5)*AV154)))</f>
        <v/>
      </c>
      <c r="N154">
        <f>IF(L154-M154&lt;0.005,0,L154-M154)</f>
        <v/>
      </c>
      <c r="O154">
        <f>T153</f>
        <v/>
      </c>
      <c r="P154">
        <f>O154*Plan!D8/100/12</f>
        <v/>
      </c>
      <c r="Q154">
        <f>MIN(Plan!E8,O154+P154)</f>
        <v/>
      </c>
      <c r="R154">
        <f>O154+P154-Q154</f>
        <v/>
      </c>
      <c r="S154">
        <f>MIN(R154,MAX(0,$B154-((E$5&lt;Q$5)*F154+(K$5&lt;Q$5)*L154+(W$5&lt;Q$5)*X154+(AC$5&lt;Q$5)*AD154+(AI$5&lt;Q$5)*AJ154+(AO$5&lt;Q$5)*AP154+(AU$5&lt;Q$5)*AV154)))</f>
        <v/>
      </c>
      <c r="T154">
        <f>IF(R154-S154&lt;0.005,0,R154-S154)</f>
        <v/>
      </c>
      <c r="U154">
        <f>Z153</f>
        <v/>
      </c>
      <c r="V154">
        <f>U154*Plan!D9/100/12</f>
        <v/>
      </c>
      <c r="W154">
        <f>MIN(Plan!E9,U154+V154)</f>
        <v/>
      </c>
      <c r="X154">
        <f>U154+V154-W154</f>
        <v/>
      </c>
      <c r="Y154">
        <f>MIN(X154,MAX(0,$B154-((E$5&lt;W$5)*F154+(K$5&lt;W$5)*L154+(Q$5&lt;W$5)*R154+(AC$5&lt;W$5)*AD154+(AI$5&lt;W$5)*AJ154+(AO$5&lt;W$5)*AP154+(AU$5&lt;W$5)*AV154)))</f>
        <v/>
      </c>
      <c r="Z154">
        <f>IF(X154-Y154&lt;0.005,0,X154-Y154)</f>
        <v/>
      </c>
      <c r="AA154">
        <f>AF153</f>
        <v/>
      </c>
      <c r="AB154">
        <f>AA154*Plan!D10/100/12</f>
        <v/>
      </c>
      <c r="AC154">
        <f>MIN(Plan!E10,AA154+AB154)</f>
        <v/>
      </c>
      <c r="AD154">
        <f>AA154+AB154-AC154</f>
        <v/>
      </c>
      <c r="AE154">
        <f>MIN(AD154,MAX(0,$B154-((E$5&lt;AC$5)*F154+(K$5&lt;AC$5)*L154+(Q$5&lt;AC$5)*R154+(W$5&lt;AC$5)*X154+(AI$5&lt;AC$5)*AJ154+(AO$5&lt;AC$5)*AP154+(AU$5&lt;AC$5)*AV154)))</f>
        <v/>
      </c>
      <c r="AF154">
        <f>IF(AD154-AE154&lt;0.005,0,AD154-AE154)</f>
        <v/>
      </c>
      <c r="AG154">
        <f>AL153</f>
        <v/>
      </c>
      <c r="AH154">
        <f>AG154*Plan!D11/100/12</f>
        <v/>
      </c>
      <c r="AI154">
        <f>MIN(Plan!E11,AG154+AH154)</f>
        <v/>
      </c>
      <c r="AJ154">
        <f>AG154+AH154-AI154</f>
        <v/>
      </c>
      <c r="AK154">
        <f>MIN(AJ154,MAX(0,$B154-((E$5&lt;AI$5)*F154+(K$5&lt;AI$5)*L154+(Q$5&lt;AI$5)*R154+(W$5&lt;AI$5)*X154+(AC$5&lt;AI$5)*AD154+(AO$5&lt;AI$5)*AP154+(AU$5&lt;AI$5)*AV154)))</f>
        <v/>
      </c>
      <c r="AL154">
        <f>IF(AJ154-AK154&lt;0.005,0,AJ154-AK154)</f>
        <v/>
      </c>
      <c r="AM154">
        <f>AR153</f>
        <v/>
      </c>
      <c r="AN154">
        <f>AM154*Plan!D12/100/12</f>
        <v/>
      </c>
      <c r="AO154">
        <f>MIN(Plan!E12,AM154+AN154)</f>
        <v/>
      </c>
      <c r="AP154">
        <f>AM154+AN154-AO154</f>
        <v/>
      </c>
      <c r="AQ154">
        <f>MIN(AP154,MAX(0,$B154-((E$5&lt;AO$5)*F154+(K$5&lt;AO$5)*L154+(Q$5&lt;AO$5)*R154+(W$5&lt;AO$5)*X154+(AC$5&lt;AO$5)*AD154+(AI$5&lt;AO$5)*AJ154+(AU$5&lt;AO$5)*AV154)))</f>
        <v/>
      </c>
      <c r="AR154">
        <f>IF(AP154-AQ154&lt;0.005,0,AP154-AQ154)</f>
        <v/>
      </c>
      <c r="AS154">
        <f>AX153</f>
        <v/>
      </c>
      <c r="AT154">
        <f>AS154*Plan!D13/100/12</f>
        <v/>
      </c>
      <c r="AU154">
        <f>MIN(Plan!E13,AS154+AT154)</f>
        <v/>
      </c>
      <c r="AV154">
        <f>AS154+AT154-AU154</f>
        <v/>
      </c>
      <c r="AW154">
        <f>MIN(AV154,MAX(0,$B154-((E$5&lt;AU$5)*F154+(K$5&lt;AU$5)*L154+(Q$5&lt;AU$5)*R154+(W$5&lt;AU$5)*X154+(AC$5&lt;AU$5)*AD154+(AI$5&lt;AU$5)*AJ154+(AO$5&lt;AU$5)*AP154)))</f>
        <v/>
      </c>
      <c r="AX154">
        <f>IF(AV154-AW154&lt;0.005,0,AV154-AW154)</f>
        <v/>
      </c>
      <c r="BC154">
        <f>H154+N154+T154+Z154+AF154+AL154+AR154+AX154</f>
        <v/>
      </c>
    </row>
    <row r="155">
      <c r="A155" t="n">
        <v>149</v>
      </c>
      <c r="B155" s="19">
        <f>MAX(0,$B$3-(E155+K155+Q155+W155+AC155+AI155+AO155+AU155))</f>
        <v/>
      </c>
      <c r="C155">
        <f>H154</f>
        <v/>
      </c>
      <c r="D155">
        <f>C155*Plan!D6/100/12</f>
        <v/>
      </c>
      <c r="E155">
        <f>MIN(Plan!E6,C155+D155)</f>
        <v/>
      </c>
      <c r="F155">
        <f>C155+D155-E155</f>
        <v/>
      </c>
      <c r="G155">
        <f>MIN(F155,MAX(0,$B155-((K$5&lt;E$5)*L155+(Q$5&lt;E$5)*R155+(W$5&lt;E$5)*X155+(AC$5&lt;E$5)*AD155+(AI$5&lt;E$5)*AJ155+(AO$5&lt;E$5)*AP155+(AU$5&lt;E$5)*AV155)))</f>
        <v/>
      </c>
      <c r="H155">
        <f>IF(F155-G155&lt;0.005,0,F155-G155)</f>
        <v/>
      </c>
      <c r="I155">
        <f>N154</f>
        <v/>
      </c>
      <c r="J155">
        <f>I155*Plan!D7/100/12</f>
        <v/>
      </c>
      <c r="K155">
        <f>MIN(Plan!E7,I155+J155)</f>
        <v/>
      </c>
      <c r="L155">
        <f>I155+J155-K155</f>
        <v/>
      </c>
      <c r="M155">
        <f>MIN(L155,MAX(0,$B155-((E$5&lt;K$5)*F155+(Q$5&lt;K$5)*R155+(W$5&lt;K$5)*X155+(AC$5&lt;K$5)*AD155+(AI$5&lt;K$5)*AJ155+(AO$5&lt;K$5)*AP155+(AU$5&lt;K$5)*AV155)))</f>
        <v/>
      </c>
      <c r="N155">
        <f>IF(L155-M155&lt;0.005,0,L155-M155)</f>
        <v/>
      </c>
      <c r="O155">
        <f>T154</f>
        <v/>
      </c>
      <c r="P155">
        <f>O155*Plan!D8/100/12</f>
        <v/>
      </c>
      <c r="Q155">
        <f>MIN(Plan!E8,O155+P155)</f>
        <v/>
      </c>
      <c r="R155">
        <f>O155+P155-Q155</f>
        <v/>
      </c>
      <c r="S155">
        <f>MIN(R155,MAX(0,$B155-((E$5&lt;Q$5)*F155+(K$5&lt;Q$5)*L155+(W$5&lt;Q$5)*X155+(AC$5&lt;Q$5)*AD155+(AI$5&lt;Q$5)*AJ155+(AO$5&lt;Q$5)*AP155+(AU$5&lt;Q$5)*AV155)))</f>
        <v/>
      </c>
      <c r="T155">
        <f>IF(R155-S155&lt;0.005,0,R155-S155)</f>
        <v/>
      </c>
      <c r="U155">
        <f>Z154</f>
        <v/>
      </c>
      <c r="V155">
        <f>U155*Plan!D9/100/12</f>
        <v/>
      </c>
      <c r="W155">
        <f>MIN(Plan!E9,U155+V155)</f>
        <v/>
      </c>
      <c r="X155">
        <f>U155+V155-W155</f>
        <v/>
      </c>
      <c r="Y155">
        <f>MIN(X155,MAX(0,$B155-((E$5&lt;W$5)*F155+(K$5&lt;W$5)*L155+(Q$5&lt;W$5)*R155+(AC$5&lt;W$5)*AD155+(AI$5&lt;W$5)*AJ155+(AO$5&lt;W$5)*AP155+(AU$5&lt;W$5)*AV155)))</f>
        <v/>
      </c>
      <c r="Z155">
        <f>IF(X155-Y155&lt;0.005,0,X155-Y155)</f>
        <v/>
      </c>
      <c r="AA155">
        <f>AF154</f>
        <v/>
      </c>
      <c r="AB155">
        <f>AA155*Plan!D10/100/12</f>
        <v/>
      </c>
      <c r="AC155">
        <f>MIN(Plan!E10,AA155+AB155)</f>
        <v/>
      </c>
      <c r="AD155">
        <f>AA155+AB155-AC155</f>
        <v/>
      </c>
      <c r="AE155">
        <f>MIN(AD155,MAX(0,$B155-((E$5&lt;AC$5)*F155+(K$5&lt;AC$5)*L155+(Q$5&lt;AC$5)*R155+(W$5&lt;AC$5)*X155+(AI$5&lt;AC$5)*AJ155+(AO$5&lt;AC$5)*AP155+(AU$5&lt;AC$5)*AV155)))</f>
        <v/>
      </c>
      <c r="AF155">
        <f>IF(AD155-AE155&lt;0.005,0,AD155-AE155)</f>
        <v/>
      </c>
      <c r="AG155">
        <f>AL154</f>
        <v/>
      </c>
      <c r="AH155">
        <f>AG155*Plan!D11/100/12</f>
        <v/>
      </c>
      <c r="AI155">
        <f>MIN(Plan!E11,AG155+AH155)</f>
        <v/>
      </c>
      <c r="AJ155">
        <f>AG155+AH155-AI155</f>
        <v/>
      </c>
      <c r="AK155">
        <f>MIN(AJ155,MAX(0,$B155-((E$5&lt;AI$5)*F155+(K$5&lt;AI$5)*L155+(Q$5&lt;AI$5)*R155+(W$5&lt;AI$5)*X155+(AC$5&lt;AI$5)*AD155+(AO$5&lt;AI$5)*AP155+(AU$5&lt;AI$5)*AV155)))</f>
        <v/>
      </c>
      <c r="AL155">
        <f>IF(AJ155-AK155&lt;0.005,0,AJ155-AK155)</f>
        <v/>
      </c>
      <c r="AM155">
        <f>AR154</f>
        <v/>
      </c>
      <c r="AN155">
        <f>AM155*Plan!D12/100/12</f>
        <v/>
      </c>
      <c r="AO155">
        <f>MIN(Plan!E12,AM155+AN155)</f>
        <v/>
      </c>
      <c r="AP155">
        <f>AM155+AN155-AO155</f>
        <v/>
      </c>
      <c r="AQ155">
        <f>MIN(AP155,MAX(0,$B155-((E$5&lt;AO$5)*F155+(K$5&lt;AO$5)*L155+(Q$5&lt;AO$5)*R155+(W$5&lt;AO$5)*X155+(AC$5&lt;AO$5)*AD155+(AI$5&lt;AO$5)*AJ155+(AU$5&lt;AO$5)*AV155)))</f>
        <v/>
      </c>
      <c r="AR155">
        <f>IF(AP155-AQ155&lt;0.005,0,AP155-AQ155)</f>
        <v/>
      </c>
      <c r="AS155">
        <f>AX154</f>
        <v/>
      </c>
      <c r="AT155">
        <f>AS155*Plan!D13/100/12</f>
        <v/>
      </c>
      <c r="AU155">
        <f>MIN(Plan!E13,AS155+AT155)</f>
        <v/>
      </c>
      <c r="AV155">
        <f>AS155+AT155-AU155</f>
        <v/>
      </c>
      <c r="AW155">
        <f>MIN(AV155,MAX(0,$B155-((E$5&lt;AU$5)*F155+(K$5&lt;AU$5)*L155+(Q$5&lt;AU$5)*R155+(W$5&lt;AU$5)*X155+(AC$5&lt;AU$5)*AD155+(AI$5&lt;AU$5)*AJ155+(AO$5&lt;AU$5)*AP155)))</f>
        <v/>
      </c>
      <c r="AX155">
        <f>IF(AV155-AW155&lt;0.005,0,AV155-AW155)</f>
        <v/>
      </c>
      <c r="BC155">
        <f>H155+N155+T155+Z155+AF155+AL155+AR155+AX155</f>
        <v/>
      </c>
    </row>
    <row r="156">
      <c r="A156" t="n">
        <v>150</v>
      </c>
      <c r="B156" s="19">
        <f>MAX(0,$B$3-(E156+K156+Q156+W156+AC156+AI156+AO156+AU156))</f>
        <v/>
      </c>
      <c r="C156">
        <f>H155</f>
        <v/>
      </c>
      <c r="D156">
        <f>C156*Plan!D6/100/12</f>
        <v/>
      </c>
      <c r="E156">
        <f>MIN(Plan!E6,C156+D156)</f>
        <v/>
      </c>
      <c r="F156">
        <f>C156+D156-E156</f>
        <v/>
      </c>
      <c r="G156">
        <f>MIN(F156,MAX(0,$B156-((K$5&lt;E$5)*L156+(Q$5&lt;E$5)*R156+(W$5&lt;E$5)*X156+(AC$5&lt;E$5)*AD156+(AI$5&lt;E$5)*AJ156+(AO$5&lt;E$5)*AP156+(AU$5&lt;E$5)*AV156)))</f>
        <v/>
      </c>
      <c r="H156">
        <f>IF(F156-G156&lt;0.005,0,F156-G156)</f>
        <v/>
      </c>
      <c r="I156">
        <f>N155</f>
        <v/>
      </c>
      <c r="J156">
        <f>I156*Plan!D7/100/12</f>
        <v/>
      </c>
      <c r="K156">
        <f>MIN(Plan!E7,I156+J156)</f>
        <v/>
      </c>
      <c r="L156">
        <f>I156+J156-K156</f>
        <v/>
      </c>
      <c r="M156">
        <f>MIN(L156,MAX(0,$B156-((E$5&lt;K$5)*F156+(Q$5&lt;K$5)*R156+(W$5&lt;K$5)*X156+(AC$5&lt;K$5)*AD156+(AI$5&lt;K$5)*AJ156+(AO$5&lt;K$5)*AP156+(AU$5&lt;K$5)*AV156)))</f>
        <v/>
      </c>
      <c r="N156">
        <f>IF(L156-M156&lt;0.005,0,L156-M156)</f>
        <v/>
      </c>
      <c r="O156">
        <f>T155</f>
        <v/>
      </c>
      <c r="P156">
        <f>O156*Plan!D8/100/12</f>
        <v/>
      </c>
      <c r="Q156">
        <f>MIN(Plan!E8,O156+P156)</f>
        <v/>
      </c>
      <c r="R156">
        <f>O156+P156-Q156</f>
        <v/>
      </c>
      <c r="S156">
        <f>MIN(R156,MAX(0,$B156-((E$5&lt;Q$5)*F156+(K$5&lt;Q$5)*L156+(W$5&lt;Q$5)*X156+(AC$5&lt;Q$5)*AD156+(AI$5&lt;Q$5)*AJ156+(AO$5&lt;Q$5)*AP156+(AU$5&lt;Q$5)*AV156)))</f>
        <v/>
      </c>
      <c r="T156">
        <f>IF(R156-S156&lt;0.005,0,R156-S156)</f>
        <v/>
      </c>
      <c r="U156">
        <f>Z155</f>
        <v/>
      </c>
      <c r="V156">
        <f>U156*Plan!D9/100/12</f>
        <v/>
      </c>
      <c r="W156">
        <f>MIN(Plan!E9,U156+V156)</f>
        <v/>
      </c>
      <c r="X156">
        <f>U156+V156-W156</f>
        <v/>
      </c>
      <c r="Y156">
        <f>MIN(X156,MAX(0,$B156-((E$5&lt;W$5)*F156+(K$5&lt;W$5)*L156+(Q$5&lt;W$5)*R156+(AC$5&lt;W$5)*AD156+(AI$5&lt;W$5)*AJ156+(AO$5&lt;W$5)*AP156+(AU$5&lt;W$5)*AV156)))</f>
        <v/>
      </c>
      <c r="Z156">
        <f>IF(X156-Y156&lt;0.005,0,X156-Y156)</f>
        <v/>
      </c>
      <c r="AA156">
        <f>AF155</f>
        <v/>
      </c>
      <c r="AB156">
        <f>AA156*Plan!D10/100/12</f>
        <v/>
      </c>
      <c r="AC156">
        <f>MIN(Plan!E10,AA156+AB156)</f>
        <v/>
      </c>
      <c r="AD156">
        <f>AA156+AB156-AC156</f>
        <v/>
      </c>
      <c r="AE156">
        <f>MIN(AD156,MAX(0,$B156-((E$5&lt;AC$5)*F156+(K$5&lt;AC$5)*L156+(Q$5&lt;AC$5)*R156+(W$5&lt;AC$5)*X156+(AI$5&lt;AC$5)*AJ156+(AO$5&lt;AC$5)*AP156+(AU$5&lt;AC$5)*AV156)))</f>
        <v/>
      </c>
      <c r="AF156">
        <f>IF(AD156-AE156&lt;0.005,0,AD156-AE156)</f>
        <v/>
      </c>
      <c r="AG156">
        <f>AL155</f>
        <v/>
      </c>
      <c r="AH156">
        <f>AG156*Plan!D11/100/12</f>
        <v/>
      </c>
      <c r="AI156">
        <f>MIN(Plan!E11,AG156+AH156)</f>
        <v/>
      </c>
      <c r="AJ156">
        <f>AG156+AH156-AI156</f>
        <v/>
      </c>
      <c r="AK156">
        <f>MIN(AJ156,MAX(0,$B156-((E$5&lt;AI$5)*F156+(K$5&lt;AI$5)*L156+(Q$5&lt;AI$5)*R156+(W$5&lt;AI$5)*X156+(AC$5&lt;AI$5)*AD156+(AO$5&lt;AI$5)*AP156+(AU$5&lt;AI$5)*AV156)))</f>
        <v/>
      </c>
      <c r="AL156">
        <f>IF(AJ156-AK156&lt;0.005,0,AJ156-AK156)</f>
        <v/>
      </c>
      <c r="AM156">
        <f>AR155</f>
        <v/>
      </c>
      <c r="AN156">
        <f>AM156*Plan!D12/100/12</f>
        <v/>
      </c>
      <c r="AO156">
        <f>MIN(Plan!E12,AM156+AN156)</f>
        <v/>
      </c>
      <c r="AP156">
        <f>AM156+AN156-AO156</f>
        <v/>
      </c>
      <c r="AQ156">
        <f>MIN(AP156,MAX(0,$B156-((E$5&lt;AO$5)*F156+(K$5&lt;AO$5)*L156+(Q$5&lt;AO$5)*R156+(W$5&lt;AO$5)*X156+(AC$5&lt;AO$5)*AD156+(AI$5&lt;AO$5)*AJ156+(AU$5&lt;AO$5)*AV156)))</f>
        <v/>
      </c>
      <c r="AR156">
        <f>IF(AP156-AQ156&lt;0.005,0,AP156-AQ156)</f>
        <v/>
      </c>
      <c r="AS156">
        <f>AX155</f>
        <v/>
      </c>
      <c r="AT156">
        <f>AS156*Plan!D13/100/12</f>
        <v/>
      </c>
      <c r="AU156">
        <f>MIN(Plan!E13,AS156+AT156)</f>
        <v/>
      </c>
      <c r="AV156">
        <f>AS156+AT156-AU156</f>
        <v/>
      </c>
      <c r="AW156">
        <f>MIN(AV156,MAX(0,$B156-((E$5&lt;AU$5)*F156+(K$5&lt;AU$5)*L156+(Q$5&lt;AU$5)*R156+(W$5&lt;AU$5)*X156+(AC$5&lt;AU$5)*AD156+(AI$5&lt;AU$5)*AJ156+(AO$5&lt;AU$5)*AP156)))</f>
        <v/>
      </c>
      <c r="AX156">
        <f>IF(AV156-AW156&lt;0.005,0,AV156-AW156)</f>
        <v/>
      </c>
      <c r="BC156">
        <f>H156+N156+T156+Z156+AF156+AL156+AR156+AX156</f>
        <v/>
      </c>
    </row>
    <row r="157">
      <c r="A157" t="n">
        <v>151</v>
      </c>
      <c r="B157" s="19">
        <f>MAX(0,$B$3-(E157+K157+Q157+W157+AC157+AI157+AO157+AU157))</f>
        <v/>
      </c>
      <c r="C157">
        <f>H156</f>
        <v/>
      </c>
      <c r="D157">
        <f>C157*Plan!D6/100/12</f>
        <v/>
      </c>
      <c r="E157">
        <f>MIN(Plan!E6,C157+D157)</f>
        <v/>
      </c>
      <c r="F157">
        <f>C157+D157-E157</f>
        <v/>
      </c>
      <c r="G157">
        <f>MIN(F157,MAX(0,$B157-((K$5&lt;E$5)*L157+(Q$5&lt;E$5)*R157+(W$5&lt;E$5)*X157+(AC$5&lt;E$5)*AD157+(AI$5&lt;E$5)*AJ157+(AO$5&lt;E$5)*AP157+(AU$5&lt;E$5)*AV157)))</f>
        <v/>
      </c>
      <c r="H157">
        <f>IF(F157-G157&lt;0.005,0,F157-G157)</f>
        <v/>
      </c>
      <c r="I157">
        <f>N156</f>
        <v/>
      </c>
      <c r="J157">
        <f>I157*Plan!D7/100/12</f>
        <v/>
      </c>
      <c r="K157">
        <f>MIN(Plan!E7,I157+J157)</f>
        <v/>
      </c>
      <c r="L157">
        <f>I157+J157-K157</f>
        <v/>
      </c>
      <c r="M157">
        <f>MIN(L157,MAX(0,$B157-((E$5&lt;K$5)*F157+(Q$5&lt;K$5)*R157+(W$5&lt;K$5)*X157+(AC$5&lt;K$5)*AD157+(AI$5&lt;K$5)*AJ157+(AO$5&lt;K$5)*AP157+(AU$5&lt;K$5)*AV157)))</f>
        <v/>
      </c>
      <c r="N157">
        <f>IF(L157-M157&lt;0.005,0,L157-M157)</f>
        <v/>
      </c>
      <c r="O157">
        <f>T156</f>
        <v/>
      </c>
      <c r="P157">
        <f>O157*Plan!D8/100/12</f>
        <v/>
      </c>
      <c r="Q157">
        <f>MIN(Plan!E8,O157+P157)</f>
        <v/>
      </c>
      <c r="R157">
        <f>O157+P157-Q157</f>
        <v/>
      </c>
      <c r="S157">
        <f>MIN(R157,MAX(0,$B157-((E$5&lt;Q$5)*F157+(K$5&lt;Q$5)*L157+(W$5&lt;Q$5)*X157+(AC$5&lt;Q$5)*AD157+(AI$5&lt;Q$5)*AJ157+(AO$5&lt;Q$5)*AP157+(AU$5&lt;Q$5)*AV157)))</f>
        <v/>
      </c>
      <c r="T157">
        <f>IF(R157-S157&lt;0.005,0,R157-S157)</f>
        <v/>
      </c>
      <c r="U157">
        <f>Z156</f>
        <v/>
      </c>
      <c r="V157">
        <f>U157*Plan!D9/100/12</f>
        <v/>
      </c>
      <c r="W157">
        <f>MIN(Plan!E9,U157+V157)</f>
        <v/>
      </c>
      <c r="X157">
        <f>U157+V157-W157</f>
        <v/>
      </c>
      <c r="Y157">
        <f>MIN(X157,MAX(0,$B157-((E$5&lt;W$5)*F157+(K$5&lt;W$5)*L157+(Q$5&lt;W$5)*R157+(AC$5&lt;W$5)*AD157+(AI$5&lt;W$5)*AJ157+(AO$5&lt;W$5)*AP157+(AU$5&lt;W$5)*AV157)))</f>
        <v/>
      </c>
      <c r="Z157">
        <f>IF(X157-Y157&lt;0.005,0,X157-Y157)</f>
        <v/>
      </c>
      <c r="AA157">
        <f>AF156</f>
        <v/>
      </c>
      <c r="AB157">
        <f>AA157*Plan!D10/100/12</f>
        <v/>
      </c>
      <c r="AC157">
        <f>MIN(Plan!E10,AA157+AB157)</f>
        <v/>
      </c>
      <c r="AD157">
        <f>AA157+AB157-AC157</f>
        <v/>
      </c>
      <c r="AE157">
        <f>MIN(AD157,MAX(0,$B157-((E$5&lt;AC$5)*F157+(K$5&lt;AC$5)*L157+(Q$5&lt;AC$5)*R157+(W$5&lt;AC$5)*X157+(AI$5&lt;AC$5)*AJ157+(AO$5&lt;AC$5)*AP157+(AU$5&lt;AC$5)*AV157)))</f>
        <v/>
      </c>
      <c r="AF157">
        <f>IF(AD157-AE157&lt;0.005,0,AD157-AE157)</f>
        <v/>
      </c>
      <c r="AG157">
        <f>AL156</f>
        <v/>
      </c>
      <c r="AH157">
        <f>AG157*Plan!D11/100/12</f>
        <v/>
      </c>
      <c r="AI157">
        <f>MIN(Plan!E11,AG157+AH157)</f>
        <v/>
      </c>
      <c r="AJ157">
        <f>AG157+AH157-AI157</f>
        <v/>
      </c>
      <c r="AK157">
        <f>MIN(AJ157,MAX(0,$B157-((E$5&lt;AI$5)*F157+(K$5&lt;AI$5)*L157+(Q$5&lt;AI$5)*R157+(W$5&lt;AI$5)*X157+(AC$5&lt;AI$5)*AD157+(AO$5&lt;AI$5)*AP157+(AU$5&lt;AI$5)*AV157)))</f>
        <v/>
      </c>
      <c r="AL157">
        <f>IF(AJ157-AK157&lt;0.005,0,AJ157-AK157)</f>
        <v/>
      </c>
      <c r="AM157">
        <f>AR156</f>
        <v/>
      </c>
      <c r="AN157">
        <f>AM157*Plan!D12/100/12</f>
        <v/>
      </c>
      <c r="AO157">
        <f>MIN(Plan!E12,AM157+AN157)</f>
        <v/>
      </c>
      <c r="AP157">
        <f>AM157+AN157-AO157</f>
        <v/>
      </c>
      <c r="AQ157">
        <f>MIN(AP157,MAX(0,$B157-((E$5&lt;AO$5)*F157+(K$5&lt;AO$5)*L157+(Q$5&lt;AO$5)*R157+(W$5&lt;AO$5)*X157+(AC$5&lt;AO$5)*AD157+(AI$5&lt;AO$5)*AJ157+(AU$5&lt;AO$5)*AV157)))</f>
        <v/>
      </c>
      <c r="AR157">
        <f>IF(AP157-AQ157&lt;0.005,0,AP157-AQ157)</f>
        <v/>
      </c>
      <c r="AS157">
        <f>AX156</f>
        <v/>
      </c>
      <c r="AT157">
        <f>AS157*Plan!D13/100/12</f>
        <v/>
      </c>
      <c r="AU157">
        <f>MIN(Plan!E13,AS157+AT157)</f>
        <v/>
      </c>
      <c r="AV157">
        <f>AS157+AT157-AU157</f>
        <v/>
      </c>
      <c r="AW157">
        <f>MIN(AV157,MAX(0,$B157-((E$5&lt;AU$5)*F157+(K$5&lt;AU$5)*L157+(Q$5&lt;AU$5)*R157+(W$5&lt;AU$5)*X157+(AC$5&lt;AU$5)*AD157+(AI$5&lt;AU$5)*AJ157+(AO$5&lt;AU$5)*AP157)))</f>
        <v/>
      </c>
      <c r="AX157">
        <f>IF(AV157-AW157&lt;0.005,0,AV157-AW157)</f>
        <v/>
      </c>
      <c r="BC157">
        <f>H157+N157+T157+Z157+AF157+AL157+AR157+AX157</f>
        <v/>
      </c>
    </row>
    <row r="158">
      <c r="A158" t="n">
        <v>152</v>
      </c>
      <c r="B158" s="19">
        <f>MAX(0,$B$3-(E158+K158+Q158+W158+AC158+AI158+AO158+AU158))</f>
        <v/>
      </c>
      <c r="C158">
        <f>H157</f>
        <v/>
      </c>
      <c r="D158">
        <f>C158*Plan!D6/100/12</f>
        <v/>
      </c>
      <c r="E158">
        <f>MIN(Plan!E6,C158+D158)</f>
        <v/>
      </c>
      <c r="F158">
        <f>C158+D158-E158</f>
        <v/>
      </c>
      <c r="G158">
        <f>MIN(F158,MAX(0,$B158-((K$5&lt;E$5)*L158+(Q$5&lt;E$5)*R158+(W$5&lt;E$5)*X158+(AC$5&lt;E$5)*AD158+(AI$5&lt;E$5)*AJ158+(AO$5&lt;E$5)*AP158+(AU$5&lt;E$5)*AV158)))</f>
        <v/>
      </c>
      <c r="H158">
        <f>IF(F158-G158&lt;0.005,0,F158-G158)</f>
        <v/>
      </c>
      <c r="I158">
        <f>N157</f>
        <v/>
      </c>
      <c r="J158">
        <f>I158*Plan!D7/100/12</f>
        <v/>
      </c>
      <c r="K158">
        <f>MIN(Plan!E7,I158+J158)</f>
        <v/>
      </c>
      <c r="L158">
        <f>I158+J158-K158</f>
        <v/>
      </c>
      <c r="M158">
        <f>MIN(L158,MAX(0,$B158-((E$5&lt;K$5)*F158+(Q$5&lt;K$5)*R158+(W$5&lt;K$5)*X158+(AC$5&lt;K$5)*AD158+(AI$5&lt;K$5)*AJ158+(AO$5&lt;K$5)*AP158+(AU$5&lt;K$5)*AV158)))</f>
        <v/>
      </c>
      <c r="N158">
        <f>IF(L158-M158&lt;0.005,0,L158-M158)</f>
        <v/>
      </c>
      <c r="O158">
        <f>T157</f>
        <v/>
      </c>
      <c r="P158">
        <f>O158*Plan!D8/100/12</f>
        <v/>
      </c>
      <c r="Q158">
        <f>MIN(Plan!E8,O158+P158)</f>
        <v/>
      </c>
      <c r="R158">
        <f>O158+P158-Q158</f>
        <v/>
      </c>
      <c r="S158">
        <f>MIN(R158,MAX(0,$B158-((E$5&lt;Q$5)*F158+(K$5&lt;Q$5)*L158+(W$5&lt;Q$5)*X158+(AC$5&lt;Q$5)*AD158+(AI$5&lt;Q$5)*AJ158+(AO$5&lt;Q$5)*AP158+(AU$5&lt;Q$5)*AV158)))</f>
        <v/>
      </c>
      <c r="T158">
        <f>IF(R158-S158&lt;0.005,0,R158-S158)</f>
        <v/>
      </c>
      <c r="U158">
        <f>Z157</f>
        <v/>
      </c>
      <c r="V158">
        <f>U158*Plan!D9/100/12</f>
        <v/>
      </c>
      <c r="W158">
        <f>MIN(Plan!E9,U158+V158)</f>
        <v/>
      </c>
      <c r="X158">
        <f>U158+V158-W158</f>
        <v/>
      </c>
      <c r="Y158">
        <f>MIN(X158,MAX(0,$B158-((E$5&lt;W$5)*F158+(K$5&lt;W$5)*L158+(Q$5&lt;W$5)*R158+(AC$5&lt;W$5)*AD158+(AI$5&lt;W$5)*AJ158+(AO$5&lt;W$5)*AP158+(AU$5&lt;W$5)*AV158)))</f>
        <v/>
      </c>
      <c r="Z158">
        <f>IF(X158-Y158&lt;0.005,0,X158-Y158)</f>
        <v/>
      </c>
      <c r="AA158">
        <f>AF157</f>
        <v/>
      </c>
      <c r="AB158">
        <f>AA158*Plan!D10/100/12</f>
        <v/>
      </c>
      <c r="AC158">
        <f>MIN(Plan!E10,AA158+AB158)</f>
        <v/>
      </c>
      <c r="AD158">
        <f>AA158+AB158-AC158</f>
        <v/>
      </c>
      <c r="AE158">
        <f>MIN(AD158,MAX(0,$B158-((E$5&lt;AC$5)*F158+(K$5&lt;AC$5)*L158+(Q$5&lt;AC$5)*R158+(W$5&lt;AC$5)*X158+(AI$5&lt;AC$5)*AJ158+(AO$5&lt;AC$5)*AP158+(AU$5&lt;AC$5)*AV158)))</f>
        <v/>
      </c>
      <c r="AF158">
        <f>IF(AD158-AE158&lt;0.005,0,AD158-AE158)</f>
        <v/>
      </c>
      <c r="AG158">
        <f>AL157</f>
        <v/>
      </c>
      <c r="AH158">
        <f>AG158*Plan!D11/100/12</f>
        <v/>
      </c>
      <c r="AI158">
        <f>MIN(Plan!E11,AG158+AH158)</f>
        <v/>
      </c>
      <c r="AJ158">
        <f>AG158+AH158-AI158</f>
        <v/>
      </c>
      <c r="AK158">
        <f>MIN(AJ158,MAX(0,$B158-((E$5&lt;AI$5)*F158+(K$5&lt;AI$5)*L158+(Q$5&lt;AI$5)*R158+(W$5&lt;AI$5)*X158+(AC$5&lt;AI$5)*AD158+(AO$5&lt;AI$5)*AP158+(AU$5&lt;AI$5)*AV158)))</f>
        <v/>
      </c>
      <c r="AL158">
        <f>IF(AJ158-AK158&lt;0.005,0,AJ158-AK158)</f>
        <v/>
      </c>
      <c r="AM158">
        <f>AR157</f>
        <v/>
      </c>
      <c r="AN158">
        <f>AM158*Plan!D12/100/12</f>
        <v/>
      </c>
      <c r="AO158">
        <f>MIN(Plan!E12,AM158+AN158)</f>
        <v/>
      </c>
      <c r="AP158">
        <f>AM158+AN158-AO158</f>
        <v/>
      </c>
      <c r="AQ158">
        <f>MIN(AP158,MAX(0,$B158-((E$5&lt;AO$5)*F158+(K$5&lt;AO$5)*L158+(Q$5&lt;AO$5)*R158+(W$5&lt;AO$5)*X158+(AC$5&lt;AO$5)*AD158+(AI$5&lt;AO$5)*AJ158+(AU$5&lt;AO$5)*AV158)))</f>
        <v/>
      </c>
      <c r="AR158">
        <f>IF(AP158-AQ158&lt;0.005,0,AP158-AQ158)</f>
        <v/>
      </c>
      <c r="AS158">
        <f>AX157</f>
        <v/>
      </c>
      <c r="AT158">
        <f>AS158*Plan!D13/100/12</f>
        <v/>
      </c>
      <c r="AU158">
        <f>MIN(Plan!E13,AS158+AT158)</f>
        <v/>
      </c>
      <c r="AV158">
        <f>AS158+AT158-AU158</f>
        <v/>
      </c>
      <c r="AW158">
        <f>MIN(AV158,MAX(0,$B158-((E$5&lt;AU$5)*F158+(K$5&lt;AU$5)*L158+(Q$5&lt;AU$5)*R158+(W$5&lt;AU$5)*X158+(AC$5&lt;AU$5)*AD158+(AI$5&lt;AU$5)*AJ158+(AO$5&lt;AU$5)*AP158)))</f>
        <v/>
      </c>
      <c r="AX158">
        <f>IF(AV158-AW158&lt;0.005,0,AV158-AW158)</f>
        <v/>
      </c>
      <c r="BC158">
        <f>H158+N158+T158+Z158+AF158+AL158+AR158+AX158</f>
        <v/>
      </c>
    </row>
    <row r="159">
      <c r="A159" t="n">
        <v>153</v>
      </c>
      <c r="B159" s="19">
        <f>MAX(0,$B$3-(E159+K159+Q159+W159+AC159+AI159+AO159+AU159))</f>
        <v/>
      </c>
      <c r="C159">
        <f>H158</f>
        <v/>
      </c>
      <c r="D159">
        <f>C159*Plan!D6/100/12</f>
        <v/>
      </c>
      <c r="E159">
        <f>MIN(Plan!E6,C159+D159)</f>
        <v/>
      </c>
      <c r="F159">
        <f>C159+D159-E159</f>
        <v/>
      </c>
      <c r="G159">
        <f>MIN(F159,MAX(0,$B159-((K$5&lt;E$5)*L159+(Q$5&lt;E$5)*R159+(W$5&lt;E$5)*X159+(AC$5&lt;E$5)*AD159+(AI$5&lt;E$5)*AJ159+(AO$5&lt;E$5)*AP159+(AU$5&lt;E$5)*AV159)))</f>
        <v/>
      </c>
      <c r="H159">
        <f>IF(F159-G159&lt;0.005,0,F159-G159)</f>
        <v/>
      </c>
      <c r="I159">
        <f>N158</f>
        <v/>
      </c>
      <c r="J159">
        <f>I159*Plan!D7/100/12</f>
        <v/>
      </c>
      <c r="K159">
        <f>MIN(Plan!E7,I159+J159)</f>
        <v/>
      </c>
      <c r="L159">
        <f>I159+J159-K159</f>
        <v/>
      </c>
      <c r="M159">
        <f>MIN(L159,MAX(0,$B159-((E$5&lt;K$5)*F159+(Q$5&lt;K$5)*R159+(W$5&lt;K$5)*X159+(AC$5&lt;K$5)*AD159+(AI$5&lt;K$5)*AJ159+(AO$5&lt;K$5)*AP159+(AU$5&lt;K$5)*AV159)))</f>
        <v/>
      </c>
      <c r="N159">
        <f>IF(L159-M159&lt;0.005,0,L159-M159)</f>
        <v/>
      </c>
      <c r="O159">
        <f>T158</f>
        <v/>
      </c>
      <c r="P159">
        <f>O159*Plan!D8/100/12</f>
        <v/>
      </c>
      <c r="Q159">
        <f>MIN(Plan!E8,O159+P159)</f>
        <v/>
      </c>
      <c r="R159">
        <f>O159+P159-Q159</f>
        <v/>
      </c>
      <c r="S159">
        <f>MIN(R159,MAX(0,$B159-((E$5&lt;Q$5)*F159+(K$5&lt;Q$5)*L159+(W$5&lt;Q$5)*X159+(AC$5&lt;Q$5)*AD159+(AI$5&lt;Q$5)*AJ159+(AO$5&lt;Q$5)*AP159+(AU$5&lt;Q$5)*AV159)))</f>
        <v/>
      </c>
      <c r="T159">
        <f>IF(R159-S159&lt;0.005,0,R159-S159)</f>
        <v/>
      </c>
      <c r="U159">
        <f>Z158</f>
        <v/>
      </c>
      <c r="V159">
        <f>U159*Plan!D9/100/12</f>
        <v/>
      </c>
      <c r="W159">
        <f>MIN(Plan!E9,U159+V159)</f>
        <v/>
      </c>
      <c r="X159">
        <f>U159+V159-W159</f>
        <v/>
      </c>
      <c r="Y159">
        <f>MIN(X159,MAX(0,$B159-((E$5&lt;W$5)*F159+(K$5&lt;W$5)*L159+(Q$5&lt;W$5)*R159+(AC$5&lt;W$5)*AD159+(AI$5&lt;W$5)*AJ159+(AO$5&lt;W$5)*AP159+(AU$5&lt;W$5)*AV159)))</f>
        <v/>
      </c>
      <c r="Z159">
        <f>IF(X159-Y159&lt;0.005,0,X159-Y159)</f>
        <v/>
      </c>
      <c r="AA159">
        <f>AF158</f>
        <v/>
      </c>
      <c r="AB159">
        <f>AA159*Plan!D10/100/12</f>
        <v/>
      </c>
      <c r="AC159">
        <f>MIN(Plan!E10,AA159+AB159)</f>
        <v/>
      </c>
      <c r="AD159">
        <f>AA159+AB159-AC159</f>
        <v/>
      </c>
      <c r="AE159">
        <f>MIN(AD159,MAX(0,$B159-((E$5&lt;AC$5)*F159+(K$5&lt;AC$5)*L159+(Q$5&lt;AC$5)*R159+(W$5&lt;AC$5)*X159+(AI$5&lt;AC$5)*AJ159+(AO$5&lt;AC$5)*AP159+(AU$5&lt;AC$5)*AV159)))</f>
        <v/>
      </c>
      <c r="AF159">
        <f>IF(AD159-AE159&lt;0.005,0,AD159-AE159)</f>
        <v/>
      </c>
      <c r="AG159">
        <f>AL158</f>
        <v/>
      </c>
      <c r="AH159">
        <f>AG159*Plan!D11/100/12</f>
        <v/>
      </c>
      <c r="AI159">
        <f>MIN(Plan!E11,AG159+AH159)</f>
        <v/>
      </c>
      <c r="AJ159">
        <f>AG159+AH159-AI159</f>
        <v/>
      </c>
      <c r="AK159">
        <f>MIN(AJ159,MAX(0,$B159-((E$5&lt;AI$5)*F159+(K$5&lt;AI$5)*L159+(Q$5&lt;AI$5)*R159+(W$5&lt;AI$5)*X159+(AC$5&lt;AI$5)*AD159+(AO$5&lt;AI$5)*AP159+(AU$5&lt;AI$5)*AV159)))</f>
        <v/>
      </c>
      <c r="AL159">
        <f>IF(AJ159-AK159&lt;0.005,0,AJ159-AK159)</f>
        <v/>
      </c>
      <c r="AM159">
        <f>AR158</f>
        <v/>
      </c>
      <c r="AN159">
        <f>AM159*Plan!D12/100/12</f>
        <v/>
      </c>
      <c r="AO159">
        <f>MIN(Plan!E12,AM159+AN159)</f>
        <v/>
      </c>
      <c r="AP159">
        <f>AM159+AN159-AO159</f>
        <v/>
      </c>
      <c r="AQ159">
        <f>MIN(AP159,MAX(0,$B159-((E$5&lt;AO$5)*F159+(K$5&lt;AO$5)*L159+(Q$5&lt;AO$5)*R159+(W$5&lt;AO$5)*X159+(AC$5&lt;AO$5)*AD159+(AI$5&lt;AO$5)*AJ159+(AU$5&lt;AO$5)*AV159)))</f>
        <v/>
      </c>
      <c r="AR159">
        <f>IF(AP159-AQ159&lt;0.005,0,AP159-AQ159)</f>
        <v/>
      </c>
      <c r="AS159">
        <f>AX158</f>
        <v/>
      </c>
      <c r="AT159">
        <f>AS159*Plan!D13/100/12</f>
        <v/>
      </c>
      <c r="AU159">
        <f>MIN(Plan!E13,AS159+AT159)</f>
        <v/>
      </c>
      <c r="AV159">
        <f>AS159+AT159-AU159</f>
        <v/>
      </c>
      <c r="AW159">
        <f>MIN(AV159,MAX(0,$B159-((E$5&lt;AU$5)*F159+(K$5&lt;AU$5)*L159+(Q$5&lt;AU$5)*R159+(W$5&lt;AU$5)*X159+(AC$5&lt;AU$5)*AD159+(AI$5&lt;AU$5)*AJ159+(AO$5&lt;AU$5)*AP159)))</f>
        <v/>
      </c>
      <c r="AX159">
        <f>IF(AV159-AW159&lt;0.005,0,AV159-AW159)</f>
        <v/>
      </c>
      <c r="BC159">
        <f>H159+N159+T159+Z159+AF159+AL159+AR159+AX159</f>
        <v/>
      </c>
    </row>
    <row r="160">
      <c r="A160" t="n">
        <v>154</v>
      </c>
      <c r="B160" s="19">
        <f>MAX(0,$B$3-(E160+K160+Q160+W160+AC160+AI160+AO160+AU160))</f>
        <v/>
      </c>
      <c r="C160">
        <f>H159</f>
        <v/>
      </c>
      <c r="D160">
        <f>C160*Plan!D6/100/12</f>
        <v/>
      </c>
      <c r="E160">
        <f>MIN(Plan!E6,C160+D160)</f>
        <v/>
      </c>
      <c r="F160">
        <f>C160+D160-E160</f>
        <v/>
      </c>
      <c r="G160">
        <f>MIN(F160,MAX(0,$B160-((K$5&lt;E$5)*L160+(Q$5&lt;E$5)*R160+(W$5&lt;E$5)*X160+(AC$5&lt;E$5)*AD160+(AI$5&lt;E$5)*AJ160+(AO$5&lt;E$5)*AP160+(AU$5&lt;E$5)*AV160)))</f>
        <v/>
      </c>
      <c r="H160">
        <f>IF(F160-G160&lt;0.005,0,F160-G160)</f>
        <v/>
      </c>
      <c r="I160">
        <f>N159</f>
        <v/>
      </c>
      <c r="J160">
        <f>I160*Plan!D7/100/12</f>
        <v/>
      </c>
      <c r="K160">
        <f>MIN(Plan!E7,I160+J160)</f>
        <v/>
      </c>
      <c r="L160">
        <f>I160+J160-K160</f>
        <v/>
      </c>
      <c r="M160">
        <f>MIN(L160,MAX(0,$B160-((E$5&lt;K$5)*F160+(Q$5&lt;K$5)*R160+(W$5&lt;K$5)*X160+(AC$5&lt;K$5)*AD160+(AI$5&lt;K$5)*AJ160+(AO$5&lt;K$5)*AP160+(AU$5&lt;K$5)*AV160)))</f>
        <v/>
      </c>
      <c r="N160">
        <f>IF(L160-M160&lt;0.005,0,L160-M160)</f>
        <v/>
      </c>
      <c r="O160">
        <f>T159</f>
        <v/>
      </c>
      <c r="P160">
        <f>O160*Plan!D8/100/12</f>
        <v/>
      </c>
      <c r="Q160">
        <f>MIN(Plan!E8,O160+P160)</f>
        <v/>
      </c>
      <c r="R160">
        <f>O160+P160-Q160</f>
        <v/>
      </c>
      <c r="S160">
        <f>MIN(R160,MAX(0,$B160-((E$5&lt;Q$5)*F160+(K$5&lt;Q$5)*L160+(W$5&lt;Q$5)*X160+(AC$5&lt;Q$5)*AD160+(AI$5&lt;Q$5)*AJ160+(AO$5&lt;Q$5)*AP160+(AU$5&lt;Q$5)*AV160)))</f>
        <v/>
      </c>
      <c r="T160">
        <f>IF(R160-S160&lt;0.005,0,R160-S160)</f>
        <v/>
      </c>
      <c r="U160">
        <f>Z159</f>
        <v/>
      </c>
      <c r="V160">
        <f>U160*Plan!D9/100/12</f>
        <v/>
      </c>
      <c r="W160">
        <f>MIN(Plan!E9,U160+V160)</f>
        <v/>
      </c>
      <c r="X160">
        <f>U160+V160-W160</f>
        <v/>
      </c>
      <c r="Y160">
        <f>MIN(X160,MAX(0,$B160-((E$5&lt;W$5)*F160+(K$5&lt;W$5)*L160+(Q$5&lt;W$5)*R160+(AC$5&lt;W$5)*AD160+(AI$5&lt;W$5)*AJ160+(AO$5&lt;W$5)*AP160+(AU$5&lt;W$5)*AV160)))</f>
        <v/>
      </c>
      <c r="Z160">
        <f>IF(X160-Y160&lt;0.005,0,X160-Y160)</f>
        <v/>
      </c>
      <c r="AA160">
        <f>AF159</f>
        <v/>
      </c>
      <c r="AB160">
        <f>AA160*Plan!D10/100/12</f>
        <v/>
      </c>
      <c r="AC160">
        <f>MIN(Plan!E10,AA160+AB160)</f>
        <v/>
      </c>
      <c r="AD160">
        <f>AA160+AB160-AC160</f>
        <v/>
      </c>
      <c r="AE160">
        <f>MIN(AD160,MAX(0,$B160-((E$5&lt;AC$5)*F160+(K$5&lt;AC$5)*L160+(Q$5&lt;AC$5)*R160+(W$5&lt;AC$5)*X160+(AI$5&lt;AC$5)*AJ160+(AO$5&lt;AC$5)*AP160+(AU$5&lt;AC$5)*AV160)))</f>
        <v/>
      </c>
      <c r="AF160">
        <f>IF(AD160-AE160&lt;0.005,0,AD160-AE160)</f>
        <v/>
      </c>
      <c r="AG160">
        <f>AL159</f>
        <v/>
      </c>
      <c r="AH160">
        <f>AG160*Plan!D11/100/12</f>
        <v/>
      </c>
      <c r="AI160">
        <f>MIN(Plan!E11,AG160+AH160)</f>
        <v/>
      </c>
      <c r="AJ160">
        <f>AG160+AH160-AI160</f>
        <v/>
      </c>
      <c r="AK160">
        <f>MIN(AJ160,MAX(0,$B160-((E$5&lt;AI$5)*F160+(K$5&lt;AI$5)*L160+(Q$5&lt;AI$5)*R160+(W$5&lt;AI$5)*X160+(AC$5&lt;AI$5)*AD160+(AO$5&lt;AI$5)*AP160+(AU$5&lt;AI$5)*AV160)))</f>
        <v/>
      </c>
      <c r="AL160">
        <f>IF(AJ160-AK160&lt;0.005,0,AJ160-AK160)</f>
        <v/>
      </c>
      <c r="AM160">
        <f>AR159</f>
        <v/>
      </c>
      <c r="AN160">
        <f>AM160*Plan!D12/100/12</f>
        <v/>
      </c>
      <c r="AO160">
        <f>MIN(Plan!E12,AM160+AN160)</f>
        <v/>
      </c>
      <c r="AP160">
        <f>AM160+AN160-AO160</f>
        <v/>
      </c>
      <c r="AQ160">
        <f>MIN(AP160,MAX(0,$B160-((E$5&lt;AO$5)*F160+(K$5&lt;AO$5)*L160+(Q$5&lt;AO$5)*R160+(W$5&lt;AO$5)*X160+(AC$5&lt;AO$5)*AD160+(AI$5&lt;AO$5)*AJ160+(AU$5&lt;AO$5)*AV160)))</f>
        <v/>
      </c>
      <c r="AR160">
        <f>IF(AP160-AQ160&lt;0.005,0,AP160-AQ160)</f>
        <v/>
      </c>
      <c r="AS160">
        <f>AX159</f>
        <v/>
      </c>
      <c r="AT160">
        <f>AS160*Plan!D13/100/12</f>
        <v/>
      </c>
      <c r="AU160">
        <f>MIN(Plan!E13,AS160+AT160)</f>
        <v/>
      </c>
      <c r="AV160">
        <f>AS160+AT160-AU160</f>
        <v/>
      </c>
      <c r="AW160">
        <f>MIN(AV160,MAX(0,$B160-((E$5&lt;AU$5)*F160+(K$5&lt;AU$5)*L160+(Q$5&lt;AU$5)*R160+(W$5&lt;AU$5)*X160+(AC$5&lt;AU$5)*AD160+(AI$5&lt;AU$5)*AJ160+(AO$5&lt;AU$5)*AP160)))</f>
        <v/>
      </c>
      <c r="AX160">
        <f>IF(AV160-AW160&lt;0.005,0,AV160-AW160)</f>
        <v/>
      </c>
      <c r="BC160">
        <f>H160+N160+T160+Z160+AF160+AL160+AR160+AX160</f>
        <v/>
      </c>
    </row>
    <row r="161">
      <c r="A161" t="n">
        <v>155</v>
      </c>
      <c r="B161" s="19">
        <f>MAX(0,$B$3-(E161+K161+Q161+W161+AC161+AI161+AO161+AU161))</f>
        <v/>
      </c>
      <c r="C161">
        <f>H160</f>
        <v/>
      </c>
      <c r="D161">
        <f>C161*Plan!D6/100/12</f>
        <v/>
      </c>
      <c r="E161">
        <f>MIN(Plan!E6,C161+D161)</f>
        <v/>
      </c>
      <c r="F161">
        <f>C161+D161-E161</f>
        <v/>
      </c>
      <c r="G161">
        <f>MIN(F161,MAX(0,$B161-((K$5&lt;E$5)*L161+(Q$5&lt;E$5)*R161+(W$5&lt;E$5)*X161+(AC$5&lt;E$5)*AD161+(AI$5&lt;E$5)*AJ161+(AO$5&lt;E$5)*AP161+(AU$5&lt;E$5)*AV161)))</f>
        <v/>
      </c>
      <c r="H161">
        <f>IF(F161-G161&lt;0.005,0,F161-G161)</f>
        <v/>
      </c>
      <c r="I161">
        <f>N160</f>
        <v/>
      </c>
      <c r="J161">
        <f>I161*Plan!D7/100/12</f>
        <v/>
      </c>
      <c r="K161">
        <f>MIN(Plan!E7,I161+J161)</f>
        <v/>
      </c>
      <c r="L161">
        <f>I161+J161-K161</f>
        <v/>
      </c>
      <c r="M161">
        <f>MIN(L161,MAX(0,$B161-((E$5&lt;K$5)*F161+(Q$5&lt;K$5)*R161+(W$5&lt;K$5)*X161+(AC$5&lt;K$5)*AD161+(AI$5&lt;K$5)*AJ161+(AO$5&lt;K$5)*AP161+(AU$5&lt;K$5)*AV161)))</f>
        <v/>
      </c>
      <c r="N161">
        <f>IF(L161-M161&lt;0.005,0,L161-M161)</f>
        <v/>
      </c>
      <c r="O161">
        <f>T160</f>
        <v/>
      </c>
      <c r="P161">
        <f>O161*Plan!D8/100/12</f>
        <v/>
      </c>
      <c r="Q161">
        <f>MIN(Plan!E8,O161+P161)</f>
        <v/>
      </c>
      <c r="R161">
        <f>O161+P161-Q161</f>
        <v/>
      </c>
      <c r="S161">
        <f>MIN(R161,MAX(0,$B161-((E$5&lt;Q$5)*F161+(K$5&lt;Q$5)*L161+(W$5&lt;Q$5)*X161+(AC$5&lt;Q$5)*AD161+(AI$5&lt;Q$5)*AJ161+(AO$5&lt;Q$5)*AP161+(AU$5&lt;Q$5)*AV161)))</f>
        <v/>
      </c>
      <c r="T161">
        <f>IF(R161-S161&lt;0.005,0,R161-S161)</f>
        <v/>
      </c>
      <c r="U161">
        <f>Z160</f>
        <v/>
      </c>
      <c r="V161">
        <f>U161*Plan!D9/100/12</f>
        <v/>
      </c>
      <c r="W161">
        <f>MIN(Plan!E9,U161+V161)</f>
        <v/>
      </c>
      <c r="X161">
        <f>U161+V161-W161</f>
        <v/>
      </c>
      <c r="Y161">
        <f>MIN(X161,MAX(0,$B161-((E$5&lt;W$5)*F161+(K$5&lt;W$5)*L161+(Q$5&lt;W$5)*R161+(AC$5&lt;W$5)*AD161+(AI$5&lt;W$5)*AJ161+(AO$5&lt;W$5)*AP161+(AU$5&lt;W$5)*AV161)))</f>
        <v/>
      </c>
      <c r="Z161">
        <f>IF(X161-Y161&lt;0.005,0,X161-Y161)</f>
        <v/>
      </c>
      <c r="AA161">
        <f>AF160</f>
        <v/>
      </c>
      <c r="AB161">
        <f>AA161*Plan!D10/100/12</f>
        <v/>
      </c>
      <c r="AC161">
        <f>MIN(Plan!E10,AA161+AB161)</f>
        <v/>
      </c>
      <c r="AD161">
        <f>AA161+AB161-AC161</f>
        <v/>
      </c>
      <c r="AE161">
        <f>MIN(AD161,MAX(0,$B161-((E$5&lt;AC$5)*F161+(K$5&lt;AC$5)*L161+(Q$5&lt;AC$5)*R161+(W$5&lt;AC$5)*X161+(AI$5&lt;AC$5)*AJ161+(AO$5&lt;AC$5)*AP161+(AU$5&lt;AC$5)*AV161)))</f>
        <v/>
      </c>
      <c r="AF161">
        <f>IF(AD161-AE161&lt;0.005,0,AD161-AE161)</f>
        <v/>
      </c>
      <c r="AG161">
        <f>AL160</f>
        <v/>
      </c>
      <c r="AH161">
        <f>AG161*Plan!D11/100/12</f>
        <v/>
      </c>
      <c r="AI161">
        <f>MIN(Plan!E11,AG161+AH161)</f>
        <v/>
      </c>
      <c r="AJ161">
        <f>AG161+AH161-AI161</f>
        <v/>
      </c>
      <c r="AK161">
        <f>MIN(AJ161,MAX(0,$B161-((E$5&lt;AI$5)*F161+(K$5&lt;AI$5)*L161+(Q$5&lt;AI$5)*R161+(W$5&lt;AI$5)*X161+(AC$5&lt;AI$5)*AD161+(AO$5&lt;AI$5)*AP161+(AU$5&lt;AI$5)*AV161)))</f>
        <v/>
      </c>
      <c r="AL161">
        <f>IF(AJ161-AK161&lt;0.005,0,AJ161-AK161)</f>
        <v/>
      </c>
      <c r="AM161">
        <f>AR160</f>
        <v/>
      </c>
      <c r="AN161">
        <f>AM161*Plan!D12/100/12</f>
        <v/>
      </c>
      <c r="AO161">
        <f>MIN(Plan!E12,AM161+AN161)</f>
        <v/>
      </c>
      <c r="AP161">
        <f>AM161+AN161-AO161</f>
        <v/>
      </c>
      <c r="AQ161">
        <f>MIN(AP161,MAX(0,$B161-((E$5&lt;AO$5)*F161+(K$5&lt;AO$5)*L161+(Q$5&lt;AO$5)*R161+(W$5&lt;AO$5)*X161+(AC$5&lt;AO$5)*AD161+(AI$5&lt;AO$5)*AJ161+(AU$5&lt;AO$5)*AV161)))</f>
        <v/>
      </c>
      <c r="AR161">
        <f>IF(AP161-AQ161&lt;0.005,0,AP161-AQ161)</f>
        <v/>
      </c>
      <c r="AS161">
        <f>AX160</f>
        <v/>
      </c>
      <c r="AT161">
        <f>AS161*Plan!D13/100/12</f>
        <v/>
      </c>
      <c r="AU161">
        <f>MIN(Plan!E13,AS161+AT161)</f>
        <v/>
      </c>
      <c r="AV161">
        <f>AS161+AT161-AU161</f>
        <v/>
      </c>
      <c r="AW161">
        <f>MIN(AV161,MAX(0,$B161-((E$5&lt;AU$5)*F161+(K$5&lt;AU$5)*L161+(Q$5&lt;AU$5)*R161+(W$5&lt;AU$5)*X161+(AC$5&lt;AU$5)*AD161+(AI$5&lt;AU$5)*AJ161+(AO$5&lt;AU$5)*AP161)))</f>
        <v/>
      </c>
      <c r="AX161">
        <f>IF(AV161-AW161&lt;0.005,0,AV161-AW161)</f>
        <v/>
      </c>
      <c r="BC161">
        <f>H161+N161+T161+Z161+AF161+AL161+AR161+AX161</f>
        <v/>
      </c>
    </row>
    <row r="162">
      <c r="A162" t="n">
        <v>156</v>
      </c>
      <c r="B162" s="19">
        <f>MAX(0,$B$3-(E162+K162+Q162+W162+AC162+AI162+AO162+AU162))</f>
        <v/>
      </c>
      <c r="C162">
        <f>H161</f>
        <v/>
      </c>
      <c r="D162">
        <f>C162*Plan!D6/100/12</f>
        <v/>
      </c>
      <c r="E162">
        <f>MIN(Plan!E6,C162+D162)</f>
        <v/>
      </c>
      <c r="F162">
        <f>C162+D162-E162</f>
        <v/>
      </c>
      <c r="G162">
        <f>MIN(F162,MAX(0,$B162-((K$5&lt;E$5)*L162+(Q$5&lt;E$5)*R162+(W$5&lt;E$5)*X162+(AC$5&lt;E$5)*AD162+(AI$5&lt;E$5)*AJ162+(AO$5&lt;E$5)*AP162+(AU$5&lt;E$5)*AV162)))</f>
        <v/>
      </c>
      <c r="H162">
        <f>IF(F162-G162&lt;0.005,0,F162-G162)</f>
        <v/>
      </c>
      <c r="I162">
        <f>N161</f>
        <v/>
      </c>
      <c r="J162">
        <f>I162*Plan!D7/100/12</f>
        <v/>
      </c>
      <c r="K162">
        <f>MIN(Plan!E7,I162+J162)</f>
        <v/>
      </c>
      <c r="L162">
        <f>I162+J162-K162</f>
        <v/>
      </c>
      <c r="M162">
        <f>MIN(L162,MAX(0,$B162-((E$5&lt;K$5)*F162+(Q$5&lt;K$5)*R162+(W$5&lt;K$5)*X162+(AC$5&lt;K$5)*AD162+(AI$5&lt;K$5)*AJ162+(AO$5&lt;K$5)*AP162+(AU$5&lt;K$5)*AV162)))</f>
        <v/>
      </c>
      <c r="N162">
        <f>IF(L162-M162&lt;0.005,0,L162-M162)</f>
        <v/>
      </c>
      <c r="O162">
        <f>T161</f>
        <v/>
      </c>
      <c r="P162">
        <f>O162*Plan!D8/100/12</f>
        <v/>
      </c>
      <c r="Q162">
        <f>MIN(Plan!E8,O162+P162)</f>
        <v/>
      </c>
      <c r="R162">
        <f>O162+P162-Q162</f>
        <v/>
      </c>
      <c r="S162">
        <f>MIN(R162,MAX(0,$B162-((E$5&lt;Q$5)*F162+(K$5&lt;Q$5)*L162+(W$5&lt;Q$5)*X162+(AC$5&lt;Q$5)*AD162+(AI$5&lt;Q$5)*AJ162+(AO$5&lt;Q$5)*AP162+(AU$5&lt;Q$5)*AV162)))</f>
        <v/>
      </c>
      <c r="T162">
        <f>IF(R162-S162&lt;0.005,0,R162-S162)</f>
        <v/>
      </c>
      <c r="U162">
        <f>Z161</f>
        <v/>
      </c>
      <c r="V162">
        <f>U162*Plan!D9/100/12</f>
        <v/>
      </c>
      <c r="W162">
        <f>MIN(Plan!E9,U162+V162)</f>
        <v/>
      </c>
      <c r="X162">
        <f>U162+V162-W162</f>
        <v/>
      </c>
      <c r="Y162">
        <f>MIN(X162,MAX(0,$B162-((E$5&lt;W$5)*F162+(K$5&lt;W$5)*L162+(Q$5&lt;W$5)*R162+(AC$5&lt;W$5)*AD162+(AI$5&lt;W$5)*AJ162+(AO$5&lt;W$5)*AP162+(AU$5&lt;W$5)*AV162)))</f>
        <v/>
      </c>
      <c r="Z162">
        <f>IF(X162-Y162&lt;0.005,0,X162-Y162)</f>
        <v/>
      </c>
      <c r="AA162">
        <f>AF161</f>
        <v/>
      </c>
      <c r="AB162">
        <f>AA162*Plan!D10/100/12</f>
        <v/>
      </c>
      <c r="AC162">
        <f>MIN(Plan!E10,AA162+AB162)</f>
        <v/>
      </c>
      <c r="AD162">
        <f>AA162+AB162-AC162</f>
        <v/>
      </c>
      <c r="AE162">
        <f>MIN(AD162,MAX(0,$B162-((E$5&lt;AC$5)*F162+(K$5&lt;AC$5)*L162+(Q$5&lt;AC$5)*R162+(W$5&lt;AC$5)*X162+(AI$5&lt;AC$5)*AJ162+(AO$5&lt;AC$5)*AP162+(AU$5&lt;AC$5)*AV162)))</f>
        <v/>
      </c>
      <c r="AF162">
        <f>IF(AD162-AE162&lt;0.005,0,AD162-AE162)</f>
        <v/>
      </c>
      <c r="AG162">
        <f>AL161</f>
        <v/>
      </c>
      <c r="AH162">
        <f>AG162*Plan!D11/100/12</f>
        <v/>
      </c>
      <c r="AI162">
        <f>MIN(Plan!E11,AG162+AH162)</f>
        <v/>
      </c>
      <c r="AJ162">
        <f>AG162+AH162-AI162</f>
        <v/>
      </c>
      <c r="AK162">
        <f>MIN(AJ162,MAX(0,$B162-((E$5&lt;AI$5)*F162+(K$5&lt;AI$5)*L162+(Q$5&lt;AI$5)*R162+(W$5&lt;AI$5)*X162+(AC$5&lt;AI$5)*AD162+(AO$5&lt;AI$5)*AP162+(AU$5&lt;AI$5)*AV162)))</f>
        <v/>
      </c>
      <c r="AL162">
        <f>IF(AJ162-AK162&lt;0.005,0,AJ162-AK162)</f>
        <v/>
      </c>
      <c r="AM162">
        <f>AR161</f>
        <v/>
      </c>
      <c r="AN162">
        <f>AM162*Plan!D12/100/12</f>
        <v/>
      </c>
      <c r="AO162">
        <f>MIN(Plan!E12,AM162+AN162)</f>
        <v/>
      </c>
      <c r="AP162">
        <f>AM162+AN162-AO162</f>
        <v/>
      </c>
      <c r="AQ162">
        <f>MIN(AP162,MAX(0,$B162-((E$5&lt;AO$5)*F162+(K$5&lt;AO$5)*L162+(Q$5&lt;AO$5)*R162+(W$5&lt;AO$5)*X162+(AC$5&lt;AO$5)*AD162+(AI$5&lt;AO$5)*AJ162+(AU$5&lt;AO$5)*AV162)))</f>
        <v/>
      </c>
      <c r="AR162">
        <f>IF(AP162-AQ162&lt;0.005,0,AP162-AQ162)</f>
        <v/>
      </c>
      <c r="AS162">
        <f>AX161</f>
        <v/>
      </c>
      <c r="AT162">
        <f>AS162*Plan!D13/100/12</f>
        <v/>
      </c>
      <c r="AU162">
        <f>MIN(Plan!E13,AS162+AT162)</f>
        <v/>
      </c>
      <c r="AV162">
        <f>AS162+AT162-AU162</f>
        <v/>
      </c>
      <c r="AW162">
        <f>MIN(AV162,MAX(0,$B162-((E$5&lt;AU$5)*F162+(K$5&lt;AU$5)*L162+(Q$5&lt;AU$5)*R162+(W$5&lt;AU$5)*X162+(AC$5&lt;AU$5)*AD162+(AI$5&lt;AU$5)*AJ162+(AO$5&lt;AU$5)*AP162)))</f>
        <v/>
      </c>
      <c r="AX162">
        <f>IF(AV162-AW162&lt;0.005,0,AV162-AW162)</f>
        <v/>
      </c>
      <c r="BC162">
        <f>H162+N162+T162+Z162+AF162+AL162+AR162+AX162</f>
        <v/>
      </c>
    </row>
    <row r="163">
      <c r="A163" t="n">
        <v>157</v>
      </c>
      <c r="B163" s="19">
        <f>MAX(0,$B$3-(E163+K163+Q163+W163+AC163+AI163+AO163+AU163))</f>
        <v/>
      </c>
      <c r="C163">
        <f>H162</f>
        <v/>
      </c>
      <c r="D163">
        <f>C163*Plan!D6/100/12</f>
        <v/>
      </c>
      <c r="E163">
        <f>MIN(Plan!E6,C163+D163)</f>
        <v/>
      </c>
      <c r="F163">
        <f>C163+D163-E163</f>
        <v/>
      </c>
      <c r="G163">
        <f>MIN(F163,MAX(0,$B163-((K$5&lt;E$5)*L163+(Q$5&lt;E$5)*R163+(W$5&lt;E$5)*X163+(AC$5&lt;E$5)*AD163+(AI$5&lt;E$5)*AJ163+(AO$5&lt;E$5)*AP163+(AU$5&lt;E$5)*AV163)))</f>
        <v/>
      </c>
      <c r="H163">
        <f>IF(F163-G163&lt;0.005,0,F163-G163)</f>
        <v/>
      </c>
      <c r="I163">
        <f>N162</f>
        <v/>
      </c>
      <c r="J163">
        <f>I163*Plan!D7/100/12</f>
        <v/>
      </c>
      <c r="K163">
        <f>MIN(Plan!E7,I163+J163)</f>
        <v/>
      </c>
      <c r="L163">
        <f>I163+J163-K163</f>
        <v/>
      </c>
      <c r="M163">
        <f>MIN(L163,MAX(0,$B163-((E$5&lt;K$5)*F163+(Q$5&lt;K$5)*R163+(W$5&lt;K$5)*X163+(AC$5&lt;K$5)*AD163+(AI$5&lt;K$5)*AJ163+(AO$5&lt;K$5)*AP163+(AU$5&lt;K$5)*AV163)))</f>
        <v/>
      </c>
      <c r="N163">
        <f>IF(L163-M163&lt;0.005,0,L163-M163)</f>
        <v/>
      </c>
      <c r="O163">
        <f>T162</f>
        <v/>
      </c>
      <c r="P163">
        <f>O163*Plan!D8/100/12</f>
        <v/>
      </c>
      <c r="Q163">
        <f>MIN(Plan!E8,O163+P163)</f>
        <v/>
      </c>
      <c r="R163">
        <f>O163+P163-Q163</f>
        <v/>
      </c>
      <c r="S163">
        <f>MIN(R163,MAX(0,$B163-((E$5&lt;Q$5)*F163+(K$5&lt;Q$5)*L163+(W$5&lt;Q$5)*X163+(AC$5&lt;Q$5)*AD163+(AI$5&lt;Q$5)*AJ163+(AO$5&lt;Q$5)*AP163+(AU$5&lt;Q$5)*AV163)))</f>
        <v/>
      </c>
      <c r="T163">
        <f>IF(R163-S163&lt;0.005,0,R163-S163)</f>
        <v/>
      </c>
      <c r="U163">
        <f>Z162</f>
        <v/>
      </c>
      <c r="V163">
        <f>U163*Plan!D9/100/12</f>
        <v/>
      </c>
      <c r="W163">
        <f>MIN(Plan!E9,U163+V163)</f>
        <v/>
      </c>
      <c r="X163">
        <f>U163+V163-W163</f>
        <v/>
      </c>
      <c r="Y163">
        <f>MIN(X163,MAX(0,$B163-((E$5&lt;W$5)*F163+(K$5&lt;W$5)*L163+(Q$5&lt;W$5)*R163+(AC$5&lt;W$5)*AD163+(AI$5&lt;W$5)*AJ163+(AO$5&lt;W$5)*AP163+(AU$5&lt;W$5)*AV163)))</f>
        <v/>
      </c>
      <c r="Z163">
        <f>IF(X163-Y163&lt;0.005,0,X163-Y163)</f>
        <v/>
      </c>
      <c r="AA163">
        <f>AF162</f>
        <v/>
      </c>
      <c r="AB163">
        <f>AA163*Plan!D10/100/12</f>
        <v/>
      </c>
      <c r="AC163">
        <f>MIN(Plan!E10,AA163+AB163)</f>
        <v/>
      </c>
      <c r="AD163">
        <f>AA163+AB163-AC163</f>
        <v/>
      </c>
      <c r="AE163">
        <f>MIN(AD163,MAX(0,$B163-((E$5&lt;AC$5)*F163+(K$5&lt;AC$5)*L163+(Q$5&lt;AC$5)*R163+(W$5&lt;AC$5)*X163+(AI$5&lt;AC$5)*AJ163+(AO$5&lt;AC$5)*AP163+(AU$5&lt;AC$5)*AV163)))</f>
        <v/>
      </c>
      <c r="AF163">
        <f>IF(AD163-AE163&lt;0.005,0,AD163-AE163)</f>
        <v/>
      </c>
      <c r="AG163">
        <f>AL162</f>
        <v/>
      </c>
      <c r="AH163">
        <f>AG163*Plan!D11/100/12</f>
        <v/>
      </c>
      <c r="AI163">
        <f>MIN(Plan!E11,AG163+AH163)</f>
        <v/>
      </c>
      <c r="AJ163">
        <f>AG163+AH163-AI163</f>
        <v/>
      </c>
      <c r="AK163">
        <f>MIN(AJ163,MAX(0,$B163-((E$5&lt;AI$5)*F163+(K$5&lt;AI$5)*L163+(Q$5&lt;AI$5)*R163+(W$5&lt;AI$5)*X163+(AC$5&lt;AI$5)*AD163+(AO$5&lt;AI$5)*AP163+(AU$5&lt;AI$5)*AV163)))</f>
        <v/>
      </c>
      <c r="AL163">
        <f>IF(AJ163-AK163&lt;0.005,0,AJ163-AK163)</f>
        <v/>
      </c>
      <c r="AM163">
        <f>AR162</f>
        <v/>
      </c>
      <c r="AN163">
        <f>AM163*Plan!D12/100/12</f>
        <v/>
      </c>
      <c r="AO163">
        <f>MIN(Plan!E12,AM163+AN163)</f>
        <v/>
      </c>
      <c r="AP163">
        <f>AM163+AN163-AO163</f>
        <v/>
      </c>
      <c r="AQ163">
        <f>MIN(AP163,MAX(0,$B163-((E$5&lt;AO$5)*F163+(K$5&lt;AO$5)*L163+(Q$5&lt;AO$5)*R163+(W$5&lt;AO$5)*X163+(AC$5&lt;AO$5)*AD163+(AI$5&lt;AO$5)*AJ163+(AU$5&lt;AO$5)*AV163)))</f>
        <v/>
      </c>
      <c r="AR163">
        <f>IF(AP163-AQ163&lt;0.005,0,AP163-AQ163)</f>
        <v/>
      </c>
      <c r="AS163">
        <f>AX162</f>
        <v/>
      </c>
      <c r="AT163">
        <f>AS163*Plan!D13/100/12</f>
        <v/>
      </c>
      <c r="AU163">
        <f>MIN(Plan!E13,AS163+AT163)</f>
        <v/>
      </c>
      <c r="AV163">
        <f>AS163+AT163-AU163</f>
        <v/>
      </c>
      <c r="AW163">
        <f>MIN(AV163,MAX(0,$B163-((E$5&lt;AU$5)*F163+(K$5&lt;AU$5)*L163+(Q$5&lt;AU$5)*R163+(W$5&lt;AU$5)*X163+(AC$5&lt;AU$5)*AD163+(AI$5&lt;AU$5)*AJ163+(AO$5&lt;AU$5)*AP163)))</f>
        <v/>
      </c>
      <c r="AX163">
        <f>IF(AV163-AW163&lt;0.005,0,AV163-AW163)</f>
        <v/>
      </c>
      <c r="BC163">
        <f>H163+N163+T163+Z163+AF163+AL163+AR163+AX163</f>
        <v/>
      </c>
    </row>
    <row r="164">
      <c r="A164" t="n">
        <v>158</v>
      </c>
      <c r="B164" s="19">
        <f>MAX(0,$B$3-(E164+K164+Q164+W164+AC164+AI164+AO164+AU164))</f>
        <v/>
      </c>
      <c r="C164">
        <f>H163</f>
        <v/>
      </c>
      <c r="D164">
        <f>C164*Plan!D6/100/12</f>
        <v/>
      </c>
      <c r="E164">
        <f>MIN(Plan!E6,C164+D164)</f>
        <v/>
      </c>
      <c r="F164">
        <f>C164+D164-E164</f>
        <v/>
      </c>
      <c r="G164">
        <f>MIN(F164,MAX(0,$B164-((K$5&lt;E$5)*L164+(Q$5&lt;E$5)*R164+(W$5&lt;E$5)*X164+(AC$5&lt;E$5)*AD164+(AI$5&lt;E$5)*AJ164+(AO$5&lt;E$5)*AP164+(AU$5&lt;E$5)*AV164)))</f>
        <v/>
      </c>
      <c r="H164">
        <f>IF(F164-G164&lt;0.005,0,F164-G164)</f>
        <v/>
      </c>
      <c r="I164">
        <f>N163</f>
        <v/>
      </c>
      <c r="J164">
        <f>I164*Plan!D7/100/12</f>
        <v/>
      </c>
      <c r="K164">
        <f>MIN(Plan!E7,I164+J164)</f>
        <v/>
      </c>
      <c r="L164">
        <f>I164+J164-K164</f>
        <v/>
      </c>
      <c r="M164">
        <f>MIN(L164,MAX(0,$B164-((E$5&lt;K$5)*F164+(Q$5&lt;K$5)*R164+(W$5&lt;K$5)*X164+(AC$5&lt;K$5)*AD164+(AI$5&lt;K$5)*AJ164+(AO$5&lt;K$5)*AP164+(AU$5&lt;K$5)*AV164)))</f>
        <v/>
      </c>
      <c r="N164">
        <f>IF(L164-M164&lt;0.005,0,L164-M164)</f>
        <v/>
      </c>
      <c r="O164">
        <f>T163</f>
        <v/>
      </c>
      <c r="P164">
        <f>O164*Plan!D8/100/12</f>
        <v/>
      </c>
      <c r="Q164">
        <f>MIN(Plan!E8,O164+P164)</f>
        <v/>
      </c>
      <c r="R164">
        <f>O164+P164-Q164</f>
        <v/>
      </c>
      <c r="S164">
        <f>MIN(R164,MAX(0,$B164-((E$5&lt;Q$5)*F164+(K$5&lt;Q$5)*L164+(W$5&lt;Q$5)*X164+(AC$5&lt;Q$5)*AD164+(AI$5&lt;Q$5)*AJ164+(AO$5&lt;Q$5)*AP164+(AU$5&lt;Q$5)*AV164)))</f>
        <v/>
      </c>
      <c r="T164">
        <f>IF(R164-S164&lt;0.005,0,R164-S164)</f>
        <v/>
      </c>
      <c r="U164">
        <f>Z163</f>
        <v/>
      </c>
      <c r="V164">
        <f>U164*Plan!D9/100/12</f>
        <v/>
      </c>
      <c r="W164">
        <f>MIN(Plan!E9,U164+V164)</f>
        <v/>
      </c>
      <c r="X164">
        <f>U164+V164-W164</f>
        <v/>
      </c>
      <c r="Y164">
        <f>MIN(X164,MAX(0,$B164-((E$5&lt;W$5)*F164+(K$5&lt;W$5)*L164+(Q$5&lt;W$5)*R164+(AC$5&lt;W$5)*AD164+(AI$5&lt;W$5)*AJ164+(AO$5&lt;W$5)*AP164+(AU$5&lt;W$5)*AV164)))</f>
        <v/>
      </c>
      <c r="Z164">
        <f>IF(X164-Y164&lt;0.005,0,X164-Y164)</f>
        <v/>
      </c>
      <c r="AA164">
        <f>AF163</f>
        <v/>
      </c>
      <c r="AB164">
        <f>AA164*Plan!D10/100/12</f>
        <v/>
      </c>
      <c r="AC164">
        <f>MIN(Plan!E10,AA164+AB164)</f>
        <v/>
      </c>
      <c r="AD164">
        <f>AA164+AB164-AC164</f>
        <v/>
      </c>
      <c r="AE164">
        <f>MIN(AD164,MAX(0,$B164-((E$5&lt;AC$5)*F164+(K$5&lt;AC$5)*L164+(Q$5&lt;AC$5)*R164+(W$5&lt;AC$5)*X164+(AI$5&lt;AC$5)*AJ164+(AO$5&lt;AC$5)*AP164+(AU$5&lt;AC$5)*AV164)))</f>
        <v/>
      </c>
      <c r="AF164">
        <f>IF(AD164-AE164&lt;0.005,0,AD164-AE164)</f>
        <v/>
      </c>
      <c r="AG164">
        <f>AL163</f>
        <v/>
      </c>
      <c r="AH164">
        <f>AG164*Plan!D11/100/12</f>
        <v/>
      </c>
      <c r="AI164">
        <f>MIN(Plan!E11,AG164+AH164)</f>
        <v/>
      </c>
      <c r="AJ164">
        <f>AG164+AH164-AI164</f>
        <v/>
      </c>
      <c r="AK164">
        <f>MIN(AJ164,MAX(0,$B164-((E$5&lt;AI$5)*F164+(K$5&lt;AI$5)*L164+(Q$5&lt;AI$5)*R164+(W$5&lt;AI$5)*X164+(AC$5&lt;AI$5)*AD164+(AO$5&lt;AI$5)*AP164+(AU$5&lt;AI$5)*AV164)))</f>
        <v/>
      </c>
      <c r="AL164">
        <f>IF(AJ164-AK164&lt;0.005,0,AJ164-AK164)</f>
        <v/>
      </c>
      <c r="AM164">
        <f>AR163</f>
        <v/>
      </c>
      <c r="AN164">
        <f>AM164*Plan!D12/100/12</f>
        <v/>
      </c>
      <c r="AO164">
        <f>MIN(Plan!E12,AM164+AN164)</f>
        <v/>
      </c>
      <c r="AP164">
        <f>AM164+AN164-AO164</f>
        <v/>
      </c>
      <c r="AQ164">
        <f>MIN(AP164,MAX(0,$B164-((E$5&lt;AO$5)*F164+(K$5&lt;AO$5)*L164+(Q$5&lt;AO$5)*R164+(W$5&lt;AO$5)*X164+(AC$5&lt;AO$5)*AD164+(AI$5&lt;AO$5)*AJ164+(AU$5&lt;AO$5)*AV164)))</f>
        <v/>
      </c>
      <c r="AR164">
        <f>IF(AP164-AQ164&lt;0.005,0,AP164-AQ164)</f>
        <v/>
      </c>
      <c r="AS164">
        <f>AX163</f>
        <v/>
      </c>
      <c r="AT164">
        <f>AS164*Plan!D13/100/12</f>
        <v/>
      </c>
      <c r="AU164">
        <f>MIN(Plan!E13,AS164+AT164)</f>
        <v/>
      </c>
      <c r="AV164">
        <f>AS164+AT164-AU164</f>
        <v/>
      </c>
      <c r="AW164">
        <f>MIN(AV164,MAX(0,$B164-((E$5&lt;AU$5)*F164+(K$5&lt;AU$5)*L164+(Q$5&lt;AU$5)*R164+(W$5&lt;AU$5)*X164+(AC$5&lt;AU$5)*AD164+(AI$5&lt;AU$5)*AJ164+(AO$5&lt;AU$5)*AP164)))</f>
        <v/>
      </c>
      <c r="AX164">
        <f>IF(AV164-AW164&lt;0.005,0,AV164-AW164)</f>
        <v/>
      </c>
      <c r="BC164">
        <f>H164+N164+T164+Z164+AF164+AL164+AR164+AX164</f>
        <v/>
      </c>
    </row>
    <row r="165">
      <c r="A165" t="n">
        <v>159</v>
      </c>
      <c r="B165" s="19">
        <f>MAX(0,$B$3-(E165+K165+Q165+W165+AC165+AI165+AO165+AU165))</f>
        <v/>
      </c>
      <c r="C165">
        <f>H164</f>
        <v/>
      </c>
      <c r="D165">
        <f>C165*Plan!D6/100/12</f>
        <v/>
      </c>
      <c r="E165">
        <f>MIN(Plan!E6,C165+D165)</f>
        <v/>
      </c>
      <c r="F165">
        <f>C165+D165-E165</f>
        <v/>
      </c>
      <c r="G165">
        <f>MIN(F165,MAX(0,$B165-((K$5&lt;E$5)*L165+(Q$5&lt;E$5)*R165+(W$5&lt;E$5)*X165+(AC$5&lt;E$5)*AD165+(AI$5&lt;E$5)*AJ165+(AO$5&lt;E$5)*AP165+(AU$5&lt;E$5)*AV165)))</f>
        <v/>
      </c>
      <c r="H165">
        <f>IF(F165-G165&lt;0.005,0,F165-G165)</f>
        <v/>
      </c>
      <c r="I165">
        <f>N164</f>
        <v/>
      </c>
      <c r="J165">
        <f>I165*Plan!D7/100/12</f>
        <v/>
      </c>
      <c r="K165">
        <f>MIN(Plan!E7,I165+J165)</f>
        <v/>
      </c>
      <c r="L165">
        <f>I165+J165-K165</f>
        <v/>
      </c>
      <c r="M165">
        <f>MIN(L165,MAX(0,$B165-((E$5&lt;K$5)*F165+(Q$5&lt;K$5)*R165+(W$5&lt;K$5)*X165+(AC$5&lt;K$5)*AD165+(AI$5&lt;K$5)*AJ165+(AO$5&lt;K$5)*AP165+(AU$5&lt;K$5)*AV165)))</f>
        <v/>
      </c>
      <c r="N165">
        <f>IF(L165-M165&lt;0.005,0,L165-M165)</f>
        <v/>
      </c>
      <c r="O165">
        <f>T164</f>
        <v/>
      </c>
      <c r="P165">
        <f>O165*Plan!D8/100/12</f>
        <v/>
      </c>
      <c r="Q165">
        <f>MIN(Plan!E8,O165+P165)</f>
        <v/>
      </c>
      <c r="R165">
        <f>O165+P165-Q165</f>
        <v/>
      </c>
      <c r="S165">
        <f>MIN(R165,MAX(0,$B165-((E$5&lt;Q$5)*F165+(K$5&lt;Q$5)*L165+(W$5&lt;Q$5)*X165+(AC$5&lt;Q$5)*AD165+(AI$5&lt;Q$5)*AJ165+(AO$5&lt;Q$5)*AP165+(AU$5&lt;Q$5)*AV165)))</f>
        <v/>
      </c>
      <c r="T165">
        <f>IF(R165-S165&lt;0.005,0,R165-S165)</f>
        <v/>
      </c>
      <c r="U165">
        <f>Z164</f>
        <v/>
      </c>
      <c r="V165">
        <f>U165*Plan!D9/100/12</f>
        <v/>
      </c>
      <c r="W165">
        <f>MIN(Plan!E9,U165+V165)</f>
        <v/>
      </c>
      <c r="X165">
        <f>U165+V165-W165</f>
        <v/>
      </c>
      <c r="Y165">
        <f>MIN(X165,MAX(0,$B165-((E$5&lt;W$5)*F165+(K$5&lt;W$5)*L165+(Q$5&lt;W$5)*R165+(AC$5&lt;W$5)*AD165+(AI$5&lt;W$5)*AJ165+(AO$5&lt;W$5)*AP165+(AU$5&lt;W$5)*AV165)))</f>
        <v/>
      </c>
      <c r="Z165">
        <f>IF(X165-Y165&lt;0.005,0,X165-Y165)</f>
        <v/>
      </c>
      <c r="AA165">
        <f>AF164</f>
        <v/>
      </c>
      <c r="AB165">
        <f>AA165*Plan!D10/100/12</f>
        <v/>
      </c>
      <c r="AC165">
        <f>MIN(Plan!E10,AA165+AB165)</f>
        <v/>
      </c>
      <c r="AD165">
        <f>AA165+AB165-AC165</f>
        <v/>
      </c>
      <c r="AE165">
        <f>MIN(AD165,MAX(0,$B165-((E$5&lt;AC$5)*F165+(K$5&lt;AC$5)*L165+(Q$5&lt;AC$5)*R165+(W$5&lt;AC$5)*X165+(AI$5&lt;AC$5)*AJ165+(AO$5&lt;AC$5)*AP165+(AU$5&lt;AC$5)*AV165)))</f>
        <v/>
      </c>
      <c r="AF165">
        <f>IF(AD165-AE165&lt;0.005,0,AD165-AE165)</f>
        <v/>
      </c>
      <c r="AG165">
        <f>AL164</f>
        <v/>
      </c>
      <c r="AH165">
        <f>AG165*Plan!D11/100/12</f>
        <v/>
      </c>
      <c r="AI165">
        <f>MIN(Plan!E11,AG165+AH165)</f>
        <v/>
      </c>
      <c r="AJ165">
        <f>AG165+AH165-AI165</f>
        <v/>
      </c>
      <c r="AK165">
        <f>MIN(AJ165,MAX(0,$B165-((E$5&lt;AI$5)*F165+(K$5&lt;AI$5)*L165+(Q$5&lt;AI$5)*R165+(W$5&lt;AI$5)*X165+(AC$5&lt;AI$5)*AD165+(AO$5&lt;AI$5)*AP165+(AU$5&lt;AI$5)*AV165)))</f>
        <v/>
      </c>
      <c r="AL165">
        <f>IF(AJ165-AK165&lt;0.005,0,AJ165-AK165)</f>
        <v/>
      </c>
      <c r="AM165">
        <f>AR164</f>
        <v/>
      </c>
      <c r="AN165">
        <f>AM165*Plan!D12/100/12</f>
        <v/>
      </c>
      <c r="AO165">
        <f>MIN(Plan!E12,AM165+AN165)</f>
        <v/>
      </c>
      <c r="AP165">
        <f>AM165+AN165-AO165</f>
        <v/>
      </c>
      <c r="AQ165">
        <f>MIN(AP165,MAX(0,$B165-((E$5&lt;AO$5)*F165+(K$5&lt;AO$5)*L165+(Q$5&lt;AO$5)*R165+(W$5&lt;AO$5)*X165+(AC$5&lt;AO$5)*AD165+(AI$5&lt;AO$5)*AJ165+(AU$5&lt;AO$5)*AV165)))</f>
        <v/>
      </c>
      <c r="AR165">
        <f>IF(AP165-AQ165&lt;0.005,0,AP165-AQ165)</f>
        <v/>
      </c>
      <c r="AS165">
        <f>AX164</f>
        <v/>
      </c>
      <c r="AT165">
        <f>AS165*Plan!D13/100/12</f>
        <v/>
      </c>
      <c r="AU165">
        <f>MIN(Plan!E13,AS165+AT165)</f>
        <v/>
      </c>
      <c r="AV165">
        <f>AS165+AT165-AU165</f>
        <v/>
      </c>
      <c r="AW165">
        <f>MIN(AV165,MAX(0,$B165-((E$5&lt;AU$5)*F165+(K$5&lt;AU$5)*L165+(Q$5&lt;AU$5)*R165+(W$5&lt;AU$5)*X165+(AC$5&lt;AU$5)*AD165+(AI$5&lt;AU$5)*AJ165+(AO$5&lt;AU$5)*AP165)))</f>
        <v/>
      </c>
      <c r="AX165">
        <f>IF(AV165-AW165&lt;0.005,0,AV165-AW165)</f>
        <v/>
      </c>
      <c r="BC165">
        <f>H165+N165+T165+Z165+AF165+AL165+AR165+AX165</f>
        <v/>
      </c>
    </row>
    <row r="166">
      <c r="A166" t="n">
        <v>160</v>
      </c>
      <c r="B166" s="19">
        <f>MAX(0,$B$3-(E166+K166+Q166+W166+AC166+AI166+AO166+AU166))</f>
        <v/>
      </c>
      <c r="C166">
        <f>H165</f>
        <v/>
      </c>
      <c r="D166">
        <f>C166*Plan!D6/100/12</f>
        <v/>
      </c>
      <c r="E166">
        <f>MIN(Plan!E6,C166+D166)</f>
        <v/>
      </c>
      <c r="F166">
        <f>C166+D166-E166</f>
        <v/>
      </c>
      <c r="G166">
        <f>MIN(F166,MAX(0,$B166-((K$5&lt;E$5)*L166+(Q$5&lt;E$5)*R166+(W$5&lt;E$5)*X166+(AC$5&lt;E$5)*AD166+(AI$5&lt;E$5)*AJ166+(AO$5&lt;E$5)*AP166+(AU$5&lt;E$5)*AV166)))</f>
        <v/>
      </c>
      <c r="H166">
        <f>IF(F166-G166&lt;0.005,0,F166-G166)</f>
        <v/>
      </c>
      <c r="I166">
        <f>N165</f>
        <v/>
      </c>
      <c r="J166">
        <f>I166*Plan!D7/100/12</f>
        <v/>
      </c>
      <c r="K166">
        <f>MIN(Plan!E7,I166+J166)</f>
        <v/>
      </c>
      <c r="L166">
        <f>I166+J166-K166</f>
        <v/>
      </c>
      <c r="M166">
        <f>MIN(L166,MAX(0,$B166-((E$5&lt;K$5)*F166+(Q$5&lt;K$5)*R166+(W$5&lt;K$5)*X166+(AC$5&lt;K$5)*AD166+(AI$5&lt;K$5)*AJ166+(AO$5&lt;K$5)*AP166+(AU$5&lt;K$5)*AV166)))</f>
        <v/>
      </c>
      <c r="N166">
        <f>IF(L166-M166&lt;0.005,0,L166-M166)</f>
        <v/>
      </c>
      <c r="O166">
        <f>T165</f>
        <v/>
      </c>
      <c r="P166">
        <f>O166*Plan!D8/100/12</f>
        <v/>
      </c>
      <c r="Q166">
        <f>MIN(Plan!E8,O166+P166)</f>
        <v/>
      </c>
      <c r="R166">
        <f>O166+P166-Q166</f>
        <v/>
      </c>
      <c r="S166">
        <f>MIN(R166,MAX(0,$B166-((E$5&lt;Q$5)*F166+(K$5&lt;Q$5)*L166+(W$5&lt;Q$5)*X166+(AC$5&lt;Q$5)*AD166+(AI$5&lt;Q$5)*AJ166+(AO$5&lt;Q$5)*AP166+(AU$5&lt;Q$5)*AV166)))</f>
        <v/>
      </c>
      <c r="T166">
        <f>IF(R166-S166&lt;0.005,0,R166-S166)</f>
        <v/>
      </c>
      <c r="U166">
        <f>Z165</f>
        <v/>
      </c>
      <c r="V166">
        <f>U166*Plan!D9/100/12</f>
        <v/>
      </c>
      <c r="W166">
        <f>MIN(Plan!E9,U166+V166)</f>
        <v/>
      </c>
      <c r="X166">
        <f>U166+V166-W166</f>
        <v/>
      </c>
      <c r="Y166">
        <f>MIN(X166,MAX(0,$B166-((E$5&lt;W$5)*F166+(K$5&lt;W$5)*L166+(Q$5&lt;W$5)*R166+(AC$5&lt;W$5)*AD166+(AI$5&lt;W$5)*AJ166+(AO$5&lt;W$5)*AP166+(AU$5&lt;W$5)*AV166)))</f>
        <v/>
      </c>
      <c r="Z166">
        <f>IF(X166-Y166&lt;0.005,0,X166-Y166)</f>
        <v/>
      </c>
      <c r="AA166">
        <f>AF165</f>
        <v/>
      </c>
      <c r="AB166">
        <f>AA166*Plan!D10/100/12</f>
        <v/>
      </c>
      <c r="AC166">
        <f>MIN(Plan!E10,AA166+AB166)</f>
        <v/>
      </c>
      <c r="AD166">
        <f>AA166+AB166-AC166</f>
        <v/>
      </c>
      <c r="AE166">
        <f>MIN(AD166,MAX(0,$B166-((E$5&lt;AC$5)*F166+(K$5&lt;AC$5)*L166+(Q$5&lt;AC$5)*R166+(W$5&lt;AC$5)*X166+(AI$5&lt;AC$5)*AJ166+(AO$5&lt;AC$5)*AP166+(AU$5&lt;AC$5)*AV166)))</f>
        <v/>
      </c>
      <c r="AF166">
        <f>IF(AD166-AE166&lt;0.005,0,AD166-AE166)</f>
        <v/>
      </c>
      <c r="AG166">
        <f>AL165</f>
        <v/>
      </c>
      <c r="AH166">
        <f>AG166*Plan!D11/100/12</f>
        <v/>
      </c>
      <c r="AI166">
        <f>MIN(Plan!E11,AG166+AH166)</f>
        <v/>
      </c>
      <c r="AJ166">
        <f>AG166+AH166-AI166</f>
        <v/>
      </c>
      <c r="AK166">
        <f>MIN(AJ166,MAX(0,$B166-((E$5&lt;AI$5)*F166+(K$5&lt;AI$5)*L166+(Q$5&lt;AI$5)*R166+(W$5&lt;AI$5)*X166+(AC$5&lt;AI$5)*AD166+(AO$5&lt;AI$5)*AP166+(AU$5&lt;AI$5)*AV166)))</f>
        <v/>
      </c>
      <c r="AL166">
        <f>IF(AJ166-AK166&lt;0.005,0,AJ166-AK166)</f>
        <v/>
      </c>
      <c r="AM166">
        <f>AR165</f>
        <v/>
      </c>
      <c r="AN166">
        <f>AM166*Plan!D12/100/12</f>
        <v/>
      </c>
      <c r="AO166">
        <f>MIN(Plan!E12,AM166+AN166)</f>
        <v/>
      </c>
      <c r="AP166">
        <f>AM166+AN166-AO166</f>
        <v/>
      </c>
      <c r="AQ166">
        <f>MIN(AP166,MAX(0,$B166-((E$5&lt;AO$5)*F166+(K$5&lt;AO$5)*L166+(Q$5&lt;AO$5)*R166+(W$5&lt;AO$5)*X166+(AC$5&lt;AO$5)*AD166+(AI$5&lt;AO$5)*AJ166+(AU$5&lt;AO$5)*AV166)))</f>
        <v/>
      </c>
      <c r="AR166">
        <f>IF(AP166-AQ166&lt;0.005,0,AP166-AQ166)</f>
        <v/>
      </c>
      <c r="AS166">
        <f>AX165</f>
        <v/>
      </c>
      <c r="AT166">
        <f>AS166*Plan!D13/100/12</f>
        <v/>
      </c>
      <c r="AU166">
        <f>MIN(Plan!E13,AS166+AT166)</f>
        <v/>
      </c>
      <c r="AV166">
        <f>AS166+AT166-AU166</f>
        <v/>
      </c>
      <c r="AW166">
        <f>MIN(AV166,MAX(0,$B166-((E$5&lt;AU$5)*F166+(K$5&lt;AU$5)*L166+(Q$5&lt;AU$5)*R166+(W$5&lt;AU$5)*X166+(AC$5&lt;AU$5)*AD166+(AI$5&lt;AU$5)*AJ166+(AO$5&lt;AU$5)*AP166)))</f>
        <v/>
      </c>
      <c r="AX166">
        <f>IF(AV166-AW166&lt;0.005,0,AV166-AW166)</f>
        <v/>
      </c>
      <c r="BC166">
        <f>H166+N166+T166+Z166+AF166+AL166+AR166+AX166</f>
        <v/>
      </c>
    </row>
    <row r="167">
      <c r="A167" t="n">
        <v>161</v>
      </c>
      <c r="B167" s="19">
        <f>MAX(0,$B$3-(E167+K167+Q167+W167+AC167+AI167+AO167+AU167))</f>
        <v/>
      </c>
      <c r="C167">
        <f>H166</f>
        <v/>
      </c>
      <c r="D167">
        <f>C167*Plan!D6/100/12</f>
        <v/>
      </c>
      <c r="E167">
        <f>MIN(Plan!E6,C167+D167)</f>
        <v/>
      </c>
      <c r="F167">
        <f>C167+D167-E167</f>
        <v/>
      </c>
      <c r="G167">
        <f>MIN(F167,MAX(0,$B167-((K$5&lt;E$5)*L167+(Q$5&lt;E$5)*R167+(W$5&lt;E$5)*X167+(AC$5&lt;E$5)*AD167+(AI$5&lt;E$5)*AJ167+(AO$5&lt;E$5)*AP167+(AU$5&lt;E$5)*AV167)))</f>
        <v/>
      </c>
      <c r="H167">
        <f>IF(F167-G167&lt;0.005,0,F167-G167)</f>
        <v/>
      </c>
      <c r="I167">
        <f>N166</f>
        <v/>
      </c>
      <c r="J167">
        <f>I167*Plan!D7/100/12</f>
        <v/>
      </c>
      <c r="K167">
        <f>MIN(Plan!E7,I167+J167)</f>
        <v/>
      </c>
      <c r="L167">
        <f>I167+J167-K167</f>
        <v/>
      </c>
      <c r="M167">
        <f>MIN(L167,MAX(0,$B167-((E$5&lt;K$5)*F167+(Q$5&lt;K$5)*R167+(W$5&lt;K$5)*X167+(AC$5&lt;K$5)*AD167+(AI$5&lt;K$5)*AJ167+(AO$5&lt;K$5)*AP167+(AU$5&lt;K$5)*AV167)))</f>
        <v/>
      </c>
      <c r="N167">
        <f>IF(L167-M167&lt;0.005,0,L167-M167)</f>
        <v/>
      </c>
      <c r="O167">
        <f>T166</f>
        <v/>
      </c>
      <c r="P167">
        <f>O167*Plan!D8/100/12</f>
        <v/>
      </c>
      <c r="Q167">
        <f>MIN(Plan!E8,O167+P167)</f>
        <v/>
      </c>
      <c r="R167">
        <f>O167+P167-Q167</f>
        <v/>
      </c>
      <c r="S167">
        <f>MIN(R167,MAX(0,$B167-((E$5&lt;Q$5)*F167+(K$5&lt;Q$5)*L167+(W$5&lt;Q$5)*X167+(AC$5&lt;Q$5)*AD167+(AI$5&lt;Q$5)*AJ167+(AO$5&lt;Q$5)*AP167+(AU$5&lt;Q$5)*AV167)))</f>
        <v/>
      </c>
      <c r="T167">
        <f>IF(R167-S167&lt;0.005,0,R167-S167)</f>
        <v/>
      </c>
      <c r="U167">
        <f>Z166</f>
        <v/>
      </c>
      <c r="V167">
        <f>U167*Plan!D9/100/12</f>
        <v/>
      </c>
      <c r="W167">
        <f>MIN(Plan!E9,U167+V167)</f>
        <v/>
      </c>
      <c r="X167">
        <f>U167+V167-W167</f>
        <v/>
      </c>
      <c r="Y167">
        <f>MIN(X167,MAX(0,$B167-((E$5&lt;W$5)*F167+(K$5&lt;W$5)*L167+(Q$5&lt;W$5)*R167+(AC$5&lt;W$5)*AD167+(AI$5&lt;W$5)*AJ167+(AO$5&lt;W$5)*AP167+(AU$5&lt;W$5)*AV167)))</f>
        <v/>
      </c>
      <c r="Z167">
        <f>IF(X167-Y167&lt;0.005,0,X167-Y167)</f>
        <v/>
      </c>
      <c r="AA167">
        <f>AF166</f>
        <v/>
      </c>
      <c r="AB167">
        <f>AA167*Plan!D10/100/12</f>
        <v/>
      </c>
      <c r="AC167">
        <f>MIN(Plan!E10,AA167+AB167)</f>
        <v/>
      </c>
      <c r="AD167">
        <f>AA167+AB167-AC167</f>
        <v/>
      </c>
      <c r="AE167">
        <f>MIN(AD167,MAX(0,$B167-((E$5&lt;AC$5)*F167+(K$5&lt;AC$5)*L167+(Q$5&lt;AC$5)*R167+(W$5&lt;AC$5)*X167+(AI$5&lt;AC$5)*AJ167+(AO$5&lt;AC$5)*AP167+(AU$5&lt;AC$5)*AV167)))</f>
        <v/>
      </c>
      <c r="AF167">
        <f>IF(AD167-AE167&lt;0.005,0,AD167-AE167)</f>
        <v/>
      </c>
      <c r="AG167">
        <f>AL166</f>
        <v/>
      </c>
      <c r="AH167">
        <f>AG167*Plan!D11/100/12</f>
        <v/>
      </c>
      <c r="AI167">
        <f>MIN(Plan!E11,AG167+AH167)</f>
        <v/>
      </c>
      <c r="AJ167">
        <f>AG167+AH167-AI167</f>
        <v/>
      </c>
      <c r="AK167">
        <f>MIN(AJ167,MAX(0,$B167-((E$5&lt;AI$5)*F167+(K$5&lt;AI$5)*L167+(Q$5&lt;AI$5)*R167+(W$5&lt;AI$5)*X167+(AC$5&lt;AI$5)*AD167+(AO$5&lt;AI$5)*AP167+(AU$5&lt;AI$5)*AV167)))</f>
        <v/>
      </c>
      <c r="AL167">
        <f>IF(AJ167-AK167&lt;0.005,0,AJ167-AK167)</f>
        <v/>
      </c>
      <c r="AM167">
        <f>AR166</f>
        <v/>
      </c>
      <c r="AN167">
        <f>AM167*Plan!D12/100/12</f>
        <v/>
      </c>
      <c r="AO167">
        <f>MIN(Plan!E12,AM167+AN167)</f>
        <v/>
      </c>
      <c r="AP167">
        <f>AM167+AN167-AO167</f>
        <v/>
      </c>
      <c r="AQ167">
        <f>MIN(AP167,MAX(0,$B167-((E$5&lt;AO$5)*F167+(K$5&lt;AO$5)*L167+(Q$5&lt;AO$5)*R167+(W$5&lt;AO$5)*X167+(AC$5&lt;AO$5)*AD167+(AI$5&lt;AO$5)*AJ167+(AU$5&lt;AO$5)*AV167)))</f>
        <v/>
      </c>
      <c r="AR167">
        <f>IF(AP167-AQ167&lt;0.005,0,AP167-AQ167)</f>
        <v/>
      </c>
      <c r="AS167">
        <f>AX166</f>
        <v/>
      </c>
      <c r="AT167">
        <f>AS167*Plan!D13/100/12</f>
        <v/>
      </c>
      <c r="AU167">
        <f>MIN(Plan!E13,AS167+AT167)</f>
        <v/>
      </c>
      <c r="AV167">
        <f>AS167+AT167-AU167</f>
        <v/>
      </c>
      <c r="AW167">
        <f>MIN(AV167,MAX(0,$B167-((E$5&lt;AU$5)*F167+(K$5&lt;AU$5)*L167+(Q$5&lt;AU$5)*R167+(W$5&lt;AU$5)*X167+(AC$5&lt;AU$5)*AD167+(AI$5&lt;AU$5)*AJ167+(AO$5&lt;AU$5)*AP167)))</f>
        <v/>
      </c>
      <c r="AX167">
        <f>IF(AV167-AW167&lt;0.005,0,AV167-AW167)</f>
        <v/>
      </c>
      <c r="BC167">
        <f>H167+N167+T167+Z167+AF167+AL167+AR167+AX167</f>
        <v/>
      </c>
    </row>
    <row r="168">
      <c r="A168" t="n">
        <v>162</v>
      </c>
      <c r="B168" s="19">
        <f>MAX(0,$B$3-(E168+K168+Q168+W168+AC168+AI168+AO168+AU168))</f>
        <v/>
      </c>
      <c r="C168">
        <f>H167</f>
        <v/>
      </c>
      <c r="D168">
        <f>C168*Plan!D6/100/12</f>
        <v/>
      </c>
      <c r="E168">
        <f>MIN(Plan!E6,C168+D168)</f>
        <v/>
      </c>
      <c r="F168">
        <f>C168+D168-E168</f>
        <v/>
      </c>
      <c r="G168">
        <f>MIN(F168,MAX(0,$B168-((K$5&lt;E$5)*L168+(Q$5&lt;E$5)*R168+(W$5&lt;E$5)*X168+(AC$5&lt;E$5)*AD168+(AI$5&lt;E$5)*AJ168+(AO$5&lt;E$5)*AP168+(AU$5&lt;E$5)*AV168)))</f>
        <v/>
      </c>
      <c r="H168">
        <f>IF(F168-G168&lt;0.005,0,F168-G168)</f>
        <v/>
      </c>
      <c r="I168">
        <f>N167</f>
        <v/>
      </c>
      <c r="J168">
        <f>I168*Plan!D7/100/12</f>
        <v/>
      </c>
      <c r="K168">
        <f>MIN(Plan!E7,I168+J168)</f>
        <v/>
      </c>
      <c r="L168">
        <f>I168+J168-K168</f>
        <v/>
      </c>
      <c r="M168">
        <f>MIN(L168,MAX(0,$B168-((E$5&lt;K$5)*F168+(Q$5&lt;K$5)*R168+(W$5&lt;K$5)*X168+(AC$5&lt;K$5)*AD168+(AI$5&lt;K$5)*AJ168+(AO$5&lt;K$5)*AP168+(AU$5&lt;K$5)*AV168)))</f>
        <v/>
      </c>
      <c r="N168">
        <f>IF(L168-M168&lt;0.005,0,L168-M168)</f>
        <v/>
      </c>
      <c r="O168">
        <f>T167</f>
        <v/>
      </c>
      <c r="P168">
        <f>O168*Plan!D8/100/12</f>
        <v/>
      </c>
      <c r="Q168">
        <f>MIN(Plan!E8,O168+P168)</f>
        <v/>
      </c>
      <c r="R168">
        <f>O168+P168-Q168</f>
        <v/>
      </c>
      <c r="S168">
        <f>MIN(R168,MAX(0,$B168-((E$5&lt;Q$5)*F168+(K$5&lt;Q$5)*L168+(W$5&lt;Q$5)*X168+(AC$5&lt;Q$5)*AD168+(AI$5&lt;Q$5)*AJ168+(AO$5&lt;Q$5)*AP168+(AU$5&lt;Q$5)*AV168)))</f>
        <v/>
      </c>
      <c r="T168">
        <f>IF(R168-S168&lt;0.005,0,R168-S168)</f>
        <v/>
      </c>
      <c r="U168">
        <f>Z167</f>
        <v/>
      </c>
      <c r="V168">
        <f>U168*Plan!D9/100/12</f>
        <v/>
      </c>
      <c r="W168">
        <f>MIN(Plan!E9,U168+V168)</f>
        <v/>
      </c>
      <c r="X168">
        <f>U168+V168-W168</f>
        <v/>
      </c>
      <c r="Y168">
        <f>MIN(X168,MAX(0,$B168-((E$5&lt;W$5)*F168+(K$5&lt;W$5)*L168+(Q$5&lt;W$5)*R168+(AC$5&lt;W$5)*AD168+(AI$5&lt;W$5)*AJ168+(AO$5&lt;W$5)*AP168+(AU$5&lt;W$5)*AV168)))</f>
        <v/>
      </c>
      <c r="Z168">
        <f>IF(X168-Y168&lt;0.005,0,X168-Y168)</f>
        <v/>
      </c>
      <c r="AA168">
        <f>AF167</f>
        <v/>
      </c>
      <c r="AB168">
        <f>AA168*Plan!D10/100/12</f>
        <v/>
      </c>
      <c r="AC168">
        <f>MIN(Plan!E10,AA168+AB168)</f>
        <v/>
      </c>
      <c r="AD168">
        <f>AA168+AB168-AC168</f>
        <v/>
      </c>
      <c r="AE168">
        <f>MIN(AD168,MAX(0,$B168-((E$5&lt;AC$5)*F168+(K$5&lt;AC$5)*L168+(Q$5&lt;AC$5)*R168+(W$5&lt;AC$5)*X168+(AI$5&lt;AC$5)*AJ168+(AO$5&lt;AC$5)*AP168+(AU$5&lt;AC$5)*AV168)))</f>
        <v/>
      </c>
      <c r="AF168">
        <f>IF(AD168-AE168&lt;0.005,0,AD168-AE168)</f>
        <v/>
      </c>
      <c r="AG168">
        <f>AL167</f>
        <v/>
      </c>
      <c r="AH168">
        <f>AG168*Plan!D11/100/12</f>
        <v/>
      </c>
      <c r="AI168">
        <f>MIN(Plan!E11,AG168+AH168)</f>
        <v/>
      </c>
      <c r="AJ168">
        <f>AG168+AH168-AI168</f>
        <v/>
      </c>
      <c r="AK168">
        <f>MIN(AJ168,MAX(0,$B168-((E$5&lt;AI$5)*F168+(K$5&lt;AI$5)*L168+(Q$5&lt;AI$5)*R168+(W$5&lt;AI$5)*X168+(AC$5&lt;AI$5)*AD168+(AO$5&lt;AI$5)*AP168+(AU$5&lt;AI$5)*AV168)))</f>
        <v/>
      </c>
      <c r="AL168">
        <f>IF(AJ168-AK168&lt;0.005,0,AJ168-AK168)</f>
        <v/>
      </c>
      <c r="AM168">
        <f>AR167</f>
        <v/>
      </c>
      <c r="AN168">
        <f>AM168*Plan!D12/100/12</f>
        <v/>
      </c>
      <c r="AO168">
        <f>MIN(Plan!E12,AM168+AN168)</f>
        <v/>
      </c>
      <c r="AP168">
        <f>AM168+AN168-AO168</f>
        <v/>
      </c>
      <c r="AQ168">
        <f>MIN(AP168,MAX(0,$B168-((E$5&lt;AO$5)*F168+(K$5&lt;AO$5)*L168+(Q$5&lt;AO$5)*R168+(W$5&lt;AO$5)*X168+(AC$5&lt;AO$5)*AD168+(AI$5&lt;AO$5)*AJ168+(AU$5&lt;AO$5)*AV168)))</f>
        <v/>
      </c>
      <c r="AR168">
        <f>IF(AP168-AQ168&lt;0.005,0,AP168-AQ168)</f>
        <v/>
      </c>
      <c r="AS168">
        <f>AX167</f>
        <v/>
      </c>
      <c r="AT168">
        <f>AS168*Plan!D13/100/12</f>
        <v/>
      </c>
      <c r="AU168">
        <f>MIN(Plan!E13,AS168+AT168)</f>
        <v/>
      </c>
      <c r="AV168">
        <f>AS168+AT168-AU168</f>
        <v/>
      </c>
      <c r="AW168">
        <f>MIN(AV168,MAX(0,$B168-((E$5&lt;AU$5)*F168+(K$5&lt;AU$5)*L168+(Q$5&lt;AU$5)*R168+(W$5&lt;AU$5)*X168+(AC$5&lt;AU$5)*AD168+(AI$5&lt;AU$5)*AJ168+(AO$5&lt;AU$5)*AP168)))</f>
        <v/>
      </c>
      <c r="AX168">
        <f>IF(AV168-AW168&lt;0.005,0,AV168-AW168)</f>
        <v/>
      </c>
      <c r="BC168">
        <f>H168+N168+T168+Z168+AF168+AL168+AR168+AX168</f>
        <v/>
      </c>
    </row>
    <row r="169">
      <c r="A169" t="n">
        <v>163</v>
      </c>
      <c r="B169" s="19">
        <f>MAX(0,$B$3-(E169+K169+Q169+W169+AC169+AI169+AO169+AU169))</f>
        <v/>
      </c>
      <c r="C169">
        <f>H168</f>
        <v/>
      </c>
      <c r="D169">
        <f>C169*Plan!D6/100/12</f>
        <v/>
      </c>
      <c r="E169">
        <f>MIN(Plan!E6,C169+D169)</f>
        <v/>
      </c>
      <c r="F169">
        <f>C169+D169-E169</f>
        <v/>
      </c>
      <c r="G169">
        <f>MIN(F169,MAX(0,$B169-((K$5&lt;E$5)*L169+(Q$5&lt;E$5)*R169+(W$5&lt;E$5)*X169+(AC$5&lt;E$5)*AD169+(AI$5&lt;E$5)*AJ169+(AO$5&lt;E$5)*AP169+(AU$5&lt;E$5)*AV169)))</f>
        <v/>
      </c>
      <c r="H169">
        <f>IF(F169-G169&lt;0.005,0,F169-G169)</f>
        <v/>
      </c>
      <c r="I169">
        <f>N168</f>
        <v/>
      </c>
      <c r="J169">
        <f>I169*Plan!D7/100/12</f>
        <v/>
      </c>
      <c r="K169">
        <f>MIN(Plan!E7,I169+J169)</f>
        <v/>
      </c>
      <c r="L169">
        <f>I169+J169-K169</f>
        <v/>
      </c>
      <c r="M169">
        <f>MIN(L169,MAX(0,$B169-((E$5&lt;K$5)*F169+(Q$5&lt;K$5)*R169+(W$5&lt;K$5)*X169+(AC$5&lt;K$5)*AD169+(AI$5&lt;K$5)*AJ169+(AO$5&lt;K$5)*AP169+(AU$5&lt;K$5)*AV169)))</f>
        <v/>
      </c>
      <c r="N169">
        <f>IF(L169-M169&lt;0.005,0,L169-M169)</f>
        <v/>
      </c>
      <c r="O169">
        <f>T168</f>
        <v/>
      </c>
      <c r="P169">
        <f>O169*Plan!D8/100/12</f>
        <v/>
      </c>
      <c r="Q169">
        <f>MIN(Plan!E8,O169+P169)</f>
        <v/>
      </c>
      <c r="R169">
        <f>O169+P169-Q169</f>
        <v/>
      </c>
      <c r="S169">
        <f>MIN(R169,MAX(0,$B169-((E$5&lt;Q$5)*F169+(K$5&lt;Q$5)*L169+(W$5&lt;Q$5)*X169+(AC$5&lt;Q$5)*AD169+(AI$5&lt;Q$5)*AJ169+(AO$5&lt;Q$5)*AP169+(AU$5&lt;Q$5)*AV169)))</f>
        <v/>
      </c>
      <c r="T169">
        <f>IF(R169-S169&lt;0.005,0,R169-S169)</f>
        <v/>
      </c>
      <c r="U169">
        <f>Z168</f>
        <v/>
      </c>
      <c r="V169">
        <f>U169*Plan!D9/100/12</f>
        <v/>
      </c>
      <c r="W169">
        <f>MIN(Plan!E9,U169+V169)</f>
        <v/>
      </c>
      <c r="X169">
        <f>U169+V169-W169</f>
        <v/>
      </c>
      <c r="Y169">
        <f>MIN(X169,MAX(0,$B169-((E$5&lt;W$5)*F169+(K$5&lt;W$5)*L169+(Q$5&lt;W$5)*R169+(AC$5&lt;W$5)*AD169+(AI$5&lt;W$5)*AJ169+(AO$5&lt;W$5)*AP169+(AU$5&lt;W$5)*AV169)))</f>
        <v/>
      </c>
      <c r="Z169">
        <f>IF(X169-Y169&lt;0.005,0,X169-Y169)</f>
        <v/>
      </c>
      <c r="AA169">
        <f>AF168</f>
        <v/>
      </c>
      <c r="AB169">
        <f>AA169*Plan!D10/100/12</f>
        <v/>
      </c>
      <c r="AC169">
        <f>MIN(Plan!E10,AA169+AB169)</f>
        <v/>
      </c>
      <c r="AD169">
        <f>AA169+AB169-AC169</f>
        <v/>
      </c>
      <c r="AE169">
        <f>MIN(AD169,MAX(0,$B169-((E$5&lt;AC$5)*F169+(K$5&lt;AC$5)*L169+(Q$5&lt;AC$5)*R169+(W$5&lt;AC$5)*X169+(AI$5&lt;AC$5)*AJ169+(AO$5&lt;AC$5)*AP169+(AU$5&lt;AC$5)*AV169)))</f>
        <v/>
      </c>
      <c r="AF169">
        <f>IF(AD169-AE169&lt;0.005,0,AD169-AE169)</f>
        <v/>
      </c>
      <c r="AG169">
        <f>AL168</f>
        <v/>
      </c>
      <c r="AH169">
        <f>AG169*Plan!D11/100/12</f>
        <v/>
      </c>
      <c r="AI169">
        <f>MIN(Plan!E11,AG169+AH169)</f>
        <v/>
      </c>
      <c r="AJ169">
        <f>AG169+AH169-AI169</f>
        <v/>
      </c>
      <c r="AK169">
        <f>MIN(AJ169,MAX(0,$B169-((E$5&lt;AI$5)*F169+(K$5&lt;AI$5)*L169+(Q$5&lt;AI$5)*R169+(W$5&lt;AI$5)*X169+(AC$5&lt;AI$5)*AD169+(AO$5&lt;AI$5)*AP169+(AU$5&lt;AI$5)*AV169)))</f>
        <v/>
      </c>
      <c r="AL169">
        <f>IF(AJ169-AK169&lt;0.005,0,AJ169-AK169)</f>
        <v/>
      </c>
      <c r="AM169">
        <f>AR168</f>
        <v/>
      </c>
      <c r="AN169">
        <f>AM169*Plan!D12/100/12</f>
        <v/>
      </c>
      <c r="AO169">
        <f>MIN(Plan!E12,AM169+AN169)</f>
        <v/>
      </c>
      <c r="AP169">
        <f>AM169+AN169-AO169</f>
        <v/>
      </c>
      <c r="AQ169">
        <f>MIN(AP169,MAX(0,$B169-((E$5&lt;AO$5)*F169+(K$5&lt;AO$5)*L169+(Q$5&lt;AO$5)*R169+(W$5&lt;AO$5)*X169+(AC$5&lt;AO$5)*AD169+(AI$5&lt;AO$5)*AJ169+(AU$5&lt;AO$5)*AV169)))</f>
        <v/>
      </c>
      <c r="AR169">
        <f>IF(AP169-AQ169&lt;0.005,0,AP169-AQ169)</f>
        <v/>
      </c>
      <c r="AS169">
        <f>AX168</f>
        <v/>
      </c>
      <c r="AT169">
        <f>AS169*Plan!D13/100/12</f>
        <v/>
      </c>
      <c r="AU169">
        <f>MIN(Plan!E13,AS169+AT169)</f>
        <v/>
      </c>
      <c r="AV169">
        <f>AS169+AT169-AU169</f>
        <v/>
      </c>
      <c r="AW169">
        <f>MIN(AV169,MAX(0,$B169-((E$5&lt;AU$5)*F169+(K$5&lt;AU$5)*L169+(Q$5&lt;AU$5)*R169+(W$5&lt;AU$5)*X169+(AC$5&lt;AU$5)*AD169+(AI$5&lt;AU$5)*AJ169+(AO$5&lt;AU$5)*AP169)))</f>
        <v/>
      </c>
      <c r="AX169">
        <f>IF(AV169-AW169&lt;0.005,0,AV169-AW169)</f>
        <v/>
      </c>
      <c r="BC169">
        <f>H169+N169+T169+Z169+AF169+AL169+AR169+AX169</f>
        <v/>
      </c>
    </row>
    <row r="170">
      <c r="A170" t="n">
        <v>164</v>
      </c>
      <c r="B170" s="19">
        <f>MAX(0,$B$3-(E170+K170+Q170+W170+AC170+AI170+AO170+AU170))</f>
        <v/>
      </c>
      <c r="C170">
        <f>H169</f>
        <v/>
      </c>
      <c r="D170">
        <f>C170*Plan!D6/100/12</f>
        <v/>
      </c>
      <c r="E170">
        <f>MIN(Plan!E6,C170+D170)</f>
        <v/>
      </c>
      <c r="F170">
        <f>C170+D170-E170</f>
        <v/>
      </c>
      <c r="G170">
        <f>MIN(F170,MAX(0,$B170-((K$5&lt;E$5)*L170+(Q$5&lt;E$5)*R170+(W$5&lt;E$5)*X170+(AC$5&lt;E$5)*AD170+(AI$5&lt;E$5)*AJ170+(AO$5&lt;E$5)*AP170+(AU$5&lt;E$5)*AV170)))</f>
        <v/>
      </c>
      <c r="H170">
        <f>IF(F170-G170&lt;0.005,0,F170-G170)</f>
        <v/>
      </c>
      <c r="I170">
        <f>N169</f>
        <v/>
      </c>
      <c r="J170">
        <f>I170*Plan!D7/100/12</f>
        <v/>
      </c>
      <c r="K170">
        <f>MIN(Plan!E7,I170+J170)</f>
        <v/>
      </c>
      <c r="L170">
        <f>I170+J170-K170</f>
        <v/>
      </c>
      <c r="M170">
        <f>MIN(L170,MAX(0,$B170-((E$5&lt;K$5)*F170+(Q$5&lt;K$5)*R170+(W$5&lt;K$5)*X170+(AC$5&lt;K$5)*AD170+(AI$5&lt;K$5)*AJ170+(AO$5&lt;K$5)*AP170+(AU$5&lt;K$5)*AV170)))</f>
        <v/>
      </c>
      <c r="N170">
        <f>IF(L170-M170&lt;0.005,0,L170-M170)</f>
        <v/>
      </c>
      <c r="O170">
        <f>T169</f>
        <v/>
      </c>
      <c r="P170">
        <f>O170*Plan!D8/100/12</f>
        <v/>
      </c>
      <c r="Q170">
        <f>MIN(Plan!E8,O170+P170)</f>
        <v/>
      </c>
      <c r="R170">
        <f>O170+P170-Q170</f>
        <v/>
      </c>
      <c r="S170">
        <f>MIN(R170,MAX(0,$B170-((E$5&lt;Q$5)*F170+(K$5&lt;Q$5)*L170+(W$5&lt;Q$5)*X170+(AC$5&lt;Q$5)*AD170+(AI$5&lt;Q$5)*AJ170+(AO$5&lt;Q$5)*AP170+(AU$5&lt;Q$5)*AV170)))</f>
        <v/>
      </c>
      <c r="T170">
        <f>IF(R170-S170&lt;0.005,0,R170-S170)</f>
        <v/>
      </c>
      <c r="U170">
        <f>Z169</f>
        <v/>
      </c>
      <c r="V170">
        <f>U170*Plan!D9/100/12</f>
        <v/>
      </c>
      <c r="W170">
        <f>MIN(Plan!E9,U170+V170)</f>
        <v/>
      </c>
      <c r="X170">
        <f>U170+V170-W170</f>
        <v/>
      </c>
      <c r="Y170">
        <f>MIN(X170,MAX(0,$B170-((E$5&lt;W$5)*F170+(K$5&lt;W$5)*L170+(Q$5&lt;W$5)*R170+(AC$5&lt;W$5)*AD170+(AI$5&lt;W$5)*AJ170+(AO$5&lt;W$5)*AP170+(AU$5&lt;W$5)*AV170)))</f>
        <v/>
      </c>
      <c r="Z170">
        <f>IF(X170-Y170&lt;0.005,0,X170-Y170)</f>
        <v/>
      </c>
      <c r="AA170">
        <f>AF169</f>
        <v/>
      </c>
      <c r="AB170">
        <f>AA170*Plan!D10/100/12</f>
        <v/>
      </c>
      <c r="AC170">
        <f>MIN(Plan!E10,AA170+AB170)</f>
        <v/>
      </c>
      <c r="AD170">
        <f>AA170+AB170-AC170</f>
        <v/>
      </c>
      <c r="AE170">
        <f>MIN(AD170,MAX(0,$B170-((E$5&lt;AC$5)*F170+(K$5&lt;AC$5)*L170+(Q$5&lt;AC$5)*R170+(W$5&lt;AC$5)*X170+(AI$5&lt;AC$5)*AJ170+(AO$5&lt;AC$5)*AP170+(AU$5&lt;AC$5)*AV170)))</f>
        <v/>
      </c>
      <c r="AF170">
        <f>IF(AD170-AE170&lt;0.005,0,AD170-AE170)</f>
        <v/>
      </c>
      <c r="AG170">
        <f>AL169</f>
        <v/>
      </c>
      <c r="AH170">
        <f>AG170*Plan!D11/100/12</f>
        <v/>
      </c>
      <c r="AI170">
        <f>MIN(Plan!E11,AG170+AH170)</f>
        <v/>
      </c>
      <c r="AJ170">
        <f>AG170+AH170-AI170</f>
        <v/>
      </c>
      <c r="AK170">
        <f>MIN(AJ170,MAX(0,$B170-((E$5&lt;AI$5)*F170+(K$5&lt;AI$5)*L170+(Q$5&lt;AI$5)*R170+(W$5&lt;AI$5)*X170+(AC$5&lt;AI$5)*AD170+(AO$5&lt;AI$5)*AP170+(AU$5&lt;AI$5)*AV170)))</f>
        <v/>
      </c>
      <c r="AL170">
        <f>IF(AJ170-AK170&lt;0.005,0,AJ170-AK170)</f>
        <v/>
      </c>
      <c r="AM170">
        <f>AR169</f>
        <v/>
      </c>
      <c r="AN170">
        <f>AM170*Plan!D12/100/12</f>
        <v/>
      </c>
      <c r="AO170">
        <f>MIN(Plan!E12,AM170+AN170)</f>
        <v/>
      </c>
      <c r="AP170">
        <f>AM170+AN170-AO170</f>
        <v/>
      </c>
      <c r="AQ170">
        <f>MIN(AP170,MAX(0,$B170-((E$5&lt;AO$5)*F170+(K$5&lt;AO$5)*L170+(Q$5&lt;AO$5)*R170+(W$5&lt;AO$5)*X170+(AC$5&lt;AO$5)*AD170+(AI$5&lt;AO$5)*AJ170+(AU$5&lt;AO$5)*AV170)))</f>
        <v/>
      </c>
      <c r="AR170">
        <f>IF(AP170-AQ170&lt;0.005,0,AP170-AQ170)</f>
        <v/>
      </c>
      <c r="AS170">
        <f>AX169</f>
        <v/>
      </c>
      <c r="AT170">
        <f>AS170*Plan!D13/100/12</f>
        <v/>
      </c>
      <c r="AU170">
        <f>MIN(Plan!E13,AS170+AT170)</f>
        <v/>
      </c>
      <c r="AV170">
        <f>AS170+AT170-AU170</f>
        <v/>
      </c>
      <c r="AW170">
        <f>MIN(AV170,MAX(0,$B170-((E$5&lt;AU$5)*F170+(K$5&lt;AU$5)*L170+(Q$5&lt;AU$5)*R170+(W$5&lt;AU$5)*X170+(AC$5&lt;AU$5)*AD170+(AI$5&lt;AU$5)*AJ170+(AO$5&lt;AU$5)*AP170)))</f>
        <v/>
      </c>
      <c r="AX170">
        <f>IF(AV170-AW170&lt;0.005,0,AV170-AW170)</f>
        <v/>
      </c>
      <c r="BC170">
        <f>H170+N170+T170+Z170+AF170+AL170+AR170+AX170</f>
        <v/>
      </c>
    </row>
    <row r="171">
      <c r="A171" t="n">
        <v>165</v>
      </c>
      <c r="B171" s="19">
        <f>MAX(0,$B$3-(E171+K171+Q171+W171+AC171+AI171+AO171+AU171))</f>
        <v/>
      </c>
      <c r="C171">
        <f>H170</f>
        <v/>
      </c>
      <c r="D171">
        <f>C171*Plan!D6/100/12</f>
        <v/>
      </c>
      <c r="E171">
        <f>MIN(Plan!E6,C171+D171)</f>
        <v/>
      </c>
      <c r="F171">
        <f>C171+D171-E171</f>
        <v/>
      </c>
      <c r="G171">
        <f>MIN(F171,MAX(0,$B171-((K$5&lt;E$5)*L171+(Q$5&lt;E$5)*R171+(W$5&lt;E$5)*X171+(AC$5&lt;E$5)*AD171+(AI$5&lt;E$5)*AJ171+(AO$5&lt;E$5)*AP171+(AU$5&lt;E$5)*AV171)))</f>
        <v/>
      </c>
      <c r="H171">
        <f>IF(F171-G171&lt;0.005,0,F171-G171)</f>
        <v/>
      </c>
      <c r="I171">
        <f>N170</f>
        <v/>
      </c>
      <c r="J171">
        <f>I171*Plan!D7/100/12</f>
        <v/>
      </c>
      <c r="K171">
        <f>MIN(Plan!E7,I171+J171)</f>
        <v/>
      </c>
      <c r="L171">
        <f>I171+J171-K171</f>
        <v/>
      </c>
      <c r="M171">
        <f>MIN(L171,MAX(0,$B171-((E$5&lt;K$5)*F171+(Q$5&lt;K$5)*R171+(W$5&lt;K$5)*X171+(AC$5&lt;K$5)*AD171+(AI$5&lt;K$5)*AJ171+(AO$5&lt;K$5)*AP171+(AU$5&lt;K$5)*AV171)))</f>
        <v/>
      </c>
      <c r="N171">
        <f>IF(L171-M171&lt;0.005,0,L171-M171)</f>
        <v/>
      </c>
      <c r="O171">
        <f>T170</f>
        <v/>
      </c>
      <c r="P171">
        <f>O171*Plan!D8/100/12</f>
        <v/>
      </c>
      <c r="Q171">
        <f>MIN(Plan!E8,O171+P171)</f>
        <v/>
      </c>
      <c r="R171">
        <f>O171+P171-Q171</f>
        <v/>
      </c>
      <c r="S171">
        <f>MIN(R171,MAX(0,$B171-((E$5&lt;Q$5)*F171+(K$5&lt;Q$5)*L171+(W$5&lt;Q$5)*X171+(AC$5&lt;Q$5)*AD171+(AI$5&lt;Q$5)*AJ171+(AO$5&lt;Q$5)*AP171+(AU$5&lt;Q$5)*AV171)))</f>
        <v/>
      </c>
      <c r="T171">
        <f>IF(R171-S171&lt;0.005,0,R171-S171)</f>
        <v/>
      </c>
      <c r="U171">
        <f>Z170</f>
        <v/>
      </c>
      <c r="V171">
        <f>U171*Plan!D9/100/12</f>
        <v/>
      </c>
      <c r="W171">
        <f>MIN(Plan!E9,U171+V171)</f>
        <v/>
      </c>
      <c r="X171">
        <f>U171+V171-W171</f>
        <v/>
      </c>
      <c r="Y171">
        <f>MIN(X171,MAX(0,$B171-((E$5&lt;W$5)*F171+(K$5&lt;W$5)*L171+(Q$5&lt;W$5)*R171+(AC$5&lt;W$5)*AD171+(AI$5&lt;W$5)*AJ171+(AO$5&lt;W$5)*AP171+(AU$5&lt;W$5)*AV171)))</f>
        <v/>
      </c>
      <c r="Z171">
        <f>IF(X171-Y171&lt;0.005,0,X171-Y171)</f>
        <v/>
      </c>
      <c r="AA171">
        <f>AF170</f>
        <v/>
      </c>
      <c r="AB171">
        <f>AA171*Plan!D10/100/12</f>
        <v/>
      </c>
      <c r="AC171">
        <f>MIN(Plan!E10,AA171+AB171)</f>
        <v/>
      </c>
      <c r="AD171">
        <f>AA171+AB171-AC171</f>
        <v/>
      </c>
      <c r="AE171">
        <f>MIN(AD171,MAX(0,$B171-((E$5&lt;AC$5)*F171+(K$5&lt;AC$5)*L171+(Q$5&lt;AC$5)*R171+(W$5&lt;AC$5)*X171+(AI$5&lt;AC$5)*AJ171+(AO$5&lt;AC$5)*AP171+(AU$5&lt;AC$5)*AV171)))</f>
        <v/>
      </c>
      <c r="AF171">
        <f>IF(AD171-AE171&lt;0.005,0,AD171-AE171)</f>
        <v/>
      </c>
      <c r="AG171">
        <f>AL170</f>
        <v/>
      </c>
      <c r="AH171">
        <f>AG171*Plan!D11/100/12</f>
        <v/>
      </c>
      <c r="AI171">
        <f>MIN(Plan!E11,AG171+AH171)</f>
        <v/>
      </c>
      <c r="AJ171">
        <f>AG171+AH171-AI171</f>
        <v/>
      </c>
      <c r="AK171">
        <f>MIN(AJ171,MAX(0,$B171-((E$5&lt;AI$5)*F171+(K$5&lt;AI$5)*L171+(Q$5&lt;AI$5)*R171+(W$5&lt;AI$5)*X171+(AC$5&lt;AI$5)*AD171+(AO$5&lt;AI$5)*AP171+(AU$5&lt;AI$5)*AV171)))</f>
        <v/>
      </c>
      <c r="AL171">
        <f>IF(AJ171-AK171&lt;0.005,0,AJ171-AK171)</f>
        <v/>
      </c>
      <c r="AM171">
        <f>AR170</f>
        <v/>
      </c>
      <c r="AN171">
        <f>AM171*Plan!D12/100/12</f>
        <v/>
      </c>
      <c r="AO171">
        <f>MIN(Plan!E12,AM171+AN171)</f>
        <v/>
      </c>
      <c r="AP171">
        <f>AM171+AN171-AO171</f>
        <v/>
      </c>
      <c r="AQ171">
        <f>MIN(AP171,MAX(0,$B171-((E$5&lt;AO$5)*F171+(K$5&lt;AO$5)*L171+(Q$5&lt;AO$5)*R171+(W$5&lt;AO$5)*X171+(AC$5&lt;AO$5)*AD171+(AI$5&lt;AO$5)*AJ171+(AU$5&lt;AO$5)*AV171)))</f>
        <v/>
      </c>
      <c r="AR171">
        <f>IF(AP171-AQ171&lt;0.005,0,AP171-AQ171)</f>
        <v/>
      </c>
      <c r="AS171">
        <f>AX170</f>
        <v/>
      </c>
      <c r="AT171">
        <f>AS171*Plan!D13/100/12</f>
        <v/>
      </c>
      <c r="AU171">
        <f>MIN(Plan!E13,AS171+AT171)</f>
        <v/>
      </c>
      <c r="AV171">
        <f>AS171+AT171-AU171</f>
        <v/>
      </c>
      <c r="AW171">
        <f>MIN(AV171,MAX(0,$B171-((E$5&lt;AU$5)*F171+(K$5&lt;AU$5)*L171+(Q$5&lt;AU$5)*R171+(W$5&lt;AU$5)*X171+(AC$5&lt;AU$5)*AD171+(AI$5&lt;AU$5)*AJ171+(AO$5&lt;AU$5)*AP171)))</f>
        <v/>
      </c>
      <c r="AX171">
        <f>IF(AV171-AW171&lt;0.005,0,AV171-AW171)</f>
        <v/>
      </c>
      <c r="BC171">
        <f>H171+N171+T171+Z171+AF171+AL171+AR171+AX171</f>
        <v/>
      </c>
    </row>
    <row r="172">
      <c r="A172" t="n">
        <v>166</v>
      </c>
      <c r="B172" s="19">
        <f>MAX(0,$B$3-(E172+K172+Q172+W172+AC172+AI172+AO172+AU172))</f>
        <v/>
      </c>
      <c r="C172">
        <f>H171</f>
        <v/>
      </c>
      <c r="D172">
        <f>C172*Plan!D6/100/12</f>
        <v/>
      </c>
      <c r="E172">
        <f>MIN(Plan!E6,C172+D172)</f>
        <v/>
      </c>
      <c r="F172">
        <f>C172+D172-E172</f>
        <v/>
      </c>
      <c r="G172">
        <f>MIN(F172,MAX(0,$B172-((K$5&lt;E$5)*L172+(Q$5&lt;E$5)*R172+(W$5&lt;E$5)*X172+(AC$5&lt;E$5)*AD172+(AI$5&lt;E$5)*AJ172+(AO$5&lt;E$5)*AP172+(AU$5&lt;E$5)*AV172)))</f>
        <v/>
      </c>
      <c r="H172">
        <f>IF(F172-G172&lt;0.005,0,F172-G172)</f>
        <v/>
      </c>
      <c r="I172">
        <f>N171</f>
        <v/>
      </c>
      <c r="J172">
        <f>I172*Plan!D7/100/12</f>
        <v/>
      </c>
      <c r="K172">
        <f>MIN(Plan!E7,I172+J172)</f>
        <v/>
      </c>
      <c r="L172">
        <f>I172+J172-K172</f>
        <v/>
      </c>
      <c r="M172">
        <f>MIN(L172,MAX(0,$B172-((E$5&lt;K$5)*F172+(Q$5&lt;K$5)*R172+(W$5&lt;K$5)*X172+(AC$5&lt;K$5)*AD172+(AI$5&lt;K$5)*AJ172+(AO$5&lt;K$5)*AP172+(AU$5&lt;K$5)*AV172)))</f>
        <v/>
      </c>
      <c r="N172">
        <f>IF(L172-M172&lt;0.005,0,L172-M172)</f>
        <v/>
      </c>
      <c r="O172">
        <f>T171</f>
        <v/>
      </c>
      <c r="P172">
        <f>O172*Plan!D8/100/12</f>
        <v/>
      </c>
      <c r="Q172">
        <f>MIN(Plan!E8,O172+P172)</f>
        <v/>
      </c>
      <c r="R172">
        <f>O172+P172-Q172</f>
        <v/>
      </c>
      <c r="S172">
        <f>MIN(R172,MAX(0,$B172-((E$5&lt;Q$5)*F172+(K$5&lt;Q$5)*L172+(W$5&lt;Q$5)*X172+(AC$5&lt;Q$5)*AD172+(AI$5&lt;Q$5)*AJ172+(AO$5&lt;Q$5)*AP172+(AU$5&lt;Q$5)*AV172)))</f>
        <v/>
      </c>
      <c r="T172">
        <f>IF(R172-S172&lt;0.005,0,R172-S172)</f>
        <v/>
      </c>
      <c r="U172">
        <f>Z171</f>
        <v/>
      </c>
      <c r="V172">
        <f>U172*Plan!D9/100/12</f>
        <v/>
      </c>
      <c r="W172">
        <f>MIN(Plan!E9,U172+V172)</f>
        <v/>
      </c>
      <c r="X172">
        <f>U172+V172-W172</f>
        <v/>
      </c>
      <c r="Y172">
        <f>MIN(X172,MAX(0,$B172-((E$5&lt;W$5)*F172+(K$5&lt;W$5)*L172+(Q$5&lt;W$5)*R172+(AC$5&lt;W$5)*AD172+(AI$5&lt;W$5)*AJ172+(AO$5&lt;W$5)*AP172+(AU$5&lt;W$5)*AV172)))</f>
        <v/>
      </c>
      <c r="Z172">
        <f>IF(X172-Y172&lt;0.005,0,X172-Y172)</f>
        <v/>
      </c>
      <c r="AA172">
        <f>AF171</f>
        <v/>
      </c>
      <c r="AB172">
        <f>AA172*Plan!D10/100/12</f>
        <v/>
      </c>
      <c r="AC172">
        <f>MIN(Plan!E10,AA172+AB172)</f>
        <v/>
      </c>
      <c r="AD172">
        <f>AA172+AB172-AC172</f>
        <v/>
      </c>
      <c r="AE172">
        <f>MIN(AD172,MAX(0,$B172-((E$5&lt;AC$5)*F172+(K$5&lt;AC$5)*L172+(Q$5&lt;AC$5)*R172+(W$5&lt;AC$5)*X172+(AI$5&lt;AC$5)*AJ172+(AO$5&lt;AC$5)*AP172+(AU$5&lt;AC$5)*AV172)))</f>
        <v/>
      </c>
      <c r="AF172">
        <f>IF(AD172-AE172&lt;0.005,0,AD172-AE172)</f>
        <v/>
      </c>
      <c r="AG172">
        <f>AL171</f>
        <v/>
      </c>
      <c r="AH172">
        <f>AG172*Plan!D11/100/12</f>
        <v/>
      </c>
      <c r="AI172">
        <f>MIN(Plan!E11,AG172+AH172)</f>
        <v/>
      </c>
      <c r="AJ172">
        <f>AG172+AH172-AI172</f>
        <v/>
      </c>
      <c r="AK172">
        <f>MIN(AJ172,MAX(0,$B172-((E$5&lt;AI$5)*F172+(K$5&lt;AI$5)*L172+(Q$5&lt;AI$5)*R172+(W$5&lt;AI$5)*X172+(AC$5&lt;AI$5)*AD172+(AO$5&lt;AI$5)*AP172+(AU$5&lt;AI$5)*AV172)))</f>
        <v/>
      </c>
      <c r="AL172">
        <f>IF(AJ172-AK172&lt;0.005,0,AJ172-AK172)</f>
        <v/>
      </c>
      <c r="AM172">
        <f>AR171</f>
        <v/>
      </c>
      <c r="AN172">
        <f>AM172*Plan!D12/100/12</f>
        <v/>
      </c>
      <c r="AO172">
        <f>MIN(Plan!E12,AM172+AN172)</f>
        <v/>
      </c>
      <c r="AP172">
        <f>AM172+AN172-AO172</f>
        <v/>
      </c>
      <c r="AQ172">
        <f>MIN(AP172,MAX(0,$B172-((E$5&lt;AO$5)*F172+(K$5&lt;AO$5)*L172+(Q$5&lt;AO$5)*R172+(W$5&lt;AO$5)*X172+(AC$5&lt;AO$5)*AD172+(AI$5&lt;AO$5)*AJ172+(AU$5&lt;AO$5)*AV172)))</f>
        <v/>
      </c>
      <c r="AR172">
        <f>IF(AP172-AQ172&lt;0.005,0,AP172-AQ172)</f>
        <v/>
      </c>
      <c r="AS172">
        <f>AX171</f>
        <v/>
      </c>
      <c r="AT172">
        <f>AS172*Plan!D13/100/12</f>
        <v/>
      </c>
      <c r="AU172">
        <f>MIN(Plan!E13,AS172+AT172)</f>
        <v/>
      </c>
      <c r="AV172">
        <f>AS172+AT172-AU172</f>
        <v/>
      </c>
      <c r="AW172">
        <f>MIN(AV172,MAX(0,$B172-((E$5&lt;AU$5)*F172+(K$5&lt;AU$5)*L172+(Q$5&lt;AU$5)*R172+(W$5&lt;AU$5)*X172+(AC$5&lt;AU$5)*AD172+(AI$5&lt;AU$5)*AJ172+(AO$5&lt;AU$5)*AP172)))</f>
        <v/>
      </c>
      <c r="AX172">
        <f>IF(AV172-AW172&lt;0.005,0,AV172-AW172)</f>
        <v/>
      </c>
      <c r="BC172">
        <f>H172+N172+T172+Z172+AF172+AL172+AR172+AX172</f>
        <v/>
      </c>
    </row>
    <row r="173">
      <c r="A173" t="n">
        <v>167</v>
      </c>
      <c r="B173" s="19">
        <f>MAX(0,$B$3-(E173+K173+Q173+W173+AC173+AI173+AO173+AU173))</f>
        <v/>
      </c>
      <c r="C173">
        <f>H172</f>
        <v/>
      </c>
      <c r="D173">
        <f>C173*Plan!D6/100/12</f>
        <v/>
      </c>
      <c r="E173">
        <f>MIN(Plan!E6,C173+D173)</f>
        <v/>
      </c>
      <c r="F173">
        <f>C173+D173-E173</f>
        <v/>
      </c>
      <c r="G173">
        <f>MIN(F173,MAX(0,$B173-((K$5&lt;E$5)*L173+(Q$5&lt;E$5)*R173+(W$5&lt;E$5)*X173+(AC$5&lt;E$5)*AD173+(AI$5&lt;E$5)*AJ173+(AO$5&lt;E$5)*AP173+(AU$5&lt;E$5)*AV173)))</f>
        <v/>
      </c>
      <c r="H173">
        <f>IF(F173-G173&lt;0.005,0,F173-G173)</f>
        <v/>
      </c>
      <c r="I173">
        <f>N172</f>
        <v/>
      </c>
      <c r="J173">
        <f>I173*Plan!D7/100/12</f>
        <v/>
      </c>
      <c r="K173">
        <f>MIN(Plan!E7,I173+J173)</f>
        <v/>
      </c>
      <c r="L173">
        <f>I173+J173-K173</f>
        <v/>
      </c>
      <c r="M173">
        <f>MIN(L173,MAX(0,$B173-((E$5&lt;K$5)*F173+(Q$5&lt;K$5)*R173+(W$5&lt;K$5)*X173+(AC$5&lt;K$5)*AD173+(AI$5&lt;K$5)*AJ173+(AO$5&lt;K$5)*AP173+(AU$5&lt;K$5)*AV173)))</f>
        <v/>
      </c>
      <c r="N173">
        <f>IF(L173-M173&lt;0.005,0,L173-M173)</f>
        <v/>
      </c>
      <c r="O173">
        <f>T172</f>
        <v/>
      </c>
      <c r="P173">
        <f>O173*Plan!D8/100/12</f>
        <v/>
      </c>
      <c r="Q173">
        <f>MIN(Plan!E8,O173+P173)</f>
        <v/>
      </c>
      <c r="R173">
        <f>O173+P173-Q173</f>
        <v/>
      </c>
      <c r="S173">
        <f>MIN(R173,MAX(0,$B173-((E$5&lt;Q$5)*F173+(K$5&lt;Q$5)*L173+(W$5&lt;Q$5)*X173+(AC$5&lt;Q$5)*AD173+(AI$5&lt;Q$5)*AJ173+(AO$5&lt;Q$5)*AP173+(AU$5&lt;Q$5)*AV173)))</f>
        <v/>
      </c>
      <c r="T173">
        <f>IF(R173-S173&lt;0.005,0,R173-S173)</f>
        <v/>
      </c>
      <c r="U173">
        <f>Z172</f>
        <v/>
      </c>
      <c r="V173">
        <f>U173*Plan!D9/100/12</f>
        <v/>
      </c>
      <c r="W173">
        <f>MIN(Plan!E9,U173+V173)</f>
        <v/>
      </c>
      <c r="X173">
        <f>U173+V173-W173</f>
        <v/>
      </c>
      <c r="Y173">
        <f>MIN(X173,MAX(0,$B173-((E$5&lt;W$5)*F173+(K$5&lt;W$5)*L173+(Q$5&lt;W$5)*R173+(AC$5&lt;W$5)*AD173+(AI$5&lt;W$5)*AJ173+(AO$5&lt;W$5)*AP173+(AU$5&lt;W$5)*AV173)))</f>
        <v/>
      </c>
      <c r="Z173">
        <f>IF(X173-Y173&lt;0.005,0,X173-Y173)</f>
        <v/>
      </c>
      <c r="AA173">
        <f>AF172</f>
        <v/>
      </c>
      <c r="AB173">
        <f>AA173*Plan!D10/100/12</f>
        <v/>
      </c>
      <c r="AC173">
        <f>MIN(Plan!E10,AA173+AB173)</f>
        <v/>
      </c>
      <c r="AD173">
        <f>AA173+AB173-AC173</f>
        <v/>
      </c>
      <c r="AE173">
        <f>MIN(AD173,MAX(0,$B173-((E$5&lt;AC$5)*F173+(K$5&lt;AC$5)*L173+(Q$5&lt;AC$5)*R173+(W$5&lt;AC$5)*X173+(AI$5&lt;AC$5)*AJ173+(AO$5&lt;AC$5)*AP173+(AU$5&lt;AC$5)*AV173)))</f>
        <v/>
      </c>
      <c r="AF173">
        <f>IF(AD173-AE173&lt;0.005,0,AD173-AE173)</f>
        <v/>
      </c>
      <c r="AG173">
        <f>AL172</f>
        <v/>
      </c>
      <c r="AH173">
        <f>AG173*Plan!D11/100/12</f>
        <v/>
      </c>
      <c r="AI173">
        <f>MIN(Plan!E11,AG173+AH173)</f>
        <v/>
      </c>
      <c r="AJ173">
        <f>AG173+AH173-AI173</f>
        <v/>
      </c>
      <c r="AK173">
        <f>MIN(AJ173,MAX(0,$B173-((E$5&lt;AI$5)*F173+(K$5&lt;AI$5)*L173+(Q$5&lt;AI$5)*R173+(W$5&lt;AI$5)*X173+(AC$5&lt;AI$5)*AD173+(AO$5&lt;AI$5)*AP173+(AU$5&lt;AI$5)*AV173)))</f>
        <v/>
      </c>
      <c r="AL173">
        <f>IF(AJ173-AK173&lt;0.005,0,AJ173-AK173)</f>
        <v/>
      </c>
      <c r="AM173">
        <f>AR172</f>
        <v/>
      </c>
      <c r="AN173">
        <f>AM173*Plan!D12/100/12</f>
        <v/>
      </c>
      <c r="AO173">
        <f>MIN(Plan!E12,AM173+AN173)</f>
        <v/>
      </c>
      <c r="AP173">
        <f>AM173+AN173-AO173</f>
        <v/>
      </c>
      <c r="AQ173">
        <f>MIN(AP173,MAX(0,$B173-((E$5&lt;AO$5)*F173+(K$5&lt;AO$5)*L173+(Q$5&lt;AO$5)*R173+(W$5&lt;AO$5)*X173+(AC$5&lt;AO$5)*AD173+(AI$5&lt;AO$5)*AJ173+(AU$5&lt;AO$5)*AV173)))</f>
        <v/>
      </c>
      <c r="AR173">
        <f>IF(AP173-AQ173&lt;0.005,0,AP173-AQ173)</f>
        <v/>
      </c>
      <c r="AS173">
        <f>AX172</f>
        <v/>
      </c>
      <c r="AT173">
        <f>AS173*Plan!D13/100/12</f>
        <v/>
      </c>
      <c r="AU173">
        <f>MIN(Plan!E13,AS173+AT173)</f>
        <v/>
      </c>
      <c r="AV173">
        <f>AS173+AT173-AU173</f>
        <v/>
      </c>
      <c r="AW173">
        <f>MIN(AV173,MAX(0,$B173-((E$5&lt;AU$5)*F173+(K$5&lt;AU$5)*L173+(Q$5&lt;AU$5)*R173+(W$5&lt;AU$5)*X173+(AC$5&lt;AU$5)*AD173+(AI$5&lt;AU$5)*AJ173+(AO$5&lt;AU$5)*AP173)))</f>
        <v/>
      </c>
      <c r="AX173">
        <f>IF(AV173-AW173&lt;0.005,0,AV173-AW173)</f>
        <v/>
      </c>
      <c r="BC173">
        <f>H173+N173+T173+Z173+AF173+AL173+AR173+AX173</f>
        <v/>
      </c>
    </row>
    <row r="174">
      <c r="A174" t="n">
        <v>168</v>
      </c>
      <c r="B174" s="19">
        <f>MAX(0,$B$3-(E174+K174+Q174+W174+AC174+AI174+AO174+AU174))</f>
        <v/>
      </c>
      <c r="C174">
        <f>H173</f>
        <v/>
      </c>
      <c r="D174">
        <f>C174*Plan!D6/100/12</f>
        <v/>
      </c>
      <c r="E174">
        <f>MIN(Plan!E6,C174+D174)</f>
        <v/>
      </c>
      <c r="F174">
        <f>C174+D174-E174</f>
        <v/>
      </c>
      <c r="G174">
        <f>MIN(F174,MAX(0,$B174-((K$5&lt;E$5)*L174+(Q$5&lt;E$5)*R174+(W$5&lt;E$5)*X174+(AC$5&lt;E$5)*AD174+(AI$5&lt;E$5)*AJ174+(AO$5&lt;E$5)*AP174+(AU$5&lt;E$5)*AV174)))</f>
        <v/>
      </c>
      <c r="H174">
        <f>IF(F174-G174&lt;0.005,0,F174-G174)</f>
        <v/>
      </c>
      <c r="I174">
        <f>N173</f>
        <v/>
      </c>
      <c r="J174">
        <f>I174*Plan!D7/100/12</f>
        <v/>
      </c>
      <c r="K174">
        <f>MIN(Plan!E7,I174+J174)</f>
        <v/>
      </c>
      <c r="L174">
        <f>I174+J174-K174</f>
        <v/>
      </c>
      <c r="M174">
        <f>MIN(L174,MAX(0,$B174-((E$5&lt;K$5)*F174+(Q$5&lt;K$5)*R174+(W$5&lt;K$5)*X174+(AC$5&lt;K$5)*AD174+(AI$5&lt;K$5)*AJ174+(AO$5&lt;K$5)*AP174+(AU$5&lt;K$5)*AV174)))</f>
        <v/>
      </c>
      <c r="N174">
        <f>IF(L174-M174&lt;0.005,0,L174-M174)</f>
        <v/>
      </c>
      <c r="O174">
        <f>T173</f>
        <v/>
      </c>
      <c r="P174">
        <f>O174*Plan!D8/100/12</f>
        <v/>
      </c>
      <c r="Q174">
        <f>MIN(Plan!E8,O174+P174)</f>
        <v/>
      </c>
      <c r="R174">
        <f>O174+P174-Q174</f>
        <v/>
      </c>
      <c r="S174">
        <f>MIN(R174,MAX(0,$B174-((E$5&lt;Q$5)*F174+(K$5&lt;Q$5)*L174+(W$5&lt;Q$5)*X174+(AC$5&lt;Q$5)*AD174+(AI$5&lt;Q$5)*AJ174+(AO$5&lt;Q$5)*AP174+(AU$5&lt;Q$5)*AV174)))</f>
        <v/>
      </c>
      <c r="T174">
        <f>IF(R174-S174&lt;0.005,0,R174-S174)</f>
        <v/>
      </c>
      <c r="U174">
        <f>Z173</f>
        <v/>
      </c>
      <c r="V174">
        <f>U174*Plan!D9/100/12</f>
        <v/>
      </c>
      <c r="W174">
        <f>MIN(Plan!E9,U174+V174)</f>
        <v/>
      </c>
      <c r="X174">
        <f>U174+V174-W174</f>
        <v/>
      </c>
      <c r="Y174">
        <f>MIN(X174,MAX(0,$B174-((E$5&lt;W$5)*F174+(K$5&lt;W$5)*L174+(Q$5&lt;W$5)*R174+(AC$5&lt;W$5)*AD174+(AI$5&lt;W$5)*AJ174+(AO$5&lt;W$5)*AP174+(AU$5&lt;W$5)*AV174)))</f>
        <v/>
      </c>
      <c r="Z174">
        <f>IF(X174-Y174&lt;0.005,0,X174-Y174)</f>
        <v/>
      </c>
      <c r="AA174">
        <f>AF173</f>
        <v/>
      </c>
      <c r="AB174">
        <f>AA174*Plan!D10/100/12</f>
        <v/>
      </c>
      <c r="AC174">
        <f>MIN(Plan!E10,AA174+AB174)</f>
        <v/>
      </c>
      <c r="AD174">
        <f>AA174+AB174-AC174</f>
        <v/>
      </c>
      <c r="AE174">
        <f>MIN(AD174,MAX(0,$B174-((E$5&lt;AC$5)*F174+(K$5&lt;AC$5)*L174+(Q$5&lt;AC$5)*R174+(W$5&lt;AC$5)*X174+(AI$5&lt;AC$5)*AJ174+(AO$5&lt;AC$5)*AP174+(AU$5&lt;AC$5)*AV174)))</f>
        <v/>
      </c>
      <c r="AF174">
        <f>IF(AD174-AE174&lt;0.005,0,AD174-AE174)</f>
        <v/>
      </c>
      <c r="AG174">
        <f>AL173</f>
        <v/>
      </c>
      <c r="AH174">
        <f>AG174*Plan!D11/100/12</f>
        <v/>
      </c>
      <c r="AI174">
        <f>MIN(Plan!E11,AG174+AH174)</f>
        <v/>
      </c>
      <c r="AJ174">
        <f>AG174+AH174-AI174</f>
        <v/>
      </c>
      <c r="AK174">
        <f>MIN(AJ174,MAX(0,$B174-((E$5&lt;AI$5)*F174+(K$5&lt;AI$5)*L174+(Q$5&lt;AI$5)*R174+(W$5&lt;AI$5)*X174+(AC$5&lt;AI$5)*AD174+(AO$5&lt;AI$5)*AP174+(AU$5&lt;AI$5)*AV174)))</f>
        <v/>
      </c>
      <c r="AL174">
        <f>IF(AJ174-AK174&lt;0.005,0,AJ174-AK174)</f>
        <v/>
      </c>
      <c r="AM174">
        <f>AR173</f>
        <v/>
      </c>
      <c r="AN174">
        <f>AM174*Plan!D12/100/12</f>
        <v/>
      </c>
      <c r="AO174">
        <f>MIN(Plan!E12,AM174+AN174)</f>
        <v/>
      </c>
      <c r="AP174">
        <f>AM174+AN174-AO174</f>
        <v/>
      </c>
      <c r="AQ174">
        <f>MIN(AP174,MAX(0,$B174-((E$5&lt;AO$5)*F174+(K$5&lt;AO$5)*L174+(Q$5&lt;AO$5)*R174+(W$5&lt;AO$5)*X174+(AC$5&lt;AO$5)*AD174+(AI$5&lt;AO$5)*AJ174+(AU$5&lt;AO$5)*AV174)))</f>
        <v/>
      </c>
      <c r="AR174">
        <f>IF(AP174-AQ174&lt;0.005,0,AP174-AQ174)</f>
        <v/>
      </c>
      <c r="AS174">
        <f>AX173</f>
        <v/>
      </c>
      <c r="AT174">
        <f>AS174*Plan!D13/100/12</f>
        <v/>
      </c>
      <c r="AU174">
        <f>MIN(Plan!E13,AS174+AT174)</f>
        <v/>
      </c>
      <c r="AV174">
        <f>AS174+AT174-AU174</f>
        <v/>
      </c>
      <c r="AW174">
        <f>MIN(AV174,MAX(0,$B174-((E$5&lt;AU$5)*F174+(K$5&lt;AU$5)*L174+(Q$5&lt;AU$5)*R174+(W$5&lt;AU$5)*X174+(AC$5&lt;AU$5)*AD174+(AI$5&lt;AU$5)*AJ174+(AO$5&lt;AU$5)*AP174)))</f>
        <v/>
      </c>
      <c r="AX174">
        <f>IF(AV174-AW174&lt;0.005,0,AV174-AW174)</f>
        <v/>
      </c>
      <c r="BC174">
        <f>H174+N174+T174+Z174+AF174+AL174+AR174+AX174</f>
        <v/>
      </c>
    </row>
    <row r="175">
      <c r="A175" t="n">
        <v>169</v>
      </c>
      <c r="B175" s="19">
        <f>MAX(0,$B$3-(E175+K175+Q175+W175+AC175+AI175+AO175+AU175))</f>
        <v/>
      </c>
      <c r="C175">
        <f>H174</f>
        <v/>
      </c>
      <c r="D175">
        <f>C175*Plan!D6/100/12</f>
        <v/>
      </c>
      <c r="E175">
        <f>MIN(Plan!E6,C175+D175)</f>
        <v/>
      </c>
      <c r="F175">
        <f>C175+D175-E175</f>
        <v/>
      </c>
      <c r="G175">
        <f>MIN(F175,MAX(0,$B175-((K$5&lt;E$5)*L175+(Q$5&lt;E$5)*R175+(W$5&lt;E$5)*X175+(AC$5&lt;E$5)*AD175+(AI$5&lt;E$5)*AJ175+(AO$5&lt;E$5)*AP175+(AU$5&lt;E$5)*AV175)))</f>
        <v/>
      </c>
      <c r="H175">
        <f>IF(F175-G175&lt;0.005,0,F175-G175)</f>
        <v/>
      </c>
      <c r="I175">
        <f>N174</f>
        <v/>
      </c>
      <c r="J175">
        <f>I175*Plan!D7/100/12</f>
        <v/>
      </c>
      <c r="K175">
        <f>MIN(Plan!E7,I175+J175)</f>
        <v/>
      </c>
      <c r="L175">
        <f>I175+J175-K175</f>
        <v/>
      </c>
      <c r="M175">
        <f>MIN(L175,MAX(0,$B175-((E$5&lt;K$5)*F175+(Q$5&lt;K$5)*R175+(W$5&lt;K$5)*X175+(AC$5&lt;K$5)*AD175+(AI$5&lt;K$5)*AJ175+(AO$5&lt;K$5)*AP175+(AU$5&lt;K$5)*AV175)))</f>
        <v/>
      </c>
      <c r="N175">
        <f>IF(L175-M175&lt;0.005,0,L175-M175)</f>
        <v/>
      </c>
      <c r="O175">
        <f>T174</f>
        <v/>
      </c>
      <c r="P175">
        <f>O175*Plan!D8/100/12</f>
        <v/>
      </c>
      <c r="Q175">
        <f>MIN(Plan!E8,O175+P175)</f>
        <v/>
      </c>
      <c r="R175">
        <f>O175+P175-Q175</f>
        <v/>
      </c>
      <c r="S175">
        <f>MIN(R175,MAX(0,$B175-((E$5&lt;Q$5)*F175+(K$5&lt;Q$5)*L175+(W$5&lt;Q$5)*X175+(AC$5&lt;Q$5)*AD175+(AI$5&lt;Q$5)*AJ175+(AO$5&lt;Q$5)*AP175+(AU$5&lt;Q$5)*AV175)))</f>
        <v/>
      </c>
      <c r="T175">
        <f>IF(R175-S175&lt;0.005,0,R175-S175)</f>
        <v/>
      </c>
      <c r="U175">
        <f>Z174</f>
        <v/>
      </c>
      <c r="V175">
        <f>U175*Plan!D9/100/12</f>
        <v/>
      </c>
      <c r="W175">
        <f>MIN(Plan!E9,U175+V175)</f>
        <v/>
      </c>
      <c r="X175">
        <f>U175+V175-W175</f>
        <v/>
      </c>
      <c r="Y175">
        <f>MIN(X175,MAX(0,$B175-((E$5&lt;W$5)*F175+(K$5&lt;W$5)*L175+(Q$5&lt;W$5)*R175+(AC$5&lt;W$5)*AD175+(AI$5&lt;W$5)*AJ175+(AO$5&lt;W$5)*AP175+(AU$5&lt;W$5)*AV175)))</f>
        <v/>
      </c>
      <c r="Z175">
        <f>IF(X175-Y175&lt;0.005,0,X175-Y175)</f>
        <v/>
      </c>
      <c r="AA175">
        <f>AF174</f>
        <v/>
      </c>
      <c r="AB175">
        <f>AA175*Plan!D10/100/12</f>
        <v/>
      </c>
      <c r="AC175">
        <f>MIN(Plan!E10,AA175+AB175)</f>
        <v/>
      </c>
      <c r="AD175">
        <f>AA175+AB175-AC175</f>
        <v/>
      </c>
      <c r="AE175">
        <f>MIN(AD175,MAX(0,$B175-((E$5&lt;AC$5)*F175+(K$5&lt;AC$5)*L175+(Q$5&lt;AC$5)*R175+(W$5&lt;AC$5)*X175+(AI$5&lt;AC$5)*AJ175+(AO$5&lt;AC$5)*AP175+(AU$5&lt;AC$5)*AV175)))</f>
        <v/>
      </c>
      <c r="AF175">
        <f>IF(AD175-AE175&lt;0.005,0,AD175-AE175)</f>
        <v/>
      </c>
      <c r="AG175">
        <f>AL174</f>
        <v/>
      </c>
      <c r="AH175">
        <f>AG175*Plan!D11/100/12</f>
        <v/>
      </c>
      <c r="AI175">
        <f>MIN(Plan!E11,AG175+AH175)</f>
        <v/>
      </c>
      <c r="AJ175">
        <f>AG175+AH175-AI175</f>
        <v/>
      </c>
      <c r="AK175">
        <f>MIN(AJ175,MAX(0,$B175-((E$5&lt;AI$5)*F175+(K$5&lt;AI$5)*L175+(Q$5&lt;AI$5)*R175+(W$5&lt;AI$5)*X175+(AC$5&lt;AI$5)*AD175+(AO$5&lt;AI$5)*AP175+(AU$5&lt;AI$5)*AV175)))</f>
        <v/>
      </c>
      <c r="AL175">
        <f>IF(AJ175-AK175&lt;0.005,0,AJ175-AK175)</f>
        <v/>
      </c>
      <c r="AM175">
        <f>AR174</f>
        <v/>
      </c>
      <c r="AN175">
        <f>AM175*Plan!D12/100/12</f>
        <v/>
      </c>
      <c r="AO175">
        <f>MIN(Plan!E12,AM175+AN175)</f>
        <v/>
      </c>
      <c r="AP175">
        <f>AM175+AN175-AO175</f>
        <v/>
      </c>
      <c r="AQ175">
        <f>MIN(AP175,MAX(0,$B175-((E$5&lt;AO$5)*F175+(K$5&lt;AO$5)*L175+(Q$5&lt;AO$5)*R175+(W$5&lt;AO$5)*X175+(AC$5&lt;AO$5)*AD175+(AI$5&lt;AO$5)*AJ175+(AU$5&lt;AO$5)*AV175)))</f>
        <v/>
      </c>
      <c r="AR175">
        <f>IF(AP175-AQ175&lt;0.005,0,AP175-AQ175)</f>
        <v/>
      </c>
      <c r="AS175">
        <f>AX174</f>
        <v/>
      </c>
      <c r="AT175">
        <f>AS175*Plan!D13/100/12</f>
        <v/>
      </c>
      <c r="AU175">
        <f>MIN(Plan!E13,AS175+AT175)</f>
        <v/>
      </c>
      <c r="AV175">
        <f>AS175+AT175-AU175</f>
        <v/>
      </c>
      <c r="AW175">
        <f>MIN(AV175,MAX(0,$B175-((E$5&lt;AU$5)*F175+(K$5&lt;AU$5)*L175+(Q$5&lt;AU$5)*R175+(W$5&lt;AU$5)*X175+(AC$5&lt;AU$5)*AD175+(AI$5&lt;AU$5)*AJ175+(AO$5&lt;AU$5)*AP175)))</f>
        <v/>
      </c>
      <c r="AX175">
        <f>IF(AV175-AW175&lt;0.005,0,AV175-AW175)</f>
        <v/>
      </c>
      <c r="BC175">
        <f>H175+N175+T175+Z175+AF175+AL175+AR175+AX175</f>
        <v/>
      </c>
    </row>
    <row r="176">
      <c r="A176" t="n">
        <v>170</v>
      </c>
      <c r="B176" s="19">
        <f>MAX(0,$B$3-(E176+K176+Q176+W176+AC176+AI176+AO176+AU176))</f>
        <v/>
      </c>
      <c r="C176">
        <f>H175</f>
        <v/>
      </c>
      <c r="D176">
        <f>C176*Plan!D6/100/12</f>
        <v/>
      </c>
      <c r="E176">
        <f>MIN(Plan!E6,C176+D176)</f>
        <v/>
      </c>
      <c r="F176">
        <f>C176+D176-E176</f>
        <v/>
      </c>
      <c r="G176">
        <f>MIN(F176,MAX(0,$B176-((K$5&lt;E$5)*L176+(Q$5&lt;E$5)*R176+(W$5&lt;E$5)*X176+(AC$5&lt;E$5)*AD176+(AI$5&lt;E$5)*AJ176+(AO$5&lt;E$5)*AP176+(AU$5&lt;E$5)*AV176)))</f>
        <v/>
      </c>
      <c r="H176">
        <f>IF(F176-G176&lt;0.005,0,F176-G176)</f>
        <v/>
      </c>
      <c r="I176">
        <f>N175</f>
        <v/>
      </c>
      <c r="J176">
        <f>I176*Plan!D7/100/12</f>
        <v/>
      </c>
      <c r="K176">
        <f>MIN(Plan!E7,I176+J176)</f>
        <v/>
      </c>
      <c r="L176">
        <f>I176+J176-K176</f>
        <v/>
      </c>
      <c r="M176">
        <f>MIN(L176,MAX(0,$B176-((E$5&lt;K$5)*F176+(Q$5&lt;K$5)*R176+(W$5&lt;K$5)*X176+(AC$5&lt;K$5)*AD176+(AI$5&lt;K$5)*AJ176+(AO$5&lt;K$5)*AP176+(AU$5&lt;K$5)*AV176)))</f>
        <v/>
      </c>
      <c r="N176">
        <f>IF(L176-M176&lt;0.005,0,L176-M176)</f>
        <v/>
      </c>
      <c r="O176">
        <f>T175</f>
        <v/>
      </c>
      <c r="P176">
        <f>O176*Plan!D8/100/12</f>
        <v/>
      </c>
      <c r="Q176">
        <f>MIN(Plan!E8,O176+P176)</f>
        <v/>
      </c>
      <c r="R176">
        <f>O176+P176-Q176</f>
        <v/>
      </c>
      <c r="S176">
        <f>MIN(R176,MAX(0,$B176-((E$5&lt;Q$5)*F176+(K$5&lt;Q$5)*L176+(W$5&lt;Q$5)*X176+(AC$5&lt;Q$5)*AD176+(AI$5&lt;Q$5)*AJ176+(AO$5&lt;Q$5)*AP176+(AU$5&lt;Q$5)*AV176)))</f>
        <v/>
      </c>
      <c r="T176">
        <f>IF(R176-S176&lt;0.005,0,R176-S176)</f>
        <v/>
      </c>
      <c r="U176">
        <f>Z175</f>
        <v/>
      </c>
      <c r="V176">
        <f>U176*Plan!D9/100/12</f>
        <v/>
      </c>
      <c r="W176">
        <f>MIN(Plan!E9,U176+V176)</f>
        <v/>
      </c>
      <c r="X176">
        <f>U176+V176-W176</f>
        <v/>
      </c>
      <c r="Y176">
        <f>MIN(X176,MAX(0,$B176-((E$5&lt;W$5)*F176+(K$5&lt;W$5)*L176+(Q$5&lt;W$5)*R176+(AC$5&lt;W$5)*AD176+(AI$5&lt;W$5)*AJ176+(AO$5&lt;W$5)*AP176+(AU$5&lt;W$5)*AV176)))</f>
        <v/>
      </c>
      <c r="Z176">
        <f>IF(X176-Y176&lt;0.005,0,X176-Y176)</f>
        <v/>
      </c>
      <c r="AA176">
        <f>AF175</f>
        <v/>
      </c>
      <c r="AB176">
        <f>AA176*Plan!D10/100/12</f>
        <v/>
      </c>
      <c r="AC176">
        <f>MIN(Plan!E10,AA176+AB176)</f>
        <v/>
      </c>
      <c r="AD176">
        <f>AA176+AB176-AC176</f>
        <v/>
      </c>
      <c r="AE176">
        <f>MIN(AD176,MAX(0,$B176-((E$5&lt;AC$5)*F176+(K$5&lt;AC$5)*L176+(Q$5&lt;AC$5)*R176+(W$5&lt;AC$5)*X176+(AI$5&lt;AC$5)*AJ176+(AO$5&lt;AC$5)*AP176+(AU$5&lt;AC$5)*AV176)))</f>
        <v/>
      </c>
      <c r="AF176">
        <f>IF(AD176-AE176&lt;0.005,0,AD176-AE176)</f>
        <v/>
      </c>
      <c r="AG176">
        <f>AL175</f>
        <v/>
      </c>
      <c r="AH176">
        <f>AG176*Plan!D11/100/12</f>
        <v/>
      </c>
      <c r="AI176">
        <f>MIN(Plan!E11,AG176+AH176)</f>
        <v/>
      </c>
      <c r="AJ176">
        <f>AG176+AH176-AI176</f>
        <v/>
      </c>
      <c r="AK176">
        <f>MIN(AJ176,MAX(0,$B176-((E$5&lt;AI$5)*F176+(K$5&lt;AI$5)*L176+(Q$5&lt;AI$5)*R176+(W$5&lt;AI$5)*X176+(AC$5&lt;AI$5)*AD176+(AO$5&lt;AI$5)*AP176+(AU$5&lt;AI$5)*AV176)))</f>
        <v/>
      </c>
      <c r="AL176">
        <f>IF(AJ176-AK176&lt;0.005,0,AJ176-AK176)</f>
        <v/>
      </c>
      <c r="AM176">
        <f>AR175</f>
        <v/>
      </c>
      <c r="AN176">
        <f>AM176*Plan!D12/100/12</f>
        <v/>
      </c>
      <c r="AO176">
        <f>MIN(Plan!E12,AM176+AN176)</f>
        <v/>
      </c>
      <c r="AP176">
        <f>AM176+AN176-AO176</f>
        <v/>
      </c>
      <c r="AQ176">
        <f>MIN(AP176,MAX(0,$B176-((E$5&lt;AO$5)*F176+(K$5&lt;AO$5)*L176+(Q$5&lt;AO$5)*R176+(W$5&lt;AO$5)*X176+(AC$5&lt;AO$5)*AD176+(AI$5&lt;AO$5)*AJ176+(AU$5&lt;AO$5)*AV176)))</f>
        <v/>
      </c>
      <c r="AR176">
        <f>IF(AP176-AQ176&lt;0.005,0,AP176-AQ176)</f>
        <v/>
      </c>
      <c r="AS176">
        <f>AX175</f>
        <v/>
      </c>
      <c r="AT176">
        <f>AS176*Plan!D13/100/12</f>
        <v/>
      </c>
      <c r="AU176">
        <f>MIN(Plan!E13,AS176+AT176)</f>
        <v/>
      </c>
      <c r="AV176">
        <f>AS176+AT176-AU176</f>
        <v/>
      </c>
      <c r="AW176">
        <f>MIN(AV176,MAX(0,$B176-((E$5&lt;AU$5)*F176+(K$5&lt;AU$5)*L176+(Q$5&lt;AU$5)*R176+(W$5&lt;AU$5)*X176+(AC$5&lt;AU$5)*AD176+(AI$5&lt;AU$5)*AJ176+(AO$5&lt;AU$5)*AP176)))</f>
        <v/>
      </c>
      <c r="AX176">
        <f>IF(AV176-AW176&lt;0.005,0,AV176-AW176)</f>
        <v/>
      </c>
      <c r="BC176">
        <f>H176+N176+T176+Z176+AF176+AL176+AR176+AX176</f>
        <v/>
      </c>
    </row>
    <row r="177">
      <c r="A177" t="n">
        <v>171</v>
      </c>
      <c r="B177" s="19">
        <f>MAX(0,$B$3-(E177+K177+Q177+W177+AC177+AI177+AO177+AU177))</f>
        <v/>
      </c>
      <c r="C177">
        <f>H176</f>
        <v/>
      </c>
      <c r="D177">
        <f>C177*Plan!D6/100/12</f>
        <v/>
      </c>
      <c r="E177">
        <f>MIN(Plan!E6,C177+D177)</f>
        <v/>
      </c>
      <c r="F177">
        <f>C177+D177-E177</f>
        <v/>
      </c>
      <c r="G177">
        <f>MIN(F177,MAX(0,$B177-((K$5&lt;E$5)*L177+(Q$5&lt;E$5)*R177+(W$5&lt;E$5)*X177+(AC$5&lt;E$5)*AD177+(AI$5&lt;E$5)*AJ177+(AO$5&lt;E$5)*AP177+(AU$5&lt;E$5)*AV177)))</f>
        <v/>
      </c>
      <c r="H177">
        <f>IF(F177-G177&lt;0.005,0,F177-G177)</f>
        <v/>
      </c>
      <c r="I177">
        <f>N176</f>
        <v/>
      </c>
      <c r="J177">
        <f>I177*Plan!D7/100/12</f>
        <v/>
      </c>
      <c r="K177">
        <f>MIN(Plan!E7,I177+J177)</f>
        <v/>
      </c>
      <c r="L177">
        <f>I177+J177-K177</f>
        <v/>
      </c>
      <c r="M177">
        <f>MIN(L177,MAX(0,$B177-((E$5&lt;K$5)*F177+(Q$5&lt;K$5)*R177+(W$5&lt;K$5)*X177+(AC$5&lt;K$5)*AD177+(AI$5&lt;K$5)*AJ177+(AO$5&lt;K$5)*AP177+(AU$5&lt;K$5)*AV177)))</f>
        <v/>
      </c>
      <c r="N177">
        <f>IF(L177-M177&lt;0.005,0,L177-M177)</f>
        <v/>
      </c>
      <c r="O177">
        <f>T176</f>
        <v/>
      </c>
      <c r="P177">
        <f>O177*Plan!D8/100/12</f>
        <v/>
      </c>
      <c r="Q177">
        <f>MIN(Plan!E8,O177+P177)</f>
        <v/>
      </c>
      <c r="R177">
        <f>O177+P177-Q177</f>
        <v/>
      </c>
      <c r="S177">
        <f>MIN(R177,MAX(0,$B177-((E$5&lt;Q$5)*F177+(K$5&lt;Q$5)*L177+(W$5&lt;Q$5)*X177+(AC$5&lt;Q$5)*AD177+(AI$5&lt;Q$5)*AJ177+(AO$5&lt;Q$5)*AP177+(AU$5&lt;Q$5)*AV177)))</f>
        <v/>
      </c>
      <c r="T177">
        <f>IF(R177-S177&lt;0.005,0,R177-S177)</f>
        <v/>
      </c>
      <c r="U177">
        <f>Z176</f>
        <v/>
      </c>
      <c r="V177">
        <f>U177*Plan!D9/100/12</f>
        <v/>
      </c>
      <c r="W177">
        <f>MIN(Plan!E9,U177+V177)</f>
        <v/>
      </c>
      <c r="X177">
        <f>U177+V177-W177</f>
        <v/>
      </c>
      <c r="Y177">
        <f>MIN(X177,MAX(0,$B177-((E$5&lt;W$5)*F177+(K$5&lt;W$5)*L177+(Q$5&lt;W$5)*R177+(AC$5&lt;W$5)*AD177+(AI$5&lt;W$5)*AJ177+(AO$5&lt;W$5)*AP177+(AU$5&lt;W$5)*AV177)))</f>
        <v/>
      </c>
      <c r="Z177">
        <f>IF(X177-Y177&lt;0.005,0,X177-Y177)</f>
        <v/>
      </c>
      <c r="AA177">
        <f>AF176</f>
        <v/>
      </c>
      <c r="AB177">
        <f>AA177*Plan!D10/100/12</f>
        <v/>
      </c>
      <c r="AC177">
        <f>MIN(Plan!E10,AA177+AB177)</f>
        <v/>
      </c>
      <c r="AD177">
        <f>AA177+AB177-AC177</f>
        <v/>
      </c>
      <c r="AE177">
        <f>MIN(AD177,MAX(0,$B177-((E$5&lt;AC$5)*F177+(K$5&lt;AC$5)*L177+(Q$5&lt;AC$5)*R177+(W$5&lt;AC$5)*X177+(AI$5&lt;AC$5)*AJ177+(AO$5&lt;AC$5)*AP177+(AU$5&lt;AC$5)*AV177)))</f>
        <v/>
      </c>
      <c r="AF177">
        <f>IF(AD177-AE177&lt;0.005,0,AD177-AE177)</f>
        <v/>
      </c>
      <c r="AG177">
        <f>AL176</f>
        <v/>
      </c>
      <c r="AH177">
        <f>AG177*Plan!D11/100/12</f>
        <v/>
      </c>
      <c r="AI177">
        <f>MIN(Plan!E11,AG177+AH177)</f>
        <v/>
      </c>
      <c r="AJ177">
        <f>AG177+AH177-AI177</f>
        <v/>
      </c>
      <c r="AK177">
        <f>MIN(AJ177,MAX(0,$B177-((E$5&lt;AI$5)*F177+(K$5&lt;AI$5)*L177+(Q$5&lt;AI$5)*R177+(W$5&lt;AI$5)*X177+(AC$5&lt;AI$5)*AD177+(AO$5&lt;AI$5)*AP177+(AU$5&lt;AI$5)*AV177)))</f>
        <v/>
      </c>
      <c r="AL177">
        <f>IF(AJ177-AK177&lt;0.005,0,AJ177-AK177)</f>
        <v/>
      </c>
      <c r="AM177">
        <f>AR176</f>
        <v/>
      </c>
      <c r="AN177">
        <f>AM177*Plan!D12/100/12</f>
        <v/>
      </c>
      <c r="AO177">
        <f>MIN(Plan!E12,AM177+AN177)</f>
        <v/>
      </c>
      <c r="AP177">
        <f>AM177+AN177-AO177</f>
        <v/>
      </c>
      <c r="AQ177">
        <f>MIN(AP177,MAX(0,$B177-((E$5&lt;AO$5)*F177+(K$5&lt;AO$5)*L177+(Q$5&lt;AO$5)*R177+(W$5&lt;AO$5)*X177+(AC$5&lt;AO$5)*AD177+(AI$5&lt;AO$5)*AJ177+(AU$5&lt;AO$5)*AV177)))</f>
        <v/>
      </c>
      <c r="AR177">
        <f>IF(AP177-AQ177&lt;0.005,0,AP177-AQ177)</f>
        <v/>
      </c>
      <c r="AS177">
        <f>AX176</f>
        <v/>
      </c>
      <c r="AT177">
        <f>AS177*Plan!D13/100/12</f>
        <v/>
      </c>
      <c r="AU177">
        <f>MIN(Plan!E13,AS177+AT177)</f>
        <v/>
      </c>
      <c r="AV177">
        <f>AS177+AT177-AU177</f>
        <v/>
      </c>
      <c r="AW177">
        <f>MIN(AV177,MAX(0,$B177-((E$5&lt;AU$5)*F177+(K$5&lt;AU$5)*L177+(Q$5&lt;AU$5)*R177+(W$5&lt;AU$5)*X177+(AC$5&lt;AU$5)*AD177+(AI$5&lt;AU$5)*AJ177+(AO$5&lt;AU$5)*AP177)))</f>
        <v/>
      </c>
      <c r="AX177">
        <f>IF(AV177-AW177&lt;0.005,0,AV177-AW177)</f>
        <v/>
      </c>
      <c r="BC177">
        <f>H177+N177+T177+Z177+AF177+AL177+AR177+AX177</f>
        <v/>
      </c>
    </row>
    <row r="178">
      <c r="A178" t="n">
        <v>172</v>
      </c>
      <c r="B178" s="19">
        <f>MAX(0,$B$3-(E178+K178+Q178+W178+AC178+AI178+AO178+AU178))</f>
        <v/>
      </c>
      <c r="C178">
        <f>H177</f>
        <v/>
      </c>
      <c r="D178">
        <f>C178*Plan!D6/100/12</f>
        <v/>
      </c>
      <c r="E178">
        <f>MIN(Plan!E6,C178+D178)</f>
        <v/>
      </c>
      <c r="F178">
        <f>C178+D178-E178</f>
        <v/>
      </c>
      <c r="G178">
        <f>MIN(F178,MAX(0,$B178-((K$5&lt;E$5)*L178+(Q$5&lt;E$5)*R178+(W$5&lt;E$5)*X178+(AC$5&lt;E$5)*AD178+(AI$5&lt;E$5)*AJ178+(AO$5&lt;E$5)*AP178+(AU$5&lt;E$5)*AV178)))</f>
        <v/>
      </c>
      <c r="H178">
        <f>IF(F178-G178&lt;0.005,0,F178-G178)</f>
        <v/>
      </c>
      <c r="I178">
        <f>N177</f>
        <v/>
      </c>
      <c r="J178">
        <f>I178*Plan!D7/100/12</f>
        <v/>
      </c>
      <c r="K178">
        <f>MIN(Plan!E7,I178+J178)</f>
        <v/>
      </c>
      <c r="L178">
        <f>I178+J178-K178</f>
        <v/>
      </c>
      <c r="M178">
        <f>MIN(L178,MAX(0,$B178-((E$5&lt;K$5)*F178+(Q$5&lt;K$5)*R178+(W$5&lt;K$5)*X178+(AC$5&lt;K$5)*AD178+(AI$5&lt;K$5)*AJ178+(AO$5&lt;K$5)*AP178+(AU$5&lt;K$5)*AV178)))</f>
        <v/>
      </c>
      <c r="N178">
        <f>IF(L178-M178&lt;0.005,0,L178-M178)</f>
        <v/>
      </c>
      <c r="O178">
        <f>T177</f>
        <v/>
      </c>
      <c r="P178">
        <f>O178*Plan!D8/100/12</f>
        <v/>
      </c>
      <c r="Q178">
        <f>MIN(Plan!E8,O178+P178)</f>
        <v/>
      </c>
      <c r="R178">
        <f>O178+P178-Q178</f>
        <v/>
      </c>
      <c r="S178">
        <f>MIN(R178,MAX(0,$B178-((E$5&lt;Q$5)*F178+(K$5&lt;Q$5)*L178+(W$5&lt;Q$5)*X178+(AC$5&lt;Q$5)*AD178+(AI$5&lt;Q$5)*AJ178+(AO$5&lt;Q$5)*AP178+(AU$5&lt;Q$5)*AV178)))</f>
        <v/>
      </c>
      <c r="T178">
        <f>IF(R178-S178&lt;0.005,0,R178-S178)</f>
        <v/>
      </c>
      <c r="U178">
        <f>Z177</f>
        <v/>
      </c>
      <c r="V178">
        <f>U178*Plan!D9/100/12</f>
        <v/>
      </c>
      <c r="W178">
        <f>MIN(Plan!E9,U178+V178)</f>
        <v/>
      </c>
      <c r="X178">
        <f>U178+V178-W178</f>
        <v/>
      </c>
      <c r="Y178">
        <f>MIN(X178,MAX(0,$B178-((E$5&lt;W$5)*F178+(K$5&lt;W$5)*L178+(Q$5&lt;W$5)*R178+(AC$5&lt;W$5)*AD178+(AI$5&lt;W$5)*AJ178+(AO$5&lt;W$5)*AP178+(AU$5&lt;W$5)*AV178)))</f>
        <v/>
      </c>
      <c r="Z178">
        <f>IF(X178-Y178&lt;0.005,0,X178-Y178)</f>
        <v/>
      </c>
      <c r="AA178">
        <f>AF177</f>
        <v/>
      </c>
      <c r="AB178">
        <f>AA178*Plan!D10/100/12</f>
        <v/>
      </c>
      <c r="AC178">
        <f>MIN(Plan!E10,AA178+AB178)</f>
        <v/>
      </c>
      <c r="AD178">
        <f>AA178+AB178-AC178</f>
        <v/>
      </c>
      <c r="AE178">
        <f>MIN(AD178,MAX(0,$B178-((E$5&lt;AC$5)*F178+(K$5&lt;AC$5)*L178+(Q$5&lt;AC$5)*R178+(W$5&lt;AC$5)*X178+(AI$5&lt;AC$5)*AJ178+(AO$5&lt;AC$5)*AP178+(AU$5&lt;AC$5)*AV178)))</f>
        <v/>
      </c>
      <c r="AF178">
        <f>IF(AD178-AE178&lt;0.005,0,AD178-AE178)</f>
        <v/>
      </c>
      <c r="AG178">
        <f>AL177</f>
        <v/>
      </c>
      <c r="AH178">
        <f>AG178*Plan!D11/100/12</f>
        <v/>
      </c>
      <c r="AI178">
        <f>MIN(Plan!E11,AG178+AH178)</f>
        <v/>
      </c>
      <c r="AJ178">
        <f>AG178+AH178-AI178</f>
        <v/>
      </c>
      <c r="AK178">
        <f>MIN(AJ178,MAX(0,$B178-((E$5&lt;AI$5)*F178+(K$5&lt;AI$5)*L178+(Q$5&lt;AI$5)*R178+(W$5&lt;AI$5)*X178+(AC$5&lt;AI$5)*AD178+(AO$5&lt;AI$5)*AP178+(AU$5&lt;AI$5)*AV178)))</f>
        <v/>
      </c>
      <c r="AL178">
        <f>IF(AJ178-AK178&lt;0.005,0,AJ178-AK178)</f>
        <v/>
      </c>
      <c r="AM178">
        <f>AR177</f>
        <v/>
      </c>
      <c r="AN178">
        <f>AM178*Plan!D12/100/12</f>
        <v/>
      </c>
      <c r="AO178">
        <f>MIN(Plan!E12,AM178+AN178)</f>
        <v/>
      </c>
      <c r="AP178">
        <f>AM178+AN178-AO178</f>
        <v/>
      </c>
      <c r="AQ178">
        <f>MIN(AP178,MAX(0,$B178-((E$5&lt;AO$5)*F178+(K$5&lt;AO$5)*L178+(Q$5&lt;AO$5)*R178+(W$5&lt;AO$5)*X178+(AC$5&lt;AO$5)*AD178+(AI$5&lt;AO$5)*AJ178+(AU$5&lt;AO$5)*AV178)))</f>
        <v/>
      </c>
      <c r="AR178">
        <f>IF(AP178-AQ178&lt;0.005,0,AP178-AQ178)</f>
        <v/>
      </c>
      <c r="AS178">
        <f>AX177</f>
        <v/>
      </c>
      <c r="AT178">
        <f>AS178*Plan!D13/100/12</f>
        <v/>
      </c>
      <c r="AU178">
        <f>MIN(Plan!E13,AS178+AT178)</f>
        <v/>
      </c>
      <c r="AV178">
        <f>AS178+AT178-AU178</f>
        <v/>
      </c>
      <c r="AW178">
        <f>MIN(AV178,MAX(0,$B178-((E$5&lt;AU$5)*F178+(K$5&lt;AU$5)*L178+(Q$5&lt;AU$5)*R178+(W$5&lt;AU$5)*X178+(AC$5&lt;AU$5)*AD178+(AI$5&lt;AU$5)*AJ178+(AO$5&lt;AU$5)*AP178)))</f>
        <v/>
      </c>
      <c r="AX178">
        <f>IF(AV178-AW178&lt;0.005,0,AV178-AW178)</f>
        <v/>
      </c>
      <c r="BC178">
        <f>H178+N178+T178+Z178+AF178+AL178+AR178+AX178</f>
        <v/>
      </c>
    </row>
    <row r="179">
      <c r="A179" t="n">
        <v>173</v>
      </c>
      <c r="B179" s="19">
        <f>MAX(0,$B$3-(E179+K179+Q179+W179+AC179+AI179+AO179+AU179))</f>
        <v/>
      </c>
      <c r="C179">
        <f>H178</f>
        <v/>
      </c>
      <c r="D179">
        <f>C179*Plan!D6/100/12</f>
        <v/>
      </c>
      <c r="E179">
        <f>MIN(Plan!E6,C179+D179)</f>
        <v/>
      </c>
      <c r="F179">
        <f>C179+D179-E179</f>
        <v/>
      </c>
      <c r="G179">
        <f>MIN(F179,MAX(0,$B179-((K$5&lt;E$5)*L179+(Q$5&lt;E$5)*R179+(W$5&lt;E$5)*X179+(AC$5&lt;E$5)*AD179+(AI$5&lt;E$5)*AJ179+(AO$5&lt;E$5)*AP179+(AU$5&lt;E$5)*AV179)))</f>
        <v/>
      </c>
      <c r="H179">
        <f>IF(F179-G179&lt;0.005,0,F179-G179)</f>
        <v/>
      </c>
      <c r="I179">
        <f>N178</f>
        <v/>
      </c>
      <c r="J179">
        <f>I179*Plan!D7/100/12</f>
        <v/>
      </c>
      <c r="K179">
        <f>MIN(Plan!E7,I179+J179)</f>
        <v/>
      </c>
      <c r="L179">
        <f>I179+J179-K179</f>
        <v/>
      </c>
      <c r="M179">
        <f>MIN(L179,MAX(0,$B179-((E$5&lt;K$5)*F179+(Q$5&lt;K$5)*R179+(W$5&lt;K$5)*X179+(AC$5&lt;K$5)*AD179+(AI$5&lt;K$5)*AJ179+(AO$5&lt;K$5)*AP179+(AU$5&lt;K$5)*AV179)))</f>
        <v/>
      </c>
      <c r="N179">
        <f>IF(L179-M179&lt;0.005,0,L179-M179)</f>
        <v/>
      </c>
      <c r="O179">
        <f>T178</f>
        <v/>
      </c>
      <c r="P179">
        <f>O179*Plan!D8/100/12</f>
        <v/>
      </c>
      <c r="Q179">
        <f>MIN(Plan!E8,O179+P179)</f>
        <v/>
      </c>
      <c r="R179">
        <f>O179+P179-Q179</f>
        <v/>
      </c>
      <c r="S179">
        <f>MIN(R179,MAX(0,$B179-((E$5&lt;Q$5)*F179+(K$5&lt;Q$5)*L179+(W$5&lt;Q$5)*X179+(AC$5&lt;Q$5)*AD179+(AI$5&lt;Q$5)*AJ179+(AO$5&lt;Q$5)*AP179+(AU$5&lt;Q$5)*AV179)))</f>
        <v/>
      </c>
      <c r="T179">
        <f>IF(R179-S179&lt;0.005,0,R179-S179)</f>
        <v/>
      </c>
      <c r="U179">
        <f>Z178</f>
        <v/>
      </c>
      <c r="V179">
        <f>U179*Plan!D9/100/12</f>
        <v/>
      </c>
      <c r="W179">
        <f>MIN(Plan!E9,U179+V179)</f>
        <v/>
      </c>
      <c r="X179">
        <f>U179+V179-W179</f>
        <v/>
      </c>
      <c r="Y179">
        <f>MIN(X179,MAX(0,$B179-((E$5&lt;W$5)*F179+(K$5&lt;W$5)*L179+(Q$5&lt;W$5)*R179+(AC$5&lt;W$5)*AD179+(AI$5&lt;W$5)*AJ179+(AO$5&lt;W$5)*AP179+(AU$5&lt;W$5)*AV179)))</f>
        <v/>
      </c>
      <c r="Z179">
        <f>IF(X179-Y179&lt;0.005,0,X179-Y179)</f>
        <v/>
      </c>
      <c r="AA179">
        <f>AF178</f>
        <v/>
      </c>
      <c r="AB179">
        <f>AA179*Plan!D10/100/12</f>
        <v/>
      </c>
      <c r="AC179">
        <f>MIN(Plan!E10,AA179+AB179)</f>
        <v/>
      </c>
      <c r="AD179">
        <f>AA179+AB179-AC179</f>
        <v/>
      </c>
      <c r="AE179">
        <f>MIN(AD179,MAX(0,$B179-((E$5&lt;AC$5)*F179+(K$5&lt;AC$5)*L179+(Q$5&lt;AC$5)*R179+(W$5&lt;AC$5)*X179+(AI$5&lt;AC$5)*AJ179+(AO$5&lt;AC$5)*AP179+(AU$5&lt;AC$5)*AV179)))</f>
        <v/>
      </c>
      <c r="AF179">
        <f>IF(AD179-AE179&lt;0.005,0,AD179-AE179)</f>
        <v/>
      </c>
      <c r="AG179">
        <f>AL178</f>
        <v/>
      </c>
      <c r="AH179">
        <f>AG179*Plan!D11/100/12</f>
        <v/>
      </c>
      <c r="AI179">
        <f>MIN(Plan!E11,AG179+AH179)</f>
        <v/>
      </c>
      <c r="AJ179">
        <f>AG179+AH179-AI179</f>
        <v/>
      </c>
      <c r="AK179">
        <f>MIN(AJ179,MAX(0,$B179-((E$5&lt;AI$5)*F179+(K$5&lt;AI$5)*L179+(Q$5&lt;AI$5)*R179+(W$5&lt;AI$5)*X179+(AC$5&lt;AI$5)*AD179+(AO$5&lt;AI$5)*AP179+(AU$5&lt;AI$5)*AV179)))</f>
        <v/>
      </c>
      <c r="AL179">
        <f>IF(AJ179-AK179&lt;0.005,0,AJ179-AK179)</f>
        <v/>
      </c>
      <c r="AM179">
        <f>AR178</f>
        <v/>
      </c>
      <c r="AN179">
        <f>AM179*Plan!D12/100/12</f>
        <v/>
      </c>
      <c r="AO179">
        <f>MIN(Plan!E12,AM179+AN179)</f>
        <v/>
      </c>
      <c r="AP179">
        <f>AM179+AN179-AO179</f>
        <v/>
      </c>
      <c r="AQ179">
        <f>MIN(AP179,MAX(0,$B179-((E$5&lt;AO$5)*F179+(K$5&lt;AO$5)*L179+(Q$5&lt;AO$5)*R179+(W$5&lt;AO$5)*X179+(AC$5&lt;AO$5)*AD179+(AI$5&lt;AO$5)*AJ179+(AU$5&lt;AO$5)*AV179)))</f>
        <v/>
      </c>
      <c r="AR179">
        <f>IF(AP179-AQ179&lt;0.005,0,AP179-AQ179)</f>
        <v/>
      </c>
      <c r="AS179">
        <f>AX178</f>
        <v/>
      </c>
      <c r="AT179">
        <f>AS179*Plan!D13/100/12</f>
        <v/>
      </c>
      <c r="AU179">
        <f>MIN(Plan!E13,AS179+AT179)</f>
        <v/>
      </c>
      <c r="AV179">
        <f>AS179+AT179-AU179</f>
        <v/>
      </c>
      <c r="AW179">
        <f>MIN(AV179,MAX(0,$B179-((E$5&lt;AU$5)*F179+(K$5&lt;AU$5)*L179+(Q$5&lt;AU$5)*R179+(W$5&lt;AU$5)*X179+(AC$5&lt;AU$5)*AD179+(AI$5&lt;AU$5)*AJ179+(AO$5&lt;AU$5)*AP179)))</f>
        <v/>
      </c>
      <c r="AX179">
        <f>IF(AV179-AW179&lt;0.005,0,AV179-AW179)</f>
        <v/>
      </c>
      <c r="BC179">
        <f>H179+N179+T179+Z179+AF179+AL179+AR179+AX179</f>
        <v/>
      </c>
    </row>
    <row r="180">
      <c r="A180" t="n">
        <v>174</v>
      </c>
      <c r="B180" s="19">
        <f>MAX(0,$B$3-(E180+K180+Q180+W180+AC180+AI180+AO180+AU180))</f>
        <v/>
      </c>
      <c r="C180">
        <f>H179</f>
        <v/>
      </c>
      <c r="D180">
        <f>C180*Plan!D6/100/12</f>
        <v/>
      </c>
      <c r="E180">
        <f>MIN(Plan!E6,C180+D180)</f>
        <v/>
      </c>
      <c r="F180">
        <f>C180+D180-E180</f>
        <v/>
      </c>
      <c r="G180">
        <f>MIN(F180,MAX(0,$B180-((K$5&lt;E$5)*L180+(Q$5&lt;E$5)*R180+(W$5&lt;E$5)*X180+(AC$5&lt;E$5)*AD180+(AI$5&lt;E$5)*AJ180+(AO$5&lt;E$5)*AP180+(AU$5&lt;E$5)*AV180)))</f>
        <v/>
      </c>
      <c r="H180">
        <f>IF(F180-G180&lt;0.005,0,F180-G180)</f>
        <v/>
      </c>
      <c r="I180">
        <f>N179</f>
        <v/>
      </c>
      <c r="J180">
        <f>I180*Plan!D7/100/12</f>
        <v/>
      </c>
      <c r="K180">
        <f>MIN(Plan!E7,I180+J180)</f>
        <v/>
      </c>
      <c r="L180">
        <f>I180+J180-K180</f>
        <v/>
      </c>
      <c r="M180">
        <f>MIN(L180,MAX(0,$B180-((E$5&lt;K$5)*F180+(Q$5&lt;K$5)*R180+(W$5&lt;K$5)*X180+(AC$5&lt;K$5)*AD180+(AI$5&lt;K$5)*AJ180+(AO$5&lt;K$5)*AP180+(AU$5&lt;K$5)*AV180)))</f>
        <v/>
      </c>
      <c r="N180">
        <f>IF(L180-M180&lt;0.005,0,L180-M180)</f>
        <v/>
      </c>
      <c r="O180">
        <f>T179</f>
        <v/>
      </c>
      <c r="P180">
        <f>O180*Plan!D8/100/12</f>
        <v/>
      </c>
      <c r="Q180">
        <f>MIN(Plan!E8,O180+P180)</f>
        <v/>
      </c>
      <c r="R180">
        <f>O180+P180-Q180</f>
        <v/>
      </c>
      <c r="S180">
        <f>MIN(R180,MAX(0,$B180-((E$5&lt;Q$5)*F180+(K$5&lt;Q$5)*L180+(W$5&lt;Q$5)*X180+(AC$5&lt;Q$5)*AD180+(AI$5&lt;Q$5)*AJ180+(AO$5&lt;Q$5)*AP180+(AU$5&lt;Q$5)*AV180)))</f>
        <v/>
      </c>
      <c r="T180">
        <f>IF(R180-S180&lt;0.005,0,R180-S180)</f>
        <v/>
      </c>
      <c r="U180">
        <f>Z179</f>
        <v/>
      </c>
      <c r="V180">
        <f>U180*Plan!D9/100/12</f>
        <v/>
      </c>
      <c r="W180">
        <f>MIN(Plan!E9,U180+V180)</f>
        <v/>
      </c>
      <c r="X180">
        <f>U180+V180-W180</f>
        <v/>
      </c>
      <c r="Y180">
        <f>MIN(X180,MAX(0,$B180-((E$5&lt;W$5)*F180+(K$5&lt;W$5)*L180+(Q$5&lt;W$5)*R180+(AC$5&lt;W$5)*AD180+(AI$5&lt;W$5)*AJ180+(AO$5&lt;W$5)*AP180+(AU$5&lt;W$5)*AV180)))</f>
        <v/>
      </c>
      <c r="Z180">
        <f>IF(X180-Y180&lt;0.005,0,X180-Y180)</f>
        <v/>
      </c>
      <c r="AA180">
        <f>AF179</f>
        <v/>
      </c>
      <c r="AB180">
        <f>AA180*Plan!D10/100/12</f>
        <v/>
      </c>
      <c r="AC180">
        <f>MIN(Plan!E10,AA180+AB180)</f>
        <v/>
      </c>
      <c r="AD180">
        <f>AA180+AB180-AC180</f>
        <v/>
      </c>
      <c r="AE180">
        <f>MIN(AD180,MAX(0,$B180-((E$5&lt;AC$5)*F180+(K$5&lt;AC$5)*L180+(Q$5&lt;AC$5)*R180+(W$5&lt;AC$5)*X180+(AI$5&lt;AC$5)*AJ180+(AO$5&lt;AC$5)*AP180+(AU$5&lt;AC$5)*AV180)))</f>
        <v/>
      </c>
      <c r="AF180">
        <f>IF(AD180-AE180&lt;0.005,0,AD180-AE180)</f>
        <v/>
      </c>
      <c r="AG180">
        <f>AL179</f>
        <v/>
      </c>
      <c r="AH180">
        <f>AG180*Plan!D11/100/12</f>
        <v/>
      </c>
      <c r="AI180">
        <f>MIN(Plan!E11,AG180+AH180)</f>
        <v/>
      </c>
      <c r="AJ180">
        <f>AG180+AH180-AI180</f>
        <v/>
      </c>
      <c r="AK180">
        <f>MIN(AJ180,MAX(0,$B180-((E$5&lt;AI$5)*F180+(K$5&lt;AI$5)*L180+(Q$5&lt;AI$5)*R180+(W$5&lt;AI$5)*X180+(AC$5&lt;AI$5)*AD180+(AO$5&lt;AI$5)*AP180+(AU$5&lt;AI$5)*AV180)))</f>
        <v/>
      </c>
      <c r="AL180">
        <f>IF(AJ180-AK180&lt;0.005,0,AJ180-AK180)</f>
        <v/>
      </c>
      <c r="AM180">
        <f>AR179</f>
        <v/>
      </c>
      <c r="AN180">
        <f>AM180*Plan!D12/100/12</f>
        <v/>
      </c>
      <c r="AO180">
        <f>MIN(Plan!E12,AM180+AN180)</f>
        <v/>
      </c>
      <c r="AP180">
        <f>AM180+AN180-AO180</f>
        <v/>
      </c>
      <c r="AQ180">
        <f>MIN(AP180,MAX(0,$B180-((E$5&lt;AO$5)*F180+(K$5&lt;AO$5)*L180+(Q$5&lt;AO$5)*R180+(W$5&lt;AO$5)*X180+(AC$5&lt;AO$5)*AD180+(AI$5&lt;AO$5)*AJ180+(AU$5&lt;AO$5)*AV180)))</f>
        <v/>
      </c>
      <c r="AR180">
        <f>IF(AP180-AQ180&lt;0.005,0,AP180-AQ180)</f>
        <v/>
      </c>
      <c r="AS180">
        <f>AX179</f>
        <v/>
      </c>
      <c r="AT180">
        <f>AS180*Plan!D13/100/12</f>
        <v/>
      </c>
      <c r="AU180">
        <f>MIN(Plan!E13,AS180+AT180)</f>
        <v/>
      </c>
      <c r="AV180">
        <f>AS180+AT180-AU180</f>
        <v/>
      </c>
      <c r="AW180">
        <f>MIN(AV180,MAX(0,$B180-((E$5&lt;AU$5)*F180+(K$5&lt;AU$5)*L180+(Q$5&lt;AU$5)*R180+(W$5&lt;AU$5)*X180+(AC$5&lt;AU$5)*AD180+(AI$5&lt;AU$5)*AJ180+(AO$5&lt;AU$5)*AP180)))</f>
        <v/>
      </c>
      <c r="AX180">
        <f>IF(AV180-AW180&lt;0.005,0,AV180-AW180)</f>
        <v/>
      </c>
      <c r="BC180">
        <f>H180+N180+T180+Z180+AF180+AL180+AR180+AX180</f>
        <v/>
      </c>
    </row>
    <row r="181">
      <c r="A181" t="n">
        <v>175</v>
      </c>
      <c r="B181" s="19">
        <f>MAX(0,$B$3-(E181+K181+Q181+W181+AC181+AI181+AO181+AU181))</f>
        <v/>
      </c>
      <c r="C181">
        <f>H180</f>
        <v/>
      </c>
      <c r="D181">
        <f>C181*Plan!D6/100/12</f>
        <v/>
      </c>
      <c r="E181">
        <f>MIN(Plan!E6,C181+D181)</f>
        <v/>
      </c>
      <c r="F181">
        <f>C181+D181-E181</f>
        <v/>
      </c>
      <c r="G181">
        <f>MIN(F181,MAX(0,$B181-((K$5&lt;E$5)*L181+(Q$5&lt;E$5)*R181+(W$5&lt;E$5)*X181+(AC$5&lt;E$5)*AD181+(AI$5&lt;E$5)*AJ181+(AO$5&lt;E$5)*AP181+(AU$5&lt;E$5)*AV181)))</f>
        <v/>
      </c>
      <c r="H181">
        <f>IF(F181-G181&lt;0.005,0,F181-G181)</f>
        <v/>
      </c>
      <c r="I181">
        <f>N180</f>
        <v/>
      </c>
      <c r="J181">
        <f>I181*Plan!D7/100/12</f>
        <v/>
      </c>
      <c r="K181">
        <f>MIN(Plan!E7,I181+J181)</f>
        <v/>
      </c>
      <c r="L181">
        <f>I181+J181-K181</f>
        <v/>
      </c>
      <c r="M181">
        <f>MIN(L181,MAX(0,$B181-((E$5&lt;K$5)*F181+(Q$5&lt;K$5)*R181+(W$5&lt;K$5)*X181+(AC$5&lt;K$5)*AD181+(AI$5&lt;K$5)*AJ181+(AO$5&lt;K$5)*AP181+(AU$5&lt;K$5)*AV181)))</f>
        <v/>
      </c>
      <c r="N181">
        <f>IF(L181-M181&lt;0.005,0,L181-M181)</f>
        <v/>
      </c>
      <c r="O181">
        <f>T180</f>
        <v/>
      </c>
      <c r="P181">
        <f>O181*Plan!D8/100/12</f>
        <v/>
      </c>
      <c r="Q181">
        <f>MIN(Plan!E8,O181+P181)</f>
        <v/>
      </c>
      <c r="R181">
        <f>O181+P181-Q181</f>
        <v/>
      </c>
      <c r="S181">
        <f>MIN(R181,MAX(0,$B181-((E$5&lt;Q$5)*F181+(K$5&lt;Q$5)*L181+(W$5&lt;Q$5)*X181+(AC$5&lt;Q$5)*AD181+(AI$5&lt;Q$5)*AJ181+(AO$5&lt;Q$5)*AP181+(AU$5&lt;Q$5)*AV181)))</f>
        <v/>
      </c>
      <c r="T181">
        <f>IF(R181-S181&lt;0.005,0,R181-S181)</f>
        <v/>
      </c>
      <c r="U181">
        <f>Z180</f>
        <v/>
      </c>
      <c r="V181">
        <f>U181*Plan!D9/100/12</f>
        <v/>
      </c>
      <c r="W181">
        <f>MIN(Plan!E9,U181+V181)</f>
        <v/>
      </c>
      <c r="X181">
        <f>U181+V181-W181</f>
        <v/>
      </c>
      <c r="Y181">
        <f>MIN(X181,MAX(0,$B181-((E$5&lt;W$5)*F181+(K$5&lt;W$5)*L181+(Q$5&lt;W$5)*R181+(AC$5&lt;W$5)*AD181+(AI$5&lt;W$5)*AJ181+(AO$5&lt;W$5)*AP181+(AU$5&lt;W$5)*AV181)))</f>
        <v/>
      </c>
      <c r="Z181">
        <f>IF(X181-Y181&lt;0.005,0,X181-Y181)</f>
        <v/>
      </c>
      <c r="AA181">
        <f>AF180</f>
        <v/>
      </c>
      <c r="AB181">
        <f>AA181*Plan!D10/100/12</f>
        <v/>
      </c>
      <c r="AC181">
        <f>MIN(Plan!E10,AA181+AB181)</f>
        <v/>
      </c>
      <c r="AD181">
        <f>AA181+AB181-AC181</f>
        <v/>
      </c>
      <c r="AE181">
        <f>MIN(AD181,MAX(0,$B181-((E$5&lt;AC$5)*F181+(K$5&lt;AC$5)*L181+(Q$5&lt;AC$5)*R181+(W$5&lt;AC$5)*X181+(AI$5&lt;AC$5)*AJ181+(AO$5&lt;AC$5)*AP181+(AU$5&lt;AC$5)*AV181)))</f>
        <v/>
      </c>
      <c r="AF181">
        <f>IF(AD181-AE181&lt;0.005,0,AD181-AE181)</f>
        <v/>
      </c>
      <c r="AG181">
        <f>AL180</f>
        <v/>
      </c>
      <c r="AH181">
        <f>AG181*Plan!D11/100/12</f>
        <v/>
      </c>
      <c r="AI181">
        <f>MIN(Plan!E11,AG181+AH181)</f>
        <v/>
      </c>
      <c r="AJ181">
        <f>AG181+AH181-AI181</f>
        <v/>
      </c>
      <c r="AK181">
        <f>MIN(AJ181,MAX(0,$B181-((E$5&lt;AI$5)*F181+(K$5&lt;AI$5)*L181+(Q$5&lt;AI$5)*R181+(W$5&lt;AI$5)*X181+(AC$5&lt;AI$5)*AD181+(AO$5&lt;AI$5)*AP181+(AU$5&lt;AI$5)*AV181)))</f>
        <v/>
      </c>
      <c r="AL181">
        <f>IF(AJ181-AK181&lt;0.005,0,AJ181-AK181)</f>
        <v/>
      </c>
      <c r="AM181">
        <f>AR180</f>
        <v/>
      </c>
      <c r="AN181">
        <f>AM181*Plan!D12/100/12</f>
        <v/>
      </c>
      <c r="AO181">
        <f>MIN(Plan!E12,AM181+AN181)</f>
        <v/>
      </c>
      <c r="AP181">
        <f>AM181+AN181-AO181</f>
        <v/>
      </c>
      <c r="AQ181">
        <f>MIN(AP181,MAX(0,$B181-((E$5&lt;AO$5)*F181+(K$5&lt;AO$5)*L181+(Q$5&lt;AO$5)*R181+(W$5&lt;AO$5)*X181+(AC$5&lt;AO$5)*AD181+(AI$5&lt;AO$5)*AJ181+(AU$5&lt;AO$5)*AV181)))</f>
        <v/>
      </c>
      <c r="AR181">
        <f>IF(AP181-AQ181&lt;0.005,0,AP181-AQ181)</f>
        <v/>
      </c>
      <c r="AS181">
        <f>AX180</f>
        <v/>
      </c>
      <c r="AT181">
        <f>AS181*Plan!D13/100/12</f>
        <v/>
      </c>
      <c r="AU181">
        <f>MIN(Plan!E13,AS181+AT181)</f>
        <v/>
      </c>
      <c r="AV181">
        <f>AS181+AT181-AU181</f>
        <v/>
      </c>
      <c r="AW181">
        <f>MIN(AV181,MAX(0,$B181-((E$5&lt;AU$5)*F181+(K$5&lt;AU$5)*L181+(Q$5&lt;AU$5)*R181+(W$5&lt;AU$5)*X181+(AC$5&lt;AU$5)*AD181+(AI$5&lt;AU$5)*AJ181+(AO$5&lt;AU$5)*AP181)))</f>
        <v/>
      </c>
      <c r="AX181">
        <f>IF(AV181-AW181&lt;0.005,0,AV181-AW181)</f>
        <v/>
      </c>
      <c r="BC181">
        <f>H181+N181+T181+Z181+AF181+AL181+AR181+AX181</f>
        <v/>
      </c>
    </row>
    <row r="182">
      <c r="A182" t="n">
        <v>176</v>
      </c>
      <c r="B182" s="19">
        <f>MAX(0,$B$3-(E182+K182+Q182+W182+AC182+AI182+AO182+AU182))</f>
        <v/>
      </c>
      <c r="C182">
        <f>H181</f>
        <v/>
      </c>
      <c r="D182">
        <f>C182*Plan!D6/100/12</f>
        <v/>
      </c>
      <c r="E182">
        <f>MIN(Plan!E6,C182+D182)</f>
        <v/>
      </c>
      <c r="F182">
        <f>C182+D182-E182</f>
        <v/>
      </c>
      <c r="G182">
        <f>MIN(F182,MAX(0,$B182-((K$5&lt;E$5)*L182+(Q$5&lt;E$5)*R182+(W$5&lt;E$5)*X182+(AC$5&lt;E$5)*AD182+(AI$5&lt;E$5)*AJ182+(AO$5&lt;E$5)*AP182+(AU$5&lt;E$5)*AV182)))</f>
        <v/>
      </c>
      <c r="H182">
        <f>IF(F182-G182&lt;0.005,0,F182-G182)</f>
        <v/>
      </c>
      <c r="I182">
        <f>N181</f>
        <v/>
      </c>
      <c r="J182">
        <f>I182*Plan!D7/100/12</f>
        <v/>
      </c>
      <c r="K182">
        <f>MIN(Plan!E7,I182+J182)</f>
        <v/>
      </c>
      <c r="L182">
        <f>I182+J182-K182</f>
        <v/>
      </c>
      <c r="M182">
        <f>MIN(L182,MAX(0,$B182-((E$5&lt;K$5)*F182+(Q$5&lt;K$5)*R182+(W$5&lt;K$5)*X182+(AC$5&lt;K$5)*AD182+(AI$5&lt;K$5)*AJ182+(AO$5&lt;K$5)*AP182+(AU$5&lt;K$5)*AV182)))</f>
        <v/>
      </c>
      <c r="N182">
        <f>IF(L182-M182&lt;0.005,0,L182-M182)</f>
        <v/>
      </c>
      <c r="O182">
        <f>T181</f>
        <v/>
      </c>
      <c r="P182">
        <f>O182*Plan!D8/100/12</f>
        <v/>
      </c>
      <c r="Q182">
        <f>MIN(Plan!E8,O182+P182)</f>
        <v/>
      </c>
      <c r="R182">
        <f>O182+P182-Q182</f>
        <v/>
      </c>
      <c r="S182">
        <f>MIN(R182,MAX(0,$B182-((E$5&lt;Q$5)*F182+(K$5&lt;Q$5)*L182+(W$5&lt;Q$5)*X182+(AC$5&lt;Q$5)*AD182+(AI$5&lt;Q$5)*AJ182+(AO$5&lt;Q$5)*AP182+(AU$5&lt;Q$5)*AV182)))</f>
        <v/>
      </c>
      <c r="T182">
        <f>IF(R182-S182&lt;0.005,0,R182-S182)</f>
        <v/>
      </c>
      <c r="U182">
        <f>Z181</f>
        <v/>
      </c>
      <c r="V182">
        <f>U182*Plan!D9/100/12</f>
        <v/>
      </c>
      <c r="W182">
        <f>MIN(Plan!E9,U182+V182)</f>
        <v/>
      </c>
      <c r="X182">
        <f>U182+V182-W182</f>
        <v/>
      </c>
      <c r="Y182">
        <f>MIN(X182,MAX(0,$B182-((E$5&lt;W$5)*F182+(K$5&lt;W$5)*L182+(Q$5&lt;W$5)*R182+(AC$5&lt;W$5)*AD182+(AI$5&lt;W$5)*AJ182+(AO$5&lt;W$5)*AP182+(AU$5&lt;W$5)*AV182)))</f>
        <v/>
      </c>
      <c r="Z182">
        <f>IF(X182-Y182&lt;0.005,0,X182-Y182)</f>
        <v/>
      </c>
      <c r="AA182">
        <f>AF181</f>
        <v/>
      </c>
      <c r="AB182">
        <f>AA182*Plan!D10/100/12</f>
        <v/>
      </c>
      <c r="AC182">
        <f>MIN(Plan!E10,AA182+AB182)</f>
        <v/>
      </c>
      <c r="AD182">
        <f>AA182+AB182-AC182</f>
        <v/>
      </c>
      <c r="AE182">
        <f>MIN(AD182,MAX(0,$B182-((E$5&lt;AC$5)*F182+(K$5&lt;AC$5)*L182+(Q$5&lt;AC$5)*R182+(W$5&lt;AC$5)*X182+(AI$5&lt;AC$5)*AJ182+(AO$5&lt;AC$5)*AP182+(AU$5&lt;AC$5)*AV182)))</f>
        <v/>
      </c>
      <c r="AF182">
        <f>IF(AD182-AE182&lt;0.005,0,AD182-AE182)</f>
        <v/>
      </c>
      <c r="AG182">
        <f>AL181</f>
        <v/>
      </c>
      <c r="AH182">
        <f>AG182*Plan!D11/100/12</f>
        <v/>
      </c>
      <c r="AI182">
        <f>MIN(Plan!E11,AG182+AH182)</f>
        <v/>
      </c>
      <c r="AJ182">
        <f>AG182+AH182-AI182</f>
        <v/>
      </c>
      <c r="AK182">
        <f>MIN(AJ182,MAX(0,$B182-((E$5&lt;AI$5)*F182+(K$5&lt;AI$5)*L182+(Q$5&lt;AI$5)*R182+(W$5&lt;AI$5)*X182+(AC$5&lt;AI$5)*AD182+(AO$5&lt;AI$5)*AP182+(AU$5&lt;AI$5)*AV182)))</f>
        <v/>
      </c>
      <c r="AL182">
        <f>IF(AJ182-AK182&lt;0.005,0,AJ182-AK182)</f>
        <v/>
      </c>
      <c r="AM182">
        <f>AR181</f>
        <v/>
      </c>
      <c r="AN182">
        <f>AM182*Plan!D12/100/12</f>
        <v/>
      </c>
      <c r="AO182">
        <f>MIN(Plan!E12,AM182+AN182)</f>
        <v/>
      </c>
      <c r="AP182">
        <f>AM182+AN182-AO182</f>
        <v/>
      </c>
      <c r="AQ182">
        <f>MIN(AP182,MAX(0,$B182-((E$5&lt;AO$5)*F182+(K$5&lt;AO$5)*L182+(Q$5&lt;AO$5)*R182+(W$5&lt;AO$5)*X182+(AC$5&lt;AO$5)*AD182+(AI$5&lt;AO$5)*AJ182+(AU$5&lt;AO$5)*AV182)))</f>
        <v/>
      </c>
      <c r="AR182">
        <f>IF(AP182-AQ182&lt;0.005,0,AP182-AQ182)</f>
        <v/>
      </c>
      <c r="AS182">
        <f>AX181</f>
        <v/>
      </c>
      <c r="AT182">
        <f>AS182*Plan!D13/100/12</f>
        <v/>
      </c>
      <c r="AU182">
        <f>MIN(Plan!E13,AS182+AT182)</f>
        <v/>
      </c>
      <c r="AV182">
        <f>AS182+AT182-AU182</f>
        <v/>
      </c>
      <c r="AW182">
        <f>MIN(AV182,MAX(0,$B182-((E$5&lt;AU$5)*F182+(K$5&lt;AU$5)*L182+(Q$5&lt;AU$5)*R182+(W$5&lt;AU$5)*X182+(AC$5&lt;AU$5)*AD182+(AI$5&lt;AU$5)*AJ182+(AO$5&lt;AU$5)*AP182)))</f>
        <v/>
      </c>
      <c r="AX182">
        <f>IF(AV182-AW182&lt;0.005,0,AV182-AW182)</f>
        <v/>
      </c>
      <c r="BC182">
        <f>H182+N182+T182+Z182+AF182+AL182+AR182+AX182</f>
        <v/>
      </c>
    </row>
    <row r="183">
      <c r="A183" t="n">
        <v>177</v>
      </c>
      <c r="B183" s="19">
        <f>MAX(0,$B$3-(E183+K183+Q183+W183+AC183+AI183+AO183+AU183))</f>
        <v/>
      </c>
      <c r="C183">
        <f>H182</f>
        <v/>
      </c>
      <c r="D183">
        <f>C183*Plan!D6/100/12</f>
        <v/>
      </c>
      <c r="E183">
        <f>MIN(Plan!E6,C183+D183)</f>
        <v/>
      </c>
      <c r="F183">
        <f>C183+D183-E183</f>
        <v/>
      </c>
      <c r="G183">
        <f>MIN(F183,MAX(0,$B183-((K$5&lt;E$5)*L183+(Q$5&lt;E$5)*R183+(W$5&lt;E$5)*X183+(AC$5&lt;E$5)*AD183+(AI$5&lt;E$5)*AJ183+(AO$5&lt;E$5)*AP183+(AU$5&lt;E$5)*AV183)))</f>
        <v/>
      </c>
      <c r="H183">
        <f>IF(F183-G183&lt;0.005,0,F183-G183)</f>
        <v/>
      </c>
      <c r="I183">
        <f>N182</f>
        <v/>
      </c>
      <c r="J183">
        <f>I183*Plan!D7/100/12</f>
        <v/>
      </c>
      <c r="K183">
        <f>MIN(Plan!E7,I183+J183)</f>
        <v/>
      </c>
      <c r="L183">
        <f>I183+J183-K183</f>
        <v/>
      </c>
      <c r="M183">
        <f>MIN(L183,MAX(0,$B183-((E$5&lt;K$5)*F183+(Q$5&lt;K$5)*R183+(W$5&lt;K$5)*X183+(AC$5&lt;K$5)*AD183+(AI$5&lt;K$5)*AJ183+(AO$5&lt;K$5)*AP183+(AU$5&lt;K$5)*AV183)))</f>
        <v/>
      </c>
      <c r="N183">
        <f>IF(L183-M183&lt;0.005,0,L183-M183)</f>
        <v/>
      </c>
      <c r="O183">
        <f>T182</f>
        <v/>
      </c>
      <c r="P183">
        <f>O183*Plan!D8/100/12</f>
        <v/>
      </c>
      <c r="Q183">
        <f>MIN(Plan!E8,O183+P183)</f>
        <v/>
      </c>
      <c r="R183">
        <f>O183+P183-Q183</f>
        <v/>
      </c>
      <c r="S183">
        <f>MIN(R183,MAX(0,$B183-((E$5&lt;Q$5)*F183+(K$5&lt;Q$5)*L183+(W$5&lt;Q$5)*X183+(AC$5&lt;Q$5)*AD183+(AI$5&lt;Q$5)*AJ183+(AO$5&lt;Q$5)*AP183+(AU$5&lt;Q$5)*AV183)))</f>
        <v/>
      </c>
      <c r="T183">
        <f>IF(R183-S183&lt;0.005,0,R183-S183)</f>
        <v/>
      </c>
      <c r="U183">
        <f>Z182</f>
        <v/>
      </c>
      <c r="V183">
        <f>U183*Plan!D9/100/12</f>
        <v/>
      </c>
      <c r="W183">
        <f>MIN(Plan!E9,U183+V183)</f>
        <v/>
      </c>
      <c r="X183">
        <f>U183+V183-W183</f>
        <v/>
      </c>
      <c r="Y183">
        <f>MIN(X183,MAX(0,$B183-((E$5&lt;W$5)*F183+(K$5&lt;W$5)*L183+(Q$5&lt;W$5)*R183+(AC$5&lt;W$5)*AD183+(AI$5&lt;W$5)*AJ183+(AO$5&lt;W$5)*AP183+(AU$5&lt;W$5)*AV183)))</f>
        <v/>
      </c>
      <c r="Z183">
        <f>IF(X183-Y183&lt;0.005,0,X183-Y183)</f>
        <v/>
      </c>
      <c r="AA183">
        <f>AF182</f>
        <v/>
      </c>
      <c r="AB183">
        <f>AA183*Plan!D10/100/12</f>
        <v/>
      </c>
      <c r="AC183">
        <f>MIN(Plan!E10,AA183+AB183)</f>
        <v/>
      </c>
      <c r="AD183">
        <f>AA183+AB183-AC183</f>
        <v/>
      </c>
      <c r="AE183">
        <f>MIN(AD183,MAX(0,$B183-((E$5&lt;AC$5)*F183+(K$5&lt;AC$5)*L183+(Q$5&lt;AC$5)*R183+(W$5&lt;AC$5)*X183+(AI$5&lt;AC$5)*AJ183+(AO$5&lt;AC$5)*AP183+(AU$5&lt;AC$5)*AV183)))</f>
        <v/>
      </c>
      <c r="AF183">
        <f>IF(AD183-AE183&lt;0.005,0,AD183-AE183)</f>
        <v/>
      </c>
      <c r="AG183">
        <f>AL182</f>
        <v/>
      </c>
      <c r="AH183">
        <f>AG183*Plan!D11/100/12</f>
        <v/>
      </c>
      <c r="AI183">
        <f>MIN(Plan!E11,AG183+AH183)</f>
        <v/>
      </c>
      <c r="AJ183">
        <f>AG183+AH183-AI183</f>
        <v/>
      </c>
      <c r="AK183">
        <f>MIN(AJ183,MAX(0,$B183-((E$5&lt;AI$5)*F183+(K$5&lt;AI$5)*L183+(Q$5&lt;AI$5)*R183+(W$5&lt;AI$5)*X183+(AC$5&lt;AI$5)*AD183+(AO$5&lt;AI$5)*AP183+(AU$5&lt;AI$5)*AV183)))</f>
        <v/>
      </c>
      <c r="AL183">
        <f>IF(AJ183-AK183&lt;0.005,0,AJ183-AK183)</f>
        <v/>
      </c>
      <c r="AM183">
        <f>AR182</f>
        <v/>
      </c>
      <c r="AN183">
        <f>AM183*Plan!D12/100/12</f>
        <v/>
      </c>
      <c r="AO183">
        <f>MIN(Plan!E12,AM183+AN183)</f>
        <v/>
      </c>
      <c r="AP183">
        <f>AM183+AN183-AO183</f>
        <v/>
      </c>
      <c r="AQ183">
        <f>MIN(AP183,MAX(0,$B183-((E$5&lt;AO$5)*F183+(K$5&lt;AO$5)*L183+(Q$5&lt;AO$5)*R183+(W$5&lt;AO$5)*X183+(AC$5&lt;AO$5)*AD183+(AI$5&lt;AO$5)*AJ183+(AU$5&lt;AO$5)*AV183)))</f>
        <v/>
      </c>
      <c r="AR183">
        <f>IF(AP183-AQ183&lt;0.005,0,AP183-AQ183)</f>
        <v/>
      </c>
      <c r="AS183">
        <f>AX182</f>
        <v/>
      </c>
      <c r="AT183">
        <f>AS183*Plan!D13/100/12</f>
        <v/>
      </c>
      <c r="AU183">
        <f>MIN(Plan!E13,AS183+AT183)</f>
        <v/>
      </c>
      <c r="AV183">
        <f>AS183+AT183-AU183</f>
        <v/>
      </c>
      <c r="AW183">
        <f>MIN(AV183,MAX(0,$B183-((E$5&lt;AU$5)*F183+(K$5&lt;AU$5)*L183+(Q$5&lt;AU$5)*R183+(W$5&lt;AU$5)*X183+(AC$5&lt;AU$5)*AD183+(AI$5&lt;AU$5)*AJ183+(AO$5&lt;AU$5)*AP183)))</f>
        <v/>
      </c>
      <c r="AX183">
        <f>IF(AV183-AW183&lt;0.005,0,AV183-AW183)</f>
        <v/>
      </c>
      <c r="BC183">
        <f>H183+N183+T183+Z183+AF183+AL183+AR183+AX183</f>
        <v/>
      </c>
    </row>
    <row r="184">
      <c r="A184" t="n">
        <v>178</v>
      </c>
      <c r="B184" s="19">
        <f>MAX(0,$B$3-(E184+K184+Q184+W184+AC184+AI184+AO184+AU184))</f>
        <v/>
      </c>
      <c r="C184">
        <f>H183</f>
        <v/>
      </c>
      <c r="D184">
        <f>C184*Plan!D6/100/12</f>
        <v/>
      </c>
      <c r="E184">
        <f>MIN(Plan!E6,C184+D184)</f>
        <v/>
      </c>
      <c r="F184">
        <f>C184+D184-E184</f>
        <v/>
      </c>
      <c r="G184">
        <f>MIN(F184,MAX(0,$B184-((K$5&lt;E$5)*L184+(Q$5&lt;E$5)*R184+(W$5&lt;E$5)*X184+(AC$5&lt;E$5)*AD184+(AI$5&lt;E$5)*AJ184+(AO$5&lt;E$5)*AP184+(AU$5&lt;E$5)*AV184)))</f>
        <v/>
      </c>
      <c r="H184">
        <f>IF(F184-G184&lt;0.005,0,F184-G184)</f>
        <v/>
      </c>
      <c r="I184">
        <f>N183</f>
        <v/>
      </c>
      <c r="J184">
        <f>I184*Plan!D7/100/12</f>
        <v/>
      </c>
      <c r="K184">
        <f>MIN(Plan!E7,I184+J184)</f>
        <v/>
      </c>
      <c r="L184">
        <f>I184+J184-K184</f>
        <v/>
      </c>
      <c r="M184">
        <f>MIN(L184,MAX(0,$B184-((E$5&lt;K$5)*F184+(Q$5&lt;K$5)*R184+(W$5&lt;K$5)*X184+(AC$5&lt;K$5)*AD184+(AI$5&lt;K$5)*AJ184+(AO$5&lt;K$5)*AP184+(AU$5&lt;K$5)*AV184)))</f>
        <v/>
      </c>
      <c r="N184">
        <f>IF(L184-M184&lt;0.005,0,L184-M184)</f>
        <v/>
      </c>
      <c r="O184">
        <f>T183</f>
        <v/>
      </c>
      <c r="P184">
        <f>O184*Plan!D8/100/12</f>
        <v/>
      </c>
      <c r="Q184">
        <f>MIN(Plan!E8,O184+P184)</f>
        <v/>
      </c>
      <c r="R184">
        <f>O184+P184-Q184</f>
        <v/>
      </c>
      <c r="S184">
        <f>MIN(R184,MAX(0,$B184-((E$5&lt;Q$5)*F184+(K$5&lt;Q$5)*L184+(W$5&lt;Q$5)*X184+(AC$5&lt;Q$5)*AD184+(AI$5&lt;Q$5)*AJ184+(AO$5&lt;Q$5)*AP184+(AU$5&lt;Q$5)*AV184)))</f>
        <v/>
      </c>
      <c r="T184">
        <f>IF(R184-S184&lt;0.005,0,R184-S184)</f>
        <v/>
      </c>
      <c r="U184">
        <f>Z183</f>
        <v/>
      </c>
      <c r="V184">
        <f>U184*Plan!D9/100/12</f>
        <v/>
      </c>
      <c r="W184">
        <f>MIN(Plan!E9,U184+V184)</f>
        <v/>
      </c>
      <c r="X184">
        <f>U184+V184-W184</f>
        <v/>
      </c>
      <c r="Y184">
        <f>MIN(X184,MAX(0,$B184-((E$5&lt;W$5)*F184+(K$5&lt;W$5)*L184+(Q$5&lt;W$5)*R184+(AC$5&lt;W$5)*AD184+(AI$5&lt;W$5)*AJ184+(AO$5&lt;W$5)*AP184+(AU$5&lt;W$5)*AV184)))</f>
        <v/>
      </c>
      <c r="Z184">
        <f>IF(X184-Y184&lt;0.005,0,X184-Y184)</f>
        <v/>
      </c>
      <c r="AA184">
        <f>AF183</f>
        <v/>
      </c>
      <c r="AB184">
        <f>AA184*Plan!D10/100/12</f>
        <v/>
      </c>
      <c r="AC184">
        <f>MIN(Plan!E10,AA184+AB184)</f>
        <v/>
      </c>
      <c r="AD184">
        <f>AA184+AB184-AC184</f>
        <v/>
      </c>
      <c r="AE184">
        <f>MIN(AD184,MAX(0,$B184-((E$5&lt;AC$5)*F184+(K$5&lt;AC$5)*L184+(Q$5&lt;AC$5)*R184+(W$5&lt;AC$5)*X184+(AI$5&lt;AC$5)*AJ184+(AO$5&lt;AC$5)*AP184+(AU$5&lt;AC$5)*AV184)))</f>
        <v/>
      </c>
      <c r="AF184">
        <f>IF(AD184-AE184&lt;0.005,0,AD184-AE184)</f>
        <v/>
      </c>
      <c r="AG184">
        <f>AL183</f>
        <v/>
      </c>
      <c r="AH184">
        <f>AG184*Plan!D11/100/12</f>
        <v/>
      </c>
      <c r="AI184">
        <f>MIN(Plan!E11,AG184+AH184)</f>
        <v/>
      </c>
      <c r="AJ184">
        <f>AG184+AH184-AI184</f>
        <v/>
      </c>
      <c r="AK184">
        <f>MIN(AJ184,MAX(0,$B184-((E$5&lt;AI$5)*F184+(K$5&lt;AI$5)*L184+(Q$5&lt;AI$5)*R184+(W$5&lt;AI$5)*X184+(AC$5&lt;AI$5)*AD184+(AO$5&lt;AI$5)*AP184+(AU$5&lt;AI$5)*AV184)))</f>
        <v/>
      </c>
      <c r="AL184">
        <f>IF(AJ184-AK184&lt;0.005,0,AJ184-AK184)</f>
        <v/>
      </c>
      <c r="AM184">
        <f>AR183</f>
        <v/>
      </c>
      <c r="AN184">
        <f>AM184*Plan!D12/100/12</f>
        <v/>
      </c>
      <c r="AO184">
        <f>MIN(Plan!E12,AM184+AN184)</f>
        <v/>
      </c>
      <c r="AP184">
        <f>AM184+AN184-AO184</f>
        <v/>
      </c>
      <c r="AQ184">
        <f>MIN(AP184,MAX(0,$B184-((E$5&lt;AO$5)*F184+(K$5&lt;AO$5)*L184+(Q$5&lt;AO$5)*R184+(W$5&lt;AO$5)*X184+(AC$5&lt;AO$5)*AD184+(AI$5&lt;AO$5)*AJ184+(AU$5&lt;AO$5)*AV184)))</f>
        <v/>
      </c>
      <c r="AR184">
        <f>IF(AP184-AQ184&lt;0.005,0,AP184-AQ184)</f>
        <v/>
      </c>
      <c r="AS184">
        <f>AX183</f>
        <v/>
      </c>
      <c r="AT184">
        <f>AS184*Plan!D13/100/12</f>
        <v/>
      </c>
      <c r="AU184">
        <f>MIN(Plan!E13,AS184+AT184)</f>
        <v/>
      </c>
      <c r="AV184">
        <f>AS184+AT184-AU184</f>
        <v/>
      </c>
      <c r="AW184">
        <f>MIN(AV184,MAX(0,$B184-((E$5&lt;AU$5)*F184+(K$5&lt;AU$5)*L184+(Q$5&lt;AU$5)*R184+(W$5&lt;AU$5)*X184+(AC$5&lt;AU$5)*AD184+(AI$5&lt;AU$5)*AJ184+(AO$5&lt;AU$5)*AP184)))</f>
        <v/>
      </c>
      <c r="AX184">
        <f>IF(AV184-AW184&lt;0.005,0,AV184-AW184)</f>
        <v/>
      </c>
      <c r="BC184">
        <f>H184+N184+T184+Z184+AF184+AL184+AR184+AX184</f>
        <v/>
      </c>
    </row>
    <row r="185">
      <c r="A185" t="n">
        <v>179</v>
      </c>
      <c r="B185" s="19">
        <f>MAX(0,$B$3-(E185+K185+Q185+W185+AC185+AI185+AO185+AU185))</f>
        <v/>
      </c>
      <c r="C185">
        <f>H184</f>
        <v/>
      </c>
      <c r="D185">
        <f>C185*Plan!D6/100/12</f>
        <v/>
      </c>
      <c r="E185">
        <f>MIN(Plan!E6,C185+D185)</f>
        <v/>
      </c>
      <c r="F185">
        <f>C185+D185-E185</f>
        <v/>
      </c>
      <c r="G185">
        <f>MIN(F185,MAX(0,$B185-((K$5&lt;E$5)*L185+(Q$5&lt;E$5)*R185+(W$5&lt;E$5)*X185+(AC$5&lt;E$5)*AD185+(AI$5&lt;E$5)*AJ185+(AO$5&lt;E$5)*AP185+(AU$5&lt;E$5)*AV185)))</f>
        <v/>
      </c>
      <c r="H185">
        <f>IF(F185-G185&lt;0.005,0,F185-G185)</f>
        <v/>
      </c>
      <c r="I185">
        <f>N184</f>
        <v/>
      </c>
      <c r="J185">
        <f>I185*Plan!D7/100/12</f>
        <v/>
      </c>
      <c r="K185">
        <f>MIN(Plan!E7,I185+J185)</f>
        <v/>
      </c>
      <c r="L185">
        <f>I185+J185-K185</f>
        <v/>
      </c>
      <c r="M185">
        <f>MIN(L185,MAX(0,$B185-((E$5&lt;K$5)*F185+(Q$5&lt;K$5)*R185+(W$5&lt;K$5)*X185+(AC$5&lt;K$5)*AD185+(AI$5&lt;K$5)*AJ185+(AO$5&lt;K$5)*AP185+(AU$5&lt;K$5)*AV185)))</f>
        <v/>
      </c>
      <c r="N185">
        <f>IF(L185-M185&lt;0.005,0,L185-M185)</f>
        <v/>
      </c>
      <c r="O185">
        <f>T184</f>
        <v/>
      </c>
      <c r="P185">
        <f>O185*Plan!D8/100/12</f>
        <v/>
      </c>
      <c r="Q185">
        <f>MIN(Plan!E8,O185+P185)</f>
        <v/>
      </c>
      <c r="R185">
        <f>O185+P185-Q185</f>
        <v/>
      </c>
      <c r="S185">
        <f>MIN(R185,MAX(0,$B185-((E$5&lt;Q$5)*F185+(K$5&lt;Q$5)*L185+(W$5&lt;Q$5)*X185+(AC$5&lt;Q$5)*AD185+(AI$5&lt;Q$5)*AJ185+(AO$5&lt;Q$5)*AP185+(AU$5&lt;Q$5)*AV185)))</f>
        <v/>
      </c>
      <c r="T185">
        <f>IF(R185-S185&lt;0.005,0,R185-S185)</f>
        <v/>
      </c>
      <c r="U185">
        <f>Z184</f>
        <v/>
      </c>
      <c r="V185">
        <f>U185*Plan!D9/100/12</f>
        <v/>
      </c>
      <c r="W185">
        <f>MIN(Plan!E9,U185+V185)</f>
        <v/>
      </c>
      <c r="X185">
        <f>U185+V185-W185</f>
        <v/>
      </c>
      <c r="Y185">
        <f>MIN(X185,MAX(0,$B185-((E$5&lt;W$5)*F185+(K$5&lt;W$5)*L185+(Q$5&lt;W$5)*R185+(AC$5&lt;W$5)*AD185+(AI$5&lt;W$5)*AJ185+(AO$5&lt;W$5)*AP185+(AU$5&lt;W$5)*AV185)))</f>
        <v/>
      </c>
      <c r="Z185">
        <f>IF(X185-Y185&lt;0.005,0,X185-Y185)</f>
        <v/>
      </c>
      <c r="AA185">
        <f>AF184</f>
        <v/>
      </c>
      <c r="AB185">
        <f>AA185*Plan!D10/100/12</f>
        <v/>
      </c>
      <c r="AC185">
        <f>MIN(Plan!E10,AA185+AB185)</f>
        <v/>
      </c>
      <c r="AD185">
        <f>AA185+AB185-AC185</f>
        <v/>
      </c>
      <c r="AE185">
        <f>MIN(AD185,MAX(0,$B185-((E$5&lt;AC$5)*F185+(K$5&lt;AC$5)*L185+(Q$5&lt;AC$5)*R185+(W$5&lt;AC$5)*X185+(AI$5&lt;AC$5)*AJ185+(AO$5&lt;AC$5)*AP185+(AU$5&lt;AC$5)*AV185)))</f>
        <v/>
      </c>
      <c r="AF185">
        <f>IF(AD185-AE185&lt;0.005,0,AD185-AE185)</f>
        <v/>
      </c>
      <c r="AG185">
        <f>AL184</f>
        <v/>
      </c>
      <c r="AH185">
        <f>AG185*Plan!D11/100/12</f>
        <v/>
      </c>
      <c r="AI185">
        <f>MIN(Plan!E11,AG185+AH185)</f>
        <v/>
      </c>
      <c r="AJ185">
        <f>AG185+AH185-AI185</f>
        <v/>
      </c>
      <c r="AK185">
        <f>MIN(AJ185,MAX(0,$B185-((E$5&lt;AI$5)*F185+(K$5&lt;AI$5)*L185+(Q$5&lt;AI$5)*R185+(W$5&lt;AI$5)*X185+(AC$5&lt;AI$5)*AD185+(AO$5&lt;AI$5)*AP185+(AU$5&lt;AI$5)*AV185)))</f>
        <v/>
      </c>
      <c r="AL185">
        <f>IF(AJ185-AK185&lt;0.005,0,AJ185-AK185)</f>
        <v/>
      </c>
      <c r="AM185">
        <f>AR184</f>
        <v/>
      </c>
      <c r="AN185">
        <f>AM185*Plan!D12/100/12</f>
        <v/>
      </c>
      <c r="AO185">
        <f>MIN(Plan!E12,AM185+AN185)</f>
        <v/>
      </c>
      <c r="AP185">
        <f>AM185+AN185-AO185</f>
        <v/>
      </c>
      <c r="AQ185">
        <f>MIN(AP185,MAX(0,$B185-((E$5&lt;AO$5)*F185+(K$5&lt;AO$5)*L185+(Q$5&lt;AO$5)*R185+(W$5&lt;AO$5)*X185+(AC$5&lt;AO$5)*AD185+(AI$5&lt;AO$5)*AJ185+(AU$5&lt;AO$5)*AV185)))</f>
        <v/>
      </c>
      <c r="AR185">
        <f>IF(AP185-AQ185&lt;0.005,0,AP185-AQ185)</f>
        <v/>
      </c>
      <c r="AS185">
        <f>AX184</f>
        <v/>
      </c>
      <c r="AT185">
        <f>AS185*Plan!D13/100/12</f>
        <v/>
      </c>
      <c r="AU185">
        <f>MIN(Plan!E13,AS185+AT185)</f>
        <v/>
      </c>
      <c r="AV185">
        <f>AS185+AT185-AU185</f>
        <v/>
      </c>
      <c r="AW185">
        <f>MIN(AV185,MAX(0,$B185-((E$5&lt;AU$5)*F185+(K$5&lt;AU$5)*L185+(Q$5&lt;AU$5)*R185+(W$5&lt;AU$5)*X185+(AC$5&lt;AU$5)*AD185+(AI$5&lt;AU$5)*AJ185+(AO$5&lt;AU$5)*AP185)))</f>
        <v/>
      </c>
      <c r="AX185">
        <f>IF(AV185-AW185&lt;0.005,0,AV185-AW185)</f>
        <v/>
      </c>
      <c r="BC185">
        <f>H185+N185+T185+Z185+AF185+AL185+AR185+AX185</f>
        <v/>
      </c>
    </row>
    <row r="186">
      <c r="A186" t="n">
        <v>180</v>
      </c>
      <c r="B186" s="19">
        <f>MAX(0,$B$3-(E186+K186+Q186+W186+AC186+AI186+AO186+AU186))</f>
        <v/>
      </c>
      <c r="C186">
        <f>H185</f>
        <v/>
      </c>
      <c r="D186">
        <f>C186*Plan!D6/100/12</f>
        <v/>
      </c>
      <c r="E186">
        <f>MIN(Plan!E6,C186+D186)</f>
        <v/>
      </c>
      <c r="F186">
        <f>C186+D186-E186</f>
        <v/>
      </c>
      <c r="G186">
        <f>MIN(F186,MAX(0,$B186-((K$5&lt;E$5)*L186+(Q$5&lt;E$5)*R186+(W$5&lt;E$5)*X186+(AC$5&lt;E$5)*AD186+(AI$5&lt;E$5)*AJ186+(AO$5&lt;E$5)*AP186+(AU$5&lt;E$5)*AV186)))</f>
        <v/>
      </c>
      <c r="H186">
        <f>IF(F186-G186&lt;0.005,0,F186-G186)</f>
        <v/>
      </c>
      <c r="I186">
        <f>N185</f>
        <v/>
      </c>
      <c r="J186">
        <f>I186*Plan!D7/100/12</f>
        <v/>
      </c>
      <c r="K186">
        <f>MIN(Plan!E7,I186+J186)</f>
        <v/>
      </c>
      <c r="L186">
        <f>I186+J186-K186</f>
        <v/>
      </c>
      <c r="M186">
        <f>MIN(L186,MAX(0,$B186-((E$5&lt;K$5)*F186+(Q$5&lt;K$5)*R186+(W$5&lt;K$5)*X186+(AC$5&lt;K$5)*AD186+(AI$5&lt;K$5)*AJ186+(AO$5&lt;K$5)*AP186+(AU$5&lt;K$5)*AV186)))</f>
        <v/>
      </c>
      <c r="N186">
        <f>IF(L186-M186&lt;0.005,0,L186-M186)</f>
        <v/>
      </c>
      <c r="O186">
        <f>T185</f>
        <v/>
      </c>
      <c r="P186">
        <f>O186*Plan!D8/100/12</f>
        <v/>
      </c>
      <c r="Q186">
        <f>MIN(Plan!E8,O186+P186)</f>
        <v/>
      </c>
      <c r="R186">
        <f>O186+P186-Q186</f>
        <v/>
      </c>
      <c r="S186">
        <f>MIN(R186,MAX(0,$B186-((E$5&lt;Q$5)*F186+(K$5&lt;Q$5)*L186+(W$5&lt;Q$5)*X186+(AC$5&lt;Q$5)*AD186+(AI$5&lt;Q$5)*AJ186+(AO$5&lt;Q$5)*AP186+(AU$5&lt;Q$5)*AV186)))</f>
        <v/>
      </c>
      <c r="T186">
        <f>IF(R186-S186&lt;0.005,0,R186-S186)</f>
        <v/>
      </c>
      <c r="U186">
        <f>Z185</f>
        <v/>
      </c>
      <c r="V186">
        <f>U186*Plan!D9/100/12</f>
        <v/>
      </c>
      <c r="W186">
        <f>MIN(Plan!E9,U186+V186)</f>
        <v/>
      </c>
      <c r="X186">
        <f>U186+V186-W186</f>
        <v/>
      </c>
      <c r="Y186">
        <f>MIN(X186,MAX(0,$B186-((E$5&lt;W$5)*F186+(K$5&lt;W$5)*L186+(Q$5&lt;W$5)*R186+(AC$5&lt;W$5)*AD186+(AI$5&lt;W$5)*AJ186+(AO$5&lt;W$5)*AP186+(AU$5&lt;W$5)*AV186)))</f>
        <v/>
      </c>
      <c r="Z186">
        <f>IF(X186-Y186&lt;0.005,0,X186-Y186)</f>
        <v/>
      </c>
      <c r="AA186">
        <f>AF185</f>
        <v/>
      </c>
      <c r="AB186">
        <f>AA186*Plan!D10/100/12</f>
        <v/>
      </c>
      <c r="AC186">
        <f>MIN(Plan!E10,AA186+AB186)</f>
        <v/>
      </c>
      <c r="AD186">
        <f>AA186+AB186-AC186</f>
        <v/>
      </c>
      <c r="AE186">
        <f>MIN(AD186,MAX(0,$B186-((E$5&lt;AC$5)*F186+(K$5&lt;AC$5)*L186+(Q$5&lt;AC$5)*R186+(W$5&lt;AC$5)*X186+(AI$5&lt;AC$5)*AJ186+(AO$5&lt;AC$5)*AP186+(AU$5&lt;AC$5)*AV186)))</f>
        <v/>
      </c>
      <c r="AF186">
        <f>IF(AD186-AE186&lt;0.005,0,AD186-AE186)</f>
        <v/>
      </c>
      <c r="AG186">
        <f>AL185</f>
        <v/>
      </c>
      <c r="AH186">
        <f>AG186*Plan!D11/100/12</f>
        <v/>
      </c>
      <c r="AI186">
        <f>MIN(Plan!E11,AG186+AH186)</f>
        <v/>
      </c>
      <c r="AJ186">
        <f>AG186+AH186-AI186</f>
        <v/>
      </c>
      <c r="AK186">
        <f>MIN(AJ186,MAX(0,$B186-((E$5&lt;AI$5)*F186+(K$5&lt;AI$5)*L186+(Q$5&lt;AI$5)*R186+(W$5&lt;AI$5)*X186+(AC$5&lt;AI$5)*AD186+(AO$5&lt;AI$5)*AP186+(AU$5&lt;AI$5)*AV186)))</f>
        <v/>
      </c>
      <c r="AL186">
        <f>IF(AJ186-AK186&lt;0.005,0,AJ186-AK186)</f>
        <v/>
      </c>
      <c r="AM186">
        <f>AR185</f>
        <v/>
      </c>
      <c r="AN186">
        <f>AM186*Plan!D12/100/12</f>
        <v/>
      </c>
      <c r="AO186">
        <f>MIN(Plan!E12,AM186+AN186)</f>
        <v/>
      </c>
      <c r="AP186">
        <f>AM186+AN186-AO186</f>
        <v/>
      </c>
      <c r="AQ186">
        <f>MIN(AP186,MAX(0,$B186-((E$5&lt;AO$5)*F186+(K$5&lt;AO$5)*L186+(Q$5&lt;AO$5)*R186+(W$5&lt;AO$5)*X186+(AC$5&lt;AO$5)*AD186+(AI$5&lt;AO$5)*AJ186+(AU$5&lt;AO$5)*AV186)))</f>
        <v/>
      </c>
      <c r="AR186">
        <f>IF(AP186-AQ186&lt;0.005,0,AP186-AQ186)</f>
        <v/>
      </c>
      <c r="AS186">
        <f>AX185</f>
        <v/>
      </c>
      <c r="AT186">
        <f>AS186*Plan!D13/100/12</f>
        <v/>
      </c>
      <c r="AU186">
        <f>MIN(Plan!E13,AS186+AT186)</f>
        <v/>
      </c>
      <c r="AV186">
        <f>AS186+AT186-AU186</f>
        <v/>
      </c>
      <c r="AW186">
        <f>MIN(AV186,MAX(0,$B186-((E$5&lt;AU$5)*F186+(K$5&lt;AU$5)*L186+(Q$5&lt;AU$5)*R186+(W$5&lt;AU$5)*X186+(AC$5&lt;AU$5)*AD186+(AI$5&lt;AU$5)*AJ186+(AO$5&lt;AU$5)*AP186)))</f>
        <v/>
      </c>
      <c r="AX186">
        <f>IF(AV186-AW186&lt;0.005,0,AV186-AW186)</f>
        <v/>
      </c>
      <c r="BC186">
        <f>H186+N186+T186+Z186+AF186+AL186+AR186+AX186</f>
        <v/>
      </c>
    </row>
    <row r="187">
      <c r="A187" t="n">
        <v>181</v>
      </c>
      <c r="B187" s="19">
        <f>MAX(0,$B$3-(E187+K187+Q187+W187+AC187+AI187+AO187+AU187))</f>
        <v/>
      </c>
      <c r="C187">
        <f>H186</f>
        <v/>
      </c>
      <c r="D187">
        <f>C187*Plan!D6/100/12</f>
        <v/>
      </c>
      <c r="E187">
        <f>MIN(Plan!E6,C187+D187)</f>
        <v/>
      </c>
      <c r="F187">
        <f>C187+D187-E187</f>
        <v/>
      </c>
      <c r="G187">
        <f>MIN(F187,MAX(0,$B187-((K$5&lt;E$5)*L187+(Q$5&lt;E$5)*R187+(W$5&lt;E$5)*X187+(AC$5&lt;E$5)*AD187+(AI$5&lt;E$5)*AJ187+(AO$5&lt;E$5)*AP187+(AU$5&lt;E$5)*AV187)))</f>
        <v/>
      </c>
      <c r="H187">
        <f>IF(F187-G187&lt;0.005,0,F187-G187)</f>
        <v/>
      </c>
      <c r="I187">
        <f>N186</f>
        <v/>
      </c>
      <c r="J187">
        <f>I187*Plan!D7/100/12</f>
        <v/>
      </c>
      <c r="K187">
        <f>MIN(Plan!E7,I187+J187)</f>
        <v/>
      </c>
      <c r="L187">
        <f>I187+J187-K187</f>
        <v/>
      </c>
      <c r="M187">
        <f>MIN(L187,MAX(0,$B187-((E$5&lt;K$5)*F187+(Q$5&lt;K$5)*R187+(W$5&lt;K$5)*X187+(AC$5&lt;K$5)*AD187+(AI$5&lt;K$5)*AJ187+(AO$5&lt;K$5)*AP187+(AU$5&lt;K$5)*AV187)))</f>
        <v/>
      </c>
      <c r="N187">
        <f>IF(L187-M187&lt;0.005,0,L187-M187)</f>
        <v/>
      </c>
      <c r="O187">
        <f>T186</f>
        <v/>
      </c>
      <c r="P187">
        <f>O187*Plan!D8/100/12</f>
        <v/>
      </c>
      <c r="Q187">
        <f>MIN(Plan!E8,O187+P187)</f>
        <v/>
      </c>
      <c r="R187">
        <f>O187+P187-Q187</f>
        <v/>
      </c>
      <c r="S187">
        <f>MIN(R187,MAX(0,$B187-((E$5&lt;Q$5)*F187+(K$5&lt;Q$5)*L187+(W$5&lt;Q$5)*X187+(AC$5&lt;Q$5)*AD187+(AI$5&lt;Q$5)*AJ187+(AO$5&lt;Q$5)*AP187+(AU$5&lt;Q$5)*AV187)))</f>
        <v/>
      </c>
      <c r="T187">
        <f>IF(R187-S187&lt;0.005,0,R187-S187)</f>
        <v/>
      </c>
      <c r="U187">
        <f>Z186</f>
        <v/>
      </c>
      <c r="V187">
        <f>U187*Plan!D9/100/12</f>
        <v/>
      </c>
      <c r="W187">
        <f>MIN(Plan!E9,U187+V187)</f>
        <v/>
      </c>
      <c r="X187">
        <f>U187+V187-W187</f>
        <v/>
      </c>
      <c r="Y187">
        <f>MIN(X187,MAX(0,$B187-((E$5&lt;W$5)*F187+(K$5&lt;W$5)*L187+(Q$5&lt;W$5)*R187+(AC$5&lt;W$5)*AD187+(AI$5&lt;W$5)*AJ187+(AO$5&lt;W$5)*AP187+(AU$5&lt;W$5)*AV187)))</f>
        <v/>
      </c>
      <c r="Z187">
        <f>IF(X187-Y187&lt;0.005,0,X187-Y187)</f>
        <v/>
      </c>
      <c r="AA187">
        <f>AF186</f>
        <v/>
      </c>
      <c r="AB187">
        <f>AA187*Plan!D10/100/12</f>
        <v/>
      </c>
      <c r="AC187">
        <f>MIN(Plan!E10,AA187+AB187)</f>
        <v/>
      </c>
      <c r="AD187">
        <f>AA187+AB187-AC187</f>
        <v/>
      </c>
      <c r="AE187">
        <f>MIN(AD187,MAX(0,$B187-((E$5&lt;AC$5)*F187+(K$5&lt;AC$5)*L187+(Q$5&lt;AC$5)*R187+(W$5&lt;AC$5)*X187+(AI$5&lt;AC$5)*AJ187+(AO$5&lt;AC$5)*AP187+(AU$5&lt;AC$5)*AV187)))</f>
        <v/>
      </c>
      <c r="AF187">
        <f>IF(AD187-AE187&lt;0.005,0,AD187-AE187)</f>
        <v/>
      </c>
      <c r="AG187">
        <f>AL186</f>
        <v/>
      </c>
      <c r="AH187">
        <f>AG187*Plan!D11/100/12</f>
        <v/>
      </c>
      <c r="AI187">
        <f>MIN(Plan!E11,AG187+AH187)</f>
        <v/>
      </c>
      <c r="AJ187">
        <f>AG187+AH187-AI187</f>
        <v/>
      </c>
      <c r="AK187">
        <f>MIN(AJ187,MAX(0,$B187-((E$5&lt;AI$5)*F187+(K$5&lt;AI$5)*L187+(Q$5&lt;AI$5)*R187+(W$5&lt;AI$5)*X187+(AC$5&lt;AI$5)*AD187+(AO$5&lt;AI$5)*AP187+(AU$5&lt;AI$5)*AV187)))</f>
        <v/>
      </c>
      <c r="AL187">
        <f>IF(AJ187-AK187&lt;0.005,0,AJ187-AK187)</f>
        <v/>
      </c>
      <c r="AM187">
        <f>AR186</f>
        <v/>
      </c>
      <c r="AN187">
        <f>AM187*Plan!D12/100/12</f>
        <v/>
      </c>
      <c r="AO187">
        <f>MIN(Plan!E12,AM187+AN187)</f>
        <v/>
      </c>
      <c r="AP187">
        <f>AM187+AN187-AO187</f>
        <v/>
      </c>
      <c r="AQ187">
        <f>MIN(AP187,MAX(0,$B187-((E$5&lt;AO$5)*F187+(K$5&lt;AO$5)*L187+(Q$5&lt;AO$5)*R187+(W$5&lt;AO$5)*X187+(AC$5&lt;AO$5)*AD187+(AI$5&lt;AO$5)*AJ187+(AU$5&lt;AO$5)*AV187)))</f>
        <v/>
      </c>
      <c r="AR187">
        <f>IF(AP187-AQ187&lt;0.005,0,AP187-AQ187)</f>
        <v/>
      </c>
      <c r="AS187">
        <f>AX186</f>
        <v/>
      </c>
      <c r="AT187">
        <f>AS187*Plan!D13/100/12</f>
        <v/>
      </c>
      <c r="AU187">
        <f>MIN(Plan!E13,AS187+AT187)</f>
        <v/>
      </c>
      <c r="AV187">
        <f>AS187+AT187-AU187</f>
        <v/>
      </c>
      <c r="AW187">
        <f>MIN(AV187,MAX(0,$B187-((E$5&lt;AU$5)*F187+(K$5&lt;AU$5)*L187+(Q$5&lt;AU$5)*R187+(W$5&lt;AU$5)*X187+(AC$5&lt;AU$5)*AD187+(AI$5&lt;AU$5)*AJ187+(AO$5&lt;AU$5)*AP187)))</f>
        <v/>
      </c>
      <c r="AX187">
        <f>IF(AV187-AW187&lt;0.005,0,AV187-AW187)</f>
        <v/>
      </c>
      <c r="BC187">
        <f>H187+N187+T187+Z187+AF187+AL187+AR187+AX187</f>
        <v/>
      </c>
    </row>
    <row r="188">
      <c r="A188" t="n">
        <v>182</v>
      </c>
      <c r="B188" s="19">
        <f>MAX(0,$B$3-(E188+K188+Q188+W188+AC188+AI188+AO188+AU188))</f>
        <v/>
      </c>
      <c r="C188">
        <f>H187</f>
        <v/>
      </c>
      <c r="D188">
        <f>C188*Plan!D6/100/12</f>
        <v/>
      </c>
      <c r="E188">
        <f>MIN(Plan!E6,C188+D188)</f>
        <v/>
      </c>
      <c r="F188">
        <f>C188+D188-E188</f>
        <v/>
      </c>
      <c r="G188">
        <f>MIN(F188,MAX(0,$B188-((K$5&lt;E$5)*L188+(Q$5&lt;E$5)*R188+(W$5&lt;E$5)*X188+(AC$5&lt;E$5)*AD188+(AI$5&lt;E$5)*AJ188+(AO$5&lt;E$5)*AP188+(AU$5&lt;E$5)*AV188)))</f>
        <v/>
      </c>
      <c r="H188">
        <f>IF(F188-G188&lt;0.005,0,F188-G188)</f>
        <v/>
      </c>
      <c r="I188">
        <f>N187</f>
        <v/>
      </c>
      <c r="J188">
        <f>I188*Plan!D7/100/12</f>
        <v/>
      </c>
      <c r="K188">
        <f>MIN(Plan!E7,I188+J188)</f>
        <v/>
      </c>
      <c r="L188">
        <f>I188+J188-K188</f>
        <v/>
      </c>
      <c r="M188">
        <f>MIN(L188,MAX(0,$B188-((E$5&lt;K$5)*F188+(Q$5&lt;K$5)*R188+(W$5&lt;K$5)*X188+(AC$5&lt;K$5)*AD188+(AI$5&lt;K$5)*AJ188+(AO$5&lt;K$5)*AP188+(AU$5&lt;K$5)*AV188)))</f>
        <v/>
      </c>
      <c r="N188">
        <f>IF(L188-M188&lt;0.005,0,L188-M188)</f>
        <v/>
      </c>
      <c r="O188">
        <f>T187</f>
        <v/>
      </c>
      <c r="P188">
        <f>O188*Plan!D8/100/12</f>
        <v/>
      </c>
      <c r="Q188">
        <f>MIN(Plan!E8,O188+P188)</f>
        <v/>
      </c>
      <c r="R188">
        <f>O188+P188-Q188</f>
        <v/>
      </c>
      <c r="S188">
        <f>MIN(R188,MAX(0,$B188-((E$5&lt;Q$5)*F188+(K$5&lt;Q$5)*L188+(W$5&lt;Q$5)*X188+(AC$5&lt;Q$5)*AD188+(AI$5&lt;Q$5)*AJ188+(AO$5&lt;Q$5)*AP188+(AU$5&lt;Q$5)*AV188)))</f>
        <v/>
      </c>
      <c r="T188">
        <f>IF(R188-S188&lt;0.005,0,R188-S188)</f>
        <v/>
      </c>
      <c r="U188">
        <f>Z187</f>
        <v/>
      </c>
      <c r="V188">
        <f>U188*Plan!D9/100/12</f>
        <v/>
      </c>
      <c r="W188">
        <f>MIN(Plan!E9,U188+V188)</f>
        <v/>
      </c>
      <c r="X188">
        <f>U188+V188-W188</f>
        <v/>
      </c>
      <c r="Y188">
        <f>MIN(X188,MAX(0,$B188-((E$5&lt;W$5)*F188+(K$5&lt;W$5)*L188+(Q$5&lt;W$5)*R188+(AC$5&lt;W$5)*AD188+(AI$5&lt;W$5)*AJ188+(AO$5&lt;W$5)*AP188+(AU$5&lt;W$5)*AV188)))</f>
        <v/>
      </c>
      <c r="Z188">
        <f>IF(X188-Y188&lt;0.005,0,X188-Y188)</f>
        <v/>
      </c>
      <c r="AA188">
        <f>AF187</f>
        <v/>
      </c>
      <c r="AB188">
        <f>AA188*Plan!D10/100/12</f>
        <v/>
      </c>
      <c r="AC188">
        <f>MIN(Plan!E10,AA188+AB188)</f>
        <v/>
      </c>
      <c r="AD188">
        <f>AA188+AB188-AC188</f>
        <v/>
      </c>
      <c r="AE188">
        <f>MIN(AD188,MAX(0,$B188-((E$5&lt;AC$5)*F188+(K$5&lt;AC$5)*L188+(Q$5&lt;AC$5)*R188+(W$5&lt;AC$5)*X188+(AI$5&lt;AC$5)*AJ188+(AO$5&lt;AC$5)*AP188+(AU$5&lt;AC$5)*AV188)))</f>
        <v/>
      </c>
      <c r="AF188">
        <f>IF(AD188-AE188&lt;0.005,0,AD188-AE188)</f>
        <v/>
      </c>
      <c r="AG188">
        <f>AL187</f>
        <v/>
      </c>
      <c r="AH188">
        <f>AG188*Plan!D11/100/12</f>
        <v/>
      </c>
      <c r="AI188">
        <f>MIN(Plan!E11,AG188+AH188)</f>
        <v/>
      </c>
      <c r="AJ188">
        <f>AG188+AH188-AI188</f>
        <v/>
      </c>
      <c r="AK188">
        <f>MIN(AJ188,MAX(0,$B188-((E$5&lt;AI$5)*F188+(K$5&lt;AI$5)*L188+(Q$5&lt;AI$5)*R188+(W$5&lt;AI$5)*X188+(AC$5&lt;AI$5)*AD188+(AO$5&lt;AI$5)*AP188+(AU$5&lt;AI$5)*AV188)))</f>
        <v/>
      </c>
      <c r="AL188">
        <f>IF(AJ188-AK188&lt;0.005,0,AJ188-AK188)</f>
        <v/>
      </c>
      <c r="AM188">
        <f>AR187</f>
        <v/>
      </c>
      <c r="AN188">
        <f>AM188*Plan!D12/100/12</f>
        <v/>
      </c>
      <c r="AO188">
        <f>MIN(Plan!E12,AM188+AN188)</f>
        <v/>
      </c>
      <c r="AP188">
        <f>AM188+AN188-AO188</f>
        <v/>
      </c>
      <c r="AQ188">
        <f>MIN(AP188,MAX(0,$B188-((E$5&lt;AO$5)*F188+(K$5&lt;AO$5)*L188+(Q$5&lt;AO$5)*R188+(W$5&lt;AO$5)*X188+(AC$5&lt;AO$5)*AD188+(AI$5&lt;AO$5)*AJ188+(AU$5&lt;AO$5)*AV188)))</f>
        <v/>
      </c>
      <c r="AR188">
        <f>IF(AP188-AQ188&lt;0.005,0,AP188-AQ188)</f>
        <v/>
      </c>
      <c r="AS188">
        <f>AX187</f>
        <v/>
      </c>
      <c r="AT188">
        <f>AS188*Plan!D13/100/12</f>
        <v/>
      </c>
      <c r="AU188">
        <f>MIN(Plan!E13,AS188+AT188)</f>
        <v/>
      </c>
      <c r="AV188">
        <f>AS188+AT188-AU188</f>
        <v/>
      </c>
      <c r="AW188">
        <f>MIN(AV188,MAX(0,$B188-((E$5&lt;AU$5)*F188+(K$5&lt;AU$5)*L188+(Q$5&lt;AU$5)*R188+(W$5&lt;AU$5)*X188+(AC$5&lt;AU$5)*AD188+(AI$5&lt;AU$5)*AJ188+(AO$5&lt;AU$5)*AP188)))</f>
        <v/>
      </c>
      <c r="AX188">
        <f>IF(AV188-AW188&lt;0.005,0,AV188-AW188)</f>
        <v/>
      </c>
      <c r="BC188">
        <f>H188+N188+T188+Z188+AF188+AL188+AR188+AX188</f>
        <v/>
      </c>
    </row>
    <row r="189">
      <c r="A189" t="n">
        <v>183</v>
      </c>
      <c r="B189" s="19">
        <f>MAX(0,$B$3-(E189+K189+Q189+W189+AC189+AI189+AO189+AU189))</f>
        <v/>
      </c>
      <c r="C189">
        <f>H188</f>
        <v/>
      </c>
      <c r="D189">
        <f>C189*Plan!D6/100/12</f>
        <v/>
      </c>
      <c r="E189">
        <f>MIN(Plan!E6,C189+D189)</f>
        <v/>
      </c>
      <c r="F189">
        <f>C189+D189-E189</f>
        <v/>
      </c>
      <c r="G189">
        <f>MIN(F189,MAX(0,$B189-((K$5&lt;E$5)*L189+(Q$5&lt;E$5)*R189+(W$5&lt;E$5)*X189+(AC$5&lt;E$5)*AD189+(AI$5&lt;E$5)*AJ189+(AO$5&lt;E$5)*AP189+(AU$5&lt;E$5)*AV189)))</f>
        <v/>
      </c>
      <c r="H189">
        <f>IF(F189-G189&lt;0.005,0,F189-G189)</f>
        <v/>
      </c>
      <c r="I189">
        <f>N188</f>
        <v/>
      </c>
      <c r="J189">
        <f>I189*Plan!D7/100/12</f>
        <v/>
      </c>
      <c r="K189">
        <f>MIN(Plan!E7,I189+J189)</f>
        <v/>
      </c>
      <c r="L189">
        <f>I189+J189-K189</f>
        <v/>
      </c>
      <c r="M189">
        <f>MIN(L189,MAX(0,$B189-((E$5&lt;K$5)*F189+(Q$5&lt;K$5)*R189+(W$5&lt;K$5)*X189+(AC$5&lt;K$5)*AD189+(AI$5&lt;K$5)*AJ189+(AO$5&lt;K$5)*AP189+(AU$5&lt;K$5)*AV189)))</f>
        <v/>
      </c>
      <c r="N189">
        <f>IF(L189-M189&lt;0.005,0,L189-M189)</f>
        <v/>
      </c>
      <c r="O189">
        <f>T188</f>
        <v/>
      </c>
      <c r="P189">
        <f>O189*Plan!D8/100/12</f>
        <v/>
      </c>
      <c r="Q189">
        <f>MIN(Plan!E8,O189+P189)</f>
        <v/>
      </c>
      <c r="R189">
        <f>O189+P189-Q189</f>
        <v/>
      </c>
      <c r="S189">
        <f>MIN(R189,MAX(0,$B189-((E$5&lt;Q$5)*F189+(K$5&lt;Q$5)*L189+(W$5&lt;Q$5)*X189+(AC$5&lt;Q$5)*AD189+(AI$5&lt;Q$5)*AJ189+(AO$5&lt;Q$5)*AP189+(AU$5&lt;Q$5)*AV189)))</f>
        <v/>
      </c>
      <c r="T189">
        <f>IF(R189-S189&lt;0.005,0,R189-S189)</f>
        <v/>
      </c>
      <c r="U189">
        <f>Z188</f>
        <v/>
      </c>
      <c r="V189">
        <f>U189*Plan!D9/100/12</f>
        <v/>
      </c>
      <c r="W189">
        <f>MIN(Plan!E9,U189+V189)</f>
        <v/>
      </c>
      <c r="X189">
        <f>U189+V189-W189</f>
        <v/>
      </c>
      <c r="Y189">
        <f>MIN(X189,MAX(0,$B189-((E$5&lt;W$5)*F189+(K$5&lt;W$5)*L189+(Q$5&lt;W$5)*R189+(AC$5&lt;W$5)*AD189+(AI$5&lt;W$5)*AJ189+(AO$5&lt;W$5)*AP189+(AU$5&lt;W$5)*AV189)))</f>
        <v/>
      </c>
      <c r="Z189">
        <f>IF(X189-Y189&lt;0.005,0,X189-Y189)</f>
        <v/>
      </c>
      <c r="AA189">
        <f>AF188</f>
        <v/>
      </c>
      <c r="AB189">
        <f>AA189*Plan!D10/100/12</f>
        <v/>
      </c>
      <c r="AC189">
        <f>MIN(Plan!E10,AA189+AB189)</f>
        <v/>
      </c>
      <c r="AD189">
        <f>AA189+AB189-AC189</f>
        <v/>
      </c>
      <c r="AE189">
        <f>MIN(AD189,MAX(0,$B189-((E$5&lt;AC$5)*F189+(K$5&lt;AC$5)*L189+(Q$5&lt;AC$5)*R189+(W$5&lt;AC$5)*X189+(AI$5&lt;AC$5)*AJ189+(AO$5&lt;AC$5)*AP189+(AU$5&lt;AC$5)*AV189)))</f>
        <v/>
      </c>
      <c r="AF189">
        <f>IF(AD189-AE189&lt;0.005,0,AD189-AE189)</f>
        <v/>
      </c>
      <c r="AG189">
        <f>AL188</f>
        <v/>
      </c>
      <c r="AH189">
        <f>AG189*Plan!D11/100/12</f>
        <v/>
      </c>
      <c r="AI189">
        <f>MIN(Plan!E11,AG189+AH189)</f>
        <v/>
      </c>
      <c r="AJ189">
        <f>AG189+AH189-AI189</f>
        <v/>
      </c>
      <c r="AK189">
        <f>MIN(AJ189,MAX(0,$B189-((E$5&lt;AI$5)*F189+(K$5&lt;AI$5)*L189+(Q$5&lt;AI$5)*R189+(W$5&lt;AI$5)*X189+(AC$5&lt;AI$5)*AD189+(AO$5&lt;AI$5)*AP189+(AU$5&lt;AI$5)*AV189)))</f>
        <v/>
      </c>
      <c r="AL189">
        <f>IF(AJ189-AK189&lt;0.005,0,AJ189-AK189)</f>
        <v/>
      </c>
      <c r="AM189">
        <f>AR188</f>
        <v/>
      </c>
      <c r="AN189">
        <f>AM189*Plan!D12/100/12</f>
        <v/>
      </c>
      <c r="AO189">
        <f>MIN(Plan!E12,AM189+AN189)</f>
        <v/>
      </c>
      <c r="AP189">
        <f>AM189+AN189-AO189</f>
        <v/>
      </c>
      <c r="AQ189">
        <f>MIN(AP189,MAX(0,$B189-((E$5&lt;AO$5)*F189+(K$5&lt;AO$5)*L189+(Q$5&lt;AO$5)*R189+(W$5&lt;AO$5)*X189+(AC$5&lt;AO$5)*AD189+(AI$5&lt;AO$5)*AJ189+(AU$5&lt;AO$5)*AV189)))</f>
        <v/>
      </c>
      <c r="AR189">
        <f>IF(AP189-AQ189&lt;0.005,0,AP189-AQ189)</f>
        <v/>
      </c>
      <c r="AS189">
        <f>AX188</f>
        <v/>
      </c>
      <c r="AT189">
        <f>AS189*Plan!D13/100/12</f>
        <v/>
      </c>
      <c r="AU189">
        <f>MIN(Plan!E13,AS189+AT189)</f>
        <v/>
      </c>
      <c r="AV189">
        <f>AS189+AT189-AU189</f>
        <v/>
      </c>
      <c r="AW189">
        <f>MIN(AV189,MAX(0,$B189-((E$5&lt;AU$5)*F189+(K$5&lt;AU$5)*L189+(Q$5&lt;AU$5)*R189+(W$5&lt;AU$5)*X189+(AC$5&lt;AU$5)*AD189+(AI$5&lt;AU$5)*AJ189+(AO$5&lt;AU$5)*AP189)))</f>
        <v/>
      </c>
      <c r="AX189">
        <f>IF(AV189-AW189&lt;0.005,0,AV189-AW189)</f>
        <v/>
      </c>
      <c r="BC189">
        <f>H189+N189+T189+Z189+AF189+AL189+AR189+AX189</f>
        <v/>
      </c>
    </row>
    <row r="190">
      <c r="A190" t="n">
        <v>184</v>
      </c>
      <c r="B190" s="19">
        <f>MAX(0,$B$3-(E190+K190+Q190+W190+AC190+AI190+AO190+AU190))</f>
        <v/>
      </c>
      <c r="C190">
        <f>H189</f>
        <v/>
      </c>
      <c r="D190">
        <f>C190*Plan!D6/100/12</f>
        <v/>
      </c>
      <c r="E190">
        <f>MIN(Plan!E6,C190+D190)</f>
        <v/>
      </c>
      <c r="F190">
        <f>C190+D190-E190</f>
        <v/>
      </c>
      <c r="G190">
        <f>MIN(F190,MAX(0,$B190-((K$5&lt;E$5)*L190+(Q$5&lt;E$5)*R190+(W$5&lt;E$5)*X190+(AC$5&lt;E$5)*AD190+(AI$5&lt;E$5)*AJ190+(AO$5&lt;E$5)*AP190+(AU$5&lt;E$5)*AV190)))</f>
        <v/>
      </c>
      <c r="H190">
        <f>IF(F190-G190&lt;0.005,0,F190-G190)</f>
        <v/>
      </c>
      <c r="I190">
        <f>N189</f>
        <v/>
      </c>
      <c r="J190">
        <f>I190*Plan!D7/100/12</f>
        <v/>
      </c>
      <c r="K190">
        <f>MIN(Plan!E7,I190+J190)</f>
        <v/>
      </c>
      <c r="L190">
        <f>I190+J190-K190</f>
        <v/>
      </c>
      <c r="M190">
        <f>MIN(L190,MAX(0,$B190-((E$5&lt;K$5)*F190+(Q$5&lt;K$5)*R190+(W$5&lt;K$5)*X190+(AC$5&lt;K$5)*AD190+(AI$5&lt;K$5)*AJ190+(AO$5&lt;K$5)*AP190+(AU$5&lt;K$5)*AV190)))</f>
        <v/>
      </c>
      <c r="N190">
        <f>IF(L190-M190&lt;0.005,0,L190-M190)</f>
        <v/>
      </c>
      <c r="O190">
        <f>T189</f>
        <v/>
      </c>
      <c r="P190">
        <f>O190*Plan!D8/100/12</f>
        <v/>
      </c>
      <c r="Q190">
        <f>MIN(Plan!E8,O190+P190)</f>
        <v/>
      </c>
      <c r="R190">
        <f>O190+P190-Q190</f>
        <v/>
      </c>
      <c r="S190">
        <f>MIN(R190,MAX(0,$B190-((E$5&lt;Q$5)*F190+(K$5&lt;Q$5)*L190+(W$5&lt;Q$5)*X190+(AC$5&lt;Q$5)*AD190+(AI$5&lt;Q$5)*AJ190+(AO$5&lt;Q$5)*AP190+(AU$5&lt;Q$5)*AV190)))</f>
        <v/>
      </c>
      <c r="T190">
        <f>IF(R190-S190&lt;0.005,0,R190-S190)</f>
        <v/>
      </c>
      <c r="U190">
        <f>Z189</f>
        <v/>
      </c>
      <c r="V190">
        <f>U190*Plan!D9/100/12</f>
        <v/>
      </c>
      <c r="W190">
        <f>MIN(Plan!E9,U190+V190)</f>
        <v/>
      </c>
      <c r="X190">
        <f>U190+V190-W190</f>
        <v/>
      </c>
      <c r="Y190">
        <f>MIN(X190,MAX(0,$B190-((E$5&lt;W$5)*F190+(K$5&lt;W$5)*L190+(Q$5&lt;W$5)*R190+(AC$5&lt;W$5)*AD190+(AI$5&lt;W$5)*AJ190+(AO$5&lt;W$5)*AP190+(AU$5&lt;W$5)*AV190)))</f>
        <v/>
      </c>
      <c r="Z190">
        <f>IF(X190-Y190&lt;0.005,0,X190-Y190)</f>
        <v/>
      </c>
      <c r="AA190">
        <f>AF189</f>
        <v/>
      </c>
      <c r="AB190">
        <f>AA190*Plan!D10/100/12</f>
        <v/>
      </c>
      <c r="AC190">
        <f>MIN(Plan!E10,AA190+AB190)</f>
        <v/>
      </c>
      <c r="AD190">
        <f>AA190+AB190-AC190</f>
        <v/>
      </c>
      <c r="AE190">
        <f>MIN(AD190,MAX(0,$B190-((E$5&lt;AC$5)*F190+(K$5&lt;AC$5)*L190+(Q$5&lt;AC$5)*R190+(W$5&lt;AC$5)*X190+(AI$5&lt;AC$5)*AJ190+(AO$5&lt;AC$5)*AP190+(AU$5&lt;AC$5)*AV190)))</f>
        <v/>
      </c>
      <c r="AF190">
        <f>IF(AD190-AE190&lt;0.005,0,AD190-AE190)</f>
        <v/>
      </c>
      <c r="AG190">
        <f>AL189</f>
        <v/>
      </c>
      <c r="AH190">
        <f>AG190*Plan!D11/100/12</f>
        <v/>
      </c>
      <c r="AI190">
        <f>MIN(Plan!E11,AG190+AH190)</f>
        <v/>
      </c>
      <c r="AJ190">
        <f>AG190+AH190-AI190</f>
        <v/>
      </c>
      <c r="AK190">
        <f>MIN(AJ190,MAX(0,$B190-((E$5&lt;AI$5)*F190+(K$5&lt;AI$5)*L190+(Q$5&lt;AI$5)*R190+(W$5&lt;AI$5)*X190+(AC$5&lt;AI$5)*AD190+(AO$5&lt;AI$5)*AP190+(AU$5&lt;AI$5)*AV190)))</f>
        <v/>
      </c>
      <c r="AL190">
        <f>IF(AJ190-AK190&lt;0.005,0,AJ190-AK190)</f>
        <v/>
      </c>
      <c r="AM190">
        <f>AR189</f>
        <v/>
      </c>
      <c r="AN190">
        <f>AM190*Plan!D12/100/12</f>
        <v/>
      </c>
      <c r="AO190">
        <f>MIN(Plan!E12,AM190+AN190)</f>
        <v/>
      </c>
      <c r="AP190">
        <f>AM190+AN190-AO190</f>
        <v/>
      </c>
      <c r="AQ190">
        <f>MIN(AP190,MAX(0,$B190-((E$5&lt;AO$5)*F190+(K$5&lt;AO$5)*L190+(Q$5&lt;AO$5)*R190+(W$5&lt;AO$5)*X190+(AC$5&lt;AO$5)*AD190+(AI$5&lt;AO$5)*AJ190+(AU$5&lt;AO$5)*AV190)))</f>
        <v/>
      </c>
      <c r="AR190">
        <f>IF(AP190-AQ190&lt;0.005,0,AP190-AQ190)</f>
        <v/>
      </c>
      <c r="AS190">
        <f>AX189</f>
        <v/>
      </c>
      <c r="AT190">
        <f>AS190*Plan!D13/100/12</f>
        <v/>
      </c>
      <c r="AU190">
        <f>MIN(Plan!E13,AS190+AT190)</f>
        <v/>
      </c>
      <c r="AV190">
        <f>AS190+AT190-AU190</f>
        <v/>
      </c>
      <c r="AW190">
        <f>MIN(AV190,MAX(0,$B190-((E$5&lt;AU$5)*F190+(K$5&lt;AU$5)*L190+(Q$5&lt;AU$5)*R190+(W$5&lt;AU$5)*X190+(AC$5&lt;AU$5)*AD190+(AI$5&lt;AU$5)*AJ190+(AO$5&lt;AU$5)*AP190)))</f>
        <v/>
      </c>
      <c r="AX190">
        <f>IF(AV190-AW190&lt;0.005,0,AV190-AW190)</f>
        <v/>
      </c>
      <c r="BC190">
        <f>H190+N190+T190+Z190+AF190+AL190+AR190+AX190</f>
        <v/>
      </c>
    </row>
    <row r="191">
      <c r="A191" t="n">
        <v>185</v>
      </c>
      <c r="B191" s="19">
        <f>MAX(0,$B$3-(E191+K191+Q191+W191+AC191+AI191+AO191+AU191))</f>
        <v/>
      </c>
      <c r="C191">
        <f>H190</f>
        <v/>
      </c>
      <c r="D191">
        <f>C191*Plan!D6/100/12</f>
        <v/>
      </c>
      <c r="E191">
        <f>MIN(Plan!E6,C191+D191)</f>
        <v/>
      </c>
      <c r="F191">
        <f>C191+D191-E191</f>
        <v/>
      </c>
      <c r="G191">
        <f>MIN(F191,MAX(0,$B191-((K$5&lt;E$5)*L191+(Q$5&lt;E$5)*R191+(W$5&lt;E$5)*X191+(AC$5&lt;E$5)*AD191+(AI$5&lt;E$5)*AJ191+(AO$5&lt;E$5)*AP191+(AU$5&lt;E$5)*AV191)))</f>
        <v/>
      </c>
      <c r="H191">
        <f>IF(F191-G191&lt;0.005,0,F191-G191)</f>
        <v/>
      </c>
      <c r="I191">
        <f>N190</f>
        <v/>
      </c>
      <c r="J191">
        <f>I191*Plan!D7/100/12</f>
        <v/>
      </c>
      <c r="K191">
        <f>MIN(Plan!E7,I191+J191)</f>
        <v/>
      </c>
      <c r="L191">
        <f>I191+J191-K191</f>
        <v/>
      </c>
      <c r="M191">
        <f>MIN(L191,MAX(0,$B191-((E$5&lt;K$5)*F191+(Q$5&lt;K$5)*R191+(W$5&lt;K$5)*X191+(AC$5&lt;K$5)*AD191+(AI$5&lt;K$5)*AJ191+(AO$5&lt;K$5)*AP191+(AU$5&lt;K$5)*AV191)))</f>
        <v/>
      </c>
      <c r="N191">
        <f>IF(L191-M191&lt;0.005,0,L191-M191)</f>
        <v/>
      </c>
      <c r="O191">
        <f>T190</f>
        <v/>
      </c>
      <c r="P191">
        <f>O191*Plan!D8/100/12</f>
        <v/>
      </c>
      <c r="Q191">
        <f>MIN(Plan!E8,O191+P191)</f>
        <v/>
      </c>
      <c r="R191">
        <f>O191+P191-Q191</f>
        <v/>
      </c>
      <c r="S191">
        <f>MIN(R191,MAX(0,$B191-((E$5&lt;Q$5)*F191+(K$5&lt;Q$5)*L191+(W$5&lt;Q$5)*X191+(AC$5&lt;Q$5)*AD191+(AI$5&lt;Q$5)*AJ191+(AO$5&lt;Q$5)*AP191+(AU$5&lt;Q$5)*AV191)))</f>
        <v/>
      </c>
      <c r="T191">
        <f>IF(R191-S191&lt;0.005,0,R191-S191)</f>
        <v/>
      </c>
      <c r="U191">
        <f>Z190</f>
        <v/>
      </c>
      <c r="V191">
        <f>U191*Plan!D9/100/12</f>
        <v/>
      </c>
      <c r="W191">
        <f>MIN(Plan!E9,U191+V191)</f>
        <v/>
      </c>
      <c r="X191">
        <f>U191+V191-W191</f>
        <v/>
      </c>
      <c r="Y191">
        <f>MIN(X191,MAX(0,$B191-((E$5&lt;W$5)*F191+(K$5&lt;W$5)*L191+(Q$5&lt;W$5)*R191+(AC$5&lt;W$5)*AD191+(AI$5&lt;W$5)*AJ191+(AO$5&lt;W$5)*AP191+(AU$5&lt;W$5)*AV191)))</f>
        <v/>
      </c>
      <c r="Z191">
        <f>IF(X191-Y191&lt;0.005,0,X191-Y191)</f>
        <v/>
      </c>
      <c r="AA191">
        <f>AF190</f>
        <v/>
      </c>
      <c r="AB191">
        <f>AA191*Plan!D10/100/12</f>
        <v/>
      </c>
      <c r="AC191">
        <f>MIN(Plan!E10,AA191+AB191)</f>
        <v/>
      </c>
      <c r="AD191">
        <f>AA191+AB191-AC191</f>
        <v/>
      </c>
      <c r="AE191">
        <f>MIN(AD191,MAX(0,$B191-((E$5&lt;AC$5)*F191+(K$5&lt;AC$5)*L191+(Q$5&lt;AC$5)*R191+(W$5&lt;AC$5)*X191+(AI$5&lt;AC$5)*AJ191+(AO$5&lt;AC$5)*AP191+(AU$5&lt;AC$5)*AV191)))</f>
        <v/>
      </c>
      <c r="AF191">
        <f>IF(AD191-AE191&lt;0.005,0,AD191-AE191)</f>
        <v/>
      </c>
      <c r="AG191">
        <f>AL190</f>
        <v/>
      </c>
      <c r="AH191">
        <f>AG191*Plan!D11/100/12</f>
        <v/>
      </c>
      <c r="AI191">
        <f>MIN(Plan!E11,AG191+AH191)</f>
        <v/>
      </c>
      <c r="AJ191">
        <f>AG191+AH191-AI191</f>
        <v/>
      </c>
      <c r="AK191">
        <f>MIN(AJ191,MAX(0,$B191-((E$5&lt;AI$5)*F191+(K$5&lt;AI$5)*L191+(Q$5&lt;AI$5)*R191+(W$5&lt;AI$5)*X191+(AC$5&lt;AI$5)*AD191+(AO$5&lt;AI$5)*AP191+(AU$5&lt;AI$5)*AV191)))</f>
        <v/>
      </c>
      <c r="AL191">
        <f>IF(AJ191-AK191&lt;0.005,0,AJ191-AK191)</f>
        <v/>
      </c>
      <c r="AM191">
        <f>AR190</f>
        <v/>
      </c>
      <c r="AN191">
        <f>AM191*Plan!D12/100/12</f>
        <v/>
      </c>
      <c r="AO191">
        <f>MIN(Plan!E12,AM191+AN191)</f>
        <v/>
      </c>
      <c r="AP191">
        <f>AM191+AN191-AO191</f>
        <v/>
      </c>
      <c r="AQ191">
        <f>MIN(AP191,MAX(0,$B191-((E$5&lt;AO$5)*F191+(K$5&lt;AO$5)*L191+(Q$5&lt;AO$5)*R191+(W$5&lt;AO$5)*X191+(AC$5&lt;AO$5)*AD191+(AI$5&lt;AO$5)*AJ191+(AU$5&lt;AO$5)*AV191)))</f>
        <v/>
      </c>
      <c r="AR191">
        <f>IF(AP191-AQ191&lt;0.005,0,AP191-AQ191)</f>
        <v/>
      </c>
      <c r="AS191">
        <f>AX190</f>
        <v/>
      </c>
      <c r="AT191">
        <f>AS191*Plan!D13/100/12</f>
        <v/>
      </c>
      <c r="AU191">
        <f>MIN(Plan!E13,AS191+AT191)</f>
        <v/>
      </c>
      <c r="AV191">
        <f>AS191+AT191-AU191</f>
        <v/>
      </c>
      <c r="AW191">
        <f>MIN(AV191,MAX(0,$B191-((E$5&lt;AU$5)*F191+(K$5&lt;AU$5)*L191+(Q$5&lt;AU$5)*R191+(W$5&lt;AU$5)*X191+(AC$5&lt;AU$5)*AD191+(AI$5&lt;AU$5)*AJ191+(AO$5&lt;AU$5)*AP191)))</f>
        <v/>
      </c>
      <c r="AX191">
        <f>IF(AV191-AW191&lt;0.005,0,AV191-AW191)</f>
        <v/>
      </c>
      <c r="BC191">
        <f>H191+N191+T191+Z191+AF191+AL191+AR191+AX191</f>
        <v/>
      </c>
    </row>
    <row r="192">
      <c r="A192" t="n">
        <v>186</v>
      </c>
      <c r="B192" s="19">
        <f>MAX(0,$B$3-(E192+K192+Q192+W192+AC192+AI192+AO192+AU192))</f>
        <v/>
      </c>
      <c r="C192">
        <f>H191</f>
        <v/>
      </c>
      <c r="D192">
        <f>C192*Plan!D6/100/12</f>
        <v/>
      </c>
      <c r="E192">
        <f>MIN(Plan!E6,C192+D192)</f>
        <v/>
      </c>
      <c r="F192">
        <f>C192+D192-E192</f>
        <v/>
      </c>
      <c r="G192">
        <f>MIN(F192,MAX(0,$B192-((K$5&lt;E$5)*L192+(Q$5&lt;E$5)*R192+(W$5&lt;E$5)*X192+(AC$5&lt;E$5)*AD192+(AI$5&lt;E$5)*AJ192+(AO$5&lt;E$5)*AP192+(AU$5&lt;E$5)*AV192)))</f>
        <v/>
      </c>
      <c r="H192">
        <f>IF(F192-G192&lt;0.005,0,F192-G192)</f>
        <v/>
      </c>
      <c r="I192">
        <f>N191</f>
        <v/>
      </c>
      <c r="J192">
        <f>I192*Plan!D7/100/12</f>
        <v/>
      </c>
      <c r="K192">
        <f>MIN(Plan!E7,I192+J192)</f>
        <v/>
      </c>
      <c r="L192">
        <f>I192+J192-K192</f>
        <v/>
      </c>
      <c r="M192">
        <f>MIN(L192,MAX(0,$B192-((E$5&lt;K$5)*F192+(Q$5&lt;K$5)*R192+(W$5&lt;K$5)*X192+(AC$5&lt;K$5)*AD192+(AI$5&lt;K$5)*AJ192+(AO$5&lt;K$5)*AP192+(AU$5&lt;K$5)*AV192)))</f>
        <v/>
      </c>
      <c r="N192">
        <f>IF(L192-M192&lt;0.005,0,L192-M192)</f>
        <v/>
      </c>
      <c r="O192">
        <f>T191</f>
        <v/>
      </c>
      <c r="P192">
        <f>O192*Plan!D8/100/12</f>
        <v/>
      </c>
      <c r="Q192">
        <f>MIN(Plan!E8,O192+P192)</f>
        <v/>
      </c>
      <c r="R192">
        <f>O192+P192-Q192</f>
        <v/>
      </c>
      <c r="S192">
        <f>MIN(R192,MAX(0,$B192-((E$5&lt;Q$5)*F192+(K$5&lt;Q$5)*L192+(W$5&lt;Q$5)*X192+(AC$5&lt;Q$5)*AD192+(AI$5&lt;Q$5)*AJ192+(AO$5&lt;Q$5)*AP192+(AU$5&lt;Q$5)*AV192)))</f>
        <v/>
      </c>
      <c r="T192">
        <f>IF(R192-S192&lt;0.005,0,R192-S192)</f>
        <v/>
      </c>
      <c r="U192">
        <f>Z191</f>
        <v/>
      </c>
      <c r="V192">
        <f>U192*Plan!D9/100/12</f>
        <v/>
      </c>
      <c r="W192">
        <f>MIN(Plan!E9,U192+V192)</f>
        <v/>
      </c>
      <c r="X192">
        <f>U192+V192-W192</f>
        <v/>
      </c>
      <c r="Y192">
        <f>MIN(X192,MAX(0,$B192-((E$5&lt;W$5)*F192+(K$5&lt;W$5)*L192+(Q$5&lt;W$5)*R192+(AC$5&lt;W$5)*AD192+(AI$5&lt;W$5)*AJ192+(AO$5&lt;W$5)*AP192+(AU$5&lt;W$5)*AV192)))</f>
        <v/>
      </c>
      <c r="Z192">
        <f>IF(X192-Y192&lt;0.005,0,X192-Y192)</f>
        <v/>
      </c>
      <c r="AA192">
        <f>AF191</f>
        <v/>
      </c>
      <c r="AB192">
        <f>AA192*Plan!D10/100/12</f>
        <v/>
      </c>
      <c r="AC192">
        <f>MIN(Plan!E10,AA192+AB192)</f>
        <v/>
      </c>
      <c r="AD192">
        <f>AA192+AB192-AC192</f>
        <v/>
      </c>
      <c r="AE192">
        <f>MIN(AD192,MAX(0,$B192-((E$5&lt;AC$5)*F192+(K$5&lt;AC$5)*L192+(Q$5&lt;AC$5)*R192+(W$5&lt;AC$5)*X192+(AI$5&lt;AC$5)*AJ192+(AO$5&lt;AC$5)*AP192+(AU$5&lt;AC$5)*AV192)))</f>
        <v/>
      </c>
      <c r="AF192">
        <f>IF(AD192-AE192&lt;0.005,0,AD192-AE192)</f>
        <v/>
      </c>
      <c r="AG192">
        <f>AL191</f>
        <v/>
      </c>
      <c r="AH192">
        <f>AG192*Plan!D11/100/12</f>
        <v/>
      </c>
      <c r="AI192">
        <f>MIN(Plan!E11,AG192+AH192)</f>
        <v/>
      </c>
      <c r="AJ192">
        <f>AG192+AH192-AI192</f>
        <v/>
      </c>
      <c r="AK192">
        <f>MIN(AJ192,MAX(0,$B192-((E$5&lt;AI$5)*F192+(K$5&lt;AI$5)*L192+(Q$5&lt;AI$5)*R192+(W$5&lt;AI$5)*X192+(AC$5&lt;AI$5)*AD192+(AO$5&lt;AI$5)*AP192+(AU$5&lt;AI$5)*AV192)))</f>
        <v/>
      </c>
      <c r="AL192">
        <f>IF(AJ192-AK192&lt;0.005,0,AJ192-AK192)</f>
        <v/>
      </c>
      <c r="AM192">
        <f>AR191</f>
        <v/>
      </c>
      <c r="AN192">
        <f>AM192*Plan!D12/100/12</f>
        <v/>
      </c>
      <c r="AO192">
        <f>MIN(Plan!E12,AM192+AN192)</f>
        <v/>
      </c>
      <c r="AP192">
        <f>AM192+AN192-AO192</f>
        <v/>
      </c>
      <c r="AQ192">
        <f>MIN(AP192,MAX(0,$B192-((E$5&lt;AO$5)*F192+(K$5&lt;AO$5)*L192+(Q$5&lt;AO$5)*R192+(W$5&lt;AO$5)*X192+(AC$5&lt;AO$5)*AD192+(AI$5&lt;AO$5)*AJ192+(AU$5&lt;AO$5)*AV192)))</f>
        <v/>
      </c>
      <c r="AR192">
        <f>IF(AP192-AQ192&lt;0.005,0,AP192-AQ192)</f>
        <v/>
      </c>
      <c r="AS192">
        <f>AX191</f>
        <v/>
      </c>
      <c r="AT192">
        <f>AS192*Plan!D13/100/12</f>
        <v/>
      </c>
      <c r="AU192">
        <f>MIN(Plan!E13,AS192+AT192)</f>
        <v/>
      </c>
      <c r="AV192">
        <f>AS192+AT192-AU192</f>
        <v/>
      </c>
      <c r="AW192">
        <f>MIN(AV192,MAX(0,$B192-((E$5&lt;AU$5)*F192+(K$5&lt;AU$5)*L192+(Q$5&lt;AU$5)*R192+(W$5&lt;AU$5)*X192+(AC$5&lt;AU$5)*AD192+(AI$5&lt;AU$5)*AJ192+(AO$5&lt;AU$5)*AP192)))</f>
        <v/>
      </c>
      <c r="AX192">
        <f>IF(AV192-AW192&lt;0.005,0,AV192-AW192)</f>
        <v/>
      </c>
      <c r="BC192">
        <f>H192+N192+T192+Z192+AF192+AL192+AR192+AX192</f>
        <v/>
      </c>
    </row>
    <row r="193">
      <c r="A193" t="n">
        <v>187</v>
      </c>
      <c r="B193" s="19">
        <f>MAX(0,$B$3-(E193+K193+Q193+W193+AC193+AI193+AO193+AU193))</f>
        <v/>
      </c>
      <c r="C193">
        <f>H192</f>
        <v/>
      </c>
      <c r="D193">
        <f>C193*Plan!D6/100/12</f>
        <v/>
      </c>
      <c r="E193">
        <f>MIN(Plan!E6,C193+D193)</f>
        <v/>
      </c>
      <c r="F193">
        <f>C193+D193-E193</f>
        <v/>
      </c>
      <c r="G193">
        <f>MIN(F193,MAX(0,$B193-((K$5&lt;E$5)*L193+(Q$5&lt;E$5)*R193+(W$5&lt;E$5)*X193+(AC$5&lt;E$5)*AD193+(AI$5&lt;E$5)*AJ193+(AO$5&lt;E$5)*AP193+(AU$5&lt;E$5)*AV193)))</f>
        <v/>
      </c>
      <c r="H193">
        <f>IF(F193-G193&lt;0.005,0,F193-G193)</f>
        <v/>
      </c>
      <c r="I193">
        <f>N192</f>
        <v/>
      </c>
      <c r="J193">
        <f>I193*Plan!D7/100/12</f>
        <v/>
      </c>
      <c r="K193">
        <f>MIN(Plan!E7,I193+J193)</f>
        <v/>
      </c>
      <c r="L193">
        <f>I193+J193-K193</f>
        <v/>
      </c>
      <c r="M193">
        <f>MIN(L193,MAX(0,$B193-((E$5&lt;K$5)*F193+(Q$5&lt;K$5)*R193+(W$5&lt;K$5)*X193+(AC$5&lt;K$5)*AD193+(AI$5&lt;K$5)*AJ193+(AO$5&lt;K$5)*AP193+(AU$5&lt;K$5)*AV193)))</f>
        <v/>
      </c>
      <c r="N193">
        <f>IF(L193-M193&lt;0.005,0,L193-M193)</f>
        <v/>
      </c>
      <c r="O193">
        <f>T192</f>
        <v/>
      </c>
      <c r="P193">
        <f>O193*Plan!D8/100/12</f>
        <v/>
      </c>
      <c r="Q193">
        <f>MIN(Plan!E8,O193+P193)</f>
        <v/>
      </c>
      <c r="R193">
        <f>O193+P193-Q193</f>
        <v/>
      </c>
      <c r="S193">
        <f>MIN(R193,MAX(0,$B193-((E$5&lt;Q$5)*F193+(K$5&lt;Q$5)*L193+(W$5&lt;Q$5)*X193+(AC$5&lt;Q$5)*AD193+(AI$5&lt;Q$5)*AJ193+(AO$5&lt;Q$5)*AP193+(AU$5&lt;Q$5)*AV193)))</f>
        <v/>
      </c>
      <c r="T193">
        <f>IF(R193-S193&lt;0.005,0,R193-S193)</f>
        <v/>
      </c>
      <c r="U193">
        <f>Z192</f>
        <v/>
      </c>
      <c r="V193">
        <f>U193*Plan!D9/100/12</f>
        <v/>
      </c>
      <c r="W193">
        <f>MIN(Plan!E9,U193+V193)</f>
        <v/>
      </c>
      <c r="X193">
        <f>U193+V193-W193</f>
        <v/>
      </c>
      <c r="Y193">
        <f>MIN(X193,MAX(0,$B193-((E$5&lt;W$5)*F193+(K$5&lt;W$5)*L193+(Q$5&lt;W$5)*R193+(AC$5&lt;W$5)*AD193+(AI$5&lt;W$5)*AJ193+(AO$5&lt;W$5)*AP193+(AU$5&lt;W$5)*AV193)))</f>
        <v/>
      </c>
      <c r="Z193">
        <f>IF(X193-Y193&lt;0.005,0,X193-Y193)</f>
        <v/>
      </c>
      <c r="AA193">
        <f>AF192</f>
        <v/>
      </c>
      <c r="AB193">
        <f>AA193*Plan!D10/100/12</f>
        <v/>
      </c>
      <c r="AC193">
        <f>MIN(Plan!E10,AA193+AB193)</f>
        <v/>
      </c>
      <c r="AD193">
        <f>AA193+AB193-AC193</f>
        <v/>
      </c>
      <c r="AE193">
        <f>MIN(AD193,MAX(0,$B193-((E$5&lt;AC$5)*F193+(K$5&lt;AC$5)*L193+(Q$5&lt;AC$5)*R193+(W$5&lt;AC$5)*X193+(AI$5&lt;AC$5)*AJ193+(AO$5&lt;AC$5)*AP193+(AU$5&lt;AC$5)*AV193)))</f>
        <v/>
      </c>
      <c r="AF193">
        <f>IF(AD193-AE193&lt;0.005,0,AD193-AE193)</f>
        <v/>
      </c>
      <c r="AG193">
        <f>AL192</f>
        <v/>
      </c>
      <c r="AH193">
        <f>AG193*Plan!D11/100/12</f>
        <v/>
      </c>
      <c r="AI193">
        <f>MIN(Plan!E11,AG193+AH193)</f>
        <v/>
      </c>
      <c r="AJ193">
        <f>AG193+AH193-AI193</f>
        <v/>
      </c>
      <c r="AK193">
        <f>MIN(AJ193,MAX(0,$B193-((E$5&lt;AI$5)*F193+(K$5&lt;AI$5)*L193+(Q$5&lt;AI$5)*R193+(W$5&lt;AI$5)*X193+(AC$5&lt;AI$5)*AD193+(AO$5&lt;AI$5)*AP193+(AU$5&lt;AI$5)*AV193)))</f>
        <v/>
      </c>
      <c r="AL193">
        <f>IF(AJ193-AK193&lt;0.005,0,AJ193-AK193)</f>
        <v/>
      </c>
      <c r="AM193">
        <f>AR192</f>
        <v/>
      </c>
      <c r="AN193">
        <f>AM193*Plan!D12/100/12</f>
        <v/>
      </c>
      <c r="AO193">
        <f>MIN(Plan!E12,AM193+AN193)</f>
        <v/>
      </c>
      <c r="AP193">
        <f>AM193+AN193-AO193</f>
        <v/>
      </c>
      <c r="AQ193">
        <f>MIN(AP193,MAX(0,$B193-((E$5&lt;AO$5)*F193+(K$5&lt;AO$5)*L193+(Q$5&lt;AO$5)*R193+(W$5&lt;AO$5)*X193+(AC$5&lt;AO$5)*AD193+(AI$5&lt;AO$5)*AJ193+(AU$5&lt;AO$5)*AV193)))</f>
        <v/>
      </c>
      <c r="AR193">
        <f>IF(AP193-AQ193&lt;0.005,0,AP193-AQ193)</f>
        <v/>
      </c>
      <c r="AS193">
        <f>AX192</f>
        <v/>
      </c>
      <c r="AT193">
        <f>AS193*Plan!D13/100/12</f>
        <v/>
      </c>
      <c r="AU193">
        <f>MIN(Plan!E13,AS193+AT193)</f>
        <v/>
      </c>
      <c r="AV193">
        <f>AS193+AT193-AU193</f>
        <v/>
      </c>
      <c r="AW193">
        <f>MIN(AV193,MAX(0,$B193-((E$5&lt;AU$5)*F193+(K$5&lt;AU$5)*L193+(Q$5&lt;AU$5)*R193+(W$5&lt;AU$5)*X193+(AC$5&lt;AU$5)*AD193+(AI$5&lt;AU$5)*AJ193+(AO$5&lt;AU$5)*AP193)))</f>
        <v/>
      </c>
      <c r="AX193">
        <f>IF(AV193-AW193&lt;0.005,0,AV193-AW193)</f>
        <v/>
      </c>
      <c r="BC193">
        <f>H193+N193+T193+Z193+AF193+AL193+AR193+AX193</f>
        <v/>
      </c>
    </row>
    <row r="194">
      <c r="A194" t="n">
        <v>188</v>
      </c>
      <c r="B194" s="19">
        <f>MAX(0,$B$3-(E194+K194+Q194+W194+AC194+AI194+AO194+AU194))</f>
        <v/>
      </c>
      <c r="C194">
        <f>H193</f>
        <v/>
      </c>
      <c r="D194">
        <f>C194*Plan!D6/100/12</f>
        <v/>
      </c>
      <c r="E194">
        <f>MIN(Plan!E6,C194+D194)</f>
        <v/>
      </c>
      <c r="F194">
        <f>C194+D194-E194</f>
        <v/>
      </c>
      <c r="G194">
        <f>MIN(F194,MAX(0,$B194-((K$5&lt;E$5)*L194+(Q$5&lt;E$5)*R194+(W$5&lt;E$5)*X194+(AC$5&lt;E$5)*AD194+(AI$5&lt;E$5)*AJ194+(AO$5&lt;E$5)*AP194+(AU$5&lt;E$5)*AV194)))</f>
        <v/>
      </c>
      <c r="H194">
        <f>IF(F194-G194&lt;0.005,0,F194-G194)</f>
        <v/>
      </c>
      <c r="I194">
        <f>N193</f>
        <v/>
      </c>
      <c r="J194">
        <f>I194*Plan!D7/100/12</f>
        <v/>
      </c>
      <c r="K194">
        <f>MIN(Plan!E7,I194+J194)</f>
        <v/>
      </c>
      <c r="L194">
        <f>I194+J194-K194</f>
        <v/>
      </c>
      <c r="M194">
        <f>MIN(L194,MAX(0,$B194-((E$5&lt;K$5)*F194+(Q$5&lt;K$5)*R194+(W$5&lt;K$5)*X194+(AC$5&lt;K$5)*AD194+(AI$5&lt;K$5)*AJ194+(AO$5&lt;K$5)*AP194+(AU$5&lt;K$5)*AV194)))</f>
        <v/>
      </c>
      <c r="N194">
        <f>IF(L194-M194&lt;0.005,0,L194-M194)</f>
        <v/>
      </c>
      <c r="O194">
        <f>T193</f>
        <v/>
      </c>
      <c r="P194">
        <f>O194*Plan!D8/100/12</f>
        <v/>
      </c>
      <c r="Q194">
        <f>MIN(Plan!E8,O194+P194)</f>
        <v/>
      </c>
      <c r="R194">
        <f>O194+P194-Q194</f>
        <v/>
      </c>
      <c r="S194">
        <f>MIN(R194,MAX(0,$B194-((E$5&lt;Q$5)*F194+(K$5&lt;Q$5)*L194+(W$5&lt;Q$5)*X194+(AC$5&lt;Q$5)*AD194+(AI$5&lt;Q$5)*AJ194+(AO$5&lt;Q$5)*AP194+(AU$5&lt;Q$5)*AV194)))</f>
        <v/>
      </c>
      <c r="T194">
        <f>IF(R194-S194&lt;0.005,0,R194-S194)</f>
        <v/>
      </c>
      <c r="U194">
        <f>Z193</f>
        <v/>
      </c>
      <c r="V194">
        <f>U194*Plan!D9/100/12</f>
        <v/>
      </c>
      <c r="W194">
        <f>MIN(Plan!E9,U194+V194)</f>
        <v/>
      </c>
      <c r="X194">
        <f>U194+V194-W194</f>
        <v/>
      </c>
      <c r="Y194">
        <f>MIN(X194,MAX(0,$B194-((E$5&lt;W$5)*F194+(K$5&lt;W$5)*L194+(Q$5&lt;W$5)*R194+(AC$5&lt;W$5)*AD194+(AI$5&lt;W$5)*AJ194+(AO$5&lt;W$5)*AP194+(AU$5&lt;W$5)*AV194)))</f>
        <v/>
      </c>
      <c r="Z194">
        <f>IF(X194-Y194&lt;0.005,0,X194-Y194)</f>
        <v/>
      </c>
      <c r="AA194">
        <f>AF193</f>
        <v/>
      </c>
      <c r="AB194">
        <f>AA194*Plan!D10/100/12</f>
        <v/>
      </c>
      <c r="AC194">
        <f>MIN(Plan!E10,AA194+AB194)</f>
        <v/>
      </c>
      <c r="AD194">
        <f>AA194+AB194-AC194</f>
        <v/>
      </c>
      <c r="AE194">
        <f>MIN(AD194,MAX(0,$B194-((E$5&lt;AC$5)*F194+(K$5&lt;AC$5)*L194+(Q$5&lt;AC$5)*R194+(W$5&lt;AC$5)*X194+(AI$5&lt;AC$5)*AJ194+(AO$5&lt;AC$5)*AP194+(AU$5&lt;AC$5)*AV194)))</f>
        <v/>
      </c>
      <c r="AF194">
        <f>IF(AD194-AE194&lt;0.005,0,AD194-AE194)</f>
        <v/>
      </c>
      <c r="AG194">
        <f>AL193</f>
        <v/>
      </c>
      <c r="AH194">
        <f>AG194*Plan!D11/100/12</f>
        <v/>
      </c>
      <c r="AI194">
        <f>MIN(Plan!E11,AG194+AH194)</f>
        <v/>
      </c>
      <c r="AJ194">
        <f>AG194+AH194-AI194</f>
        <v/>
      </c>
      <c r="AK194">
        <f>MIN(AJ194,MAX(0,$B194-((E$5&lt;AI$5)*F194+(K$5&lt;AI$5)*L194+(Q$5&lt;AI$5)*R194+(W$5&lt;AI$5)*X194+(AC$5&lt;AI$5)*AD194+(AO$5&lt;AI$5)*AP194+(AU$5&lt;AI$5)*AV194)))</f>
        <v/>
      </c>
      <c r="AL194">
        <f>IF(AJ194-AK194&lt;0.005,0,AJ194-AK194)</f>
        <v/>
      </c>
      <c r="AM194">
        <f>AR193</f>
        <v/>
      </c>
      <c r="AN194">
        <f>AM194*Plan!D12/100/12</f>
        <v/>
      </c>
      <c r="AO194">
        <f>MIN(Plan!E12,AM194+AN194)</f>
        <v/>
      </c>
      <c r="AP194">
        <f>AM194+AN194-AO194</f>
        <v/>
      </c>
      <c r="AQ194">
        <f>MIN(AP194,MAX(0,$B194-((E$5&lt;AO$5)*F194+(K$5&lt;AO$5)*L194+(Q$5&lt;AO$5)*R194+(W$5&lt;AO$5)*X194+(AC$5&lt;AO$5)*AD194+(AI$5&lt;AO$5)*AJ194+(AU$5&lt;AO$5)*AV194)))</f>
        <v/>
      </c>
      <c r="AR194">
        <f>IF(AP194-AQ194&lt;0.005,0,AP194-AQ194)</f>
        <v/>
      </c>
      <c r="AS194">
        <f>AX193</f>
        <v/>
      </c>
      <c r="AT194">
        <f>AS194*Plan!D13/100/12</f>
        <v/>
      </c>
      <c r="AU194">
        <f>MIN(Plan!E13,AS194+AT194)</f>
        <v/>
      </c>
      <c r="AV194">
        <f>AS194+AT194-AU194</f>
        <v/>
      </c>
      <c r="AW194">
        <f>MIN(AV194,MAX(0,$B194-((E$5&lt;AU$5)*F194+(K$5&lt;AU$5)*L194+(Q$5&lt;AU$5)*R194+(W$5&lt;AU$5)*X194+(AC$5&lt;AU$5)*AD194+(AI$5&lt;AU$5)*AJ194+(AO$5&lt;AU$5)*AP194)))</f>
        <v/>
      </c>
      <c r="AX194">
        <f>IF(AV194-AW194&lt;0.005,0,AV194-AW194)</f>
        <v/>
      </c>
      <c r="BC194">
        <f>H194+N194+T194+Z194+AF194+AL194+AR194+AX194</f>
        <v/>
      </c>
    </row>
    <row r="195">
      <c r="A195" t="n">
        <v>189</v>
      </c>
      <c r="B195" s="19">
        <f>MAX(0,$B$3-(E195+K195+Q195+W195+AC195+AI195+AO195+AU195))</f>
        <v/>
      </c>
      <c r="C195">
        <f>H194</f>
        <v/>
      </c>
      <c r="D195">
        <f>C195*Plan!D6/100/12</f>
        <v/>
      </c>
      <c r="E195">
        <f>MIN(Plan!E6,C195+D195)</f>
        <v/>
      </c>
      <c r="F195">
        <f>C195+D195-E195</f>
        <v/>
      </c>
      <c r="G195">
        <f>MIN(F195,MAX(0,$B195-((K$5&lt;E$5)*L195+(Q$5&lt;E$5)*R195+(W$5&lt;E$5)*X195+(AC$5&lt;E$5)*AD195+(AI$5&lt;E$5)*AJ195+(AO$5&lt;E$5)*AP195+(AU$5&lt;E$5)*AV195)))</f>
        <v/>
      </c>
      <c r="H195">
        <f>IF(F195-G195&lt;0.005,0,F195-G195)</f>
        <v/>
      </c>
      <c r="I195">
        <f>N194</f>
        <v/>
      </c>
      <c r="J195">
        <f>I195*Plan!D7/100/12</f>
        <v/>
      </c>
      <c r="K195">
        <f>MIN(Plan!E7,I195+J195)</f>
        <v/>
      </c>
      <c r="L195">
        <f>I195+J195-K195</f>
        <v/>
      </c>
      <c r="M195">
        <f>MIN(L195,MAX(0,$B195-((E$5&lt;K$5)*F195+(Q$5&lt;K$5)*R195+(W$5&lt;K$5)*X195+(AC$5&lt;K$5)*AD195+(AI$5&lt;K$5)*AJ195+(AO$5&lt;K$5)*AP195+(AU$5&lt;K$5)*AV195)))</f>
        <v/>
      </c>
      <c r="N195">
        <f>IF(L195-M195&lt;0.005,0,L195-M195)</f>
        <v/>
      </c>
      <c r="O195">
        <f>T194</f>
        <v/>
      </c>
      <c r="P195">
        <f>O195*Plan!D8/100/12</f>
        <v/>
      </c>
      <c r="Q195">
        <f>MIN(Plan!E8,O195+P195)</f>
        <v/>
      </c>
      <c r="R195">
        <f>O195+P195-Q195</f>
        <v/>
      </c>
      <c r="S195">
        <f>MIN(R195,MAX(0,$B195-((E$5&lt;Q$5)*F195+(K$5&lt;Q$5)*L195+(W$5&lt;Q$5)*X195+(AC$5&lt;Q$5)*AD195+(AI$5&lt;Q$5)*AJ195+(AO$5&lt;Q$5)*AP195+(AU$5&lt;Q$5)*AV195)))</f>
        <v/>
      </c>
      <c r="T195">
        <f>IF(R195-S195&lt;0.005,0,R195-S195)</f>
        <v/>
      </c>
      <c r="U195">
        <f>Z194</f>
        <v/>
      </c>
      <c r="V195">
        <f>U195*Plan!D9/100/12</f>
        <v/>
      </c>
      <c r="W195">
        <f>MIN(Plan!E9,U195+V195)</f>
        <v/>
      </c>
      <c r="X195">
        <f>U195+V195-W195</f>
        <v/>
      </c>
      <c r="Y195">
        <f>MIN(X195,MAX(0,$B195-((E$5&lt;W$5)*F195+(K$5&lt;W$5)*L195+(Q$5&lt;W$5)*R195+(AC$5&lt;W$5)*AD195+(AI$5&lt;W$5)*AJ195+(AO$5&lt;W$5)*AP195+(AU$5&lt;W$5)*AV195)))</f>
        <v/>
      </c>
      <c r="Z195">
        <f>IF(X195-Y195&lt;0.005,0,X195-Y195)</f>
        <v/>
      </c>
      <c r="AA195">
        <f>AF194</f>
        <v/>
      </c>
      <c r="AB195">
        <f>AA195*Plan!D10/100/12</f>
        <v/>
      </c>
      <c r="AC195">
        <f>MIN(Plan!E10,AA195+AB195)</f>
        <v/>
      </c>
      <c r="AD195">
        <f>AA195+AB195-AC195</f>
        <v/>
      </c>
      <c r="AE195">
        <f>MIN(AD195,MAX(0,$B195-((E$5&lt;AC$5)*F195+(K$5&lt;AC$5)*L195+(Q$5&lt;AC$5)*R195+(W$5&lt;AC$5)*X195+(AI$5&lt;AC$5)*AJ195+(AO$5&lt;AC$5)*AP195+(AU$5&lt;AC$5)*AV195)))</f>
        <v/>
      </c>
      <c r="AF195">
        <f>IF(AD195-AE195&lt;0.005,0,AD195-AE195)</f>
        <v/>
      </c>
      <c r="AG195">
        <f>AL194</f>
        <v/>
      </c>
      <c r="AH195">
        <f>AG195*Plan!D11/100/12</f>
        <v/>
      </c>
      <c r="AI195">
        <f>MIN(Plan!E11,AG195+AH195)</f>
        <v/>
      </c>
      <c r="AJ195">
        <f>AG195+AH195-AI195</f>
        <v/>
      </c>
      <c r="AK195">
        <f>MIN(AJ195,MAX(0,$B195-((E$5&lt;AI$5)*F195+(K$5&lt;AI$5)*L195+(Q$5&lt;AI$5)*R195+(W$5&lt;AI$5)*X195+(AC$5&lt;AI$5)*AD195+(AO$5&lt;AI$5)*AP195+(AU$5&lt;AI$5)*AV195)))</f>
        <v/>
      </c>
      <c r="AL195">
        <f>IF(AJ195-AK195&lt;0.005,0,AJ195-AK195)</f>
        <v/>
      </c>
      <c r="AM195">
        <f>AR194</f>
        <v/>
      </c>
      <c r="AN195">
        <f>AM195*Plan!D12/100/12</f>
        <v/>
      </c>
      <c r="AO195">
        <f>MIN(Plan!E12,AM195+AN195)</f>
        <v/>
      </c>
      <c r="AP195">
        <f>AM195+AN195-AO195</f>
        <v/>
      </c>
      <c r="AQ195">
        <f>MIN(AP195,MAX(0,$B195-((E$5&lt;AO$5)*F195+(K$5&lt;AO$5)*L195+(Q$5&lt;AO$5)*R195+(W$5&lt;AO$5)*X195+(AC$5&lt;AO$5)*AD195+(AI$5&lt;AO$5)*AJ195+(AU$5&lt;AO$5)*AV195)))</f>
        <v/>
      </c>
      <c r="AR195">
        <f>IF(AP195-AQ195&lt;0.005,0,AP195-AQ195)</f>
        <v/>
      </c>
      <c r="AS195">
        <f>AX194</f>
        <v/>
      </c>
      <c r="AT195">
        <f>AS195*Plan!D13/100/12</f>
        <v/>
      </c>
      <c r="AU195">
        <f>MIN(Plan!E13,AS195+AT195)</f>
        <v/>
      </c>
      <c r="AV195">
        <f>AS195+AT195-AU195</f>
        <v/>
      </c>
      <c r="AW195">
        <f>MIN(AV195,MAX(0,$B195-((E$5&lt;AU$5)*F195+(K$5&lt;AU$5)*L195+(Q$5&lt;AU$5)*R195+(W$5&lt;AU$5)*X195+(AC$5&lt;AU$5)*AD195+(AI$5&lt;AU$5)*AJ195+(AO$5&lt;AU$5)*AP195)))</f>
        <v/>
      </c>
      <c r="AX195">
        <f>IF(AV195-AW195&lt;0.005,0,AV195-AW195)</f>
        <v/>
      </c>
      <c r="BC195">
        <f>H195+N195+T195+Z195+AF195+AL195+AR195+AX195</f>
        <v/>
      </c>
    </row>
    <row r="196">
      <c r="A196" t="n">
        <v>190</v>
      </c>
      <c r="B196" s="19">
        <f>MAX(0,$B$3-(E196+K196+Q196+W196+AC196+AI196+AO196+AU196))</f>
        <v/>
      </c>
      <c r="C196">
        <f>H195</f>
        <v/>
      </c>
      <c r="D196">
        <f>C196*Plan!D6/100/12</f>
        <v/>
      </c>
      <c r="E196">
        <f>MIN(Plan!E6,C196+D196)</f>
        <v/>
      </c>
      <c r="F196">
        <f>C196+D196-E196</f>
        <v/>
      </c>
      <c r="G196">
        <f>MIN(F196,MAX(0,$B196-((K$5&lt;E$5)*L196+(Q$5&lt;E$5)*R196+(W$5&lt;E$5)*X196+(AC$5&lt;E$5)*AD196+(AI$5&lt;E$5)*AJ196+(AO$5&lt;E$5)*AP196+(AU$5&lt;E$5)*AV196)))</f>
        <v/>
      </c>
      <c r="H196">
        <f>IF(F196-G196&lt;0.005,0,F196-G196)</f>
        <v/>
      </c>
      <c r="I196">
        <f>N195</f>
        <v/>
      </c>
      <c r="J196">
        <f>I196*Plan!D7/100/12</f>
        <v/>
      </c>
      <c r="K196">
        <f>MIN(Plan!E7,I196+J196)</f>
        <v/>
      </c>
      <c r="L196">
        <f>I196+J196-K196</f>
        <v/>
      </c>
      <c r="M196">
        <f>MIN(L196,MAX(0,$B196-((E$5&lt;K$5)*F196+(Q$5&lt;K$5)*R196+(W$5&lt;K$5)*X196+(AC$5&lt;K$5)*AD196+(AI$5&lt;K$5)*AJ196+(AO$5&lt;K$5)*AP196+(AU$5&lt;K$5)*AV196)))</f>
        <v/>
      </c>
      <c r="N196">
        <f>IF(L196-M196&lt;0.005,0,L196-M196)</f>
        <v/>
      </c>
      <c r="O196">
        <f>T195</f>
        <v/>
      </c>
      <c r="P196">
        <f>O196*Plan!D8/100/12</f>
        <v/>
      </c>
      <c r="Q196">
        <f>MIN(Plan!E8,O196+P196)</f>
        <v/>
      </c>
      <c r="R196">
        <f>O196+P196-Q196</f>
        <v/>
      </c>
      <c r="S196">
        <f>MIN(R196,MAX(0,$B196-((E$5&lt;Q$5)*F196+(K$5&lt;Q$5)*L196+(W$5&lt;Q$5)*X196+(AC$5&lt;Q$5)*AD196+(AI$5&lt;Q$5)*AJ196+(AO$5&lt;Q$5)*AP196+(AU$5&lt;Q$5)*AV196)))</f>
        <v/>
      </c>
      <c r="T196">
        <f>IF(R196-S196&lt;0.005,0,R196-S196)</f>
        <v/>
      </c>
      <c r="U196">
        <f>Z195</f>
        <v/>
      </c>
      <c r="V196">
        <f>U196*Plan!D9/100/12</f>
        <v/>
      </c>
      <c r="W196">
        <f>MIN(Plan!E9,U196+V196)</f>
        <v/>
      </c>
      <c r="X196">
        <f>U196+V196-W196</f>
        <v/>
      </c>
      <c r="Y196">
        <f>MIN(X196,MAX(0,$B196-((E$5&lt;W$5)*F196+(K$5&lt;W$5)*L196+(Q$5&lt;W$5)*R196+(AC$5&lt;W$5)*AD196+(AI$5&lt;W$5)*AJ196+(AO$5&lt;W$5)*AP196+(AU$5&lt;W$5)*AV196)))</f>
        <v/>
      </c>
      <c r="Z196">
        <f>IF(X196-Y196&lt;0.005,0,X196-Y196)</f>
        <v/>
      </c>
      <c r="AA196">
        <f>AF195</f>
        <v/>
      </c>
      <c r="AB196">
        <f>AA196*Plan!D10/100/12</f>
        <v/>
      </c>
      <c r="AC196">
        <f>MIN(Plan!E10,AA196+AB196)</f>
        <v/>
      </c>
      <c r="AD196">
        <f>AA196+AB196-AC196</f>
        <v/>
      </c>
      <c r="AE196">
        <f>MIN(AD196,MAX(0,$B196-((E$5&lt;AC$5)*F196+(K$5&lt;AC$5)*L196+(Q$5&lt;AC$5)*R196+(W$5&lt;AC$5)*X196+(AI$5&lt;AC$5)*AJ196+(AO$5&lt;AC$5)*AP196+(AU$5&lt;AC$5)*AV196)))</f>
        <v/>
      </c>
      <c r="AF196">
        <f>IF(AD196-AE196&lt;0.005,0,AD196-AE196)</f>
        <v/>
      </c>
      <c r="AG196">
        <f>AL195</f>
        <v/>
      </c>
      <c r="AH196">
        <f>AG196*Plan!D11/100/12</f>
        <v/>
      </c>
      <c r="AI196">
        <f>MIN(Plan!E11,AG196+AH196)</f>
        <v/>
      </c>
      <c r="AJ196">
        <f>AG196+AH196-AI196</f>
        <v/>
      </c>
      <c r="AK196">
        <f>MIN(AJ196,MAX(0,$B196-((E$5&lt;AI$5)*F196+(K$5&lt;AI$5)*L196+(Q$5&lt;AI$5)*R196+(W$5&lt;AI$5)*X196+(AC$5&lt;AI$5)*AD196+(AO$5&lt;AI$5)*AP196+(AU$5&lt;AI$5)*AV196)))</f>
        <v/>
      </c>
      <c r="AL196">
        <f>IF(AJ196-AK196&lt;0.005,0,AJ196-AK196)</f>
        <v/>
      </c>
      <c r="AM196">
        <f>AR195</f>
        <v/>
      </c>
      <c r="AN196">
        <f>AM196*Plan!D12/100/12</f>
        <v/>
      </c>
      <c r="AO196">
        <f>MIN(Plan!E12,AM196+AN196)</f>
        <v/>
      </c>
      <c r="AP196">
        <f>AM196+AN196-AO196</f>
        <v/>
      </c>
      <c r="AQ196">
        <f>MIN(AP196,MAX(0,$B196-((E$5&lt;AO$5)*F196+(K$5&lt;AO$5)*L196+(Q$5&lt;AO$5)*R196+(W$5&lt;AO$5)*X196+(AC$5&lt;AO$5)*AD196+(AI$5&lt;AO$5)*AJ196+(AU$5&lt;AO$5)*AV196)))</f>
        <v/>
      </c>
      <c r="AR196">
        <f>IF(AP196-AQ196&lt;0.005,0,AP196-AQ196)</f>
        <v/>
      </c>
      <c r="AS196">
        <f>AX195</f>
        <v/>
      </c>
      <c r="AT196">
        <f>AS196*Plan!D13/100/12</f>
        <v/>
      </c>
      <c r="AU196">
        <f>MIN(Plan!E13,AS196+AT196)</f>
        <v/>
      </c>
      <c r="AV196">
        <f>AS196+AT196-AU196</f>
        <v/>
      </c>
      <c r="AW196">
        <f>MIN(AV196,MAX(0,$B196-((E$5&lt;AU$5)*F196+(K$5&lt;AU$5)*L196+(Q$5&lt;AU$5)*R196+(W$5&lt;AU$5)*X196+(AC$5&lt;AU$5)*AD196+(AI$5&lt;AU$5)*AJ196+(AO$5&lt;AU$5)*AP196)))</f>
        <v/>
      </c>
      <c r="AX196">
        <f>IF(AV196-AW196&lt;0.005,0,AV196-AW196)</f>
        <v/>
      </c>
      <c r="BC196">
        <f>H196+N196+T196+Z196+AF196+AL196+AR196+AX196</f>
        <v/>
      </c>
    </row>
    <row r="197">
      <c r="A197" t="n">
        <v>191</v>
      </c>
      <c r="B197" s="19">
        <f>MAX(0,$B$3-(E197+K197+Q197+W197+AC197+AI197+AO197+AU197))</f>
        <v/>
      </c>
      <c r="C197">
        <f>H196</f>
        <v/>
      </c>
      <c r="D197">
        <f>C197*Plan!D6/100/12</f>
        <v/>
      </c>
      <c r="E197">
        <f>MIN(Plan!E6,C197+D197)</f>
        <v/>
      </c>
      <c r="F197">
        <f>C197+D197-E197</f>
        <v/>
      </c>
      <c r="G197">
        <f>MIN(F197,MAX(0,$B197-((K$5&lt;E$5)*L197+(Q$5&lt;E$5)*R197+(W$5&lt;E$5)*X197+(AC$5&lt;E$5)*AD197+(AI$5&lt;E$5)*AJ197+(AO$5&lt;E$5)*AP197+(AU$5&lt;E$5)*AV197)))</f>
        <v/>
      </c>
      <c r="H197">
        <f>IF(F197-G197&lt;0.005,0,F197-G197)</f>
        <v/>
      </c>
      <c r="I197">
        <f>N196</f>
        <v/>
      </c>
      <c r="J197">
        <f>I197*Plan!D7/100/12</f>
        <v/>
      </c>
      <c r="K197">
        <f>MIN(Plan!E7,I197+J197)</f>
        <v/>
      </c>
      <c r="L197">
        <f>I197+J197-K197</f>
        <v/>
      </c>
      <c r="M197">
        <f>MIN(L197,MAX(0,$B197-((E$5&lt;K$5)*F197+(Q$5&lt;K$5)*R197+(W$5&lt;K$5)*X197+(AC$5&lt;K$5)*AD197+(AI$5&lt;K$5)*AJ197+(AO$5&lt;K$5)*AP197+(AU$5&lt;K$5)*AV197)))</f>
        <v/>
      </c>
      <c r="N197">
        <f>IF(L197-M197&lt;0.005,0,L197-M197)</f>
        <v/>
      </c>
      <c r="O197">
        <f>T196</f>
        <v/>
      </c>
      <c r="P197">
        <f>O197*Plan!D8/100/12</f>
        <v/>
      </c>
      <c r="Q197">
        <f>MIN(Plan!E8,O197+P197)</f>
        <v/>
      </c>
      <c r="R197">
        <f>O197+P197-Q197</f>
        <v/>
      </c>
      <c r="S197">
        <f>MIN(R197,MAX(0,$B197-((E$5&lt;Q$5)*F197+(K$5&lt;Q$5)*L197+(W$5&lt;Q$5)*X197+(AC$5&lt;Q$5)*AD197+(AI$5&lt;Q$5)*AJ197+(AO$5&lt;Q$5)*AP197+(AU$5&lt;Q$5)*AV197)))</f>
        <v/>
      </c>
      <c r="T197">
        <f>IF(R197-S197&lt;0.005,0,R197-S197)</f>
        <v/>
      </c>
      <c r="U197">
        <f>Z196</f>
        <v/>
      </c>
      <c r="V197">
        <f>U197*Plan!D9/100/12</f>
        <v/>
      </c>
      <c r="W197">
        <f>MIN(Plan!E9,U197+V197)</f>
        <v/>
      </c>
      <c r="X197">
        <f>U197+V197-W197</f>
        <v/>
      </c>
      <c r="Y197">
        <f>MIN(X197,MAX(0,$B197-((E$5&lt;W$5)*F197+(K$5&lt;W$5)*L197+(Q$5&lt;W$5)*R197+(AC$5&lt;W$5)*AD197+(AI$5&lt;W$5)*AJ197+(AO$5&lt;W$5)*AP197+(AU$5&lt;W$5)*AV197)))</f>
        <v/>
      </c>
      <c r="Z197">
        <f>IF(X197-Y197&lt;0.005,0,X197-Y197)</f>
        <v/>
      </c>
      <c r="AA197">
        <f>AF196</f>
        <v/>
      </c>
      <c r="AB197">
        <f>AA197*Plan!D10/100/12</f>
        <v/>
      </c>
      <c r="AC197">
        <f>MIN(Plan!E10,AA197+AB197)</f>
        <v/>
      </c>
      <c r="AD197">
        <f>AA197+AB197-AC197</f>
        <v/>
      </c>
      <c r="AE197">
        <f>MIN(AD197,MAX(0,$B197-((E$5&lt;AC$5)*F197+(K$5&lt;AC$5)*L197+(Q$5&lt;AC$5)*R197+(W$5&lt;AC$5)*X197+(AI$5&lt;AC$5)*AJ197+(AO$5&lt;AC$5)*AP197+(AU$5&lt;AC$5)*AV197)))</f>
        <v/>
      </c>
      <c r="AF197">
        <f>IF(AD197-AE197&lt;0.005,0,AD197-AE197)</f>
        <v/>
      </c>
      <c r="AG197">
        <f>AL196</f>
        <v/>
      </c>
      <c r="AH197">
        <f>AG197*Plan!D11/100/12</f>
        <v/>
      </c>
      <c r="AI197">
        <f>MIN(Plan!E11,AG197+AH197)</f>
        <v/>
      </c>
      <c r="AJ197">
        <f>AG197+AH197-AI197</f>
        <v/>
      </c>
      <c r="AK197">
        <f>MIN(AJ197,MAX(0,$B197-((E$5&lt;AI$5)*F197+(K$5&lt;AI$5)*L197+(Q$5&lt;AI$5)*R197+(W$5&lt;AI$5)*X197+(AC$5&lt;AI$5)*AD197+(AO$5&lt;AI$5)*AP197+(AU$5&lt;AI$5)*AV197)))</f>
        <v/>
      </c>
      <c r="AL197">
        <f>IF(AJ197-AK197&lt;0.005,0,AJ197-AK197)</f>
        <v/>
      </c>
      <c r="AM197">
        <f>AR196</f>
        <v/>
      </c>
      <c r="AN197">
        <f>AM197*Plan!D12/100/12</f>
        <v/>
      </c>
      <c r="AO197">
        <f>MIN(Plan!E12,AM197+AN197)</f>
        <v/>
      </c>
      <c r="AP197">
        <f>AM197+AN197-AO197</f>
        <v/>
      </c>
      <c r="AQ197">
        <f>MIN(AP197,MAX(0,$B197-((E$5&lt;AO$5)*F197+(K$5&lt;AO$5)*L197+(Q$5&lt;AO$5)*R197+(W$5&lt;AO$5)*X197+(AC$5&lt;AO$5)*AD197+(AI$5&lt;AO$5)*AJ197+(AU$5&lt;AO$5)*AV197)))</f>
        <v/>
      </c>
      <c r="AR197">
        <f>IF(AP197-AQ197&lt;0.005,0,AP197-AQ197)</f>
        <v/>
      </c>
      <c r="AS197">
        <f>AX196</f>
        <v/>
      </c>
      <c r="AT197">
        <f>AS197*Plan!D13/100/12</f>
        <v/>
      </c>
      <c r="AU197">
        <f>MIN(Plan!E13,AS197+AT197)</f>
        <v/>
      </c>
      <c r="AV197">
        <f>AS197+AT197-AU197</f>
        <v/>
      </c>
      <c r="AW197">
        <f>MIN(AV197,MAX(0,$B197-((E$5&lt;AU$5)*F197+(K$5&lt;AU$5)*L197+(Q$5&lt;AU$5)*R197+(W$5&lt;AU$5)*X197+(AC$5&lt;AU$5)*AD197+(AI$5&lt;AU$5)*AJ197+(AO$5&lt;AU$5)*AP197)))</f>
        <v/>
      </c>
      <c r="AX197">
        <f>IF(AV197-AW197&lt;0.005,0,AV197-AW197)</f>
        <v/>
      </c>
      <c r="BC197">
        <f>H197+N197+T197+Z197+AF197+AL197+AR197+AX197</f>
        <v/>
      </c>
    </row>
    <row r="198">
      <c r="A198" t="n">
        <v>192</v>
      </c>
      <c r="B198" s="19">
        <f>MAX(0,$B$3-(E198+K198+Q198+W198+AC198+AI198+AO198+AU198))</f>
        <v/>
      </c>
      <c r="C198">
        <f>H197</f>
        <v/>
      </c>
      <c r="D198">
        <f>C198*Plan!D6/100/12</f>
        <v/>
      </c>
      <c r="E198">
        <f>MIN(Plan!E6,C198+D198)</f>
        <v/>
      </c>
      <c r="F198">
        <f>C198+D198-E198</f>
        <v/>
      </c>
      <c r="G198">
        <f>MIN(F198,MAX(0,$B198-((K$5&lt;E$5)*L198+(Q$5&lt;E$5)*R198+(W$5&lt;E$5)*X198+(AC$5&lt;E$5)*AD198+(AI$5&lt;E$5)*AJ198+(AO$5&lt;E$5)*AP198+(AU$5&lt;E$5)*AV198)))</f>
        <v/>
      </c>
      <c r="H198">
        <f>IF(F198-G198&lt;0.005,0,F198-G198)</f>
        <v/>
      </c>
      <c r="I198">
        <f>N197</f>
        <v/>
      </c>
      <c r="J198">
        <f>I198*Plan!D7/100/12</f>
        <v/>
      </c>
      <c r="K198">
        <f>MIN(Plan!E7,I198+J198)</f>
        <v/>
      </c>
      <c r="L198">
        <f>I198+J198-K198</f>
        <v/>
      </c>
      <c r="M198">
        <f>MIN(L198,MAX(0,$B198-((E$5&lt;K$5)*F198+(Q$5&lt;K$5)*R198+(W$5&lt;K$5)*X198+(AC$5&lt;K$5)*AD198+(AI$5&lt;K$5)*AJ198+(AO$5&lt;K$5)*AP198+(AU$5&lt;K$5)*AV198)))</f>
        <v/>
      </c>
      <c r="N198">
        <f>IF(L198-M198&lt;0.005,0,L198-M198)</f>
        <v/>
      </c>
      <c r="O198">
        <f>T197</f>
        <v/>
      </c>
      <c r="P198">
        <f>O198*Plan!D8/100/12</f>
        <v/>
      </c>
      <c r="Q198">
        <f>MIN(Plan!E8,O198+P198)</f>
        <v/>
      </c>
      <c r="R198">
        <f>O198+P198-Q198</f>
        <v/>
      </c>
      <c r="S198">
        <f>MIN(R198,MAX(0,$B198-((E$5&lt;Q$5)*F198+(K$5&lt;Q$5)*L198+(W$5&lt;Q$5)*X198+(AC$5&lt;Q$5)*AD198+(AI$5&lt;Q$5)*AJ198+(AO$5&lt;Q$5)*AP198+(AU$5&lt;Q$5)*AV198)))</f>
        <v/>
      </c>
      <c r="T198">
        <f>IF(R198-S198&lt;0.005,0,R198-S198)</f>
        <v/>
      </c>
      <c r="U198">
        <f>Z197</f>
        <v/>
      </c>
      <c r="V198">
        <f>U198*Plan!D9/100/12</f>
        <v/>
      </c>
      <c r="W198">
        <f>MIN(Plan!E9,U198+V198)</f>
        <v/>
      </c>
      <c r="X198">
        <f>U198+V198-W198</f>
        <v/>
      </c>
      <c r="Y198">
        <f>MIN(X198,MAX(0,$B198-((E$5&lt;W$5)*F198+(K$5&lt;W$5)*L198+(Q$5&lt;W$5)*R198+(AC$5&lt;W$5)*AD198+(AI$5&lt;W$5)*AJ198+(AO$5&lt;W$5)*AP198+(AU$5&lt;W$5)*AV198)))</f>
        <v/>
      </c>
      <c r="Z198">
        <f>IF(X198-Y198&lt;0.005,0,X198-Y198)</f>
        <v/>
      </c>
      <c r="AA198">
        <f>AF197</f>
        <v/>
      </c>
      <c r="AB198">
        <f>AA198*Plan!D10/100/12</f>
        <v/>
      </c>
      <c r="AC198">
        <f>MIN(Plan!E10,AA198+AB198)</f>
        <v/>
      </c>
      <c r="AD198">
        <f>AA198+AB198-AC198</f>
        <v/>
      </c>
      <c r="AE198">
        <f>MIN(AD198,MAX(0,$B198-((E$5&lt;AC$5)*F198+(K$5&lt;AC$5)*L198+(Q$5&lt;AC$5)*R198+(W$5&lt;AC$5)*X198+(AI$5&lt;AC$5)*AJ198+(AO$5&lt;AC$5)*AP198+(AU$5&lt;AC$5)*AV198)))</f>
        <v/>
      </c>
      <c r="AF198">
        <f>IF(AD198-AE198&lt;0.005,0,AD198-AE198)</f>
        <v/>
      </c>
      <c r="AG198">
        <f>AL197</f>
        <v/>
      </c>
      <c r="AH198">
        <f>AG198*Plan!D11/100/12</f>
        <v/>
      </c>
      <c r="AI198">
        <f>MIN(Plan!E11,AG198+AH198)</f>
        <v/>
      </c>
      <c r="AJ198">
        <f>AG198+AH198-AI198</f>
        <v/>
      </c>
      <c r="AK198">
        <f>MIN(AJ198,MAX(0,$B198-((E$5&lt;AI$5)*F198+(K$5&lt;AI$5)*L198+(Q$5&lt;AI$5)*R198+(W$5&lt;AI$5)*X198+(AC$5&lt;AI$5)*AD198+(AO$5&lt;AI$5)*AP198+(AU$5&lt;AI$5)*AV198)))</f>
        <v/>
      </c>
      <c r="AL198">
        <f>IF(AJ198-AK198&lt;0.005,0,AJ198-AK198)</f>
        <v/>
      </c>
      <c r="AM198">
        <f>AR197</f>
        <v/>
      </c>
      <c r="AN198">
        <f>AM198*Plan!D12/100/12</f>
        <v/>
      </c>
      <c r="AO198">
        <f>MIN(Plan!E12,AM198+AN198)</f>
        <v/>
      </c>
      <c r="AP198">
        <f>AM198+AN198-AO198</f>
        <v/>
      </c>
      <c r="AQ198">
        <f>MIN(AP198,MAX(0,$B198-((E$5&lt;AO$5)*F198+(K$5&lt;AO$5)*L198+(Q$5&lt;AO$5)*R198+(W$5&lt;AO$5)*X198+(AC$5&lt;AO$5)*AD198+(AI$5&lt;AO$5)*AJ198+(AU$5&lt;AO$5)*AV198)))</f>
        <v/>
      </c>
      <c r="AR198">
        <f>IF(AP198-AQ198&lt;0.005,0,AP198-AQ198)</f>
        <v/>
      </c>
      <c r="AS198">
        <f>AX197</f>
        <v/>
      </c>
      <c r="AT198">
        <f>AS198*Plan!D13/100/12</f>
        <v/>
      </c>
      <c r="AU198">
        <f>MIN(Plan!E13,AS198+AT198)</f>
        <v/>
      </c>
      <c r="AV198">
        <f>AS198+AT198-AU198</f>
        <v/>
      </c>
      <c r="AW198">
        <f>MIN(AV198,MAX(0,$B198-((E$5&lt;AU$5)*F198+(K$5&lt;AU$5)*L198+(Q$5&lt;AU$5)*R198+(W$5&lt;AU$5)*X198+(AC$5&lt;AU$5)*AD198+(AI$5&lt;AU$5)*AJ198+(AO$5&lt;AU$5)*AP198)))</f>
        <v/>
      </c>
      <c r="AX198">
        <f>IF(AV198-AW198&lt;0.005,0,AV198-AW198)</f>
        <v/>
      </c>
      <c r="BC198">
        <f>H198+N198+T198+Z198+AF198+AL198+AR198+AX198</f>
        <v/>
      </c>
    </row>
    <row r="199">
      <c r="A199" t="n">
        <v>193</v>
      </c>
      <c r="B199" s="19">
        <f>MAX(0,$B$3-(E199+K199+Q199+W199+AC199+AI199+AO199+AU199))</f>
        <v/>
      </c>
      <c r="C199">
        <f>H198</f>
        <v/>
      </c>
      <c r="D199">
        <f>C199*Plan!D6/100/12</f>
        <v/>
      </c>
      <c r="E199">
        <f>MIN(Plan!E6,C199+D199)</f>
        <v/>
      </c>
      <c r="F199">
        <f>C199+D199-E199</f>
        <v/>
      </c>
      <c r="G199">
        <f>MIN(F199,MAX(0,$B199-((K$5&lt;E$5)*L199+(Q$5&lt;E$5)*R199+(W$5&lt;E$5)*X199+(AC$5&lt;E$5)*AD199+(AI$5&lt;E$5)*AJ199+(AO$5&lt;E$5)*AP199+(AU$5&lt;E$5)*AV199)))</f>
        <v/>
      </c>
      <c r="H199">
        <f>IF(F199-G199&lt;0.005,0,F199-G199)</f>
        <v/>
      </c>
      <c r="I199">
        <f>N198</f>
        <v/>
      </c>
      <c r="J199">
        <f>I199*Plan!D7/100/12</f>
        <v/>
      </c>
      <c r="K199">
        <f>MIN(Plan!E7,I199+J199)</f>
        <v/>
      </c>
      <c r="L199">
        <f>I199+J199-K199</f>
        <v/>
      </c>
      <c r="M199">
        <f>MIN(L199,MAX(0,$B199-((E$5&lt;K$5)*F199+(Q$5&lt;K$5)*R199+(W$5&lt;K$5)*X199+(AC$5&lt;K$5)*AD199+(AI$5&lt;K$5)*AJ199+(AO$5&lt;K$5)*AP199+(AU$5&lt;K$5)*AV199)))</f>
        <v/>
      </c>
      <c r="N199">
        <f>IF(L199-M199&lt;0.005,0,L199-M199)</f>
        <v/>
      </c>
      <c r="O199">
        <f>T198</f>
        <v/>
      </c>
      <c r="P199">
        <f>O199*Plan!D8/100/12</f>
        <v/>
      </c>
      <c r="Q199">
        <f>MIN(Plan!E8,O199+P199)</f>
        <v/>
      </c>
      <c r="R199">
        <f>O199+P199-Q199</f>
        <v/>
      </c>
      <c r="S199">
        <f>MIN(R199,MAX(0,$B199-((E$5&lt;Q$5)*F199+(K$5&lt;Q$5)*L199+(W$5&lt;Q$5)*X199+(AC$5&lt;Q$5)*AD199+(AI$5&lt;Q$5)*AJ199+(AO$5&lt;Q$5)*AP199+(AU$5&lt;Q$5)*AV199)))</f>
        <v/>
      </c>
      <c r="T199">
        <f>IF(R199-S199&lt;0.005,0,R199-S199)</f>
        <v/>
      </c>
      <c r="U199">
        <f>Z198</f>
        <v/>
      </c>
      <c r="V199">
        <f>U199*Plan!D9/100/12</f>
        <v/>
      </c>
      <c r="W199">
        <f>MIN(Plan!E9,U199+V199)</f>
        <v/>
      </c>
      <c r="X199">
        <f>U199+V199-W199</f>
        <v/>
      </c>
      <c r="Y199">
        <f>MIN(X199,MAX(0,$B199-((E$5&lt;W$5)*F199+(K$5&lt;W$5)*L199+(Q$5&lt;W$5)*R199+(AC$5&lt;W$5)*AD199+(AI$5&lt;W$5)*AJ199+(AO$5&lt;W$5)*AP199+(AU$5&lt;W$5)*AV199)))</f>
        <v/>
      </c>
      <c r="Z199">
        <f>IF(X199-Y199&lt;0.005,0,X199-Y199)</f>
        <v/>
      </c>
      <c r="AA199">
        <f>AF198</f>
        <v/>
      </c>
      <c r="AB199">
        <f>AA199*Plan!D10/100/12</f>
        <v/>
      </c>
      <c r="AC199">
        <f>MIN(Plan!E10,AA199+AB199)</f>
        <v/>
      </c>
      <c r="AD199">
        <f>AA199+AB199-AC199</f>
        <v/>
      </c>
      <c r="AE199">
        <f>MIN(AD199,MAX(0,$B199-((E$5&lt;AC$5)*F199+(K$5&lt;AC$5)*L199+(Q$5&lt;AC$5)*R199+(W$5&lt;AC$5)*X199+(AI$5&lt;AC$5)*AJ199+(AO$5&lt;AC$5)*AP199+(AU$5&lt;AC$5)*AV199)))</f>
        <v/>
      </c>
      <c r="AF199">
        <f>IF(AD199-AE199&lt;0.005,0,AD199-AE199)</f>
        <v/>
      </c>
      <c r="AG199">
        <f>AL198</f>
        <v/>
      </c>
      <c r="AH199">
        <f>AG199*Plan!D11/100/12</f>
        <v/>
      </c>
      <c r="AI199">
        <f>MIN(Plan!E11,AG199+AH199)</f>
        <v/>
      </c>
      <c r="AJ199">
        <f>AG199+AH199-AI199</f>
        <v/>
      </c>
      <c r="AK199">
        <f>MIN(AJ199,MAX(0,$B199-((E$5&lt;AI$5)*F199+(K$5&lt;AI$5)*L199+(Q$5&lt;AI$5)*R199+(W$5&lt;AI$5)*X199+(AC$5&lt;AI$5)*AD199+(AO$5&lt;AI$5)*AP199+(AU$5&lt;AI$5)*AV199)))</f>
        <v/>
      </c>
      <c r="AL199">
        <f>IF(AJ199-AK199&lt;0.005,0,AJ199-AK199)</f>
        <v/>
      </c>
      <c r="AM199">
        <f>AR198</f>
        <v/>
      </c>
      <c r="AN199">
        <f>AM199*Plan!D12/100/12</f>
        <v/>
      </c>
      <c r="AO199">
        <f>MIN(Plan!E12,AM199+AN199)</f>
        <v/>
      </c>
      <c r="AP199">
        <f>AM199+AN199-AO199</f>
        <v/>
      </c>
      <c r="AQ199">
        <f>MIN(AP199,MAX(0,$B199-((E$5&lt;AO$5)*F199+(K$5&lt;AO$5)*L199+(Q$5&lt;AO$5)*R199+(W$5&lt;AO$5)*X199+(AC$5&lt;AO$5)*AD199+(AI$5&lt;AO$5)*AJ199+(AU$5&lt;AO$5)*AV199)))</f>
        <v/>
      </c>
      <c r="AR199">
        <f>IF(AP199-AQ199&lt;0.005,0,AP199-AQ199)</f>
        <v/>
      </c>
      <c r="AS199">
        <f>AX198</f>
        <v/>
      </c>
      <c r="AT199">
        <f>AS199*Plan!D13/100/12</f>
        <v/>
      </c>
      <c r="AU199">
        <f>MIN(Plan!E13,AS199+AT199)</f>
        <v/>
      </c>
      <c r="AV199">
        <f>AS199+AT199-AU199</f>
        <v/>
      </c>
      <c r="AW199">
        <f>MIN(AV199,MAX(0,$B199-((E$5&lt;AU$5)*F199+(K$5&lt;AU$5)*L199+(Q$5&lt;AU$5)*R199+(W$5&lt;AU$5)*X199+(AC$5&lt;AU$5)*AD199+(AI$5&lt;AU$5)*AJ199+(AO$5&lt;AU$5)*AP199)))</f>
        <v/>
      </c>
      <c r="AX199">
        <f>IF(AV199-AW199&lt;0.005,0,AV199-AW199)</f>
        <v/>
      </c>
      <c r="BC199">
        <f>H199+N199+T199+Z199+AF199+AL199+AR199+AX199</f>
        <v/>
      </c>
    </row>
    <row r="200">
      <c r="A200" t="n">
        <v>194</v>
      </c>
      <c r="B200" s="19">
        <f>MAX(0,$B$3-(E200+K200+Q200+W200+AC200+AI200+AO200+AU200))</f>
        <v/>
      </c>
      <c r="C200">
        <f>H199</f>
        <v/>
      </c>
      <c r="D200">
        <f>C200*Plan!D6/100/12</f>
        <v/>
      </c>
      <c r="E200">
        <f>MIN(Plan!E6,C200+D200)</f>
        <v/>
      </c>
      <c r="F200">
        <f>C200+D200-E200</f>
        <v/>
      </c>
      <c r="G200">
        <f>MIN(F200,MAX(0,$B200-((K$5&lt;E$5)*L200+(Q$5&lt;E$5)*R200+(W$5&lt;E$5)*X200+(AC$5&lt;E$5)*AD200+(AI$5&lt;E$5)*AJ200+(AO$5&lt;E$5)*AP200+(AU$5&lt;E$5)*AV200)))</f>
        <v/>
      </c>
      <c r="H200">
        <f>IF(F200-G200&lt;0.005,0,F200-G200)</f>
        <v/>
      </c>
      <c r="I200">
        <f>N199</f>
        <v/>
      </c>
      <c r="J200">
        <f>I200*Plan!D7/100/12</f>
        <v/>
      </c>
      <c r="K200">
        <f>MIN(Plan!E7,I200+J200)</f>
        <v/>
      </c>
      <c r="L200">
        <f>I200+J200-K200</f>
        <v/>
      </c>
      <c r="M200">
        <f>MIN(L200,MAX(0,$B200-((E$5&lt;K$5)*F200+(Q$5&lt;K$5)*R200+(W$5&lt;K$5)*X200+(AC$5&lt;K$5)*AD200+(AI$5&lt;K$5)*AJ200+(AO$5&lt;K$5)*AP200+(AU$5&lt;K$5)*AV200)))</f>
        <v/>
      </c>
      <c r="N200">
        <f>IF(L200-M200&lt;0.005,0,L200-M200)</f>
        <v/>
      </c>
      <c r="O200">
        <f>T199</f>
        <v/>
      </c>
      <c r="P200">
        <f>O200*Plan!D8/100/12</f>
        <v/>
      </c>
      <c r="Q200">
        <f>MIN(Plan!E8,O200+P200)</f>
        <v/>
      </c>
      <c r="R200">
        <f>O200+P200-Q200</f>
        <v/>
      </c>
      <c r="S200">
        <f>MIN(R200,MAX(0,$B200-((E$5&lt;Q$5)*F200+(K$5&lt;Q$5)*L200+(W$5&lt;Q$5)*X200+(AC$5&lt;Q$5)*AD200+(AI$5&lt;Q$5)*AJ200+(AO$5&lt;Q$5)*AP200+(AU$5&lt;Q$5)*AV200)))</f>
        <v/>
      </c>
      <c r="T200">
        <f>IF(R200-S200&lt;0.005,0,R200-S200)</f>
        <v/>
      </c>
      <c r="U200">
        <f>Z199</f>
        <v/>
      </c>
      <c r="V200">
        <f>U200*Plan!D9/100/12</f>
        <v/>
      </c>
      <c r="W200">
        <f>MIN(Plan!E9,U200+V200)</f>
        <v/>
      </c>
      <c r="X200">
        <f>U200+V200-W200</f>
        <v/>
      </c>
      <c r="Y200">
        <f>MIN(X200,MAX(0,$B200-((E$5&lt;W$5)*F200+(K$5&lt;W$5)*L200+(Q$5&lt;W$5)*R200+(AC$5&lt;W$5)*AD200+(AI$5&lt;W$5)*AJ200+(AO$5&lt;W$5)*AP200+(AU$5&lt;W$5)*AV200)))</f>
        <v/>
      </c>
      <c r="Z200">
        <f>IF(X200-Y200&lt;0.005,0,X200-Y200)</f>
        <v/>
      </c>
      <c r="AA200">
        <f>AF199</f>
        <v/>
      </c>
      <c r="AB200">
        <f>AA200*Plan!D10/100/12</f>
        <v/>
      </c>
      <c r="AC200">
        <f>MIN(Plan!E10,AA200+AB200)</f>
        <v/>
      </c>
      <c r="AD200">
        <f>AA200+AB200-AC200</f>
        <v/>
      </c>
      <c r="AE200">
        <f>MIN(AD200,MAX(0,$B200-((E$5&lt;AC$5)*F200+(K$5&lt;AC$5)*L200+(Q$5&lt;AC$5)*R200+(W$5&lt;AC$5)*X200+(AI$5&lt;AC$5)*AJ200+(AO$5&lt;AC$5)*AP200+(AU$5&lt;AC$5)*AV200)))</f>
        <v/>
      </c>
      <c r="AF200">
        <f>IF(AD200-AE200&lt;0.005,0,AD200-AE200)</f>
        <v/>
      </c>
      <c r="AG200">
        <f>AL199</f>
        <v/>
      </c>
      <c r="AH200">
        <f>AG200*Plan!D11/100/12</f>
        <v/>
      </c>
      <c r="AI200">
        <f>MIN(Plan!E11,AG200+AH200)</f>
        <v/>
      </c>
      <c r="AJ200">
        <f>AG200+AH200-AI200</f>
        <v/>
      </c>
      <c r="AK200">
        <f>MIN(AJ200,MAX(0,$B200-((E$5&lt;AI$5)*F200+(K$5&lt;AI$5)*L200+(Q$5&lt;AI$5)*R200+(W$5&lt;AI$5)*X200+(AC$5&lt;AI$5)*AD200+(AO$5&lt;AI$5)*AP200+(AU$5&lt;AI$5)*AV200)))</f>
        <v/>
      </c>
      <c r="AL200">
        <f>IF(AJ200-AK200&lt;0.005,0,AJ200-AK200)</f>
        <v/>
      </c>
      <c r="AM200">
        <f>AR199</f>
        <v/>
      </c>
      <c r="AN200">
        <f>AM200*Plan!D12/100/12</f>
        <v/>
      </c>
      <c r="AO200">
        <f>MIN(Plan!E12,AM200+AN200)</f>
        <v/>
      </c>
      <c r="AP200">
        <f>AM200+AN200-AO200</f>
        <v/>
      </c>
      <c r="AQ200">
        <f>MIN(AP200,MAX(0,$B200-((E$5&lt;AO$5)*F200+(K$5&lt;AO$5)*L200+(Q$5&lt;AO$5)*R200+(W$5&lt;AO$5)*X200+(AC$5&lt;AO$5)*AD200+(AI$5&lt;AO$5)*AJ200+(AU$5&lt;AO$5)*AV200)))</f>
        <v/>
      </c>
      <c r="AR200">
        <f>IF(AP200-AQ200&lt;0.005,0,AP200-AQ200)</f>
        <v/>
      </c>
      <c r="AS200">
        <f>AX199</f>
        <v/>
      </c>
      <c r="AT200">
        <f>AS200*Plan!D13/100/12</f>
        <v/>
      </c>
      <c r="AU200">
        <f>MIN(Plan!E13,AS200+AT200)</f>
        <v/>
      </c>
      <c r="AV200">
        <f>AS200+AT200-AU200</f>
        <v/>
      </c>
      <c r="AW200">
        <f>MIN(AV200,MAX(0,$B200-((E$5&lt;AU$5)*F200+(K$5&lt;AU$5)*L200+(Q$5&lt;AU$5)*R200+(W$5&lt;AU$5)*X200+(AC$5&lt;AU$5)*AD200+(AI$5&lt;AU$5)*AJ200+(AO$5&lt;AU$5)*AP200)))</f>
        <v/>
      </c>
      <c r="AX200">
        <f>IF(AV200-AW200&lt;0.005,0,AV200-AW200)</f>
        <v/>
      </c>
      <c r="BC200">
        <f>H200+N200+T200+Z200+AF200+AL200+AR200+AX200</f>
        <v/>
      </c>
    </row>
    <row r="201">
      <c r="A201" t="n">
        <v>195</v>
      </c>
      <c r="B201" s="19">
        <f>MAX(0,$B$3-(E201+K201+Q201+W201+AC201+AI201+AO201+AU201))</f>
        <v/>
      </c>
      <c r="C201">
        <f>H200</f>
        <v/>
      </c>
      <c r="D201">
        <f>C201*Plan!D6/100/12</f>
        <v/>
      </c>
      <c r="E201">
        <f>MIN(Plan!E6,C201+D201)</f>
        <v/>
      </c>
      <c r="F201">
        <f>C201+D201-E201</f>
        <v/>
      </c>
      <c r="G201">
        <f>MIN(F201,MAX(0,$B201-((K$5&lt;E$5)*L201+(Q$5&lt;E$5)*R201+(W$5&lt;E$5)*X201+(AC$5&lt;E$5)*AD201+(AI$5&lt;E$5)*AJ201+(AO$5&lt;E$5)*AP201+(AU$5&lt;E$5)*AV201)))</f>
        <v/>
      </c>
      <c r="H201">
        <f>IF(F201-G201&lt;0.005,0,F201-G201)</f>
        <v/>
      </c>
      <c r="I201">
        <f>N200</f>
        <v/>
      </c>
      <c r="J201">
        <f>I201*Plan!D7/100/12</f>
        <v/>
      </c>
      <c r="K201">
        <f>MIN(Plan!E7,I201+J201)</f>
        <v/>
      </c>
      <c r="L201">
        <f>I201+J201-K201</f>
        <v/>
      </c>
      <c r="M201">
        <f>MIN(L201,MAX(0,$B201-((E$5&lt;K$5)*F201+(Q$5&lt;K$5)*R201+(W$5&lt;K$5)*X201+(AC$5&lt;K$5)*AD201+(AI$5&lt;K$5)*AJ201+(AO$5&lt;K$5)*AP201+(AU$5&lt;K$5)*AV201)))</f>
        <v/>
      </c>
      <c r="N201">
        <f>IF(L201-M201&lt;0.005,0,L201-M201)</f>
        <v/>
      </c>
      <c r="O201">
        <f>T200</f>
        <v/>
      </c>
      <c r="P201">
        <f>O201*Plan!D8/100/12</f>
        <v/>
      </c>
      <c r="Q201">
        <f>MIN(Plan!E8,O201+P201)</f>
        <v/>
      </c>
      <c r="R201">
        <f>O201+P201-Q201</f>
        <v/>
      </c>
      <c r="S201">
        <f>MIN(R201,MAX(0,$B201-((E$5&lt;Q$5)*F201+(K$5&lt;Q$5)*L201+(W$5&lt;Q$5)*X201+(AC$5&lt;Q$5)*AD201+(AI$5&lt;Q$5)*AJ201+(AO$5&lt;Q$5)*AP201+(AU$5&lt;Q$5)*AV201)))</f>
        <v/>
      </c>
      <c r="T201">
        <f>IF(R201-S201&lt;0.005,0,R201-S201)</f>
        <v/>
      </c>
      <c r="U201">
        <f>Z200</f>
        <v/>
      </c>
      <c r="V201">
        <f>U201*Plan!D9/100/12</f>
        <v/>
      </c>
      <c r="W201">
        <f>MIN(Plan!E9,U201+V201)</f>
        <v/>
      </c>
      <c r="X201">
        <f>U201+V201-W201</f>
        <v/>
      </c>
      <c r="Y201">
        <f>MIN(X201,MAX(0,$B201-((E$5&lt;W$5)*F201+(K$5&lt;W$5)*L201+(Q$5&lt;W$5)*R201+(AC$5&lt;W$5)*AD201+(AI$5&lt;W$5)*AJ201+(AO$5&lt;W$5)*AP201+(AU$5&lt;W$5)*AV201)))</f>
        <v/>
      </c>
      <c r="Z201">
        <f>IF(X201-Y201&lt;0.005,0,X201-Y201)</f>
        <v/>
      </c>
      <c r="AA201">
        <f>AF200</f>
        <v/>
      </c>
      <c r="AB201">
        <f>AA201*Plan!D10/100/12</f>
        <v/>
      </c>
      <c r="AC201">
        <f>MIN(Plan!E10,AA201+AB201)</f>
        <v/>
      </c>
      <c r="AD201">
        <f>AA201+AB201-AC201</f>
        <v/>
      </c>
      <c r="AE201">
        <f>MIN(AD201,MAX(0,$B201-((E$5&lt;AC$5)*F201+(K$5&lt;AC$5)*L201+(Q$5&lt;AC$5)*R201+(W$5&lt;AC$5)*X201+(AI$5&lt;AC$5)*AJ201+(AO$5&lt;AC$5)*AP201+(AU$5&lt;AC$5)*AV201)))</f>
        <v/>
      </c>
      <c r="AF201">
        <f>IF(AD201-AE201&lt;0.005,0,AD201-AE201)</f>
        <v/>
      </c>
      <c r="AG201">
        <f>AL200</f>
        <v/>
      </c>
      <c r="AH201">
        <f>AG201*Plan!D11/100/12</f>
        <v/>
      </c>
      <c r="AI201">
        <f>MIN(Plan!E11,AG201+AH201)</f>
        <v/>
      </c>
      <c r="AJ201">
        <f>AG201+AH201-AI201</f>
        <v/>
      </c>
      <c r="AK201">
        <f>MIN(AJ201,MAX(0,$B201-((E$5&lt;AI$5)*F201+(K$5&lt;AI$5)*L201+(Q$5&lt;AI$5)*R201+(W$5&lt;AI$5)*X201+(AC$5&lt;AI$5)*AD201+(AO$5&lt;AI$5)*AP201+(AU$5&lt;AI$5)*AV201)))</f>
        <v/>
      </c>
      <c r="AL201">
        <f>IF(AJ201-AK201&lt;0.005,0,AJ201-AK201)</f>
        <v/>
      </c>
      <c r="AM201">
        <f>AR200</f>
        <v/>
      </c>
      <c r="AN201">
        <f>AM201*Plan!D12/100/12</f>
        <v/>
      </c>
      <c r="AO201">
        <f>MIN(Plan!E12,AM201+AN201)</f>
        <v/>
      </c>
      <c r="AP201">
        <f>AM201+AN201-AO201</f>
        <v/>
      </c>
      <c r="AQ201">
        <f>MIN(AP201,MAX(0,$B201-((E$5&lt;AO$5)*F201+(K$5&lt;AO$5)*L201+(Q$5&lt;AO$5)*R201+(W$5&lt;AO$5)*X201+(AC$5&lt;AO$5)*AD201+(AI$5&lt;AO$5)*AJ201+(AU$5&lt;AO$5)*AV201)))</f>
        <v/>
      </c>
      <c r="AR201">
        <f>IF(AP201-AQ201&lt;0.005,0,AP201-AQ201)</f>
        <v/>
      </c>
      <c r="AS201">
        <f>AX200</f>
        <v/>
      </c>
      <c r="AT201">
        <f>AS201*Plan!D13/100/12</f>
        <v/>
      </c>
      <c r="AU201">
        <f>MIN(Plan!E13,AS201+AT201)</f>
        <v/>
      </c>
      <c r="AV201">
        <f>AS201+AT201-AU201</f>
        <v/>
      </c>
      <c r="AW201">
        <f>MIN(AV201,MAX(0,$B201-((E$5&lt;AU$5)*F201+(K$5&lt;AU$5)*L201+(Q$5&lt;AU$5)*R201+(W$5&lt;AU$5)*X201+(AC$5&lt;AU$5)*AD201+(AI$5&lt;AU$5)*AJ201+(AO$5&lt;AU$5)*AP201)))</f>
        <v/>
      </c>
      <c r="AX201">
        <f>IF(AV201-AW201&lt;0.005,0,AV201-AW201)</f>
        <v/>
      </c>
      <c r="BC201">
        <f>H201+N201+T201+Z201+AF201+AL201+AR201+AX201</f>
        <v/>
      </c>
    </row>
    <row r="202">
      <c r="A202" t="n">
        <v>196</v>
      </c>
      <c r="B202" s="19">
        <f>MAX(0,$B$3-(E202+K202+Q202+W202+AC202+AI202+AO202+AU202))</f>
        <v/>
      </c>
      <c r="C202">
        <f>H201</f>
        <v/>
      </c>
      <c r="D202">
        <f>C202*Plan!D6/100/12</f>
        <v/>
      </c>
      <c r="E202">
        <f>MIN(Plan!E6,C202+D202)</f>
        <v/>
      </c>
      <c r="F202">
        <f>C202+D202-E202</f>
        <v/>
      </c>
      <c r="G202">
        <f>MIN(F202,MAX(0,$B202-((K$5&lt;E$5)*L202+(Q$5&lt;E$5)*R202+(W$5&lt;E$5)*X202+(AC$5&lt;E$5)*AD202+(AI$5&lt;E$5)*AJ202+(AO$5&lt;E$5)*AP202+(AU$5&lt;E$5)*AV202)))</f>
        <v/>
      </c>
      <c r="H202">
        <f>IF(F202-G202&lt;0.005,0,F202-G202)</f>
        <v/>
      </c>
      <c r="I202">
        <f>N201</f>
        <v/>
      </c>
      <c r="J202">
        <f>I202*Plan!D7/100/12</f>
        <v/>
      </c>
      <c r="K202">
        <f>MIN(Plan!E7,I202+J202)</f>
        <v/>
      </c>
      <c r="L202">
        <f>I202+J202-K202</f>
        <v/>
      </c>
      <c r="M202">
        <f>MIN(L202,MAX(0,$B202-((E$5&lt;K$5)*F202+(Q$5&lt;K$5)*R202+(W$5&lt;K$5)*X202+(AC$5&lt;K$5)*AD202+(AI$5&lt;K$5)*AJ202+(AO$5&lt;K$5)*AP202+(AU$5&lt;K$5)*AV202)))</f>
        <v/>
      </c>
      <c r="N202">
        <f>IF(L202-M202&lt;0.005,0,L202-M202)</f>
        <v/>
      </c>
      <c r="O202">
        <f>T201</f>
        <v/>
      </c>
      <c r="P202">
        <f>O202*Plan!D8/100/12</f>
        <v/>
      </c>
      <c r="Q202">
        <f>MIN(Plan!E8,O202+P202)</f>
        <v/>
      </c>
      <c r="R202">
        <f>O202+P202-Q202</f>
        <v/>
      </c>
      <c r="S202">
        <f>MIN(R202,MAX(0,$B202-((E$5&lt;Q$5)*F202+(K$5&lt;Q$5)*L202+(W$5&lt;Q$5)*X202+(AC$5&lt;Q$5)*AD202+(AI$5&lt;Q$5)*AJ202+(AO$5&lt;Q$5)*AP202+(AU$5&lt;Q$5)*AV202)))</f>
        <v/>
      </c>
      <c r="T202">
        <f>IF(R202-S202&lt;0.005,0,R202-S202)</f>
        <v/>
      </c>
      <c r="U202">
        <f>Z201</f>
        <v/>
      </c>
      <c r="V202">
        <f>U202*Plan!D9/100/12</f>
        <v/>
      </c>
      <c r="W202">
        <f>MIN(Plan!E9,U202+V202)</f>
        <v/>
      </c>
      <c r="X202">
        <f>U202+V202-W202</f>
        <v/>
      </c>
      <c r="Y202">
        <f>MIN(X202,MAX(0,$B202-((E$5&lt;W$5)*F202+(K$5&lt;W$5)*L202+(Q$5&lt;W$5)*R202+(AC$5&lt;W$5)*AD202+(AI$5&lt;W$5)*AJ202+(AO$5&lt;W$5)*AP202+(AU$5&lt;W$5)*AV202)))</f>
        <v/>
      </c>
      <c r="Z202">
        <f>IF(X202-Y202&lt;0.005,0,X202-Y202)</f>
        <v/>
      </c>
      <c r="AA202">
        <f>AF201</f>
        <v/>
      </c>
      <c r="AB202">
        <f>AA202*Plan!D10/100/12</f>
        <v/>
      </c>
      <c r="AC202">
        <f>MIN(Plan!E10,AA202+AB202)</f>
        <v/>
      </c>
      <c r="AD202">
        <f>AA202+AB202-AC202</f>
        <v/>
      </c>
      <c r="AE202">
        <f>MIN(AD202,MAX(0,$B202-((E$5&lt;AC$5)*F202+(K$5&lt;AC$5)*L202+(Q$5&lt;AC$5)*R202+(W$5&lt;AC$5)*X202+(AI$5&lt;AC$5)*AJ202+(AO$5&lt;AC$5)*AP202+(AU$5&lt;AC$5)*AV202)))</f>
        <v/>
      </c>
      <c r="AF202">
        <f>IF(AD202-AE202&lt;0.005,0,AD202-AE202)</f>
        <v/>
      </c>
      <c r="AG202">
        <f>AL201</f>
        <v/>
      </c>
      <c r="AH202">
        <f>AG202*Plan!D11/100/12</f>
        <v/>
      </c>
      <c r="AI202">
        <f>MIN(Plan!E11,AG202+AH202)</f>
        <v/>
      </c>
      <c r="AJ202">
        <f>AG202+AH202-AI202</f>
        <v/>
      </c>
      <c r="AK202">
        <f>MIN(AJ202,MAX(0,$B202-((E$5&lt;AI$5)*F202+(K$5&lt;AI$5)*L202+(Q$5&lt;AI$5)*R202+(W$5&lt;AI$5)*X202+(AC$5&lt;AI$5)*AD202+(AO$5&lt;AI$5)*AP202+(AU$5&lt;AI$5)*AV202)))</f>
        <v/>
      </c>
      <c r="AL202">
        <f>IF(AJ202-AK202&lt;0.005,0,AJ202-AK202)</f>
        <v/>
      </c>
      <c r="AM202">
        <f>AR201</f>
        <v/>
      </c>
      <c r="AN202">
        <f>AM202*Plan!D12/100/12</f>
        <v/>
      </c>
      <c r="AO202">
        <f>MIN(Plan!E12,AM202+AN202)</f>
        <v/>
      </c>
      <c r="AP202">
        <f>AM202+AN202-AO202</f>
        <v/>
      </c>
      <c r="AQ202">
        <f>MIN(AP202,MAX(0,$B202-((E$5&lt;AO$5)*F202+(K$5&lt;AO$5)*L202+(Q$5&lt;AO$5)*R202+(W$5&lt;AO$5)*X202+(AC$5&lt;AO$5)*AD202+(AI$5&lt;AO$5)*AJ202+(AU$5&lt;AO$5)*AV202)))</f>
        <v/>
      </c>
      <c r="AR202">
        <f>IF(AP202-AQ202&lt;0.005,0,AP202-AQ202)</f>
        <v/>
      </c>
      <c r="AS202">
        <f>AX201</f>
        <v/>
      </c>
      <c r="AT202">
        <f>AS202*Plan!D13/100/12</f>
        <v/>
      </c>
      <c r="AU202">
        <f>MIN(Plan!E13,AS202+AT202)</f>
        <v/>
      </c>
      <c r="AV202">
        <f>AS202+AT202-AU202</f>
        <v/>
      </c>
      <c r="AW202">
        <f>MIN(AV202,MAX(0,$B202-((E$5&lt;AU$5)*F202+(K$5&lt;AU$5)*L202+(Q$5&lt;AU$5)*R202+(W$5&lt;AU$5)*X202+(AC$5&lt;AU$5)*AD202+(AI$5&lt;AU$5)*AJ202+(AO$5&lt;AU$5)*AP202)))</f>
        <v/>
      </c>
      <c r="AX202">
        <f>IF(AV202-AW202&lt;0.005,0,AV202-AW202)</f>
        <v/>
      </c>
      <c r="BC202">
        <f>H202+N202+T202+Z202+AF202+AL202+AR202+AX202</f>
        <v/>
      </c>
    </row>
    <row r="203">
      <c r="A203" t="n">
        <v>197</v>
      </c>
      <c r="B203" s="19">
        <f>MAX(0,$B$3-(E203+K203+Q203+W203+AC203+AI203+AO203+AU203))</f>
        <v/>
      </c>
      <c r="C203">
        <f>H202</f>
        <v/>
      </c>
      <c r="D203">
        <f>C203*Plan!D6/100/12</f>
        <v/>
      </c>
      <c r="E203">
        <f>MIN(Plan!E6,C203+D203)</f>
        <v/>
      </c>
      <c r="F203">
        <f>C203+D203-E203</f>
        <v/>
      </c>
      <c r="G203">
        <f>MIN(F203,MAX(0,$B203-((K$5&lt;E$5)*L203+(Q$5&lt;E$5)*R203+(W$5&lt;E$5)*X203+(AC$5&lt;E$5)*AD203+(AI$5&lt;E$5)*AJ203+(AO$5&lt;E$5)*AP203+(AU$5&lt;E$5)*AV203)))</f>
        <v/>
      </c>
      <c r="H203">
        <f>IF(F203-G203&lt;0.005,0,F203-G203)</f>
        <v/>
      </c>
      <c r="I203">
        <f>N202</f>
        <v/>
      </c>
      <c r="J203">
        <f>I203*Plan!D7/100/12</f>
        <v/>
      </c>
      <c r="K203">
        <f>MIN(Plan!E7,I203+J203)</f>
        <v/>
      </c>
      <c r="L203">
        <f>I203+J203-K203</f>
        <v/>
      </c>
      <c r="M203">
        <f>MIN(L203,MAX(0,$B203-((E$5&lt;K$5)*F203+(Q$5&lt;K$5)*R203+(W$5&lt;K$5)*X203+(AC$5&lt;K$5)*AD203+(AI$5&lt;K$5)*AJ203+(AO$5&lt;K$5)*AP203+(AU$5&lt;K$5)*AV203)))</f>
        <v/>
      </c>
      <c r="N203">
        <f>IF(L203-M203&lt;0.005,0,L203-M203)</f>
        <v/>
      </c>
      <c r="O203">
        <f>T202</f>
        <v/>
      </c>
      <c r="P203">
        <f>O203*Plan!D8/100/12</f>
        <v/>
      </c>
      <c r="Q203">
        <f>MIN(Plan!E8,O203+P203)</f>
        <v/>
      </c>
      <c r="R203">
        <f>O203+P203-Q203</f>
        <v/>
      </c>
      <c r="S203">
        <f>MIN(R203,MAX(0,$B203-((E$5&lt;Q$5)*F203+(K$5&lt;Q$5)*L203+(W$5&lt;Q$5)*X203+(AC$5&lt;Q$5)*AD203+(AI$5&lt;Q$5)*AJ203+(AO$5&lt;Q$5)*AP203+(AU$5&lt;Q$5)*AV203)))</f>
        <v/>
      </c>
      <c r="T203">
        <f>IF(R203-S203&lt;0.005,0,R203-S203)</f>
        <v/>
      </c>
      <c r="U203">
        <f>Z202</f>
        <v/>
      </c>
      <c r="V203">
        <f>U203*Plan!D9/100/12</f>
        <v/>
      </c>
      <c r="W203">
        <f>MIN(Plan!E9,U203+V203)</f>
        <v/>
      </c>
      <c r="X203">
        <f>U203+V203-W203</f>
        <v/>
      </c>
      <c r="Y203">
        <f>MIN(X203,MAX(0,$B203-((E$5&lt;W$5)*F203+(K$5&lt;W$5)*L203+(Q$5&lt;W$5)*R203+(AC$5&lt;W$5)*AD203+(AI$5&lt;W$5)*AJ203+(AO$5&lt;W$5)*AP203+(AU$5&lt;W$5)*AV203)))</f>
        <v/>
      </c>
      <c r="Z203">
        <f>IF(X203-Y203&lt;0.005,0,X203-Y203)</f>
        <v/>
      </c>
      <c r="AA203">
        <f>AF202</f>
        <v/>
      </c>
      <c r="AB203">
        <f>AA203*Plan!D10/100/12</f>
        <v/>
      </c>
      <c r="AC203">
        <f>MIN(Plan!E10,AA203+AB203)</f>
        <v/>
      </c>
      <c r="AD203">
        <f>AA203+AB203-AC203</f>
        <v/>
      </c>
      <c r="AE203">
        <f>MIN(AD203,MAX(0,$B203-((E$5&lt;AC$5)*F203+(K$5&lt;AC$5)*L203+(Q$5&lt;AC$5)*R203+(W$5&lt;AC$5)*X203+(AI$5&lt;AC$5)*AJ203+(AO$5&lt;AC$5)*AP203+(AU$5&lt;AC$5)*AV203)))</f>
        <v/>
      </c>
      <c r="AF203">
        <f>IF(AD203-AE203&lt;0.005,0,AD203-AE203)</f>
        <v/>
      </c>
      <c r="AG203">
        <f>AL202</f>
        <v/>
      </c>
      <c r="AH203">
        <f>AG203*Plan!D11/100/12</f>
        <v/>
      </c>
      <c r="AI203">
        <f>MIN(Plan!E11,AG203+AH203)</f>
        <v/>
      </c>
      <c r="AJ203">
        <f>AG203+AH203-AI203</f>
        <v/>
      </c>
      <c r="AK203">
        <f>MIN(AJ203,MAX(0,$B203-((E$5&lt;AI$5)*F203+(K$5&lt;AI$5)*L203+(Q$5&lt;AI$5)*R203+(W$5&lt;AI$5)*X203+(AC$5&lt;AI$5)*AD203+(AO$5&lt;AI$5)*AP203+(AU$5&lt;AI$5)*AV203)))</f>
        <v/>
      </c>
      <c r="AL203">
        <f>IF(AJ203-AK203&lt;0.005,0,AJ203-AK203)</f>
        <v/>
      </c>
      <c r="AM203">
        <f>AR202</f>
        <v/>
      </c>
      <c r="AN203">
        <f>AM203*Plan!D12/100/12</f>
        <v/>
      </c>
      <c r="AO203">
        <f>MIN(Plan!E12,AM203+AN203)</f>
        <v/>
      </c>
      <c r="AP203">
        <f>AM203+AN203-AO203</f>
        <v/>
      </c>
      <c r="AQ203">
        <f>MIN(AP203,MAX(0,$B203-((E$5&lt;AO$5)*F203+(K$5&lt;AO$5)*L203+(Q$5&lt;AO$5)*R203+(W$5&lt;AO$5)*X203+(AC$5&lt;AO$5)*AD203+(AI$5&lt;AO$5)*AJ203+(AU$5&lt;AO$5)*AV203)))</f>
        <v/>
      </c>
      <c r="AR203">
        <f>IF(AP203-AQ203&lt;0.005,0,AP203-AQ203)</f>
        <v/>
      </c>
      <c r="AS203">
        <f>AX202</f>
        <v/>
      </c>
      <c r="AT203">
        <f>AS203*Plan!D13/100/12</f>
        <v/>
      </c>
      <c r="AU203">
        <f>MIN(Plan!E13,AS203+AT203)</f>
        <v/>
      </c>
      <c r="AV203">
        <f>AS203+AT203-AU203</f>
        <v/>
      </c>
      <c r="AW203">
        <f>MIN(AV203,MAX(0,$B203-((E$5&lt;AU$5)*F203+(K$5&lt;AU$5)*L203+(Q$5&lt;AU$5)*R203+(W$5&lt;AU$5)*X203+(AC$5&lt;AU$5)*AD203+(AI$5&lt;AU$5)*AJ203+(AO$5&lt;AU$5)*AP203)))</f>
        <v/>
      </c>
      <c r="AX203">
        <f>IF(AV203-AW203&lt;0.005,0,AV203-AW203)</f>
        <v/>
      </c>
      <c r="BC203">
        <f>H203+N203+T203+Z203+AF203+AL203+AR203+AX203</f>
        <v/>
      </c>
    </row>
    <row r="204">
      <c r="A204" t="n">
        <v>198</v>
      </c>
      <c r="B204" s="19">
        <f>MAX(0,$B$3-(E204+K204+Q204+W204+AC204+AI204+AO204+AU204))</f>
        <v/>
      </c>
      <c r="C204">
        <f>H203</f>
        <v/>
      </c>
      <c r="D204">
        <f>C204*Plan!D6/100/12</f>
        <v/>
      </c>
      <c r="E204">
        <f>MIN(Plan!E6,C204+D204)</f>
        <v/>
      </c>
      <c r="F204">
        <f>C204+D204-E204</f>
        <v/>
      </c>
      <c r="G204">
        <f>MIN(F204,MAX(0,$B204-((K$5&lt;E$5)*L204+(Q$5&lt;E$5)*R204+(W$5&lt;E$5)*X204+(AC$5&lt;E$5)*AD204+(AI$5&lt;E$5)*AJ204+(AO$5&lt;E$5)*AP204+(AU$5&lt;E$5)*AV204)))</f>
        <v/>
      </c>
      <c r="H204">
        <f>IF(F204-G204&lt;0.005,0,F204-G204)</f>
        <v/>
      </c>
      <c r="I204">
        <f>N203</f>
        <v/>
      </c>
      <c r="J204">
        <f>I204*Plan!D7/100/12</f>
        <v/>
      </c>
      <c r="K204">
        <f>MIN(Plan!E7,I204+J204)</f>
        <v/>
      </c>
      <c r="L204">
        <f>I204+J204-K204</f>
        <v/>
      </c>
      <c r="M204">
        <f>MIN(L204,MAX(0,$B204-((E$5&lt;K$5)*F204+(Q$5&lt;K$5)*R204+(W$5&lt;K$5)*X204+(AC$5&lt;K$5)*AD204+(AI$5&lt;K$5)*AJ204+(AO$5&lt;K$5)*AP204+(AU$5&lt;K$5)*AV204)))</f>
        <v/>
      </c>
      <c r="N204">
        <f>IF(L204-M204&lt;0.005,0,L204-M204)</f>
        <v/>
      </c>
      <c r="O204">
        <f>T203</f>
        <v/>
      </c>
      <c r="P204">
        <f>O204*Plan!D8/100/12</f>
        <v/>
      </c>
      <c r="Q204">
        <f>MIN(Plan!E8,O204+P204)</f>
        <v/>
      </c>
      <c r="R204">
        <f>O204+P204-Q204</f>
        <v/>
      </c>
      <c r="S204">
        <f>MIN(R204,MAX(0,$B204-((E$5&lt;Q$5)*F204+(K$5&lt;Q$5)*L204+(W$5&lt;Q$5)*X204+(AC$5&lt;Q$5)*AD204+(AI$5&lt;Q$5)*AJ204+(AO$5&lt;Q$5)*AP204+(AU$5&lt;Q$5)*AV204)))</f>
        <v/>
      </c>
      <c r="T204">
        <f>IF(R204-S204&lt;0.005,0,R204-S204)</f>
        <v/>
      </c>
      <c r="U204">
        <f>Z203</f>
        <v/>
      </c>
      <c r="V204">
        <f>U204*Plan!D9/100/12</f>
        <v/>
      </c>
      <c r="W204">
        <f>MIN(Plan!E9,U204+V204)</f>
        <v/>
      </c>
      <c r="X204">
        <f>U204+V204-W204</f>
        <v/>
      </c>
      <c r="Y204">
        <f>MIN(X204,MAX(0,$B204-((E$5&lt;W$5)*F204+(K$5&lt;W$5)*L204+(Q$5&lt;W$5)*R204+(AC$5&lt;W$5)*AD204+(AI$5&lt;W$5)*AJ204+(AO$5&lt;W$5)*AP204+(AU$5&lt;W$5)*AV204)))</f>
        <v/>
      </c>
      <c r="Z204">
        <f>IF(X204-Y204&lt;0.005,0,X204-Y204)</f>
        <v/>
      </c>
      <c r="AA204">
        <f>AF203</f>
        <v/>
      </c>
      <c r="AB204">
        <f>AA204*Plan!D10/100/12</f>
        <v/>
      </c>
      <c r="AC204">
        <f>MIN(Plan!E10,AA204+AB204)</f>
        <v/>
      </c>
      <c r="AD204">
        <f>AA204+AB204-AC204</f>
        <v/>
      </c>
      <c r="AE204">
        <f>MIN(AD204,MAX(0,$B204-((E$5&lt;AC$5)*F204+(K$5&lt;AC$5)*L204+(Q$5&lt;AC$5)*R204+(W$5&lt;AC$5)*X204+(AI$5&lt;AC$5)*AJ204+(AO$5&lt;AC$5)*AP204+(AU$5&lt;AC$5)*AV204)))</f>
        <v/>
      </c>
      <c r="AF204">
        <f>IF(AD204-AE204&lt;0.005,0,AD204-AE204)</f>
        <v/>
      </c>
      <c r="AG204">
        <f>AL203</f>
        <v/>
      </c>
      <c r="AH204">
        <f>AG204*Plan!D11/100/12</f>
        <v/>
      </c>
      <c r="AI204">
        <f>MIN(Plan!E11,AG204+AH204)</f>
        <v/>
      </c>
      <c r="AJ204">
        <f>AG204+AH204-AI204</f>
        <v/>
      </c>
      <c r="AK204">
        <f>MIN(AJ204,MAX(0,$B204-((E$5&lt;AI$5)*F204+(K$5&lt;AI$5)*L204+(Q$5&lt;AI$5)*R204+(W$5&lt;AI$5)*X204+(AC$5&lt;AI$5)*AD204+(AO$5&lt;AI$5)*AP204+(AU$5&lt;AI$5)*AV204)))</f>
        <v/>
      </c>
      <c r="AL204">
        <f>IF(AJ204-AK204&lt;0.005,0,AJ204-AK204)</f>
        <v/>
      </c>
      <c r="AM204">
        <f>AR203</f>
        <v/>
      </c>
      <c r="AN204">
        <f>AM204*Plan!D12/100/12</f>
        <v/>
      </c>
      <c r="AO204">
        <f>MIN(Plan!E12,AM204+AN204)</f>
        <v/>
      </c>
      <c r="AP204">
        <f>AM204+AN204-AO204</f>
        <v/>
      </c>
      <c r="AQ204">
        <f>MIN(AP204,MAX(0,$B204-((E$5&lt;AO$5)*F204+(K$5&lt;AO$5)*L204+(Q$5&lt;AO$5)*R204+(W$5&lt;AO$5)*X204+(AC$5&lt;AO$5)*AD204+(AI$5&lt;AO$5)*AJ204+(AU$5&lt;AO$5)*AV204)))</f>
        <v/>
      </c>
      <c r="AR204">
        <f>IF(AP204-AQ204&lt;0.005,0,AP204-AQ204)</f>
        <v/>
      </c>
      <c r="AS204">
        <f>AX203</f>
        <v/>
      </c>
      <c r="AT204">
        <f>AS204*Plan!D13/100/12</f>
        <v/>
      </c>
      <c r="AU204">
        <f>MIN(Plan!E13,AS204+AT204)</f>
        <v/>
      </c>
      <c r="AV204">
        <f>AS204+AT204-AU204</f>
        <v/>
      </c>
      <c r="AW204">
        <f>MIN(AV204,MAX(0,$B204-((E$5&lt;AU$5)*F204+(K$5&lt;AU$5)*L204+(Q$5&lt;AU$5)*R204+(W$5&lt;AU$5)*X204+(AC$5&lt;AU$5)*AD204+(AI$5&lt;AU$5)*AJ204+(AO$5&lt;AU$5)*AP204)))</f>
        <v/>
      </c>
      <c r="AX204">
        <f>IF(AV204-AW204&lt;0.005,0,AV204-AW204)</f>
        <v/>
      </c>
      <c r="BC204">
        <f>H204+N204+T204+Z204+AF204+AL204+AR204+AX204</f>
        <v/>
      </c>
    </row>
    <row r="205">
      <c r="A205" t="n">
        <v>199</v>
      </c>
      <c r="B205" s="19">
        <f>MAX(0,$B$3-(E205+K205+Q205+W205+AC205+AI205+AO205+AU205))</f>
        <v/>
      </c>
      <c r="C205">
        <f>H204</f>
        <v/>
      </c>
      <c r="D205">
        <f>C205*Plan!D6/100/12</f>
        <v/>
      </c>
      <c r="E205">
        <f>MIN(Plan!E6,C205+D205)</f>
        <v/>
      </c>
      <c r="F205">
        <f>C205+D205-E205</f>
        <v/>
      </c>
      <c r="G205">
        <f>MIN(F205,MAX(0,$B205-((K$5&lt;E$5)*L205+(Q$5&lt;E$5)*R205+(W$5&lt;E$5)*X205+(AC$5&lt;E$5)*AD205+(AI$5&lt;E$5)*AJ205+(AO$5&lt;E$5)*AP205+(AU$5&lt;E$5)*AV205)))</f>
        <v/>
      </c>
      <c r="H205">
        <f>IF(F205-G205&lt;0.005,0,F205-G205)</f>
        <v/>
      </c>
      <c r="I205">
        <f>N204</f>
        <v/>
      </c>
      <c r="J205">
        <f>I205*Plan!D7/100/12</f>
        <v/>
      </c>
      <c r="K205">
        <f>MIN(Plan!E7,I205+J205)</f>
        <v/>
      </c>
      <c r="L205">
        <f>I205+J205-K205</f>
        <v/>
      </c>
      <c r="M205">
        <f>MIN(L205,MAX(0,$B205-((E$5&lt;K$5)*F205+(Q$5&lt;K$5)*R205+(W$5&lt;K$5)*X205+(AC$5&lt;K$5)*AD205+(AI$5&lt;K$5)*AJ205+(AO$5&lt;K$5)*AP205+(AU$5&lt;K$5)*AV205)))</f>
        <v/>
      </c>
      <c r="N205">
        <f>IF(L205-M205&lt;0.005,0,L205-M205)</f>
        <v/>
      </c>
      <c r="O205">
        <f>T204</f>
        <v/>
      </c>
      <c r="P205">
        <f>O205*Plan!D8/100/12</f>
        <v/>
      </c>
      <c r="Q205">
        <f>MIN(Plan!E8,O205+P205)</f>
        <v/>
      </c>
      <c r="R205">
        <f>O205+P205-Q205</f>
        <v/>
      </c>
      <c r="S205">
        <f>MIN(R205,MAX(0,$B205-((E$5&lt;Q$5)*F205+(K$5&lt;Q$5)*L205+(W$5&lt;Q$5)*X205+(AC$5&lt;Q$5)*AD205+(AI$5&lt;Q$5)*AJ205+(AO$5&lt;Q$5)*AP205+(AU$5&lt;Q$5)*AV205)))</f>
        <v/>
      </c>
      <c r="T205">
        <f>IF(R205-S205&lt;0.005,0,R205-S205)</f>
        <v/>
      </c>
      <c r="U205">
        <f>Z204</f>
        <v/>
      </c>
      <c r="V205">
        <f>U205*Plan!D9/100/12</f>
        <v/>
      </c>
      <c r="W205">
        <f>MIN(Plan!E9,U205+V205)</f>
        <v/>
      </c>
      <c r="X205">
        <f>U205+V205-W205</f>
        <v/>
      </c>
      <c r="Y205">
        <f>MIN(X205,MAX(0,$B205-((E$5&lt;W$5)*F205+(K$5&lt;W$5)*L205+(Q$5&lt;W$5)*R205+(AC$5&lt;W$5)*AD205+(AI$5&lt;W$5)*AJ205+(AO$5&lt;W$5)*AP205+(AU$5&lt;W$5)*AV205)))</f>
        <v/>
      </c>
      <c r="Z205">
        <f>IF(X205-Y205&lt;0.005,0,X205-Y205)</f>
        <v/>
      </c>
      <c r="AA205">
        <f>AF204</f>
        <v/>
      </c>
      <c r="AB205">
        <f>AA205*Plan!D10/100/12</f>
        <v/>
      </c>
      <c r="AC205">
        <f>MIN(Plan!E10,AA205+AB205)</f>
        <v/>
      </c>
      <c r="AD205">
        <f>AA205+AB205-AC205</f>
        <v/>
      </c>
      <c r="AE205">
        <f>MIN(AD205,MAX(0,$B205-((E$5&lt;AC$5)*F205+(K$5&lt;AC$5)*L205+(Q$5&lt;AC$5)*R205+(W$5&lt;AC$5)*X205+(AI$5&lt;AC$5)*AJ205+(AO$5&lt;AC$5)*AP205+(AU$5&lt;AC$5)*AV205)))</f>
        <v/>
      </c>
      <c r="AF205">
        <f>IF(AD205-AE205&lt;0.005,0,AD205-AE205)</f>
        <v/>
      </c>
      <c r="AG205">
        <f>AL204</f>
        <v/>
      </c>
      <c r="AH205">
        <f>AG205*Plan!D11/100/12</f>
        <v/>
      </c>
      <c r="AI205">
        <f>MIN(Plan!E11,AG205+AH205)</f>
        <v/>
      </c>
      <c r="AJ205">
        <f>AG205+AH205-AI205</f>
        <v/>
      </c>
      <c r="AK205">
        <f>MIN(AJ205,MAX(0,$B205-((E$5&lt;AI$5)*F205+(K$5&lt;AI$5)*L205+(Q$5&lt;AI$5)*R205+(W$5&lt;AI$5)*X205+(AC$5&lt;AI$5)*AD205+(AO$5&lt;AI$5)*AP205+(AU$5&lt;AI$5)*AV205)))</f>
        <v/>
      </c>
      <c r="AL205">
        <f>IF(AJ205-AK205&lt;0.005,0,AJ205-AK205)</f>
        <v/>
      </c>
      <c r="AM205">
        <f>AR204</f>
        <v/>
      </c>
      <c r="AN205">
        <f>AM205*Plan!D12/100/12</f>
        <v/>
      </c>
      <c r="AO205">
        <f>MIN(Plan!E12,AM205+AN205)</f>
        <v/>
      </c>
      <c r="AP205">
        <f>AM205+AN205-AO205</f>
        <v/>
      </c>
      <c r="AQ205">
        <f>MIN(AP205,MAX(0,$B205-((E$5&lt;AO$5)*F205+(K$5&lt;AO$5)*L205+(Q$5&lt;AO$5)*R205+(W$5&lt;AO$5)*X205+(AC$5&lt;AO$5)*AD205+(AI$5&lt;AO$5)*AJ205+(AU$5&lt;AO$5)*AV205)))</f>
        <v/>
      </c>
      <c r="AR205">
        <f>IF(AP205-AQ205&lt;0.005,0,AP205-AQ205)</f>
        <v/>
      </c>
      <c r="AS205">
        <f>AX204</f>
        <v/>
      </c>
      <c r="AT205">
        <f>AS205*Plan!D13/100/12</f>
        <v/>
      </c>
      <c r="AU205">
        <f>MIN(Plan!E13,AS205+AT205)</f>
        <v/>
      </c>
      <c r="AV205">
        <f>AS205+AT205-AU205</f>
        <v/>
      </c>
      <c r="AW205">
        <f>MIN(AV205,MAX(0,$B205-((E$5&lt;AU$5)*F205+(K$5&lt;AU$5)*L205+(Q$5&lt;AU$5)*R205+(W$5&lt;AU$5)*X205+(AC$5&lt;AU$5)*AD205+(AI$5&lt;AU$5)*AJ205+(AO$5&lt;AU$5)*AP205)))</f>
        <v/>
      </c>
      <c r="AX205">
        <f>IF(AV205-AW205&lt;0.005,0,AV205-AW205)</f>
        <v/>
      </c>
      <c r="BC205">
        <f>H205+N205+T205+Z205+AF205+AL205+AR205+AX205</f>
        <v/>
      </c>
    </row>
    <row r="206">
      <c r="A206" t="n">
        <v>200</v>
      </c>
      <c r="B206" s="19">
        <f>MAX(0,$B$3-(E206+K206+Q206+W206+AC206+AI206+AO206+AU206))</f>
        <v/>
      </c>
      <c r="C206">
        <f>H205</f>
        <v/>
      </c>
      <c r="D206">
        <f>C206*Plan!D6/100/12</f>
        <v/>
      </c>
      <c r="E206">
        <f>MIN(Plan!E6,C206+D206)</f>
        <v/>
      </c>
      <c r="F206">
        <f>C206+D206-E206</f>
        <v/>
      </c>
      <c r="G206">
        <f>MIN(F206,MAX(0,$B206-((K$5&lt;E$5)*L206+(Q$5&lt;E$5)*R206+(W$5&lt;E$5)*X206+(AC$5&lt;E$5)*AD206+(AI$5&lt;E$5)*AJ206+(AO$5&lt;E$5)*AP206+(AU$5&lt;E$5)*AV206)))</f>
        <v/>
      </c>
      <c r="H206">
        <f>IF(F206-G206&lt;0.005,0,F206-G206)</f>
        <v/>
      </c>
      <c r="I206">
        <f>N205</f>
        <v/>
      </c>
      <c r="J206">
        <f>I206*Plan!D7/100/12</f>
        <v/>
      </c>
      <c r="K206">
        <f>MIN(Plan!E7,I206+J206)</f>
        <v/>
      </c>
      <c r="L206">
        <f>I206+J206-K206</f>
        <v/>
      </c>
      <c r="M206">
        <f>MIN(L206,MAX(0,$B206-((E$5&lt;K$5)*F206+(Q$5&lt;K$5)*R206+(W$5&lt;K$5)*X206+(AC$5&lt;K$5)*AD206+(AI$5&lt;K$5)*AJ206+(AO$5&lt;K$5)*AP206+(AU$5&lt;K$5)*AV206)))</f>
        <v/>
      </c>
      <c r="N206">
        <f>IF(L206-M206&lt;0.005,0,L206-M206)</f>
        <v/>
      </c>
      <c r="O206">
        <f>T205</f>
        <v/>
      </c>
      <c r="P206">
        <f>O206*Plan!D8/100/12</f>
        <v/>
      </c>
      <c r="Q206">
        <f>MIN(Plan!E8,O206+P206)</f>
        <v/>
      </c>
      <c r="R206">
        <f>O206+P206-Q206</f>
        <v/>
      </c>
      <c r="S206">
        <f>MIN(R206,MAX(0,$B206-((E$5&lt;Q$5)*F206+(K$5&lt;Q$5)*L206+(W$5&lt;Q$5)*X206+(AC$5&lt;Q$5)*AD206+(AI$5&lt;Q$5)*AJ206+(AO$5&lt;Q$5)*AP206+(AU$5&lt;Q$5)*AV206)))</f>
        <v/>
      </c>
      <c r="T206">
        <f>IF(R206-S206&lt;0.005,0,R206-S206)</f>
        <v/>
      </c>
      <c r="U206">
        <f>Z205</f>
        <v/>
      </c>
      <c r="V206">
        <f>U206*Plan!D9/100/12</f>
        <v/>
      </c>
      <c r="W206">
        <f>MIN(Plan!E9,U206+V206)</f>
        <v/>
      </c>
      <c r="X206">
        <f>U206+V206-W206</f>
        <v/>
      </c>
      <c r="Y206">
        <f>MIN(X206,MAX(0,$B206-((E$5&lt;W$5)*F206+(K$5&lt;W$5)*L206+(Q$5&lt;W$5)*R206+(AC$5&lt;W$5)*AD206+(AI$5&lt;W$5)*AJ206+(AO$5&lt;W$5)*AP206+(AU$5&lt;W$5)*AV206)))</f>
        <v/>
      </c>
      <c r="Z206">
        <f>IF(X206-Y206&lt;0.005,0,X206-Y206)</f>
        <v/>
      </c>
      <c r="AA206">
        <f>AF205</f>
        <v/>
      </c>
      <c r="AB206">
        <f>AA206*Plan!D10/100/12</f>
        <v/>
      </c>
      <c r="AC206">
        <f>MIN(Plan!E10,AA206+AB206)</f>
        <v/>
      </c>
      <c r="AD206">
        <f>AA206+AB206-AC206</f>
        <v/>
      </c>
      <c r="AE206">
        <f>MIN(AD206,MAX(0,$B206-((E$5&lt;AC$5)*F206+(K$5&lt;AC$5)*L206+(Q$5&lt;AC$5)*R206+(W$5&lt;AC$5)*X206+(AI$5&lt;AC$5)*AJ206+(AO$5&lt;AC$5)*AP206+(AU$5&lt;AC$5)*AV206)))</f>
        <v/>
      </c>
      <c r="AF206">
        <f>IF(AD206-AE206&lt;0.005,0,AD206-AE206)</f>
        <v/>
      </c>
      <c r="AG206">
        <f>AL205</f>
        <v/>
      </c>
      <c r="AH206">
        <f>AG206*Plan!D11/100/12</f>
        <v/>
      </c>
      <c r="AI206">
        <f>MIN(Plan!E11,AG206+AH206)</f>
        <v/>
      </c>
      <c r="AJ206">
        <f>AG206+AH206-AI206</f>
        <v/>
      </c>
      <c r="AK206">
        <f>MIN(AJ206,MAX(0,$B206-((E$5&lt;AI$5)*F206+(K$5&lt;AI$5)*L206+(Q$5&lt;AI$5)*R206+(W$5&lt;AI$5)*X206+(AC$5&lt;AI$5)*AD206+(AO$5&lt;AI$5)*AP206+(AU$5&lt;AI$5)*AV206)))</f>
        <v/>
      </c>
      <c r="AL206">
        <f>IF(AJ206-AK206&lt;0.005,0,AJ206-AK206)</f>
        <v/>
      </c>
      <c r="AM206">
        <f>AR205</f>
        <v/>
      </c>
      <c r="AN206">
        <f>AM206*Plan!D12/100/12</f>
        <v/>
      </c>
      <c r="AO206">
        <f>MIN(Plan!E12,AM206+AN206)</f>
        <v/>
      </c>
      <c r="AP206">
        <f>AM206+AN206-AO206</f>
        <v/>
      </c>
      <c r="AQ206">
        <f>MIN(AP206,MAX(0,$B206-((E$5&lt;AO$5)*F206+(K$5&lt;AO$5)*L206+(Q$5&lt;AO$5)*R206+(W$5&lt;AO$5)*X206+(AC$5&lt;AO$5)*AD206+(AI$5&lt;AO$5)*AJ206+(AU$5&lt;AO$5)*AV206)))</f>
        <v/>
      </c>
      <c r="AR206">
        <f>IF(AP206-AQ206&lt;0.005,0,AP206-AQ206)</f>
        <v/>
      </c>
      <c r="AS206">
        <f>AX205</f>
        <v/>
      </c>
      <c r="AT206">
        <f>AS206*Plan!D13/100/12</f>
        <v/>
      </c>
      <c r="AU206">
        <f>MIN(Plan!E13,AS206+AT206)</f>
        <v/>
      </c>
      <c r="AV206">
        <f>AS206+AT206-AU206</f>
        <v/>
      </c>
      <c r="AW206">
        <f>MIN(AV206,MAX(0,$B206-((E$5&lt;AU$5)*F206+(K$5&lt;AU$5)*L206+(Q$5&lt;AU$5)*R206+(W$5&lt;AU$5)*X206+(AC$5&lt;AU$5)*AD206+(AI$5&lt;AU$5)*AJ206+(AO$5&lt;AU$5)*AP206)))</f>
        <v/>
      </c>
      <c r="AX206">
        <f>IF(AV206-AW206&lt;0.005,0,AV206-AW206)</f>
        <v/>
      </c>
      <c r="BC206">
        <f>H206+N206+T206+Z206+AF206+AL206+AR206+AX206</f>
        <v/>
      </c>
    </row>
    <row r="207">
      <c r="A207" t="n">
        <v>201</v>
      </c>
      <c r="B207" s="19">
        <f>MAX(0,$B$3-(E207+K207+Q207+W207+AC207+AI207+AO207+AU207))</f>
        <v/>
      </c>
      <c r="C207">
        <f>H206</f>
        <v/>
      </c>
      <c r="D207">
        <f>C207*Plan!D6/100/12</f>
        <v/>
      </c>
      <c r="E207">
        <f>MIN(Plan!E6,C207+D207)</f>
        <v/>
      </c>
      <c r="F207">
        <f>C207+D207-E207</f>
        <v/>
      </c>
      <c r="G207">
        <f>MIN(F207,MAX(0,$B207-((K$5&lt;E$5)*L207+(Q$5&lt;E$5)*R207+(W$5&lt;E$5)*X207+(AC$5&lt;E$5)*AD207+(AI$5&lt;E$5)*AJ207+(AO$5&lt;E$5)*AP207+(AU$5&lt;E$5)*AV207)))</f>
        <v/>
      </c>
      <c r="H207">
        <f>IF(F207-G207&lt;0.005,0,F207-G207)</f>
        <v/>
      </c>
      <c r="I207">
        <f>N206</f>
        <v/>
      </c>
      <c r="J207">
        <f>I207*Plan!D7/100/12</f>
        <v/>
      </c>
      <c r="K207">
        <f>MIN(Plan!E7,I207+J207)</f>
        <v/>
      </c>
      <c r="L207">
        <f>I207+J207-K207</f>
        <v/>
      </c>
      <c r="M207">
        <f>MIN(L207,MAX(0,$B207-((E$5&lt;K$5)*F207+(Q$5&lt;K$5)*R207+(W$5&lt;K$5)*X207+(AC$5&lt;K$5)*AD207+(AI$5&lt;K$5)*AJ207+(AO$5&lt;K$5)*AP207+(AU$5&lt;K$5)*AV207)))</f>
        <v/>
      </c>
      <c r="N207">
        <f>IF(L207-M207&lt;0.005,0,L207-M207)</f>
        <v/>
      </c>
      <c r="O207">
        <f>T206</f>
        <v/>
      </c>
      <c r="P207">
        <f>O207*Plan!D8/100/12</f>
        <v/>
      </c>
      <c r="Q207">
        <f>MIN(Plan!E8,O207+P207)</f>
        <v/>
      </c>
      <c r="R207">
        <f>O207+P207-Q207</f>
        <v/>
      </c>
      <c r="S207">
        <f>MIN(R207,MAX(0,$B207-((E$5&lt;Q$5)*F207+(K$5&lt;Q$5)*L207+(W$5&lt;Q$5)*X207+(AC$5&lt;Q$5)*AD207+(AI$5&lt;Q$5)*AJ207+(AO$5&lt;Q$5)*AP207+(AU$5&lt;Q$5)*AV207)))</f>
        <v/>
      </c>
      <c r="T207">
        <f>IF(R207-S207&lt;0.005,0,R207-S207)</f>
        <v/>
      </c>
      <c r="U207">
        <f>Z206</f>
        <v/>
      </c>
      <c r="V207">
        <f>U207*Plan!D9/100/12</f>
        <v/>
      </c>
      <c r="W207">
        <f>MIN(Plan!E9,U207+V207)</f>
        <v/>
      </c>
      <c r="X207">
        <f>U207+V207-W207</f>
        <v/>
      </c>
      <c r="Y207">
        <f>MIN(X207,MAX(0,$B207-((E$5&lt;W$5)*F207+(K$5&lt;W$5)*L207+(Q$5&lt;W$5)*R207+(AC$5&lt;W$5)*AD207+(AI$5&lt;W$5)*AJ207+(AO$5&lt;W$5)*AP207+(AU$5&lt;W$5)*AV207)))</f>
        <v/>
      </c>
      <c r="Z207">
        <f>IF(X207-Y207&lt;0.005,0,X207-Y207)</f>
        <v/>
      </c>
      <c r="AA207">
        <f>AF206</f>
        <v/>
      </c>
      <c r="AB207">
        <f>AA207*Plan!D10/100/12</f>
        <v/>
      </c>
      <c r="AC207">
        <f>MIN(Plan!E10,AA207+AB207)</f>
        <v/>
      </c>
      <c r="AD207">
        <f>AA207+AB207-AC207</f>
        <v/>
      </c>
      <c r="AE207">
        <f>MIN(AD207,MAX(0,$B207-((E$5&lt;AC$5)*F207+(K$5&lt;AC$5)*L207+(Q$5&lt;AC$5)*R207+(W$5&lt;AC$5)*X207+(AI$5&lt;AC$5)*AJ207+(AO$5&lt;AC$5)*AP207+(AU$5&lt;AC$5)*AV207)))</f>
        <v/>
      </c>
      <c r="AF207">
        <f>IF(AD207-AE207&lt;0.005,0,AD207-AE207)</f>
        <v/>
      </c>
      <c r="AG207">
        <f>AL206</f>
        <v/>
      </c>
      <c r="AH207">
        <f>AG207*Plan!D11/100/12</f>
        <v/>
      </c>
      <c r="AI207">
        <f>MIN(Plan!E11,AG207+AH207)</f>
        <v/>
      </c>
      <c r="AJ207">
        <f>AG207+AH207-AI207</f>
        <v/>
      </c>
      <c r="AK207">
        <f>MIN(AJ207,MAX(0,$B207-((E$5&lt;AI$5)*F207+(K$5&lt;AI$5)*L207+(Q$5&lt;AI$5)*R207+(W$5&lt;AI$5)*X207+(AC$5&lt;AI$5)*AD207+(AO$5&lt;AI$5)*AP207+(AU$5&lt;AI$5)*AV207)))</f>
        <v/>
      </c>
      <c r="AL207">
        <f>IF(AJ207-AK207&lt;0.005,0,AJ207-AK207)</f>
        <v/>
      </c>
      <c r="AM207">
        <f>AR206</f>
        <v/>
      </c>
      <c r="AN207">
        <f>AM207*Plan!D12/100/12</f>
        <v/>
      </c>
      <c r="AO207">
        <f>MIN(Plan!E12,AM207+AN207)</f>
        <v/>
      </c>
      <c r="AP207">
        <f>AM207+AN207-AO207</f>
        <v/>
      </c>
      <c r="AQ207">
        <f>MIN(AP207,MAX(0,$B207-((E$5&lt;AO$5)*F207+(K$5&lt;AO$5)*L207+(Q$5&lt;AO$5)*R207+(W$5&lt;AO$5)*X207+(AC$5&lt;AO$5)*AD207+(AI$5&lt;AO$5)*AJ207+(AU$5&lt;AO$5)*AV207)))</f>
        <v/>
      </c>
      <c r="AR207">
        <f>IF(AP207-AQ207&lt;0.005,0,AP207-AQ207)</f>
        <v/>
      </c>
      <c r="AS207">
        <f>AX206</f>
        <v/>
      </c>
      <c r="AT207">
        <f>AS207*Plan!D13/100/12</f>
        <v/>
      </c>
      <c r="AU207">
        <f>MIN(Plan!E13,AS207+AT207)</f>
        <v/>
      </c>
      <c r="AV207">
        <f>AS207+AT207-AU207</f>
        <v/>
      </c>
      <c r="AW207">
        <f>MIN(AV207,MAX(0,$B207-((E$5&lt;AU$5)*F207+(K$5&lt;AU$5)*L207+(Q$5&lt;AU$5)*R207+(W$5&lt;AU$5)*X207+(AC$5&lt;AU$5)*AD207+(AI$5&lt;AU$5)*AJ207+(AO$5&lt;AU$5)*AP207)))</f>
        <v/>
      </c>
      <c r="AX207">
        <f>IF(AV207-AW207&lt;0.005,0,AV207-AW207)</f>
        <v/>
      </c>
      <c r="BC207">
        <f>H207+N207+T207+Z207+AF207+AL207+AR207+AX207</f>
        <v/>
      </c>
    </row>
    <row r="208">
      <c r="A208" t="n">
        <v>202</v>
      </c>
      <c r="B208" s="19">
        <f>MAX(0,$B$3-(E208+K208+Q208+W208+AC208+AI208+AO208+AU208))</f>
        <v/>
      </c>
      <c r="C208">
        <f>H207</f>
        <v/>
      </c>
      <c r="D208">
        <f>C208*Plan!D6/100/12</f>
        <v/>
      </c>
      <c r="E208">
        <f>MIN(Plan!E6,C208+D208)</f>
        <v/>
      </c>
      <c r="F208">
        <f>C208+D208-E208</f>
        <v/>
      </c>
      <c r="G208">
        <f>MIN(F208,MAX(0,$B208-((K$5&lt;E$5)*L208+(Q$5&lt;E$5)*R208+(W$5&lt;E$5)*X208+(AC$5&lt;E$5)*AD208+(AI$5&lt;E$5)*AJ208+(AO$5&lt;E$5)*AP208+(AU$5&lt;E$5)*AV208)))</f>
        <v/>
      </c>
      <c r="H208">
        <f>IF(F208-G208&lt;0.005,0,F208-G208)</f>
        <v/>
      </c>
      <c r="I208">
        <f>N207</f>
        <v/>
      </c>
      <c r="J208">
        <f>I208*Plan!D7/100/12</f>
        <v/>
      </c>
      <c r="K208">
        <f>MIN(Plan!E7,I208+J208)</f>
        <v/>
      </c>
      <c r="L208">
        <f>I208+J208-K208</f>
        <v/>
      </c>
      <c r="M208">
        <f>MIN(L208,MAX(0,$B208-((E$5&lt;K$5)*F208+(Q$5&lt;K$5)*R208+(W$5&lt;K$5)*X208+(AC$5&lt;K$5)*AD208+(AI$5&lt;K$5)*AJ208+(AO$5&lt;K$5)*AP208+(AU$5&lt;K$5)*AV208)))</f>
        <v/>
      </c>
      <c r="N208">
        <f>IF(L208-M208&lt;0.005,0,L208-M208)</f>
        <v/>
      </c>
      <c r="O208">
        <f>T207</f>
        <v/>
      </c>
      <c r="P208">
        <f>O208*Plan!D8/100/12</f>
        <v/>
      </c>
      <c r="Q208">
        <f>MIN(Plan!E8,O208+P208)</f>
        <v/>
      </c>
      <c r="R208">
        <f>O208+P208-Q208</f>
        <v/>
      </c>
      <c r="S208">
        <f>MIN(R208,MAX(0,$B208-((E$5&lt;Q$5)*F208+(K$5&lt;Q$5)*L208+(W$5&lt;Q$5)*X208+(AC$5&lt;Q$5)*AD208+(AI$5&lt;Q$5)*AJ208+(AO$5&lt;Q$5)*AP208+(AU$5&lt;Q$5)*AV208)))</f>
        <v/>
      </c>
      <c r="T208">
        <f>IF(R208-S208&lt;0.005,0,R208-S208)</f>
        <v/>
      </c>
      <c r="U208">
        <f>Z207</f>
        <v/>
      </c>
      <c r="V208">
        <f>U208*Plan!D9/100/12</f>
        <v/>
      </c>
      <c r="W208">
        <f>MIN(Plan!E9,U208+V208)</f>
        <v/>
      </c>
      <c r="X208">
        <f>U208+V208-W208</f>
        <v/>
      </c>
      <c r="Y208">
        <f>MIN(X208,MAX(0,$B208-((E$5&lt;W$5)*F208+(K$5&lt;W$5)*L208+(Q$5&lt;W$5)*R208+(AC$5&lt;W$5)*AD208+(AI$5&lt;W$5)*AJ208+(AO$5&lt;W$5)*AP208+(AU$5&lt;W$5)*AV208)))</f>
        <v/>
      </c>
      <c r="Z208">
        <f>IF(X208-Y208&lt;0.005,0,X208-Y208)</f>
        <v/>
      </c>
      <c r="AA208">
        <f>AF207</f>
        <v/>
      </c>
      <c r="AB208">
        <f>AA208*Plan!D10/100/12</f>
        <v/>
      </c>
      <c r="AC208">
        <f>MIN(Plan!E10,AA208+AB208)</f>
        <v/>
      </c>
      <c r="AD208">
        <f>AA208+AB208-AC208</f>
        <v/>
      </c>
      <c r="AE208">
        <f>MIN(AD208,MAX(0,$B208-((E$5&lt;AC$5)*F208+(K$5&lt;AC$5)*L208+(Q$5&lt;AC$5)*R208+(W$5&lt;AC$5)*X208+(AI$5&lt;AC$5)*AJ208+(AO$5&lt;AC$5)*AP208+(AU$5&lt;AC$5)*AV208)))</f>
        <v/>
      </c>
      <c r="AF208">
        <f>IF(AD208-AE208&lt;0.005,0,AD208-AE208)</f>
        <v/>
      </c>
      <c r="AG208">
        <f>AL207</f>
        <v/>
      </c>
      <c r="AH208">
        <f>AG208*Plan!D11/100/12</f>
        <v/>
      </c>
      <c r="AI208">
        <f>MIN(Plan!E11,AG208+AH208)</f>
        <v/>
      </c>
      <c r="AJ208">
        <f>AG208+AH208-AI208</f>
        <v/>
      </c>
      <c r="AK208">
        <f>MIN(AJ208,MAX(0,$B208-((E$5&lt;AI$5)*F208+(K$5&lt;AI$5)*L208+(Q$5&lt;AI$5)*R208+(W$5&lt;AI$5)*X208+(AC$5&lt;AI$5)*AD208+(AO$5&lt;AI$5)*AP208+(AU$5&lt;AI$5)*AV208)))</f>
        <v/>
      </c>
      <c r="AL208">
        <f>IF(AJ208-AK208&lt;0.005,0,AJ208-AK208)</f>
        <v/>
      </c>
      <c r="AM208">
        <f>AR207</f>
        <v/>
      </c>
      <c r="AN208">
        <f>AM208*Plan!D12/100/12</f>
        <v/>
      </c>
      <c r="AO208">
        <f>MIN(Plan!E12,AM208+AN208)</f>
        <v/>
      </c>
      <c r="AP208">
        <f>AM208+AN208-AO208</f>
        <v/>
      </c>
      <c r="AQ208">
        <f>MIN(AP208,MAX(0,$B208-((E$5&lt;AO$5)*F208+(K$5&lt;AO$5)*L208+(Q$5&lt;AO$5)*R208+(W$5&lt;AO$5)*X208+(AC$5&lt;AO$5)*AD208+(AI$5&lt;AO$5)*AJ208+(AU$5&lt;AO$5)*AV208)))</f>
        <v/>
      </c>
      <c r="AR208">
        <f>IF(AP208-AQ208&lt;0.005,0,AP208-AQ208)</f>
        <v/>
      </c>
      <c r="AS208">
        <f>AX207</f>
        <v/>
      </c>
      <c r="AT208">
        <f>AS208*Plan!D13/100/12</f>
        <v/>
      </c>
      <c r="AU208">
        <f>MIN(Plan!E13,AS208+AT208)</f>
        <v/>
      </c>
      <c r="AV208">
        <f>AS208+AT208-AU208</f>
        <v/>
      </c>
      <c r="AW208">
        <f>MIN(AV208,MAX(0,$B208-((E$5&lt;AU$5)*F208+(K$5&lt;AU$5)*L208+(Q$5&lt;AU$5)*R208+(W$5&lt;AU$5)*X208+(AC$5&lt;AU$5)*AD208+(AI$5&lt;AU$5)*AJ208+(AO$5&lt;AU$5)*AP208)))</f>
        <v/>
      </c>
      <c r="AX208">
        <f>IF(AV208-AW208&lt;0.005,0,AV208-AW208)</f>
        <v/>
      </c>
      <c r="BC208">
        <f>H208+N208+T208+Z208+AF208+AL208+AR208+AX208</f>
        <v/>
      </c>
    </row>
    <row r="209">
      <c r="A209" t="n">
        <v>203</v>
      </c>
      <c r="B209" s="19">
        <f>MAX(0,$B$3-(E209+K209+Q209+W209+AC209+AI209+AO209+AU209))</f>
        <v/>
      </c>
      <c r="C209">
        <f>H208</f>
        <v/>
      </c>
      <c r="D209">
        <f>C209*Plan!D6/100/12</f>
        <v/>
      </c>
      <c r="E209">
        <f>MIN(Plan!E6,C209+D209)</f>
        <v/>
      </c>
      <c r="F209">
        <f>C209+D209-E209</f>
        <v/>
      </c>
      <c r="G209">
        <f>MIN(F209,MAX(0,$B209-((K$5&lt;E$5)*L209+(Q$5&lt;E$5)*R209+(W$5&lt;E$5)*X209+(AC$5&lt;E$5)*AD209+(AI$5&lt;E$5)*AJ209+(AO$5&lt;E$5)*AP209+(AU$5&lt;E$5)*AV209)))</f>
        <v/>
      </c>
      <c r="H209">
        <f>IF(F209-G209&lt;0.005,0,F209-G209)</f>
        <v/>
      </c>
      <c r="I209">
        <f>N208</f>
        <v/>
      </c>
      <c r="J209">
        <f>I209*Plan!D7/100/12</f>
        <v/>
      </c>
      <c r="K209">
        <f>MIN(Plan!E7,I209+J209)</f>
        <v/>
      </c>
      <c r="L209">
        <f>I209+J209-K209</f>
        <v/>
      </c>
      <c r="M209">
        <f>MIN(L209,MAX(0,$B209-((E$5&lt;K$5)*F209+(Q$5&lt;K$5)*R209+(W$5&lt;K$5)*X209+(AC$5&lt;K$5)*AD209+(AI$5&lt;K$5)*AJ209+(AO$5&lt;K$5)*AP209+(AU$5&lt;K$5)*AV209)))</f>
        <v/>
      </c>
      <c r="N209">
        <f>IF(L209-M209&lt;0.005,0,L209-M209)</f>
        <v/>
      </c>
      <c r="O209">
        <f>T208</f>
        <v/>
      </c>
      <c r="P209">
        <f>O209*Plan!D8/100/12</f>
        <v/>
      </c>
      <c r="Q209">
        <f>MIN(Plan!E8,O209+P209)</f>
        <v/>
      </c>
      <c r="R209">
        <f>O209+P209-Q209</f>
        <v/>
      </c>
      <c r="S209">
        <f>MIN(R209,MAX(0,$B209-((E$5&lt;Q$5)*F209+(K$5&lt;Q$5)*L209+(W$5&lt;Q$5)*X209+(AC$5&lt;Q$5)*AD209+(AI$5&lt;Q$5)*AJ209+(AO$5&lt;Q$5)*AP209+(AU$5&lt;Q$5)*AV209)))</f>
        <v/>
      </c>
      <c r="T209">
        <f>IF(R209-S209&lt;0.005,0,R209-S209)</f>
        <v/>
      </c>
      <c r="U209">
        <f>Z208</f>
        <v/>
      </c>
      <c r="V209">
        <f>U209*Plan!D9/100/12</f>
        <v/>
      </c>
      <c r="W209">
        <f>MIN(Plan!E9,U209+V209)</f>
        <v/>
      </c>
      <c r="X209">
        <f>U209+V209-W209</f>
        <v/>
      </c>
      <c r="Y209">
        <f>MIN(X209,MAX(0,$B209-((E$5&lt;W$5)*F209+(K$5&lt;W$5)*L209+(Q$5&lt;W$5)*R209+(AC$5&lt;W$5)*AD209+(AI$5&lt;W$5)*AJ209+(AO$5&lt;W$5)*AP209+(AU$5&lt;W$5)*AV209)))</f>
        <v/>
      </c>
      <c r="Z209">
        <f>IF(X209-Y209&lt;0.005,0,X209-Y209)</f>
        <v/>
      </c>
      <c r="AA209">
        <f>AF208</f>
        <v/>
      </c>
      <c r="AB209">
        <f>AA209*Plan!D10/100/12</f>
        <v/>
      </c>
      <c r="AC209">
        <f>MIN(Plan!E10,AA209+AB209)</f>
        <v/>
      </c>
      <c r="AD209">
        <f>AA209+AB209-AC209</f>
        <v/>
      </c>
      <c r="AE209">
        <f>MIN(AD209,MAX(0,$B209-((E$5&lt;AC$5)*F209+(K$5&lt;AC$5)*L209+(Q$5&lt;AC$5)*R209+(W$5&lt;AC$5)*X209+(AI$5&lt;AC$5)*AJ209+(AO$5&lt;AC$5)*AP209+(AU$5&lt;AC$5)*AV209)))</f>
        <v/>
      </c>
      <c r="AF209">
        <f>IF(AD209-AE209&lt;0.005,0,AD209-AE209)</f>
        <v/>
      </c>
      <c r="AG209">
        <f>AL208</f>
        <v/>
      </c>
      <c r="AH209">
        <f>AG209*Plan!D11/100/12</f>
        <v/>
      </c>
      <c r="AI209">
        <f>MIN(Plan!E11,AG209+AH209)</f>
        <v/>
      </c>
      <c r="AJ209">
        <f>AG209+AH209-AI209</f>
        <v/>
      </c>
      <c r="AK209">
        <f>MIN(AJ209,MAX(0,$B209-((E$5&lt;AI$5)*F209+(K$5&lt;AI$5)*L209+(Q$5&lt;AI$5)*R209+(W$5&lt;AI$5)*X209+(AC$5&lt;AI$5)*AD209+(AO$5&lt;AI$5)*AP209+(AU$5&lt;AI$5)*AV209)))</f>
        <v/>
      </c>
      <c r="AL209">
        <f>IF(AJ209-AK209&lt;0.005,0,AJ209-AK209)</f>
        <v/>
      </c>
      <c r="AM209">
        <f>AR208</f>
        <v/>
      </c>
      <c r="AN209">
        <f>AM209*Plan!D12/100/12</f>
        <v/>
      </c>
      <c r="AO209">
        <f>MIN(Plan!E12,AM209+AN209)</f>
        <v/>
      </c>
      <c r="AP209">
        <f>AM209+AN209-AO209</f>
        <v/>
      </c>
      <c r="AQ209">
        <f>MIN(AP209,MAX(0,$B209-((E$5&lt;AO$5)*F209+(K$5&lt;AO$5)*L209+(Q$5&lt;AO$5)*R209+(W$5&lt;AO$5)*X209+(AC$5&lt;AO$5)*AD209+(AI$5&lt;AO$5)*AJ209+(AU$5&lt;AO$5)*AV209)))</f>
        <v/>
      </c>
      <c r="AR209">
        <f>IF(AP209-AQ209&lt;0.005,0,AP209-AQ209)</f>
        <v/>
      </c>
      <c r="AS209">
        <f>AX208</f>
        <v/>
      </c>
      <c r="AT209">
        <f>AS209*Plan!D13/100/12</f>
        <v/>
      </c>
      <c r="AU209">
        <f>MIN(Plan!E13,AS209+AT209)</f>
        <v/>
      </c>
      <c r="AV209">
        <f>AS209+AT209-AU209</f>
        <v/>
      </c>
      <c r="AW209">
        <f>MIN(AV209,MAX(0,$B209-((E$5&lt;AU$5)*F209+(K$5&lt;AU$5)*L209+(Q$5&lt;AU$5)*R209+(W$5&lt;AU$5)*X209+(AC$5&lt;AU$5)*AD209+(AI$5&lt;AU$5)*AJ209+(AO$5&lt;AU$5)*AP209)))</f>
        <v/>
      </c>
      <c r="AX209">
        <f>IF(AV209-AW209&lt;0.005,0,AV209-AW209)</f>
        <v/>
      </c>
      <c r="BC209">
        <f>H209+N209+T209+Z209+AF209+AL209+AR209+AX209</f>
        <v/>
      </c>
    </row>
    <row r="210">
      <c r="A210" t="n">
        <v>204</v>
      </c>
      <c r="B210" s="19">
        <f>MAX(0,$B$3-(E210+K210+Q210+W210+AC210+AI210+AO210+AU210))</f>
        <v/>
      </c>
      <c r="C210">
        <f>H209</f>
        <v/>
      </c>
      <c r="D210">
        <f>C210*Plan!D6/100/12</f>
        <v/>
      </c>
      <c r="E210">
        <f>MIN(Plan!E6,C210+D210)</f>
        <v/>
      </c>
      <c r="F210">
        <f>C210+D210-E210</f>
        <v/>
      </c>
      <c r="G210">
        <f>MIN(F210,MAX(0,$B210-((K$5&lt;E$5)*L210+(Q$5&lt;E$5)*R210+(W$5&lt;E$5)*X210+(AC$5&lt;E$5)*AD210+(AI$5&lt;E$5)*AJ210+(AO$5&lt;E$5)*AP210+(AU$5&lt;E$5)*AV210)))</f>
        <v/>
      </c>
      <c r="H210">
        <f>IF(F210-G210&lt;0.005,0,F210-G210)</f>
        <v/>
      </c>
      <c r="I210">
        <f>N209</f>
        <v/>
      </c>
      <c r="J210">
        <f>I210*Plan!D7/100/12</f>
        <v/>
      </c>
      <c r="K210">
        <f>MIN(Plan!E7,I210+J210)</f>
        <v/>
      </c>
      <c r="L210">
        <f>I210+J210-K210</f>
        <v/>
      </c>
      <c r="M210">
        <f>MIN(L210,MAX(0,$B210-((E$5&lt;K$5)*F210+(Q$5&lt;K$5)*R210+(W$5&lt;K$5)*X210+(AC$5&lt;K$5)*AD210+(AI$5&lt;K$5)*AJ210+(AO$5&lt;K$5)*AP210+(AU$5&lt;K$5)*AV210)))</f>
        <v/>
      </c>
      <c r="N210">
        <f>IF(L210-M210&lt;0.005,0,L210-M210)</f>
        <v/>
      </c>
      <c r="O210">
        <f>T209</f>
        <v/>
      </c>
      <c r="P210">
        <f>O210*Plan!D8/100/12</f>
        <v/>
      </c>
      <c r="Q210">
        <f>MIN(Plan!E8,O210+P210)</f>
        <v/>
      </c>
      <c r="R210">
        <f>O210+P210-Q210</f>
        <v/>
      </c>
      <c r="S210">
        <f>MIN(R210,MAX(0,$B210-((E$5&lt;Q$5)*F210+(K$5&lt;Q$5)*L210+(W$5&lt;Q$5)*X210+(AC$5&lt;Q$5)*AD210+(AI$5&lt;Q$5)*AJ210+(AO$5&lt;Q$5)*AP210+(AU$5&lt;Q$5)*AV210)))</f>
        <v/>
      </c>
      <c r="T210">
        <f>IF(R210-S210&lt;0.005,0,R210-S210)</f>
        <v/>
      </c>
      <c r="U210">
        <f>Z209</f>
        <v/>
      </c>
      <c r="V210">
        <f>U210*Plan!D9/100/12</f>
        <v/>
      </c>
      <c r="W210">
        <f>MIN(Plan!E9,U210+V210)</f>
        <v/>
      </c>
      <c r="X210">
        <f>U210+V210-W210</f>
        <v/>
      </c>
      <c r="Y210">
        <f>MIN(X210,MAX(0,$B210-((E$5&lt;W$5)*F210+(K$5&lt;W$5)*L210+(Q$5&lt;W$5)*R210+(AC$5&lt;W$5)*AD210+(AI$5&lt;W$5)*AJ210+(AO$5&lt;W$5)*AP210+(AU$5&lt;W$5)*AV210)))</f>
        <v/>
      </c>
      <c r="Z210">
        <f>IF(X210-Y210&lt;0.005,0,X210-Y210)</f>
        <v/>
      </c>
      <c r="AA210">
        <f>AF209</f>
        <v/>
      </c>
      <c r="AB210">
        <f>AA210*Plan!D10/100/12</f>
        <v/>
      </c>
      <c r="AC210">
        <f>MIN(Plan!E10,AA210+AB210)</f>
        <v/>
      </c>
      <c r="AD210">
        <f>AA210+AB210-AC210</f>
        <v/>
      </c>
      <c r="AE210">
        <f>MIN(AD210,MAX(0,$B210-((E$5&lt;AC$5)*F210+(K$5&lt;AC$5)*L210+(Q$5&lt;AC$5)*R210+(W$5&lt;AC$5)*X210+(AI$5&lt;AC$5)*AJ210+(AO$5&lt;AC$5)*AP210+(AU$5&lt;AC$5)*AV210)))</f>
        <v/>
      </c>
      <c r="AF210">
        <f>IF(AD210-AE210&lt;0.005,0,AD210-AE210)</f>
        <v/>
      </c>
      <c r="AG210">
        <f>AL209</f>
        <v/>
      </c>
      <c r="AH210">
        <f>AG210*Plan!D11/100/12</f>
        <v/>
      </c>
      <c r="AI210">
        <f>MIN(Plan!E11,AG210+AH210)</f>
        <v/>
      </c>
      <c r="AJ210">
        <f>AG210+AH210-AI210</f>
        <v/>
      </c>
      <c r="AK210">
        <f>MIN(AJ210,MAX(0,$B210-((E$5&lt;AI$5)*F210+(K$5&lt;AI$5)*L210+(Q$5&lt;AI$5)*R210+(W$5&lt;AI$5)*X210+(AC$5&lt;AI$5)*AD210+(AO$5&lt;AI$5)*AP210+(AU$5&lt;AI$5)*AV210)))</f>
        <v/>
      </c>
      <c r="AL210">
        <f>IF(AJ210-AK210&lt;0.005,0,AJ210-AK210)</f>
        <v/>
      </c>
      <c r="AM210">
        <f>AR209</f>
        <v/>
      </c>
      <c r="AN210">
        <f>AM210*Plan!D12/100/12</f>
        <v/>
      </c>
      <c r="AO210">
        <f>MIN(Plan!E12,AM210+AN210)</f>
        <v/>
      </c>
      <c r="AP210">
        <f>AM210+AN210-AO210</f>
        <v/>
      </c>
      <c r="AQ210">
        <f>MIN(AP210,MAX(0,$B210-((E$5&lt;AO$5)*F210+(K$5&lt;AO$5)*L210+(Q$5&lt;AO$5)*R210+(W$5&lt;AO$5)*X210+(AC$5&lt;AO$5)*AD210+(AI$5&lt;AO$5)*AJ210+(AU$5&lt;AO$5)*AV210)))</f>
        <v/>
      </c>
      <c r="AR210">
        <f>IF(AP210-AQ210&lt;0.005,0,AP210-AQ210)</f>
        <v/>
      </c>
      <c r="AS210">
        <f>AX209</f>
        <v/>
      </c>
      <c r="AT210">
        <f>AS210*Plan!D13/100/12</f>
        <v/>
      </c>
      <c r="AU210">
        <f>MIN(Plan!E13,AS210+AT210)</f>
        <v/>
      </c>
      <c r="AV210">
        <f>AS210+AT210-AU210</f>
        <v/>
      </c>
      <c r="AW210">
        <f>MIN(AV210,MAX(0,$B210-((E$5&lt;AU$5)*F210+(K$5&lt;AU$5)*L210+(Q$5&lt;AU$5)*R210+(W$5&lt;AU$5)*X210+(AC$5&lt;AU$5)*AD210+(AI$5&lt;AU$5)*AJ210+(AO$5&lt;AU$5)*AP210)))</f>
        <v/>
      </c>
      <c r="AX210">
        <f>IF(AV210-AW210&lt;0.005,0,AV210-AW210)</f>
        <v/>
      </c>
      <c r="BC210">
        <f>H210+N210+T210+Z210+AF210+AL210+AR210+AX210</f>
        <v/>
      </c>
    </row>
    <row r="211">
      <c r="A211" t="n">
        <v>205</v>
      </c>
      <c r="B211" s="19">
        <f>MAX(0,$B$3-(E211+K211+Q211+W211+AC211+AI211+AO211+AU211))</f>
        <v/>
      </c>
      <c r="C211">
        <f>H210</f>
        <v/>
      </c>
      <c r="D211">
        <f>C211*Plan!D6/100/12</f>
        <v/>
      </c>
      <c r="E211">
        <f>MIN(Plan!E6,C211+D211)</f>
        <v/>
      </c>
      <c r="F211">
        <f>C211+D211-E211</f>
        <v/>
      </c>
      <c r="G211">
        <f>MIN(F211,MAX(0,$B211-((K$5&lt;E$5)*L211+(Q$5&lt;E$5)*R211+(W$5&lt;E$5)*X211+(AC$5&lt;E$5)*AD211+(AI$5&lt;E$5)*AJ211+(AO$5&lt;E$5)*AP211+(AU$5&lt;E$5)*AV211)))</f>
        <v/>
      </c>
      <c r="H211">
        <f>IF(F211-G211&lt;0.005,0,F211-G211)</f>
        <v/>
      </c>
      <c r="I211">
        <f>N210</f>
        <v/>
      </c>
      <c r="J211">
        <f>I211*Plan!D7/100/12</f>
        <v/>
      </c>
      <c r="K211">
        <f>MIN(Plan!E7,I211+J211)</f>
        <v/>
      </c>
      <c r="L211">
        <f>I211+J211-K211</f>
        <v/>
      </c>
      <c r="M211">
        <f>MIN(L211,MAX(0,$B211-((E$5&lt;K$5)*F211+(Q$5&lt;K$5)*R211+(W$5&lt;K$5)*X211+(AC$5&lt;K$5)*AD211+(AI$5&lt;K$5)*AJ211+(AO$5&lt;K$5)*AP211+(AU$5&lt;K$5)*AV211)))</f>
        <v/>
      </c>
      <c r="N211">
        <f>IF(L211-M211&lt;0.005,0,L211-M211)</f>
        <v/>
      </c>
      <c r="O211">
        <f>T210</f>
        <v/>
      </c>
      <c r="P211">
        <f>O211*Plan!D8/100/12</f>
        <v/>
      </c>
      <c r="Q211">
        <f>MIN(Plan!E8,O211+P211)</f>
        <v/>
      </c>
      <c r="R211">
        <f>O211+P211-Q211</f>
        <v/>
      </c>
      <c r="S211">
        <f>MIN(R211,MAX(0,$B211-((E$5&lt;Q$5)*F211+(K$5&lt;Q$5)*L211+(W$5&lt;Q$5)*X211+(AC$5&lt;Q$5)*AD211+(AI$5&lt;Q$5)*AJ211+(AO$5&lt;Q$5)*AP211+(AU$5&lt;Q$5)*AV211)))</f>
        <v/>
      </c>
      <c r="T211">
        <f>IF(R211-S211&lt;0.005,0,R211-S211)</f>
        <v/>
      </c>
      <c r="U211">
        <f>Z210</f>
        <v/>
      </c>
      <c r="V211">
        <f>U211*Plan!D9/100/12</f>
        <v/>
      </c>
      <c r="W211">
        <f>MIN(Plan!E9,U211+V211)</f>
        <v/>
      </c>
      <c r="X211">
        <f>U211+V211-W211</f>
        <v/>
      </c>
      <c r="Y211">
        <f>MIN(X211,MAX(0,$B211-((E$5&lt;W$5)*F211+(K$5&lt;W$5)*L211+(Q$5&lt;W$5)*R211+(AC$5&lt;W$5)*AD211+(AI$5&lt;W$5)*AJ211+(AO$5&lt;W$5)*AP211+(AU$5&lt;W$5)*AV211)))</f>
        <v/>
      </c>
      <c r="Z211">
        <f>IF(X211-Y211&lt;0.005,0,X211-Y211)</f>
        <v/>
      </c>
      <c r="AA211">
        <f>AF210</f>
        <v/>
      </c>
      <c r="AB211">
        <f>AA211*Plan!D10/100/12</f>
        <v/>
      </c>
      <c r="AC211">
        <f>MIN(Plan!E10,AA211+AB211)</f>
        <v/>
      </c>
      <c r="AD211">
        <f>AA211+AB211-AC211</f>
        <v/>
      </c>
      <c r="AE211">
        <f>MIN(AD211,MAX(0,$B211-((E$5&lt;AC$5)*F211+(K$5&lt;AC$5)*L211+(Q$5&lt;AC$5)*R211+(W$5&lt;AC$5)*X211+(AI$5&lt;AC$5)*AJ211+(AO$5&lt;AC$5)*AP211+(AU$5&lt;AC$5)*AV211)))</f>
        <v/>
      </c>
      <c r="AF211">
        <f>IF(AD211-AE211&lt;0.005,0,AD211-AE211)</f>
        <v/>
      </c>
      <c r="AG211">
        <f>AL210</f>
        <v/>
      </c>
      <c r="AH211">
        <f>AG211*Plan!D11/100/12</f>
        <v/>
      </c>
      <c r="AI211">
        <f>MIN(Plan!E11,AG211+AH211)</f>
        <v/>
      </c>
      <c r="AJ211">
        <f>AG211+AH211-AI211</f>
        <v/>
      </c>
      <c r="AK211">
        <f>MIN(AJ211,MAX(0,$B211-((E$5&lt;AI$5)*F211+(K$5&lt;AI$5)*L211+(Q$5&lt;AI$5)*R211+(W$5&lt;AI$5)*X211+(AC$5&lt;AI$5)*AD211+(AO$5&lt;AI$5)*AP211+(AU$5&lt;AI$5)*AV211)))</f>
        <v/>
      </c>
      <c r="AL211">
        <f>IF(AJ211-AK211&lt;0.005,0,AJ211-AK211)</f>
        <v/>
      </c>
      <c r="AM211">
        <f>AR210</f>
        <v/>
      </c>
      <c r="AN211">
        <f>AM211*Plan!D12/100/12</f>
        <v/>
      </c>
      <c r="AO211">
        <f>MIN(Plan!E12,AM211+AN211)</f>
        <v/>
      </c>
      <c r="AP211">
        <f>AM211+AN211-AO211</f>
        <v/>
      </c>
      <c r="AQ211">
        <f>MIN(AP211,MAX(0,$B211-((E$5&lt;AO$5)*F211+(K$5&lt;AO$5)*L211+(Q$5&lt;AO$5)*R211+(W$5&lt;AO$5)*X211+(AC$5&lt;AO$5)*AD211+(AI$5&lt;AO$5)*AJ211+(AU$5&lt;AO$5)*AV211)))</f>
        <v/>
      </c>
      <c r="AR211">
        <f>IF(AP211-AQ211&lt;0.005,0,AP211-AQ211)</f>
        <v/>
      </c>
      <c r="AS211">
        <f>AX210</f>
        <v/>
      </c>
      <c r="AT211">
        <f>AS211*Plan!D13/100/12</f>
        <v/>
      </c>
      <c r="AU211">
        <f>MIN(Plan!E13,AS211+AT211)</f>
        <v/>
      </c>
      <c r="AV211">
        <f>AS211+AT211-AU211</f>
        <v/>
      </c>
      <c r="AW211">
        <f>MIN(AV211,MAX(0,$B211-((E$5&lt;AU$5)*F211+(K$5&lt;AU$5)*L211+(Q$5&lt;AU$5)*R211+(W$5&lt;AU$5)*X211+(AC$5&lt;AU$5)*AD211+(AI$5&lt;AU$5)*AJ211+(AO$5&lt;AU$5)*AP211)))</f>
        <v/>
      </c>
      <c r="AX211">
        <f>IF(AV211-AW211&lt;0.005,0,AV211-AW211)</f>
        <v/>
      </c>
      <c r="BC211">
        <f>H211+N211+T211+Z211+AF211+AL211+AR211+AX211</f>
        <v/>
      </c>
    </row>
    <row r="212">
      <c r="A212" t="n">
        <v>206</v>
      </c>
      <c r="B212" s="19">
        <f>MAX(0,$B$3-(E212+K212+Q212+W212+AC212+AI212+AO212+AU212))</f>
        <v/>
      </c>
      <c r="C212">
        <f>H211</f>
        <v/>
      </c>
      <c r="D212">
        <f>C212*Plan!D6/100/12</f>
        <v/>
      </c>
      <c r="E212">
        <f>MIN(Plan!E6,C212+D212)</f>
        <v/>
      </c>
      <c r="F212">
        <f>C212+D212-E212</f>
        <v/>
      </c>
      <c r="G212">
        <f>MIN(F212,MAX(0,$B212-((K$5&lt;E$5)*L212+(Q$5&lt;E$5)*R212+(W$5&lt;E$5)*X212+(AC$5&lt;E$5)*AD212+(AI$5&lt;E$5)*AJ212+(AO$5&lt;E$5)*AP212+(AU$5&lt;E$5)*AV212)))</f>
        <v/>
      </c>
      <c r="H212">
        <f>IF(F212-G212&lt;0.005,0,F212-G212)</f>
        <v/>
      </c>
      <c r="I212">
        <f>N211</f>
        <v/>
      </c>
      <c r="J212">
        <f>I212*Plan!D7/100/12</f>
        <v/>
      </c>
      <c r="K212">
        <f>MIN(Plan!E7,I212+J212)</f>
        <v/>
      </c>
      <c r="L212">
        <f>I212+J212-K212</f>
        <v/>
      </c>
      <c r="M212">
        <f>MIN(L212,MAX(0,$B212-((E$5&lt;K$5)*F212+(Q$5&lt;K$5)*R212+(W$5&lt;K$5)*X212+(AC$5&lt;K$5)*AD212+(AI$5&lt;K$5)*AJ212+(AO$5&lt;K$5)*AP212+(AU$5&lt;K$5)*AV212)))</f>
        <v/>
      </c>
      <c r="N212">
        <f>IF(L212-M212&lt;0.005,0,L212-M212)</f>
        <v/>
      </c>
      <c r="O212">
        <f>T211</f>
        <v/>
      </c>
      <c r="P212">
        <f>O212*Plan!D8/100/12</f>
        <v/>
      </c>
      <c r="Q212">
        <f>MIN(Plan!E8,O212+P212)</f>
        <v/>
      </c>
      <c r="R212">
        <f>O212+P212-Q212</f>
        <v/>
      </c>
      <c r="S212">
        <f>MIN(R212,MAX(0,$B212-((E$5&lt;Q$5)*F212+(K$5&lt;Q$5)*L212+(W$5&lt;Q$5)*X212+(AC$5&lt;Q$5)*AD212+(AI$5&lt;Q$5)*AJ212+(AO$5&lt;Q$5)*AP212+(AU$5&lt;Q$5)*AV212)))</f>
        <v/>
      </c>
      <c r="T212">
        <f>IF(R212-S212&lt;0.005,0,R212-S212)</f>
        <v/>
      </c>
      <c r="U212">
        <f>Z211</f>
        <v/>
      </c>
      <c r="V212">
        <f>U212*Plan!D9/100/12</f>
        <v/>
      </c>
      <c r="W212">
        <f>MIN(Plan!E9,U212+V212)</f>
        <v/>
      </c>
      <c r="X212">
        <f>U212+V212-W212</f>
        <v/>
      </c>
      <c r="Y212">
        <f>MIN(X212,MAX(0,$B212-((E$5&lt;W$5)*F212+(K$5&lt;W$5)*L212+(Q$5&lt;W$5)*R212+(AC$5&lt;W$5)*AD212+(AI$5&lt;W$5)*AJ212+(AO$5&lt;W$5)*AP212+(AU$5&lt;W$5)*AV212)))</f>
        <v/>
      </c>
      <c r="Z212">
        <f>IF(X212-Y212&lt;0.005,0,X212-Y212)</f>
        <v/>
      </c>
      <c r="AA212">
        <f>AF211</f>
        <v/>
      </c>
      <c r="AB212">
        <f>AA212*Plan!D10/100/12</f>
        <v/>
      </c>
      <c r="AC212">
        <f>MIN(Plan!E10,AA212+AB212)</f>
        <v/>
      </c>
      <c r="AD212">
        <f>AA212+AB212-AC212</f>
        <v/>
      </c>
      <c r="AE212">
        <f>MIN(AD212,MAX(0,$B212-((E$5&lt;AC$5)*F212+(K$5&lt;AC$5)*L212+(Q$5&lt;AC$5)*R212+(W$5&lt;AC$5)*X212+(AI$5&lt;AC$5)*AJ212+(AO$5&lt;AC$5)*AP212+(AU$5&lt;AC$5)*AV212)))</f>
        <v/>
      </c>
      <c r="AF212">
        <f>IF(AD212-AE212&lt;0.005,0,AD212-AE212)</f>
        <v/>
      </c>
      <c r="AG212">
        <f>AL211</f>
        <v/>
      </c>
      <c r="AH212">
        <f>AG212*Plan!D11/100/12</f>
        <v/>
      </c>
      <c r="AI212">
        <f>MIN(Plan!E11,AG212+AH212)</f>
        <v/>
      </c>
      <c r="AJ212">
        <f>AG212+AH212-AI212</f>
        <v/>
      </c>
      <c r="AK212">
        <f>MIN(AJ212,MAX(0,$B212-((E$5&lt;AI$5)*F212+(K$5&lt;AI$5)*L212+(Q$5&lt;AI$5)*R212+(W$5&lt;AI$5)*X212+(AC$5&lt;AI$5)*AD212+(AO$5&lt;AI$5)*AP212+(AU$5&lt;AI$5)*AV212)))</f>
        <v/>
      </c>
      <c r="AL212">
        <f>IF(AJ212-AK212&lt;0.005,0,AJ212-AK212)</f>
        <v/>
      </c>
      <c r="AM212">
        <f>AR211</f>
        <v/>
      </c>
      <c r="AN212">
        <f>AM212*Plan!D12/100/12</f>
        <v/>
      </c>
      <c r="AO212">
        <f>MIN(Plan!E12,AM212+AN212)</f>
        <v/>
      </c>
      <c r="AP212">
        <f>AM212+AN212-AO212</f>
        <v/>
      </c>
      <c r="AQ212">
        <f>MIN(AP212,MAX(0,$B212-((E$5&lt;AO$5)*F212+(K$5&lt;AO$5)*L212+(Q$5&lt;AO$5)*R212+(W$5&lt;AO$5)*X212+(AC$5&lt;AO$5)*AD212+(AI$5&lt;AO$5)*AJ212+(AU$5&lt;AO$5)*AV212)))</f>
        <v/>
      </c>
      <c r="AR212">
        <f>IF(AP212-AQ212&lt;0.005,0,AP212-AQ212)</f>
        <v/>
      </c>
      <c r="AS212">
        <f>AX211</f>
        <v/>
      </c>
      <c r="AT212">
        <f>AS212*Plan!D13/100/12</f>
        <v/>
      </c>
      <c r="AU212">
        <f>MIN(Plan!E13,AS212+AT212)</f>
        <v/>
      </c>
      <c r="AV212">
        <f>AS212+AT212-AU212</f>
        <v/>
      </c>
      <c r="AW212">
        <f>MIN(AV212,MAX(0,$B212-((E$5&lt;AU$5)*F212+(K$5&lt;AU$5)*L212+(Q$5&lt;AU$5)*R212+(W$5&lt;AU$5)*X212+(AC$5&lt;AU$5)*AD212+(AI$5&lt;AU$5)*AJ212+(AO$5&lt;AU$5)*AP212)))</f>
        <v/>
      </c>
      <c r="AX212">
        <f>IF(AV212-AW212&lt;0.005,0,AV212-AW212)</f>
        <v/>
      </c>
      <c r="BC212">
        <f>H212+N212+T212+Z212+AF212+AL212+AR212+AX212</f>
        <v/>
      </c>
    </row>
    <row r="213">
      <c r="A213" t="n">
        <v>207</v>
      </c>
      <c r="B213" s="19">
        <f>MAX(0,$B$3-(E213+K213+Q213+W213+AC213+AI213+AO213+AU213))</f>
        <v/>
      </c>
      <c r="C213">
        <f>H212</f>
        <v/>
      </c>
      <c r="D213">
        <f>C213*Plan!D6/100/12</f>
        <v/>
      </c>
      <c r="E213">
        <f>MIN(Plan!E6,C213+D213)</f>
        <v/>
      </c>
      <c r="F213">
        <f>C213+D213-E213</f>
        <v/>
      </c>
      <c r="G213">
        <f>MIN(F213,MAX(0,$B213-((K$5&lt;E$5)*L213+(Q$5&lt;E$5)*R213+(W$5&lt;E$5)*X213+(AC$5&lt;E$5)*AD213+(AI$5&lt;E$5)*AJ213+(AO$5&lt;E$5)*AP213+(AU$5&lt;E$5)*AV213)))</f>
        <v/>
      </c>
      <c r="H213">
        <f>IF(F213-G213&lt;0.005,0,F213-G213)</f>
        <v/>
      </c>
      <c r="I213">
        <f>N212</f>
        <v/>
      </c>
      <c r="J213">
        <f>I213*Plan!D7/100/12</f>
        <v/>
      </c>
      <c r="K213">
        <f>MIN(Plan!E7,I213+J213)</f>
        <v/>
      </c>
      <c r="L213">
        <f>I213+J213-K213</f>
        <v/>
      </c>
      <c r="M213">
        <f>MIN(L213,MAX(0,$B213-((E$5&lt;K$5)*F213+(Q$5&lt;K$5)*R213+(W$5&lt;K$5)*X213+(AC$5&lt;K$5)*AD213+(AI$5&lt;K$5)*AJ213+(AO$5&lt;K$5)*AP213+(AU$5&lt;K$5)*AV213)))</f>
        <v/>
      </c>
      <c r="N213">
        <f>IF(L213-M213&lt;0.005,0,L213-M213)</f>
        <v/>
      </c>
      <c r="O213">
        <f>T212</f>
        <v/>
      </c>
      <c r="P213">
        <f>O213*Plan!D8/100/12</f>
        <v/>
      </c>
      <c r="Q213">
        <f>MIN(Plan!E8,O213+P213)</f>
        <v/>
      </c>
      <c r="R213">
        <f>O213+P213-Q213</f>
        <v/>
      </c>
      <c r="S213">
        <f>MIN(R213,MAX(0,$B213-((E$5&lt;Q$5)*F213+(K$5&lt;Q$5)*L213+(W$5&lt;Q$5)*X213+(AC$5&lt;Q$5)*AD213+(AI$5&lt;Q$5)*AJ213+(AO$5&lt;Q$5)*AP213+(AU$5&lt;Q$5)*AV213)))</f>
        <v/>
      </c>
      <c r="T213">
        <f>IF(R213-S213&lt;0.005,0,R213-S213)</f>
        <v/>
      </c>
      <c r="U213">
        <f>Z212</f>
        <v/>
      </c>
      <c r="V213">
        <f>U213*Plan!D9/100/12</f>
        <v/>
      </c>
      <c r="W213">
        <f>MIN(Plan!E9,U213+V213)</f>
        <v/>
      </c>
      <c r="X213">
        <f>U213+V213-W213</f>
        <v/>
      </c>
      <c r="Y213">
        <f>MIN(X213,MAX(0,$B213-((E$5&lt;W$5)*F213+(K$5&lt;W$5)*L213+(Q$5&lt;W$5)*R213+(AC$5&lt;W$5)*AD213+(AI$5&lt;W$5)*AJ213+(AO$5&lt;W$5)*AP213+(AU$5&lt;W$5)*AV213)))</f>
        <v/>
      </c>
      <c r="Z213">
        <f>IF(X213-Y213&lt;0.005,0,X213-Y213)</f>
        <v/>
      </c>
      <c r="AA213">
        <f>AF212</f>
        <v/>
      </c>
      <c r="AB213">
        <f>AA213*Plan!D10/100/12</f>
        <v/>
      </c>
      <c r="AC213">
        <f>MIN(Plan!E10,AA213+AB213)</f>
        <v/>
      </c>
      <c r="AD213">
        <f>AA213+AB213-AC213</f>
        <v/>
      </c>
      <c r="AE213">
        <f>MIN(AD213,MAX(0,$B213-((E$5&lt;AC$5)*F213+(K$5&lt;AC$5)*L213+(Q$5&lt;AC$5)*R213+(W$5&lt;AC$5)*X213+(AI$5&lt;AC$5)*AJ213+(AO$5&lt;AC$5)*AP213+(AU$5&lt;AC$5)*AV213)))</f>
        <v/>
      </c>
      <c r="AF213">
        <f>IF(AD213-AE213&lt;0.005,0,AD213-AE213)</f>
        <v/>
      </c>
      <c r="AG213">
        <f>AL212</f>
        <v/>
      </c>
      <c r="AH213">
        <f>AG213*Plan!D11/100/12</f>
        <v/>
      </c>
      <c r="AI213">
        <f>MIN(Plan!E11,AG213+AH213)</f>
        <v/>
      </c>
      <c r="AJ213">
        <f>AG213+AH213-AI213</f>
        <v/>
      </c>
      <c r="AK213">
        <f>MIN(AJ213,MAX(0,$B213-((E$5&lt;AI$5)*F213+(K$5&lt;AI$5)*L213+(Q$5&lt;AI$5)*R213+(W$5&lt;AI$5)*X213+(AC$5&lt;AI$5)*AD213+(AO$5&lt;AI$5)*AP213+(AU$5&lt;AI$5)*AV213)))</f>
        <v/>
      </c>
      <c r="AL213">
        <f>IF(AJ213-AK213&lt;0.005,0,AJ213-AK213)</f>
        <v/>
      </c>
      <c r="AM213">
        <f>AR212</f>
        <v/>
      </c>
      <c r="AN213">
        <f>AM213*Plan!D12/100/12</f>
        <v/>
      </c>
      <c r="AO213">
        <f>MIN(Plan!E12,AM213+AN213)</f>
        <v/>
      </c>
      <c r="AP213">
        <f>AM213+AN213-AO213</f>
        <v/>
      </c>
      <c r="AQ213">
        <f>MIN(AP213,MAX(0,$B213-((E$5&lt;AO$5)*F213+(K$5&lt;AO$5)*L213+(Q$5&lt;AO$5)*R213+(W$5&lt;AO$5)*X213+(AC$5&lt;AO$5)*AD213+(AI$5&lt;AO$5)*AJ213+(AU$5&lt;AO$5)*AV213)))</f>
        <v/>
      </c>
      <c r="AR213">
        <f>IF(AP213-AQ213&lt;0.005,0,AP213-AQ213)</f>
        <v/>
      </c>
      <c r="AS213">
        <f>AX212</f>
        <v/>
      </c>
      <c r="AT213">
        <f>AS213*Plan!D13/100/12</f>
        <v/>
      </c>
      <c r="AU213">
        <f>MIN(Plan!E13,AS213+AT213)</f>
        <v/>
      </c>
      <c r="AV213">
        <f>AS213+AT213-AU213</f>
        <v/>
      </c>
      <c r="AW213">
        <f>MIN(AV213,MAX(0,$B213-((E$5&lt;AU$5)*F213+(K$5&lt;AU$5)*L213+(Q$5&lt;AU$5)*R213+(W$5&lt;AU$5)*X213+(AC$5&lt;AU$5)*AD213+(AI$5&lt;AU$5)*AJ213+(AO$5&lt;AU$5)*AP213)))</f>
        <v/>
      </c>
      <c r="AX213">
        <f>IF(AV213-AW213&lt;0.005,0,AV213-AW213)</f>
        <v/>
      </c>
      <c r="BC213">
        <f>H213+N213+T213+Z213+AF213+AL213+AR213+AX213</f>
        <v/>
      </c>
    </row>
    <row r="214">
      <c r="A214" t="n">
        <v>208</v>
      </c>
      <c r="B214" s="19">
        <f>MAX(0,$B$3-(E214+K214+Q214+W214+AC214+AI214+AO214+AU214))</f>
        <v/>
      </c>
      <c r="C214">
        <f>H213</f>
        <v/>
      </c>
      <c r="D214">
        <f>C214*Plan!D6/100/12</f>
        <v/>
      </c>
      <c r="E214">
        <f>MIN(Plan!E6,C214+D214)</f>
        <v/>
      </c>
      <c r="F214">
        <f>C214+D214-E214</f>
        <v/>
      </c>
      <c r="G214">
        <f>MIN(F214,MAX(0,$B214-((K$5&lt;E$5)*L214+(Q$5&lt;E$5)*R214+(W$5&lt;E$5)*X214+(AC$5&lt;E$5)*AD214+(AI$5&lt;E$5)*AJ214+(AO$5&lt;E$5)*AP214+(AU$5&lt;E$5)*AV214)))</f>
        <v/>
      </c>
      <c r="H214">
        <f>IF(F214-G214&lt;0.005,0,F214-G214)</f>
        <v/>
      </c>
      <c r="I214">
        <f>N213</f>
        <v/>
      </c>
      <c r="J214">
        <f>I214*Plan!D7/100/12</f>
        <v/>
      </c>
      <c r="K214">
        <f>MIN(Plan!E7,I214+J214)</f>
        <v/>
      </c>
      <c r="L214">
        <f>I214+J214-K214</f>
        <v/>
      </c>
      <c r="M214">
        <f>MIN(L214,MAX(0,$B214-((E$5&lt;K$5)*F214+(Q$5&lt;K$5)*R214+(W$5&lt;K$5)*X214+(AC$5&lt;K$5)*AD214+(AI$5&lt;K$5)*AJ214+(AO$5&lt;K$5)*AP214+(AU$5&lt;K$5)*AV214)))</f>
        <v/>
      </c>
      <c r="N214">
        <f>IF(L214-M214&lt;0.005,0,L214-M214)</f>
        <v/>
      </c>
      <c r="O214">
        <f>T213</f>
        <v/>
      </c>
      <c r="P214">
        <f>O214*Plan!D8/100/12</f>
        <v/>
      </c>
      <c r="Q214">
        <f>MIN(Plan!E8,O214+P214)</f>
        <v/>
      </c>
      <c r="R214">
        <f>O214+P214-Q214</f>
        <v/>
      </c>
      <c r="S214">
        <f>MIN(R214,MAX(0,$B214-((E$5&lt;Q$5)*F214+(K$5&lt;Q$5)*L214+(W$5&lt;Q$5)*X214+(AC$5&lt;Q$5)*AD214+(AI$5&lt;Q$5)*AJ214+(AO$5&lt;Q$5)*AP214+(AU$5&lt;Q$5)*AV214)))</f>
        <v/>
      </c>
      <c r="T214">
        <f>IF(R214-S214&lt;0.005,0,R214-S214)</f>
        <v/>
      </c>
      <c r="U214">
        <f>Z213</f>
        <v/>
      </c>
      <c r="V214">
        <f>U214*Plan!D9/100/12</f>
        <v/>
      </c>
      <c r="W214">
        <f>MIN(Plan!E9,U214+V214)</f>
        <v/>
      </c>
      <c r="X214">
        <f>U214+V214-W214</f>
        <v/>
      </c>
      <c r="Y214">
        <f>MIN(X214,MAX(0,$B214-((E$5&lt;W$5)*F214+(K$5&lt;W$5)*L214+(Q$5&lt;W$5)*R214+(AC$5&lt;W$5)*AD214+(AI$5&lt;W$5)*AJ214+(AO$5&lt;W$5)*AP214+(AU$5&lt;W$5)*AV214)))</f>
        <v/>
      </c>
      <c r="Z214">
        <f>IF(X214-Y214&lt;0.005,0,X214-Y214)</f>
        <v/>
      </c>
      <c r="AA214">
        <f>AF213</f>
        <v/>
      </c>
      <c r="AB214">
        <f>AA214*Plan!D10/100/12</f>
        <v/>
      </c>
      <c r="AC214">
        <f>MIN(Plan!E10,AA214+AB214)</f>
        <v/>
      </c>
      <c r="AD214">
        <f>AA214+AB214-AC214</f>
        <v/>
      </c>
      <c r="AE214">
        <f>MIN(AD214,MAX(0,$B214-((E$5&lt;AC$5)*F214+(K$5&lt;AC$5)*L214+(Q$5&lt;AC$5)*R214+(W$5&lt;AC$5)*X214+(AI$5&lt;AC$5)*AJ214+(AO$5&lt;AC$5)*AP214+(AU$5&lt;AC$5)*AV214)))</f>
        <v/>
      </c>
      <c r="AF214">
        <f>IF(AD214-AE214&lt;0.005,0,AD214-AE214)</f>
        <v/>
      </c>
      <c r="AG214">
        <f>AL213</f>
        <v/>
      </c>
      <c r="AH214">
        <f>AG214*Plan!D11/100/12</f>
        <v/>
      </c>
      <c r="AI214">
        <f>MIN(Plan!E11,AG214+AH214)</f>
        <v/>
      </c>
      <c r="AJ214">
        <f>AG214+AH214-AI214</f>
        <v/>
      </c>
      <c r="AK214">
        <f>MIN(AJ214,MAX(0,$B214-((E$5&lt;AI$5)*F214+(K$5&lt;AI$5)*L214+(Q$5&lt;AI$5)*R214+(W$5&lt;AI$5)*X214+(AC$5&lt;AI$5)*AD214+(AO$5&lt;AI$5)*AP214+(AU$5&lt;AI$5)*AV214)))</f>
        <v/>
      </c>
      <c r="AL214">
        <f>IF(AJ214-AK214&lt;0.005,0,AJ214-AK214)</f>
        <v/>
      </c>
      <c r="AM214">
        <f>AR213</f>
        <v/>
      </c>
      <c r="AN214">
        <f>AM214*Plan!D12/100/12</f>
        <v/>
      </c>
      <c r="AO214">
        <f>MIN(Plan!E12,AM214+AN214)</f>
        <v/>
      </c>
      <c r="AP214">
        <f>AM214+AN214-AO214</f>
        <v/>
      </c>
      <c r="AQ214">
        <f>MIN(AP214,MAX(0,$B214-((E$5&lt;AO$5)*F214+(K$5&lt;AO$5)*L214+(Q$5&lt;AO$5)*R214+(W$5&lt;AO$5)*X214+(AC$5&lt;AO$5)*AD214+(AI$5&lt;AO$5)*AJ214+(AU$5&lt;AO$5)*AV214)))</f>
        <v/>
      </c>
      <c r="AR214">
        <f>IF(AP214-AQ214&lt;0.005,0,AP214-AQ214)</f>
        <v/>
      </c>
      <c r="AS214">
        <f>AX213</f>
        <v/>
      </c>
      <c r="AT214">
        <f>AS214*Plan!D13/100/12</f>
        <v/>
      </c>
      <c r="AU214">
        <f>MIN(Plan!E13,AS214+AT214)</f>
        <v/>
      </c>
      <c r="AV214">
        <f>AS214+AT214-AU214</f>
        <v/>
      </c>
      <c r="AW214">
        <f>MIN(AV214,MAX(0,$B214-((E$5&lt;AU$5)*F214+(K$5&lt;AU$5)*L214+(Q$5&lt;AU$5)*R214+(W$5&lt;AU$5)*X214+(AC$5&lt;AU$5)*AD214+(AI$5&lt;AU$5)*AJ214+(AO$5&lt;AU$5)*AP214)))</f>
        <v/>
      </c>
      <c r="AX214">
        <f>IF(AV214-AW214&lt;0.005,0,AV214-AW214)</f>
        <v/>
      </c>
      <c r="BC214">
        <f>H214+N214+T214+Z214+AF214+AL214+AR214+AX214</f>
        <v/>
      </c>
    </row>
    <row r="215">
      <c r="A215" t="n">
        <v>209</v>
      </c>
      <c r="B215" s="19">
        <f>MAX(0,$B$3-(E215+K215+Q215+W215+AC215+AI215+AO215+AU215))</f>
        <v/>
      </c>
      <c r="C215">
        <f>H214</f>
        <v/>
      </c>
      <c r="D215">
        <f>C215*Plan!D6/100/12</f>
        <v/>
      </c>
      <c r="E215">
        <f>MIN(Plan!E6,C215+D215)</f>
        <v/>
      </c>
      <c r="F215">
        <f>C215+D215-E215</f>
        <v/>
      </c>
      <c r="G215">
        <f>MIN(F215,MAX(0,$B215-((K$5&lt;E$5)*L215+(Q$5&lt;E$5)*R215+(W$5&lt;E$5)*X215+(AC$5&lt;E$5)*AD215+(AI$5&lt;E$5)*AJ215+(AO$5&lt;E$5)*AP215+(AU$5&lt;E$5)*AV215)))</f>
        <v/>
      </c>
      <c r="H215">
        <f>IF(F215-G215&lt;0.005,0,F215-G215)</f>
        <v/>
      </c>
      <c r="I215">
        <f>N214</f>
        <v/>
      </c>
      <c r="J215">
        <f>I215*Plan!D7/100/12</f>
        <v/>
      </c>
      <c r="K215">
        <f>MIN(Plan!E7,I215+J215)</f>
        <v/>
      </c>
      <c r="L215">
        <f>I215+J215-K215</f>
        <v/>
      </c>
      <c r="M215">
        <f>MIN(L215,MAX(0,$B215-((E$5&lt;K$5)*F215+(Q$5&lt;K$5)*R215+(W$5&lt;K$5)*X215+(AC$5&lt;K$5)*AD215+(AI$5&lt;K$5)*AJ215+(AO$5&lt;K$5)*AP215+(AU$5&lt;K$5)*AV215)))</f>
        <v/>
      </c>
      <c r="N215">
        <f>IF(L215-M215&lt;0.005,0,L215-M215)</f>
        <v/>
      </c>
      <c r="O215">
        <f>T214</f>
        <v/>
      </c>
      <c r="P215">
        <f>O215*Plan!D8/100/12</f>
        <v/>
      </c>
      <c r="Q215">
        <f>MIN(Plan!E8,O215+P215)</f>
        <v/>
      </c>
      <c r="R215">
        <f>O215+P215-Q215</f>
        <v/>
      </c>
      <c r="S215">
        <f>MIN(R215,MAX(0,$B215-((E$5&lt;Q$5)*F215+(K$5&lt;Q$5)*L215+(W$5&lt;Q$5)*X215+(AC$5&lt;Q$5)*AD215+(AI$5&lt;Q$5)*AJ215+(AO$5&lt;Q$5)*AP215+(AU$5&lt;Q$5)*AV215)))</f>
        <v/>
      </c>
      <c r="T215">
        <f>IF(R215-S215&lt;0.005,0,R215-S215)</f>
        <v/>
      </c>
      <c r="U215">
        <f>Z214</f>
        <v/>
      </c>
      <c r="V215">
        <f>U215*Plan!D9/100/12</f>
        <v/>
      </c>
      <c r="W215">
        <f>MIN(Plan!E9,U215+V215)</f>
        <v/>
      </c>
      <c r="X215">
        <f>U215+V215-W215</f>
        <v/>
      </c>
      <c r="Y215">
        <f>MIN(X215,MAX(0,$B215-((E$5&lt;W$5)*F215+(K$5&lt;W$5)*L215+(Q$5&lt;W$5)*R215+(AC$5&lt;W$5)*AD215+(AI$5&lt;W$5)*AJ215+(AO$5&lt;W$5)*AP215+(AU$5&lt;W$5)*AV215)))</f>
        <v/>
      </c>
      <c r="Z215">
        <f>IF(X215-Y215&lt;0.005,0,X215-Y215)</f>
        <v/>
      </c>
      <c r="AA215">
        <f>AF214</f>
        <v/>
      </c>
      <c r="AB215">
        <f>AA215*Plan!D10/100/12</f>
        <v/>
      </c>
      <c r="AC215">
        <f>MIN(Plan!E10,AA215+AB215)</f>
        <v/>
      </c>
      <c r="AD215">
        <f>AA215+AB215-AC215</f>
        <v/>
      </c>
      <c r="AE215">
        <f>MIN(AD215,MAX(0,$B215-((E$5&lt;AC$5)*F215+(K$5&lt;AC$5)*L215+(Q$5&lt;AC$5)*R215+(W$5&lt;AC$5)*X215+(AI$5&lt;AC$5)*AJ215+(AO$5&lt;AC$5)*AP215+(AU$5&lt;AC$5)*AV215)))</f>
        <v/>
      </c>
      <c r="AF215">
        <f>IF(AD215-AE215&lt;0.005,0,AD215-AE215)</f>
        <v/>
      </c>
      <c r="AG215">
        <f>AL214</f>
        <v/>
      </c>
      <c r="AH215">
        <f>AG215*Plan!D11/100/12</f>
        <v/>
      </c>
      <c r="AI215">
        <f>MIN(Plan!E11,AG215+AH215)</f>
        <v/>
      </c>
      <c r="AJ215">
        <f>AG215+AH215-AI215</f>
        <v/>
      </c>
      <c r="AK215">
        <f>MIN(AJ215,MAX(0,$B215-((E$5&lt;AI$5)*F215+(K$5&lt;AI$5)*L215+(Q$5&lt;AI$5)*R215+(W$5&lt;AI$5)*X215+(AC$5&lt;AI$5)*AD215+(AO$5&lt;AI$5)*AP215+(AU$5&lt;AI$5)*AV215)))</f>
        <v/>
      </c>
      <c r="AL215">
        <f>IF(AJ215-AK215&lt;0.005,0,AJ215-AK215)</f>
        <v/>
      </c>
      <c r="AM215">
        <f>AR214</f>
        <v/>
      </c>
      <c r="AN215">
        <f>AM215*Plan!D12/100/12</f>
        <v/>
      </c>
      <c r="AO215">
        <f>MIN(Plan!E12,AM215+AN215)</f>
        <v/>
      </c>
      <c r="AP215">
        <f>AM215+AN215-AO215</f>
        <v/>
      </c>
      <c r="AQ215">
        <f>MIN(AP215,MAX(0,$B215-((E$5&lt;AO$5)*F215+(K$5&lt;AO$5)*L215+(Q$5&lt;AO$5)*R215+(W$5&lt;AO$5)*X215+(AC$5&lt;AO$5)*AD215+(AI$5&lt;AO$5)*AJ215+(AU$5&lt;AO$5)*AV215)))</f>
        <v/>
      </c>
      <c r="AR215">
        <f>IF(AP215-AQ215&lt;0.005,0,AP215-AQ215)</f>
        <v/>
      </c>
      <c r="AS215">
        <f>AX214</f>
        <v/>
      </c>
      <c r="AT215">
        <f>AS215*Plan!D13/100/12</f>
        <v/>
      </c>
      <c r="AU215">
        <f>MIN(Plan!E13,AS215+AT215)</f>
        <v/>
      </c>
      <c r="AV215">
        <f>AS215+AT215-AU215</f>
        <v/>
      </c>
      <c r="AW215">
        <f>MIN(AV215,MAX(0,$B215-((E$5&lt;AU$5)*F215+(K$5&lt;AU$5)*L215+(Q$5&lt;AU$5)*R215+(W$5&lt;AU$5)*X215+(AC$5&lt;AU$5)*AD215+(AI$5&lt;AU$5)*AJ215+(AO$5&lt;AU$5)*AP215)))</f>
        <v/>
      </c>
      <c r="AX215">
        <f>IF(AV215-AW215&lt;0.005,0,AV215-AW215)</f>
        <v/>
      </c>
      <c r="BC215">
        <f>H215+N215+T215+Z215+AF215+AL215+AR215+AX215</f>
        <v/>
      </c>
    </row>
    <row r="216">
      <c r="A216" t="n">
        <v>210</v>
      </c>
      <c r="B216" s="19">
        <f>MAX(0,$B$3-(E216+K216+Q216+W216+AC216+AI216+AO216+AU216))</f>
        <v/>
      </c>
      <c r="C216">
        <f>H215</f>
        <v/>
      </c>
      <c r="D216">
        <f>C216*Plan!D6/100/12</f>
        <v/>
      </c>
      <c r="E216">
        <f>MIN(Plan!E6,C216+D216)</f>
        <v/>
      </c>
      <c r="F216">
        <f>C216+D216-E216</f>
        <v/>
      </c>
      <c r="G216">
        <f>MIN(F216,MAX(0,$B216-((K$5&lt;E$5)*L216+(Q$5&lt;E$5)*R216+(W$5&lt;E$5)*X216+(AC$5&lt;E$5)*AD216+(AI$5&lt;E$5)*AJ216+(AO$5&lt;E$5)*AP216+(AU$5&lt;E$5)*AV216)))</f>
        <v/>
      </c>
      <c r="H216">
        <f>IF(F216-G216&lt;0.005,0,F216-G216)</f>
        <v/>
      </c>
      <c r="I216">
        <f>N215</f>
        <v/>
      </c>
      <c r="J216">
        <f>I216*Plan!D7/100/12</f>
        <v/>
      </c>
      <c r="K216">
        <f>MIN(Plan!E7,I216+J216)</f>
        <v/>
      </c>
      <c r="L216">
        <f>I216+J216-K216</f>
        <v/>
      </c>
      <c r="M216">
        <f>MIN(L216,MAX(0,$B216-((E$5&lt;K$5)*F216+(Q$5&lt;K$5)*R216+(W$5&lt;K$5)*X216+(AC$5&lt;K$5)*AD216+(AI$5&lt;K$5)*AJ216+(AO$5&lt;K$5)*AP216+(AU$5&lt;K$5)*AV216)))</f>
        <v/>
      </c>
      <c r="N216">
        <f>IF(L216-M216&lt;0.005,0,L216-M216)</f>
        <v/>
      </c>
      <c r="O216">
        <f>T215</f>
        <v/>
      </c>
      <c r="P216">
        <f>O216*Plan!D8/100/12</f>
        <v/>
      </c>
      <c r="Q216">
        <f>MIN(Plan!E8,O216+P216)</f>
        <v/>
      </c>
      <c r="R216">
        <f>O216+P216-Q216</f>
        <v/>
      </c>
      <c r="S216">
        <f>MIN(R216,MAX(0,$B216-((E$5&lt;Q$5)*F216+(K$5&lt;Q$5)*L216+(W$5&lt;Q$5)*X216+(AC$5&lt;Q$5)*AD216+(AI$5&lt;Q$5)*AJ216+(AO$5&lt;Q$5)*AP216+(AU$5&lt;Q$5)*AV216)))</f>
        <v/>
      </c>
      <c r="T216">
        <f>IF(R216-S216&lt;0.005,0,R216-S216)</f>
        <v/>
      </c>
      <c r="U216">
        <f>Z215</f>
        <v/>
      </c>
      <c r="V216">
        <f>U216*Plan!D9/100/12</f>
        <v/>
      </c>
      <c r="W216">
        <f>MIN(Plan!E9,U216+V216)</f>
        <v/>
      </c>
      <c r="X216">
        <f>U216+V216-W216</f>
        <v/>
      </c>
      <c r="Y216">
        <f>MIN(X216,MAX(0,$B216-((E$5&lt;W$5)*F216+(K$5&lt;W$5)*L216+(Q$5&lt;W$5)*R216+(AC$5&lt;W$5)*AD216+(AI$5&lt;W$5)*AJ216+(AO$5&lt;W$5)*AP216+(AU$5&lt;W$5)*AV216)))</f>
        <v/>
      </c>
      <c r="Z216">
        <f>IF(X216-Y216&lt;0.005,0,X216-Y216)</f>
        <v/>
      </c>
      <c r="AA216">
        <f>AF215</f>
        <v/>
      </c>
      <c r="AB216">
        <f>AA216*Plan!D10/100/12</f>
        <v/>
      </c>
      <c r="AC216">
        <f>MIN(Plan!E10,AA216+AB216)</f>
        <v/>
      </c>
      <c r="AD216">
        <f>AA216+AB216-AC216</f>
        <v/>
      </c>
      <c r="AE216">
        <f>MIN(AD216,MAX(0,$B216-((E$5&lt;AC$5)*F216+(K$5&lt;AC$5)*L216+(Q$5&lt;AC$5)*R216+(W$5&lt;AC$5)*X216+(AI$5&lt;AC$5)*AJ216+(AO$5&lt;AC$5)*AP216+(AU$5&lt;AC$5)*AV216)))</f>
        <v/>
      </c>
      <c r="AF216">
        <f>IF(AD216-AE216&lt;0.005,0,AD216-AE216)</f>
        <v/>
      </c>
      <c r="AG216">
        <f>AL215</f>
        <v/>
      </c>
      <c r="AH216">
        <f>AG216*Plan!D11/100/12</f>
        <v/>
      </c>
      <c r="AI216">
        <f>MIN(Plan!E11,AG216+AH216)</f>
        <v/>
      </c>
      <c r="AJ216">
        <f>AG216+AH216-AI216</f>
        <v/>
      </c>
      <c r="AK216">
        <f>MIN(AJ216,MAX(0,$B216-((E$5&lt;AI$5)*F216+(K$5&lt;AI$5)*L216+(Q$5&lt;AI$5)*R216+(W$5&lt;AI$5)*X216+(AC$5&lt;AI$5)*AD216+(AO$5&lt;AI$5)*AP216+(AU$5&lt;AI$5)*AV216)))</f>
        <v/>
      </c>
      <c r="AL216">
        <f>IF(AJ216-AK216&lt;0.005,0,AJ216-AK216)</f>
        <v/>
      </c>
      <c r="AM216">
        <f>AR215</f>
        <v/>
      </c>
      <c r="AN216">
        <f>AM216*Plan!D12/100/12</f>
        <v/>
      </c>
      <c r="AO216">
        <f>MIN(Plan!E12,AM216+AN216)</f>
        <v/>
      </c>
      <c r="AP216">
        <f>AM216+AN216-AO216</f>
        <v/>
      </c>
      <c r="AQ216">
        <f>MIN(AP216,MAX(0,$B216-((E$5&lt;AO$5)*F216+(K$5&lt;AO$5)*L216+(Q$5&lt;AO$5)*R216+(W$5&lt;AO$5)*X216+(AC$5&lt;AO$5)*AD216+(AI$5&lt;AO$5)*AJ216+(AU$5&lt;AO$5)*AV216)))</f>
        <v/>
      </c>
      <c r="AR216">
        <f>IF(AP216-AQ216&lt;0.005,0,AP216-AQ216)</f>
        <v/>
      </c>
      <c r="AS216">
        <f>AX215</f>
        <v/>
      </c>
      <c r="AT216">
        <f>AS216*Plan!D13/100/12</f>
        <v/>
      </c>
      <c r="AU216">
        <f>MIN(Plan!E13,AS216+AT216)</f>
        <v/>
      </c>
      <c r="AV216">
        <f>AS216+AT216-AU216</f>
        <v/>
      </c>
      <c r="AW216">
        <f>MIN(AV216,MAX(0,$B216-((E$5&lt;AU$5)*F216+(K$5&lt;AU$5)*L216+(Q$5&lt;AU$5)*R216+(W$5&lt;AU$5)*X216+(AC$5&lt;AU$5)*AD216+(AI$5&lt;AU$5)*AJ216+(AO$5&lt;AU$5)*AP216)))</f>
        <v/>
      </c>
      <c r="AX216">
        <f>IF(AV216-AW216&lt;0.005,0,AV216-AW216)</f>
        <v/>
      </c>
      <c r="BC216">
        <f>H216+N216+T216+Z216+AF216+AL216+AR216+AX216</f>
        <v/>
      </c>
    </row>
    <row r="217">
      <c r="A217" t="n">
        <v>211</v>
      </c>
      <c r="B217" s="19">
        <f>MAX(0,$B$3-(E217+K217+Q217+W217+AC217+AI217+AO217+AU217))</f>
        <v/>
      </c>
      <c r="C217">
        <f>H216</f>
        <v/>
      </c>
      <c r="D217">
        <f>C217*Plan!D6/100/12</f>
        <v/>
      </c>
      <c r="E217">
        <f>MIN(Plan!E6,C217+D217)</f>
        <v/>
      </c>
      <c r="F217">
        <f>C217+D217-E217</f>
        <v/>
      </c>
      <c r="G217">
        <f>MIN(F217,MAX(0,$B217-((K$5&lt;E$5)*L217+(Q$5&lt;E$5)*R217+(W$5&lt;E$5)*X217+(AC$5&lt;E$5)*AD217+(AI$5&lt;E$5)*AJ217+(AO$5&lt;E$5)*AP217+(AU$5&lt;E$5)*AV217)))</f>
        <v/>
      </c>
      <c r="H217">
        <f>IF(F217-G217&lt;0.005,0,F217-G217)</f>
        <v/>
      </c>
      <c r="I217">
        <f>N216</f>
        <v/>
      </c>
      <c r="J217">
        <f>I217*Plan!D7/100/12</f>
        <v/>
      </c>
      <c r="K217">
        <f>MIN(Plan!E7,I217+J217)</f>
        <v/>
      </c>
      <c r="L217">
        <f>I217+J217-K217</f>
        <v/>
      </c>
      <c r="M217">
        <f>MIN(L217,MAX(0,$B217-((E$5&lt;K$5)*F217+(Q$5&lt;K$5)*R217+(W$5&lt;K$5)*X217+(AC$5&lt;K$5)*AD217+(AI$5&lt;K$5)*AJ217+(AO$5&lt;K$5)*AP217+(AU$5&lt;K$5)*AV217)))</f>
        <v/>
      </c>
      <c r="N217">
        <f>IF(L217-M217&lt;0.005,0,L217-M217)</f>
        <v/>
      </c>
      <c r="O217">
        <f>T216</f>
        <v/>
      </c>
      <c r="P217">
        <f>O217*Plan!D8/100/12</f>
        <v/>
      </c>
      <c r="Q217">
        <f>MIN(Plan!E8,O217+P217)</f>
        <v/>
      </c>
      <c r="R217">
        <f>O217+P217-Q217</f>
        <v/>
      </c>
      <c r="S217">
        <f>MIN(R217,MAX(0,$B217-((E$5&lt;Q$5)*F217+(K$5&lt;Q$5)*L217+(W$5&lt;Q$5)*X217+(AC$5&lt;Q$5)*AD217+(AI$5&lt;Q$5)*AJ217+(AO$5&lt;Q$5)*AP217+(AU$5&lt;Q$5)*AV217)))</f>
        <v/>
      </c>
      <c r="T217">
        <f>IF(R217-S217&lt;0.005,0,R217-S217)</f>
        <v/>
      </c>
      <c r="U217">
        <f>Z216</f>
        <v/>
      </c>
      <c r="V217">
        <f>U217*Plan!D9/100/12</f>
        <v/>
      </c>
      <c r="W217">
        <f>MIN(Plan!E9,U217+V217)</f>
        <v/>
      </c>
      <c r="X217">
        <f>U217+V217-W217</f>
        <v/>
      </c>
      <c r="Y217">
        <f>MIN(X217,MAX(0,$B217-((E$5&lt;W$5)*F217+(K$5&lt;W$5)*L217+(Q$5&lt;W$5)*R217+(AC$5&lt;W$5)*AD217+(AI$5&lt;W$5)*AJ217+(AO$5&lt;W$5)*AP217+(AU$5&lt;W$5)*AV217)))</f>
        <v/>
      </c>
      <c r="Z217">
        <f>IF(X217-Y217&lt;0.005,0,X217-Y217)</f>
        <v/>
      </c>
      <c r="AA217">
        <f>AF216</f>
        <v/>
      </c>
      <c r="AB217">
        <f>AA217*Plan!D10/100/12</f>
        <v/>
      </c>
      <c r="AC217">
        <f>MIN(Plan!E10,AA217+AB217)</f>
        <v/>
      </c>
      <c r="AD217">
        <f>AA217+AB217-AC217</f>
        <v/>
      </c>
      <c r="AE217">
        <f>MIN(AD217,MAX(0,$B217-((E$5&lt;AC$5)*F217+(K$5&lt;AC$5)*L217+(Q$5&lt;AC$5)*R217+(W$5&lt;AC$5)*X217+(AI$5&lt;AC$5)*AJ217+(AO$5&lt;AC$5)*AP217+(AU$5&lt;AC$5)*AV217)))</f>
        <v/>
      </c>
      <c r="AF217">
        <f>IF(AD217-AE217&lt;0.005,0,AD217-AE217)</f>
        <v/>
      </c>
      <c r="AG217">
        <f>AL216</f>
        <v/>
      </c>
      <c r="AH217">
        <f>AG217*Plan!D11/100/12</f>
        <v/>
      </c>
      <c r="AI217">
        <f>MIN(Plan!E11,AG217+AH217)</f>
        <v/>
      </c>
      <c r="AJ217">
        <f>AG217+AH217-AI217</f>
        <v/>
      </c>
      <c r="AK217">
        <f>MIN(AJ217,MAX(0,$B217-((E$5&lt;AI$5)*F217+(K$5&lt;AI$5)*L217+(Q$5&lt;AI$5)*R217+(W$5&lt;AI$5)*X217+(AC$5&lt;AI$5)*AD217+(AO$5&lt;AI$5)*AP217+(AU$5&lt;AI$5)*AV217)))</f>
        <v/>
      </c>
      <c r="AL217">
        <f>IF(AJ217-AK217&lt;0.005,0,AJ217-AK217)</f>
        <v/>
      </c>
      <c r="AM217">
        <f>AR216</f>
        <v/>
      </c>
      <c r="AN217">
        <f>AM217*Plan!D12/100/12</f>
        <v/>
      </c>
      <c r="AO217">
        <f>MIN(Plan!E12,AM217+AN217)</f>
        <v/>
      </c>
      <c r="AP217">
        <f>AM217+AN217-AO217</f>
        <v/>
      </c>
      <c r="AQ217">
        <f>MIN(AP217,MAX(0,$B217-((E$5&lt;AO$5)*F217+(K$5&lt;AO$5)*L217+(Q$5&lt;AO$5)*R217+(W$5&lt;AO$5)*X217+(AC$5&lt;AO$5)*AD217+(AI$5&lt;AO$5)*AJ217+(AU$5&lt;AO$5)*AV217)))</f>
        <v/>
      </c>
      <c r="AR217">
        <f>IF(AP217-AQ217&lt;0.005,0,AP217-AQ217)</f>
        <v/>
      </c>
      <c r="AS217">
        <f>AX216</f>
        <v/>
      </c>
      <c r="AT217">
        <f>AS217*Plan!D13/100/12</f>
        <v/>
      </c>
      <c r="AU217">
        <f>MIN(Plan!E13,AS217+AT217)</f>
        <v/>
      </c>
      <c r="AV217">
        <f>AS217+AT217-AU217</f>
        <v/>
      </c>
      <c r="AW217">
        <f>MIN(AV217,MAX(0,$B217-((E$5&lt;AU$5)*F217+(K$5&lt;AU$5)*L217+(Q$5&lt;AU$5)*R217+(W$5&lt;AU$5)*X217+(AC$5&lt;AU$5)*AD217+(AI$5&lt;AU$5)*AJ217+(AO$5&lt;AU$5)*AP217)))</f>
        <v/>
      </c>
      <c r="AX217">
        <f>IF(AV217-AW217&lt;0.005,0,AV217-AW217)</f>
        <v/>
      </c>
      <c r="BC217">
        <f>H217+N217+T217+Z217+AF217+AL217+AR217+AX217</f>
        <v/>
      </c>
    </row>
    <row r="218">
      <c r="A218" t="n">
        <v>212</v>
      </c>
      <c r="B218" s="19">
        <f>MAX(0,$B$3-(E218+K218+Q218+W218+AC218+AI218+AO218+AU218))</f>
        <v/>
      </c>
      <c r="C218">
        <f>H217</f>
        <v/>
      </c>
      <c r="D218">
        <f>C218*Plan!D6/100/12</f>
        <v/>
      </c>
      <c r="E218">
        <f>MIN(Plan!E6,C218+D218)</f>
        <v/>
      </c>
      <c r="F218">
        <f>C218+D218-E218</f>
        <v/>
      </c>
      <c r="G218">
        <f>MIN(F218,MAX(0,$B218-((K$5&lt;E$5)*L218+(Q$5&lt;E$5)*R218+(W$5&lt;E$5)*X218+(AC$5&lt;E$5)*AD218+(AI$5&lt;E$5)*AJ218+(AO$5&lt;E$5)*AP218+(AU$5&lt;E$5)*AV218)))</f>
        <v/>
      </c>
      <c r="H218">
        <f>IF(F218-G218&lt;0.005,0,F218-G218)</f>
        <v/>
      </c>
      <c r="I218">
        <f>N217</f>
        <v/>
      </c>
      <c r="J218">
        <f>I218*Plan!D7/100/12</f>
        <v/>
      </c>
      <c r="K218">
        <f>MIN(Plan!E7,I218+J218)</f>
        <v/>
      </c>
      <c r="L218">
        <f>I218+J218-K218</f>
        <v/>
      </c>
      <c r="M218">
        <f>MIN(L218,MAX(0,$B218-((E$5&lt;K$5)*F218+(Q$5&lt;K$5)*R218+(W$5&lt;K$5)*X218+(AC$5&lt;K$5)*AD218+(AI$5&lt;K$5)*AJ218+(AO$5&lt;K$5)*AP218+(AU$5&lt;K$5)*AV218)))</f>
        <v/>
      </c>
      <c r="N218">
        <f>IF(L218-M218&lt;0.005,0,L218-M218)</f>
        <v/>
      </c>
      <c r="O218">
        <f>T217</f>
        <v/>
      </c>
      <c r="P218">
        <f>O218*Plan!D8/100/12</f>
        <v/>
      </c>
      <c r="Q218">
        <f>MIN(Plan!E8,O218+P218)</f>
        <v/>
      </c>
      <c r="R218">
        <f>O218+P218-Q218</f>
        <v/>
      </c>
      <c r="S218">
        <f>MIN(R218,MAX(0,$B218-((E$5&lt;Q$5)*F218+(K$5&lt;Q$5)*L218+(W$5&lt;Q$5)*X218+(AC$5&lt;Q$5)*AD218+(AI$5&lt;Q$5)*AJ218+(AO$5&lt;Q$5)*AP218+(AU$5&lt;Q$5)*AV218)))</f>
        <v/>
      </c>
      <c r="T218">
        <f>IF(R218-S218&lt;0.005,0,R218-S218)</f>
        <v/>
      </c>
      <c r="U218">
        <f>Z217</f>
        <v/>
      </c>
      <c r="V218">
        <f>U218*Plan!D9/100/12</f>
        <v/>
      </c>
      <c r="W218">
        <f>MIN(Plan!E9,U218+V218)</f>
        <v/>
      </c>
      <c r="X218">
        <f>U218+V218-W218</f>
        <v/>
      </c>
      <c r="Y218">
        <f>MIN(X218,MAX(0,$B218-((E$5&lt;W$5)*F218+(K$5&lt;W$5)*L218+(Q$5&lt;W$5)*R218+(AC$5&lt;W$5)*AD218+(AI$5&lt;W$5)*AJ218+(AO$5&lt;W$5)*AP218+(AU$5&lt;W$5)*AV218)))</f>
        <v/>
      </c>
      <c r="Z218">
        <f>IF(X218-Y218&lt;0.005,0,X218-Y218)</f>
        <v/>
      </c>
      <c r="AA218">
        <f>AF217</f>
        <v/>
      </c>
      <c r="AB218">
        <f>AA218*Plan!D10/100/12</f>
        <v/>
      </c>
      <c r="AC218">
        <f>MIN(Plan!E10,AA218+AB218)</f>
        <v/>
      </c>
      <c r="AD218">
        <f>AA218+AB218-AC218</f>
        <v/>
      </c>
      <c r="AE218">
        <f>MIN(AD218,MAX(0,$B218-((E$5&lt;AC$5)*F218+(K$5&lt;AC$5)*L218+(Q$5&lt;AC$5)*R218+(W$5&lt;AC$5)*X218+(AI$5&lt;AC$5)*AJ218+(AO$5&lt;AC$5)*AP218+(AU$5&lt;AC$5)*AV218)))</f>
        <v/>
      </c>
      <c r="AF218">
        <f>IF(AD218-AE218&lt;0.005,0,AD218-AE218)</f>
        <v/>
      </c>
      <c r="AG218">
        <f>AL217</f>
        <v/>
      </c>
      <c r="AH218">
        <f>AG218*Plan!D11/100/12</f>
        <v/>
      </c>
      <c r="AI218">
        <f>MIN(Plan!E11,AG218+AH218)</f>
        <v/>
      </c>
      <c r="AJ218">
        <f>AG218+AH218-AI218</f>
        <v/>
      </c>
      <c r="AK218">
        <f>MIN(AJ218,MAX(0,$B218-((E$5&lt;AI$5)*F218+(K$5&lt;AI$5)*L218+(Q$5&lt;AI$5)*R218+(W$5&lt;AI$5)*X218+(AC$5&lt;AI$5)*AD218+(AO$5&lt;AI$5)*AP218+(AU$5&lt;AI$5)*AV218)))</f>
        <v/>
      </c>
      <c r="AL218">
        <f>IF(AJ218-AK218&lt;0.005,0,AJ218-AK218)</f>
        <v/>
      </c>
      <c r="AM218">
        <f>AR217</f>
        <v/>
      </c>
      <c r="AN218">
        <f>AM218*Plan!D12/100/12</f>
        <v/>
      </c>
      <c r="AO218">
        <f>MIN(Plan!E12,AM218+AN218)</f>
        <v/>
      </c>
      <c r="AP218">
        <f>AM218+AN218-AO218</f>
        <v/>
      </c>
      <c r="AQ218">
        <f>MIN(AP218,MAX(0,$B218-((E$5&lt;AO$5)*F218+(K$5&lt;AO$5)*L218+(Q$5&lt;AO$5)*R218+(W$5&lt;AO$5)*X218+(AC$5&lt;AO$5)*AD218+(AI$5&lt;AO$5)*AJ218+(AU$5&lt;AO$5)*AV218)))</f>
        <v/>
      </c>
      <c r="AR218">
        <f>IF(AP218-AQ218&lt;0.005,0,AP218-AQ218)</f>
        <v/>
      </c>
      <c r="AS218">
        <f>AX217</f>
        <v/>
      </c>
      <c r="AT218">
        <f>AS218*Plan!D13/100/12</f>
        <v/>
      </c>
      <c r="AU218">
        <f>MIN(Plan!E13,AS218+AT218)</f>
        <v/>
      </c>
      <c r="AV218">
        <f>AS218+AT218-AU218</f>
        <v/>
      </c>
      <c r="AW218">
        <f>MIN(AV218,MAX(0,$B218-((E$5&lt;AU$5)*F218+(K$5&lt;AU$5)*L218+(Q$5&lt;AU$5)*R218+(W$5&lt;AU$5)*X218+(AC$5&lt;AU$5)*AD218+(AI$5&lt;AU$5)*AJ218+(AO$5&lt;AU$5)*AP218)))</f>
        <v/>
      </c>
      <c r="AX218">
        <f>IF(AV218-AW218&lt;0.005,0,AV218-AW218)</f>
        <v/>
      </c>
      <c r="BC218">
        <f>H218+N218+T218+Z218+AF218+AL218+AR218+AX218</f>
        <v/>
      </c>
    </row>
    <row r="219">
      <c r="A219" t="n">
        <v>213</v>
      </c>
      <c r="B219" s="19">
        <f>MAX(0,$B$3-(E219+K219+Q219+W219+AC219+AI219+AO219+AU219))</f>
        <v/>
      </c>
      <c r="C219">
        <f>H218</f>
        <v/>
      </c>
      <c r="D219">
        <f>C219*Plan!D6/100/12</f>
        <v/>
      </c>
      <c r="E219">
        <f>MIN(Plan!E6,C219+D219)</f>
        <v/>
      </c>
      <c r="F219">
        <f>C219+D219-E219</f>
        <v/>
      </c>
      <c r="G219">
        <f>MIN(F219,MAX(0,$B219-((K$5&lt;E$5)*L219+(Q$5&lt;E$5)*R219+(W$5&lt;E$5)*X219+(AC$5&lt;E$5)*AD219+(AI$5&lt;E$5)*AJ219+(AO$5&lt;E$5)*AP219+(AU$5&lt;E$5)*AV219)))</f>
        <v/>
      </c>
      <c r="H219">
        <f>IF(F219-G219&lt;0.005,0,F219-G219)</f>
        <v/>
      </c>
      <c r="I219">
        <f>N218</f>
        <v/>
      </c>
      <c r="J219">
        <f>I219*Plan!D7/100/12</f>
        <v/>
      </c>
      <c r="K219">
        <f>MIN(Plan!E7,I219+J219)</f>
        <v/>
      </c>
      <c r="L219">
        <f>I219+J219-K219</f>
        <v/>
      </c>
      <c r="M219">
        <f>MIN(L219,MAX(0,$B219-((E$5&lt;K$5)*F219+(Q$5&lt;K$5)*R219+(W$5&lt;K$5)*X219+(AC$5&lt;K$5)*AD219+(AI$5&lt;K$5)*AJ219+(AO$5&lt;K$5)*AP219+(AU$5&lt;K$5)*AV219)))</f>
        <v/>
      </c>
      <c r="N219">
        <f>IF(L219-M219&lt;0.005,0,L219-M219)</f>
        <v/>
      </c>
      <c r="O219">
        <f>T218</f>
        <v/>
      </c>
      <c r="P219">
        <f>O219*Plan!D8/100/12</f>
        <v/>
      </c>
      <c r="Q219">
        <f>MIN(Plan!E8,O219+P219)</f>
        <v/>
      </c>
      <c r="R219">
        <f>O219+P219-Q219</f>
        <v/>
      </c>
      <c r="S219">
        <f>MIN(R219,MAX(0,$B219-((E$5&lt;Q$5)*F219+(K$5&lt;Q$5)*L219+(W$5&lt;Q$5)*X219+(AC$5&lt;Q$5)*AD219+(AI$5&lt;Q$5)*AJ219+(AO$5&lt;Q$5)*AP219+(AU$5&lt;Q$5)*AV219)))</f>
        <v/>
      </c>
      <c r="T219">
        <f>IF(R219-S219&lt;0.005,0,R219-S219)</f>
        <v/>
      </c>
      <c r="U219">
        <f>Z218</f>
        <v/>
      </c>
      <c r="V219">
        <f>U219*Plan!D9/100/12</f>
        <v/>
      </c>
      <c r="W219">
        <f>MIN(Plan!E9,U219+V219)</f>
        <v/>
      </c>
      <c r="X219">
        <f>U219+V219-W219</f>
        <v/>
      </c>
      <c r="Y219">
        <f>MIN(X219,MAX(0,$B219-((E$5&lt;W$5)*F219+(K$5&lt;W$5)*L219+(Q$5&lt;W$5)*R219+(AC$5&lt;W$5)*AD219+(AI$5&lt;W$5)*AJ219+(AO$5&lt;W$5)*AP219+(AU$5&lt;W$5)*AV219)))</f>
        <v/>
      </c>
      <c r="Z219">
        <f>IF(X219-Y219&lt;0.005,0,X219-Y219)</f>
        <v/>
      </c>
      <c r="AA219">
        <f>AF218</f>
        <v/>
      </c>
      <c r="AB219">
        <f>AA219*Plan!D10/100/12</f>
        <v/>
      </c>
      <c r="AC219">
        <f>MIN(Plan!E10,AA219+AB219)</f>
        <v/>
      </c>
      <c r="AD219">
        <f>AA219+AB219-AC219</f>
        <v/>
      </c>
      <c r="AE219">
        <f>MIN(AD219,MAX(0,$B219-((E$5&lt;AC$5)*F219+(K$5&lt;AC$5)*L219+(Q$5&lt;AC$5)*R219+(W$5&lt;AC$5)*X219+(AI$5&lt;AC$5)*AJ219+(AO$5&lt;AC$5)*AP219+(AU$5&lt;AC$5)*AV219)))</f>
        <v/>
      </c>
      <c r="AF219">
        <f>IF(AD219-AE219&lt;0.005,0,AD219-AE219)</f>
        <v/>
      </c>
      <c r="AG219">
        <f>AL218</f>
        <v/>
      </c>
      <c r="AH219">
        <f>AG219*Plan!D11/100/12</f>
        <v/>
      </c>
      <c r="AI219">
        <f>MIN(Plan!E11,AG219+AH219)</f>
        <v/>
      </c>
      <c r="AJ219">
        <f>AG219+AH219-AI219</f>
        <v/>
      </c>
      <c r="AK219">
        <f>MIN(AJ219,MAX(0,$B219-((E$5&lt;AI$5)*F219+(K$5&lt;AI$5)*L219+(Q$5&lt;AI$5)*R219+(W$5&lt;AI$5)*X219+(AC$5&lt;AI$5)*AD219+(AO$5&lt;AI$5)*AP219+(AU$5&lt;AI$5)*AV219)))</f>
        <v/>
      </c>
      <c r="AL219">
        <f>IF(AJ219-AK219&lt;0.005,0,AJ219-AK219)</f>
        <v/>
      </c>
      <c r="AM219">
        <f>AR218</f>
        <v/>
      </c>
      <c r="AN219">
        <f>AM219*Plan!D12/100/12</f>
        <v/>
      </c>
      <c r="AO219">
        <f>MIN(Plan!E12,AM219+AN219)</f>
        <v/>
      </c>
      <c r="AP219">
        <f>AM219+AN219-AO219</f>
        <v/>
      </c>
      <c r="AQ219">
        <f>MIN(AP219,MAX(0,$B219-((E$5&lt;AO$5)*F219+(K$5&lt;AO$5)*L219+(Q$5&lt;AO$5)*R219+(W$5&lt;AO$5)*X219+(AC$5&lt;AO$5)*AD219+(AI$5&lt;AO$5)*AJ219+(AU$5&lt;AO$5)*AV219)))</f>
        <v/>
      </c>
      <c r="AR219">
        <f>IF(AP219-AQ219&lt;0.005,0,AP219-AQ219)</f>
        <v/>
      </c>
      <c r="AS219">
        <f>AX218</f>
        <v/>
      </c>
      <c r="AT219">
        <f>AS219*Plan!D13/100/12</f>
        <v/>
      </c>
      <c r="AU219">
        <f>MIN(Plan!E13,AS219+AT219)</f>
        <v/>
      </c>
      <c r="AV219">
        <f>AS219+AT219-AU219</f>
        <v/>
      </c>
      <c r="AW219">
        <f>MIN(AV219,MAX(0,$B219-((E$5&lt;AU$5)*F219+(K$5&lt;AU$5)*L219+(Q$5&lt;AU$5)*R219+(W$5&lt;AU$5)*X219+(AC$5&lt;AU$5)*AD219+(AI$5&lt;AU$5)*AJ219+(AO$5&lt;AU$5)*AP219)))</f>
        <v/>
      </c>
      <c r="AX219">
        <f>IF(AV219-AW219&lt;0.005,0,AV219-AW219)</f>
        <v/>
      </c>
      <c r="BC219">
        <f>H219+N219+T219+Z219+AF219+AL219+AR219+AX219</f>
        <v/>
      </c>
    </row>
    <row r="220">
      <c r="A220" t="n">
        <v>214</v>
      </c>
      <c r="B220" s="19">
        <f>MAX(0,$B$3-(E220+K220+Q220+W220+AC220+AI220+AO220+AU220))</f>
        <v/>
      </c>
      <c r="C220">
        <f>H219</f>
        <v/>
      </c>
      <c r="D220">
        <f>C220*Plan!D6/100/12</f>
        <v/>
      </c>
      <c r="E220">
        <f>MIN(Plan!E6,C220+D220)</f>
        <v/>
      </c>
      <c r="F220">
        <f>C220+D220-E220</f>
        <v/>
      </c>
      <c r="G220">
        <f>MIN(F220,MAX(0,$B220-((K$5&lt;E$5)*L220+(Q$5&lt;E$5)*R220+(W$5&lt;E$5)*X220+(AC$5&lt;E$5)*AD220+(AI$5&lt;E$5)*AJ220+(AO$5&lt;E$5)*AP220+(AU$5&lt;E$5)*AV220)))</f>
        <v/>
      </c>
      <c r="H220">
        <f>IF(F220-G220&lt;0.005,0,F220-G220)</f>
        <v/>
      </c>
      <c r="I220">
        <f>N219</f>
        <v/>
      </c>
      <c r="J220">
        <f>I220*Plan!D7/100/12</f>
        <v/>
      </c>
      <c r="K220">
        <f>MIN(Plan!E7,I220+J220)</f>
        <v/>
      </c>
      <c r="L220">
        <f>I220+J220-K220</f>
        <v/>
      </c>
      <c r="M220">
        <f>MIN(L220,MAX(0,$B220-((E$5&lt;K$5)*F220+(Q$5&lt;K$5)*R220+(W$5&lt;K$5)*X220+(AC$5&lt;K$5)*AD220+(AI$5&lt;K$5)*AJ220+(AO$5&lt;K$5)*AP220+(AU$5&lt;K$5)*AV220)))</f>
        <v/>
      </c>
      <c r="N220">
        <f>IF(L220-M220&lt;0.005,0,L220-M220)</f>
        <v/>
      </c>
      <c r="O220">
        <f>T219</f>
        <v/>
      </c>
      <c r="P220">
        <f>O220*Plan!D8/100/12</f>
        <v/>
      </c>
      <c r="Q220">
        <f>MIN(Plan!E8,O220+P220)</f>
        <v/>
      </c>
      <c r="R220">
        <f>O220+P220-Q220</f>
        <v/>
      </c>
      <c r="S220">
        <f>MIN(R220,MAX(0,$B220-((E$5&lt;Q$5)*F220+(K$5&lt;Q$5)*L220+(W$5&lt;Q$5)*X220+(AC$5&lt;Q$5)*AD220+(AI$5&lt;Q$5)*AJ220+(AO$5&lt;Q$5)*AP220+(AU$5&lt;Q$5)*AV220)))</f>
        <v/>
      </c>
      <c r="T220">
        <f>IF(R220-S220&lt;0.005,0,R220-S220)</f>
        <v/>
      </c>
      <c r="U220">
        <f>Z219</f>
        <v/>
      </c>
      <c r="V220">
        <f>U220*Plan!D9/100/12</f>
        <v/>
      </c>
      <c r="W220">
        <f>MIN(Plan!E9,U220+V220)</f>
        <v/>
      </c>
      <c r="X220">
        <f>U220+V220-W220</f>
        <v/>
      </c>
      <c r="Y220">
        <f>MIN(X220,MAX(0,$B220-((E$5&lt;W$5)*F220+(K$5&lt;W$5)*L220+(Q$5&lt;W$5)*R220+(AC$5&lt;W$5)*AD220+(AI$5&lt;W$5)*AJ220+(AO$5&lt;W$5)*AP220+(AU$5&lt;W$5)*AV220)))</f>
        <v/>
      </c>
      <c r="Z220">
        <f>IF(X220-Y220&lt;0.005,0,X220-Y220)</f>
        <v/>
      </c>
      <c r="AA220">
        <f>AF219</f>
        <v/>
      </c>
      <c r="AB220">
        <f>AA220*Plan!D10/100/12</f>
        <v/>
      </c>
      <c r="AC220">
        <f>MIN(Plan!E10,AA220+AB220)</f>
        <v/>
      </c>
      <c r="AD220">
        <f>AA220+AB220-AC220</f>
        <v/>
      </c>
      <c r="AE220">
        <f>MIN(AD220,MAX(0,$B220-((E$5&lt;AC$5)*F220+(K$5&lt;AC$5)*L220+(Q$5&lt;AC$5)*R220+(W$5&lt;AC$5)*X220+(AI$5&lt;AC$5)*AJ220+(AO$5&lt;AC$5)*AP220+(AU$5&lt;AC$5)*AV220)))</f>
        <v/>
      </c>
      <c r="AF220">
        <f>IF(AD220-AE220&lt;0.005,0,AD220-AE220)</f>
        <v/>
      </c>
      <c r="AG220">
        <f>AL219</f>
        <v/>
      </c>
      <c r="AH220">
        <f>AG220*Plan!D11/100/12</f>
        <v/>
      </c>
      <c r="AI220">
        <f>MIN(Plan!E11,AG220+AH220)</f>
        <v/>
      </c>
      <c r="AJ220">
        <f>AG220+AH220-AI220</f>
        <v/>
      </c>
      <c r="AK220">
        <f>MIN(AJ220,MAX(0,$B220-((E$5&lt;AI$5)*F220+(K$5&lt;AI$5)*L220+(Q$5&lt;AI$5)*R220+(W$5&lt;AI$5)*X220+(AC$5&lt;AI$5)*AD220+(AO$5&lt;AI$5)*AP220+(AU$5&lt;AI$5)*AV220)))</f>
        <v/>
      </c>
      <c r="AL220">
        <f>IF(AJ220-AK220&lt;0.005,0,AJ220-AK220)</f>
        <v/>
      </c>
      <c r="AM220">
        <f>AR219</f>
        <v/>
      </c>
      <c r="AN220">
        <f>AM220*Plan!D12/100/12</f>
        <v/>
      </c>
      <c r="AO220">
        <f>MIN(Plan!E12,AM220+AN220)</f>
        <v/>
      </c>
      <c r="AP220">
        <f>AM220+AN220-AO220</f>
        <v/>
      </c>
      <c r="AQ220">
        <f>MIN(AP220,MAX(0,$B220-((E$5&lt;AO$5)*F220+(K$5&lt;AO$5)*L220+(Q$5&lt;AO$5)*R220+(W$5&lt;AO$5)*X220+(AC$5&lt;AO$5)*AD220+(AI$5&lt;AO$5)*AJ220+(AU$5&lt;AO$5)*AV220)))</f>
        <v/>
      </c>
      <c r="AR220">
        <f>IF(AP220-AQ220&lt;0.005,0,AP220-AQ220)</f>
        <v/>
      </c>
      <c r="AS220">
        <f>AX219</f>
        <v/>
      </c>
      <c r="AT220">
        <f>AS220*Plan!D13/100/12</f>
        <v/>
      </c>
      <c r="AU220">
        <f>MIN(Plan!E13,AS220+AT220)</f>
        <v/>
      </c>
      <c r="AV220">
        <f>AS220+AT220-AU220</f>
        <v/>
      </c>
      <c r="AW220">
        <f>MIN(AV220,MAX(0,$B220-((E$5&lt;AU$5)*F220+(K$5&lt;AU$5)*L220+(Q$5&lt;AU$5)*R220+(W$5&lt;AU$5)*X220+(AC$5&lt;AU$5)*AD220+(AI$5&lt;AU$5)*AJ220+(AO$5&lt;AU$5)*AP220)))</f>
        <v/>
      </c>
      <c r="AX220">
        <f>IF(AV220-AW220&lt;0.005,0,AV220-AW220)</f>
        <v/>
      </c>
      <c r="BC220">
        <f>H220+N220+T220+Z220+AF220+AL220+AR220+AX220</f>
        <v/>
      </c>
    </row>
    <row r="221">
      <c r="A221" t="n">
        <v>215</v>
      </c>
      <c r="B221" s="19">
        <f>MAX(0,$B$3-(E221+K221+Q221+W221+AC221+AI221+AO221+AU221))</f>
        <v/>
      </c>
      <c r="C221">
        <f>H220</f>
        <v/>
      </c>
      <c r="D221">
        <f>C221*Plan!D6/100/12</f>
        <v/>
      </c>
      <c r="E221">
        <f>MIN(Plan!E6,C221+D221)</f>
        <v/>
      </c>
      <c r="F221">
        <f>C221+D221-E221</f>
        <v/>
      </c>
      <c r="G221">
        <f>MIN(F221,MAX(0,$B221-((K$5&lt;E$5)*L221+(Q$5&lt;E$5)*R221+(W$5&lt;E$5)*X221+(AC$5&lt;E$5)*AD221+(AI$5&lt;E$5)*AJ221+(AO$5&lt;E$5)*AP221+(AU$5&lt;E$5)*AV221)))</f>
        <v/>
      </c>
      <c r="H221">
        <f>IF(F221-G221&lt;0.005,0,F221-G221)</f>
        <v/>
      </c>
      <c r="I221">
        <f>N220</f>
        <v/>
      </c>
      <c r="J221">
        <f>I221*Plan!D7/100/12</f>
        <v/>
      </c>
      <c r="K221">
        <f>MIN(Plan!E7,I221+J221)</f>
        <v/>
      </c>
      <c r="L221">
        <f>I221+J221-K221</f>
        <v/>
      </c>
      <c r="M221">
        <f>MIN(L221,MAX(0,$B221-((E$5&lt;K$5)*F221+(Q$5&lt;K$5)*R221+(W$5&lt;K$5)*X221+(AC$5&lt;K$5)*AD221+(AI$5&lt;K$5)*AJ221+(AO$5&lt;K$5)*AP221+(AU$5&lt;K$5)*AV221)))</f>
        <v/>
      </c>
      <c r="N221">
        <f>IF(L221-M221&lt;0.005,0,L221-M221)</f>
        <v/>
      </c>
      <c r="O221">
        <f>T220</f>
        <v/>
      </c>
      <c r="P221">
        <f>O221*Plan!D8/100/12</f>
        <v/>
      </c>
      <c r="Q221">
        <f>MIN(Plan!E8,O221+P221)</f>
        <v/>
      </c>
      <c r="R221">
        <f>O221+P221-Q221</f>
        <v/>
      </c>
      <c r="S221">
        <f>MIN(R221,MAX(0,$B221-((E$5&lt;Q$5)*F221+(K$5&lt;Q$5)*L221+(W$5&lt;Q$5)*X221+(AC$5&lt;Q$5)*AD221+(AI$5&lt;Q$5)*AJ221+(AO$5&lt;Q$5)*AP221+(AU$5&lt;Q$5)*AV221)))</f>
        <v/>
      </c>
      <c r="T221">
        <f>IF(R221-S221&lt;0.005,0,R221-S221)</f>
        <v/>
      </c>
      <c r="U221">
        <f>Z220</f>
        <v/>
      </c>
      <c r="V221">
        <f>U221*Plan!D9/100/12</f>
        <v/>
      </c>
      <c r="W221">
        <f>MIN(Plan!E9,U221+V221)</f>
        <v/>
      </c>
      <c r="X221">
        <f>U221+V221-W221</f>
        <v/>
      </c>
      <c r="Y221">
        <f>MIN(X221,MAX(0,$B221-((E$5&lt;W$5)*F221+(K$5&lt;W$5)*L221+(Q$5&lt;W$5)*R221+(AC$5&lt;W$5)*AD221+(AI$5&lt;W$5)*AJ221+(AO$5&lt;W$5)*AP221+(AU$5&lt;W$5)*AV221)))</f>
        <v/>
      </c>
      <c r="Z221">
        <f>IF(X221-Y221&lt;0.005,0,X221-Y221)</f>
        <v/>
      </c>
      <c r="AA221">
        <f>AF220</f>
        <v/>
      </c>
      <c r="AB221">
        <f>AA221*Plan!D10/100/12</f>
        <v/>
      </c>
      <c r="AC221">
        <f>MIN(Plan!E10,AA221+AB221)</f>
        <v/>
      </c>
      <c r="AD221">
        <f>AA221+AB221-AC221</f>
        <v/>
      </c>
      <c r="AE221">
        <f>MIN(AD221,MAX(0,$B221-((E$5&lt;AC$5)*F221+(K$5&lt;AC$5)*L221+(Q$5&lt;AC$5)*R221+(W$5&lt;AC$5)*X221+(AI$5&lt;AC$5)*AJ221+(AO$5&lt;AC$5)*AP221+(AU$5&lt;AC$5)*AV221)))</f>
        <v/>
      </c>
      <c r="AF221">
        <f>IF(AD221-AE221&lt;0.005,0,AD221-AE221)</f>
        <v/>
      </c>
      <c r="AG221">
        <f>AL220</f>
        <v/>
      </c>
      <c r="AH221">
        <f>AG221*Plan!D11/100/12</f>
        <v/>
      </c>
      <c r="AI221">
        <f>MIN(Plan!E11,AG221+AH221)</f>
        <v/>
      </c>
      <c r="AJ221">
        <f>AG221+AH221-AI221</f>
        <v/>
      </c>
      <c r="AK221">
        <f>MIN(AJ221,MAX(0,$B221-((E$5&lt;AI$5)*F221+(K$5&lt;AI$5)*L221+(Q$5&lt;AI$5)*R221+(W$5&lt;AI$5)*X221+(AC$5&lt;AI$5)*AD221+(AO$5&lt;AI$5)*AP221+(AU$5&lt;AI$5)*AV221)))</f>
        <v/>
      </c>
      <c r="AL221">
        <f>IF(AJ221-AK221&lt;0.005,0,AJ221-AK221)</f>
        <v/>
      </c>
      <c r="AM221">
        <f>AR220</f>
        <v/>
      </c>
      <c r="AN221">
        <f>AM221*Plan!D12/100/12</f>
        <v/>
      </c>
      <c r="AO221">
        <f>MIN(Plan!E12,AM221+AN221)</f>
        <v/>
      </c>
      <c r="AP221">
        <f>AM221+AN221-AO221</f>
        <v/>
      </c>
      <c r="AQ221">
        <f>MIN(AP221,MAX(0,$B221-((E$5&lt;AO$5)*F221+(K$5&lt;AO$5)*L221+(Q$5&lt;AO$5)*R221+(W$5&lt;AO$5)*X221+(AC$5&lt;AO$5)*AD221+(AI$5&lt;AO$5)*AJ221+(AU$5&lt;AO$5)*AV221)))</f>
        <v/>
      </c>
      <c r="AR221">
        <f>IF(AP221-AQ221&lt;0.005,0,AP221-AQ221)</f>
        <v/>
      </c>
      <c r="AS221">
        <f>AX220</f>
        <v/>
      </c>
      <c r="AT221">
        <f>AS221*Plan!D13/100/12</f>
        <v/>
      </c>
      <c r="AU221">
        <f>MIN(Plan!E13,AS221+AT221)</f>
        <v/>
      </c>
      <c r="AV221">
        <f>AS221+AT221-AU221</f>
        <v/>
      </c>
      <c r="AW221">
        <f>MIN(AV221,MAX(0,$B221-((E$5&lt;AU$5)*F221+(K$5&lt;AU$5)*L221+(Q$5&lt;AU$5)*R221+(W$5&lt;AU$5)*X221+(AC$5&lt;AU$5)*AD221+(AI$5&lt;AU$5)*AJ221+(AO$5&lt;AU$5)*AP221)))</f>
        <v/>
      </c>
      <c r="AX221">
        <f>IF(AV221-AW221&lt;0.005,0,AV221-AW221)</f>
        <v/>
      </c>
      <c r="BC221">
        <f>H221+N221+T221+Z221+AF221+AL221+AR221+AX221</f>
        <v/>
      </c>
    </row>
    <row r="222">
      <c r="A222" t="n">
        <v>216</v>
      </c>
      <c r="B222" s="19">
        <f>MAX(0,$B$3-(E222+K222+Q222+W222+AC222+AI222+AO222+AU222))</f>
        <v/>
      </c>
      <c r="C222">
        <f>H221</f>
        <v/>
      </c>
      <c r="D222">
        <f>C222*Plan!D6/100/12</f>
        <v/>
      </c>
      <c r="E222">
        <f>MIN(Plan!E6,C222+D222)</f>
        <v/>
      </c>
      <c r="F222">
        <f>C222+D222-E222</f>
        <v/>
      </c>
      <c r="G222">
        <f>MIN(F222,MAX(0,$B222-((K$5&lt;E$5)*L222+(Q$5&lt;E$5)*R222+(W$5&lt;E$5)*X222+(AC$5&lt;E$5)*AD222+(AI$5&lt;E$5)*AJ222+(AO$5&lt;E$5)*AP222+(AU$5&lt;E$5)*AV222)))</f>
        <v/>
      </c>
      <c r="H222">
        <f>IF(F222-G222&lt;0.005,0,F222-G222)</f>
        <v/>
      </c>
      <c r="I222">
        <f>N221</f>
        <v/>
      </c>
      <c r="J222">
        <f>I222*Plan!D7/100/12</f>
        <v/>
      </c>
      <c r="K222">
        <f>MIN(Plan!E7,I222+J222)</f>
        <v/>
      </c>
      <c r="L222">
        <f>I222+J222-K222</f>
        <v/>
      </c>
      <c r="M222">
        <f>MIN(L222,MAX(0,$B222-((E$5&lt;K$5)*F222+(Q$5&lt;K$5)*R222+(W$5&lt;K$5)*X222+(AC$5&lt;K$5)*AD222+(AI$5&lt;K$5)*AJ222+(AO$5&lt;K$5)*AP222+(AU$5&lt;K$5)*AV222)))</f>
        <v/>
      </c>
      <c r="N222">
        <f>IF(L222-M222&lt;0.005,0,L222-M222)</f>
        <v/>
      </c>
      <c r="O222">
        <f>T221</f>
        <v/>
      </c>
      <c r="P222">
        <f>O222*Plan!D8/100/12</f>
        <v/>
      </c>
      <c r="Q222">
        <f>MIN(Plan!E8,O222+P222)</f>
        <v/>
      </c>
      <c r="R222">
        <f>O222+P222-Q222</f>
        <v/>
      </c>
      <c r="S222">
        <f>MIN(R222,MAX(0,$B222-((E$5&lt;Q$5)*F222+(K$5&lt;Q$5)*L222+(W$5&lt;Q$5)*X222+(AC$5&lt;Q$5)*AD222+(AI$5&lt;Q$5)*AJ222+(AO$5&lt;Q$5)*AP222+(AU$5&lt;Q$5)*AV222)))</f>
        <v/>
      </c>
      <c r="T222">
        <f>IF(R222-S222&lt;0.005,0,R222-S222)</f>
        <v/>
      </c>
      <c r="U222">
        <f>Z221</f>
        <v/>
      </c>
      <c r="V222">
        <f>U222*Plan!D9/100/12</f>
        <v/>
      </c>
      <c r="W222">
        <f>MIN(Plan!E9,U222+V222)</f>
        <v/>
      </c>
      <c r="X222">
        <f>U222+V222-W222</f>
        <v/>
      </c>
      <c r="Y222">
        <f>MIN(X222,MAX(0,$B222-((E$5&lt;W$5)*F222+(K$5&lt;W$5)*L222+(Q$5&lt;W$5)*R222+(AC$5&lt;W$5)*AD222+(AI$5&lt;W$5)*AJ222+(AO$5&lt;W$5)*AP222+(AU$5&lt;W$5)*AV222)))</f>
        <v/>
      </c>
      <c r="Z222">
        <f>IF(X222-Y222&lt;0.005,0,X222-Y222)</f>
        <v/>
      </c>
      <c r="AA222">
        <f>AF221</f>
        <v/>
      </c>
      <c r="AB222">
        <f>AA222*Plan!D10/100/12</f>
        <v/>
      </c>
      <c r="AC222">
        <f>MIN(Plan!E10,AA222+AB222)</f>
        <v/>
      </c>
      <c r="AD222">
        <f>AA222+AB222-AC222</f>
        <v/>
      </c>
      <c r="AE222">
        <f>MIN(AD222,MAX(0,$B222-((E$5&lt;AC$5)*F222+(K$5&lt;AC$5)*L222+(Q$5&lt;AC$5)*R222+(W$5&lt;AC$5)*X222+(AI$5&lt;AC$5)*AJ222+(AO$5&lt;AC$5)*AP222+(AU$5&lt;AC$5)*AV222)))</f>
        <v/>
      </c>
      <c r="AF222">
        <f>IF(AD222-AE222&lt;0.005,0,AD222-AE222)</f>
        <v/>
      </c>
      <c r="AG222">
        <f>AL221</f>
        <v/>
      </c>
      <c r="AH222">
        <f>AG222*Plan!D11/100/12</f>
        <v/>
      </c>
      <c r="AI222">
        <f>MIN(Plan!E11,AG222+AH222)</f>
        <v/>
      </c>
      <c r="AJ222">
        <f>AG222+AH222-AI222</f>
        <v/>
      </c>
      <c r="AK222">
        <f>MIN(AJ222,MAX(0,$B222-((E$5&lt;AI$5)*F222+(K$5&lt;AI$5)*L222+(Q$5&lt;AI$5)*R222+(W$5&lt;AI$5)*X222+(AC$5&lt;AI$5)*AD222+(AO$5&lt;AI$5)*AP222+(AU$5&lt;AI$5)*AV222)))</f>
        <v/>
      </c>
      <c r="AL222">
        <f>IF(AJ222-AK222&lt;0.005,0,AJ222-AK222)</f>
        <v/>
      </c>
      <c r="AM222">
        <f>AR221</f>
        <v/>
      </c>
      <c r="AN222">
        <f>AM222*Plan!D12/100/12</f>
        <v/>
      </c>
      <c r="AO222">
        <f>MIN(Plan!E12,AM222+AN222)</f>
        <v/>
      </c>
      <c r="AP222">
        <f>AM222+AN222-AO222</f>
        <v/>
      </c>
      <c r="AQ222">
        <f>MIN(AP222,MAX(0,$B222-((E$5&lt;AO$5)*F222+(K$5&lt;AO$5)*L222+(Q$5&lt;AO$5)*R222+(W$5&lt;AO$5)*X222+(AC$5&lt;AO$5)*AD222+(AI$5&lt;AO$5)*AJ222+(AU$5&lt;AO$5)*AV222)))</f>
        <v/>
      </c>
      <c r="AR222">
        <f>IF(AP222-AQ222&lt;0.005,0,AP222-AQ222)</f>
        <v/>
      </c>
      <c r="AS222">
        <f>AX221</f>
        <v/>
      </c>
      <c r="AT222">
        <f>AS222*Plan!D13/100/12</f>
        <v/>
      </c>
      <c r="AU222">
        <f>MIN(Plan!E13,AS222+AT222)</f>
        <v/>
      </c>
      <c r="AV222">
        <f>AS222+AT222-AU222</f>
        <v/>
      </c>
      <c r="AW222">
        <f>MIN(AV222,MAX(0,$B222-((E$5&lt;AU$5)*F222+(K$5&lt;AU$5)*L222+(Q$5&lt;AU$5)*R222+(W$5&lt;AU$5)*X222+(AC$5&lt;AU$5)*AD222+(AI$5&lt;AU$5)*AJ222+(AO$5&lt;AU$5)*AP222)))</f>
        <v/>
      </c>
      <c r="AX222">
        <f>IF(AV222-AW222&lt;0.005,0,AV222-AW222)</f>
        <v/>
      </c>
      <c r="BC222">
        <f>H222+N222+T222+Z222+AF222+AL222+AR222+AX222</f>
        <v/>
      </c>
    </row>
    <row r="223">
      <c r="A223" t="n">
        <v>217</v>
      </c>
      <c r="B223" s="19">
        <f>MAX(0,$B$3-(E223+K223+Q223+W223+AC223+AI223+AO223+AU223))</f>
        <v/>
      </c>
      <c r="C223">
        <f>H222</f>
        <v/>
      </c>
      <c r="D223">
        <f>C223*Plan!D6/100/12</f>
        <v/>
      </c>
      <c r="E223">
        <f>MIN(Plan!E6,C223+D223)</f>
        <v/>
      </c>
      <c r="F223">
        <f>C223+D223-E223</f>
        <v/>
      </c>
      <c r="G223">
        <f>MIN(F223,MAX(0,$B223-((K$5&lt;E$5)*L223+(Q$5&lt;E$5)*R223+(W$5&lt;E$5)*X223+(AC$5&lt;E$5)*AD223+(AI$5&lt;E$5)*AJ223+(AO$5&lt;E$5)*AP223+(AU$5&lt;E$5)*AV223)))</f>
        <v/>
      </c>
      <c r="H223">
        <f>IF(F223-G223&lt;0.005,0,F223-G223)</f>
        <v/>
      </c>
      <c r="I223">
        <f>N222</f>
        <v/>
      </c>
      <c r="J223">
        <f>I223*Plan!D7/100/12</f>
        <v/>
      </c>
      <c r="K223">
        <f>MIN(Plan!E7,I223+J223)</f>
        <v/>
      </c>
      <c r="L223">
        <f>I223+J223-K223</f>
        <v/>
      </c>
      <c r="M223">
        <f>MIN(L223,MAX(0,$B223-((E$5&lt;K$5)*F223+(Q$5&lt;K$5)*R223+(W$5&lt;K$5)*X223+(AC$5&lt;K$5)*AD223+(AI$5&lt;K$5)*AJ223+(AO$5&lt;K$5)*AP223+(AU$5&lt;K$5)*AV223)))</f>
        <v/>
      </c>
      <c r="N223">
        <f>IF(L223-M223&lt;0.005,0,L223-M223)</f>
        <v/>
      </c>
      <c r="O223">
        <f>T222</f>
        <v/>
      </c>
      <c r="P223">
        <f>O223*Plan!D8/100/12</f>
        <v/>
      </c>
      <c r="Q223">
        <f>MIN(Plan!E8,O223+P223)</f>
        <v/>
      </c>
      <c r="R223">
        <f>O223+P223-Q223</f>
        <v/>
      </c>
      <c r="S223">
        <f>MIN(R223,MAX(0,$B223-((E$5&lt;Q$5)*F223+(K$5&lt;Q$5)*L223+(W$5&lt;Q$5)*X223+(AC$5&lt;Q$5)*AD223+(AI$5&lt;Q$5)*AJ223+(AO$5&lt;Q$5)*AP223+(AU$5&lt;Q$5)*AV223)))</f>
        <v/>
      </c>
      <c r="T223">
        <f>IF(R223-S223&lt;0.005,0,R223-S223)</f>
        <v/>
      </c>
      <c r="U223">
        <f>Z222</f>
        <v/>
      </c>
      <c r="V223">
        <f>U223*Plan!D9/100/12</f>
        <v/>
      </c>
      <c r="W223">
        <f>MIN(Plan!E9,U223+V223)</f>
        <v/>
      </c>
      <c r="X223">
        <f>U223+V223-W223</f>
        <v/>
      </c>
      <c r="Y223">
        <f>MIN(X223,MAX(0,$B223-((E$5&lt;W$5)*F223+(K$5&lt;W$5)*L223+(Q$5&lt;W$5)*R223+(AC$5&lt;W$5)*AD223+(AI$5&lt;W$5)*AJ223+(AO$5&lt;W$5)*AP223+(AU$5&lt;W$5)*AV223)))</f>
        <v/>
      </c>
      <c r="Z223">
        <f>IF(X223-Y223&lt;0.005,0,X223-Y223)</f>
        <v/>
      </c>
      <c r="AA223">
        <f>AF222</f>
        <v/>
      </c>
      <c r="AB223">
        <f>AA223*Plan!D10/100/12</f>
        <v/>
      </c>
      <c r="AC223">
        <f>MIN(Plan!E10,AA223+AB223)</f>
        <v/>
      </c>
      <c r="AD223">
        <f>AA223+AB223-AC223</f>
        <v/>
      </c>
      <c r="AE223">
        <f>MIN(AD223,MAX(0,$B223-((E$5&lt;AC$5)*F223+(K$5&lt;AC$5)*L223+(Q$5&lt;AC$5)*R223+(W$5&lt;AC$5)*X223+(AI$5&lt;AC$5)*AJ223+(AO$5&lt;AC$5)*AP223+(AU$5&lt;AC$5)*AV223)))</f>
        <v/>
      </c>
      <c r="AF223">
        <f>IF(AD223-AE223&lt;0.005,0,AD223-AE223)</f>
        <v/>
      </c>
      <c r="AG223">
        <f>AL222</f>
        <v/>
      </c>
      <c r="AH223">
        <f>AG223*Plan!D11/100/12</f>
        <v/>
      </c>
      <c r="AI223">
        <f>MIN(Plan!E11,AG223+AH223)</f>
        <v/>
      </c>
      <c r="AJ223">
        <f>AG223+AH223-AI223</f>
        <v/>
      </c>
      <c r="AK223">
        <f>MIN(AJ223,MAX(0,$B223-((E$5&lt;AI$5)*F223+(K$5&lt;AI$5)*L223+(Q$5&lt;AI$5)*R223+(W$5&lt;AI$5)*X223+(AC$5&lt;AI$5)*AD223+(AO$5&lt;AI$5)*AP223+(AU$5&lt;AI$5)*AV223)))</f>
        <v/>
      </c>
      <c r="AL223">
        <f>IF(AJ223-AK223&lt;0.005,0,AJ223-AK223)</f>
        <v/>
      </c>
      <c r="AM223">
        <f>AR222</f>
        <v/>
      </c>
      <c r="AN223">
        <f>AM223*Plan!D12/100/12</f>
        <v/>
      </c>
      <c r="AO223">
        <f>MIN(Plan!E12,AM223+AN223)</f>
        <v/>
      </c>
      <c r="AP223">
        <f>AM223+AN223-AO223</f>
        <v/>
      </c>
      <c r="AQ223">
        <f>MIN(AP223,MAX(0,$B223-((E$5&lt;AO$5)*F223+(K$5&lt;AO$5)*L223+(Q$5&lt;AO$5)*R223+(W$5&lt;AO$5)*X223+(AC$5&lt;AO$5)*AD223+(AI$5&lt;AO$5)*AJ223+(AU$5&lt;AO$5)*AV223)))</f>
        <v/>
      </c>
      <c r="AR223">
        <f>IF(AP223-AQ223&lt;0.005,0,AP223-AQ223)</f>
        <v/>
      </c>
      <c r="AS223">
        <f>AX222</f>
        <v/>
      </c>
      <c r="AT223">
        <f>AS223*Plan!D13/100/12</f>
        <v/>
      </c>
      <c r="AU223">
        <f>MIN(Plan!E13,AS223+AT223)</f>
        <v/>
      </c>
      <c r="AV223">
        <f>AS223+AT223-AU223</f>
        <v/>
      </c>
      <c r="AW223">
        <f>MIN(AV223,MAX(0,$B223-((E$5&lt;AU$5)*F223+(K$5&lt;AU$5)*L223+(Q$5&lt;AU$5)*R223+(W$5&lt;AU$5)*X223+(AC$5&lt;AU$5)*AD223+(AI$5&lt;AU$5)*AJ223+(AO$5&lt;AU$5)*AP223)))</f>
        <v/>
      </c>
      <c r="AX223">
        <f>IF(AV223-AW223&lt;0.005,0,AV223-AW223)</f>
        <v/>
      </c>
      <c r="BC223">
        <f>H223+N223+T223+Z223+AF223+AL223+AR223+AX223</f>
        <v/>
      </c>
    </row>
    <row r="224">
      <c r="A224" t="n">
        <v>218</v>
      </c>
      <c r="B224" s="19">
        <f>MAX(0,$B$3-(E224+K224+Q224+W224+AC224+AI224+AO224+AU224))</f>
        <v/>
      </c>
      <c r="C224">
        <f>H223</f>
        <v/>
      </c>
      <c r="D224">
        <f>C224*Plan!D6/100/12</f>
        <v/>
      </c>
      <c r="E224">
        <f>MIN(Plan!E6,C224+D224)</f>
        <v/>
      </c>
      <c r="F224">
        <f>C224+D224-E224</f>
        <v/>
      </c>
      <c r="G224">
        <f>MIN(F224,MAX(0,$B224-((K$5&lt;E$5)*L224+(Q$5&lt;E$5)*R224+(W$5&lt;E$5)*X224+(AC$5&lt;E$5)*AD224+(AI$5&lt;E$5)*AJ224+(AO$5&lt;E$5)*AP224+(AU$5&lt;E$5)*AV224)))</f>
        <v/>
      </c>
      <c r="H224">
        <f>IF(F224-G224&lt;0.005,0,F224-G224)</f>
        <v/>
      </c>
      <c r="I224">
        <f>N223</f>
        <v/>
      </c>
      <c r="J224">
        <f>I224*Plan!D7/100/12</f>
        <v/>
      </c>
      <c r="K224">
        <f>MIN(Plan!E7,I224+J224)</f>
        <v/>
      </c>
      <c r="L224">
        <f>I224+J224-K224</f>
        <v/>
      </c>
      <c r="M224">
        <f>MIN(L224,MAX(0,$B224-((E$5&lt;K$5)*F224+(Q$5&lt;K$5)*R224+(W$5&lt;K$5)*X224+(AC$5&lt;K$5)*AD224+(AI$5&lt;K$5)*AJ224+(AO$5&lt;K$5)*AP224+(AU$5&lt;K$5)*AV224)))</f>
        <v/>
      </c>
      <c r="N224">
        <f>IF(L224-M224&lt;0.005,0,L224-M224)</f>
        <v/>
      </c>
      <c r="O224">
        <f>T223</f>
        <v/>
      </c>
      <c r="P224">
        <f>O224*Plan!D8/100/12</f>
        <v/>
      </c>
      <c r="Q224">
        <f>MIN(Plan!E8,O224+P224)</f>
        <v/>
      </c>
      <c r="R224">
        <f>O224+P224-Q224</f>
        <v/>
      </c>
      <c r="S224">
        <f>MIN(R224,MAX(0,$B224-((E$5&lt;Q$5)*F224+(K$5&lt;Q$5)*L224+(W$5&lt;Q$5)*X224+(AC$5&lt;Q$5)*AD224+(AI$5&lt;Q$5)*AJ224+(AO$5&lt;Q$5)*AP224+(AU$5&lt;Q$5)*AV224)))</f>
        <v/>
      </c>
      <c r="T224">
        <f>IF(R224-S224&lt;0.005,0,R224-S224)</f>
        <v/>
      </c>
      <c r="U224">
        <f>Z223</f>
        <v/>
      </c>
      <c r="V224">
        <f>U224*Plan!D9/100/12</f>
        <v/>
      </c>
      <c r="W224">
        <f>MIN(Plan!E9,U224+V224)</f>
        <v/>
      </c>
      <c r="X224">
        <f>U224+V224-W224</f>
        <v/>
      </c>
      <c r="Y224">
        <f>MIN(X224,MAX(0,$B224-((E$5&lt;W$5)*F224+(K$5&lt;W$5)*L224+(Q$5&lt;W$5)*R224+(AC$5&lt;W$5)*AD224+(AI$5&lt;W$5)*AJ224+(AO$5&lt;W$5)*AP224+(AU$5&lt;W$5)*AV224)))</f>
        <v/>
      </c>
      <c r="Z224">
        <f>IF(X224-Y224&lt;0.005,0,X224-Y224)</f>
        <v/>
      </c>
      <c r="AA224">
        <f>AF223</f>
        <v/>
      </c>
      <c r="AB224">
        <f>AA224*Plan!D10/100/12</f>
        <v/>
      </c>
      <c r="AC224">
        <f>MIN(Plan!E10,AA224+AB224)</f>
        <v/>
      </c>
      <c r="AD224">
        <f>AA224+AB224-AC224</f>
        <v/>
      </c>
      <c r="AE224">
        <f>MIN(AD224,MAX(0,$B224-((E$5&lt;AC$5)*F224+(K$5&lt;AC$5)*L224+(Q$5&lt;AC$5)*R224+(W$5&lt;AC$5)*X224+(AI$5&lt;AC$5)*AJ224+(AO$5&lt;AC$5)*AP224+(AU$5&lt;AC$5)*AV224)))</f>
        <v/>
      </c>
      <c r="AF224">
        <f>IF(AD224-AE224&lt;0.005,0,AD224-AE224)</f>
        <v/>
      </c>
      <c r="AG224">
        <f>AL223</f>
        <v/>
      </c>
      <c r="AH224">
        <f>AG224*Plan!D11/100/12</f>
        <v/>
      </c>
      <c r="AI224">
        <f>MIN(Plan!E11,AG224+AH224)</f>
        <v/>
      </c>
      <c r="AJ224">
        <f>AG224+AH224-AI224</f>
        <v/>
      </c>
      <c r="AK224">
        <f>MIN(AJ224,MAX(0,$B224-((E$5&lt;AI$5)*F224+(K$5&lt;AI$5)*L224+(Q$5&lt;AI$5)*R224+(W$5&lt;AI$5)*X224+(AC$5&lt;AI$5)*AD224+(AO$5&lt;AI$5)*AP224+(AU$5&lt;AI$5)*AV224)))</f>
        <v/>
      </c>
      <c r="AL224">
        <f>IF(AJ224-AK224&lt;0.005,0,AJ224-AK224)</f>
        <v/>
      </c>
      <c r="AM224">
        <f>AR223</f>
        <v/>
      </c>
      <c r="AN224">
        <f>AM224*Plan!D12/100/12</f>
        <v/>
      </c>
      <c r="AO224">
        <f>MIN(Plan!E12,AM224+AN224)</f>
        <v/>
      </c>
      <c r="AP224">
        <f>AM224+AN224-AO224</f>
        <v/>
      </c>
      <c r="AQ224">
        <f>MIN(AP224,MAX(0,$B224-((E$5&lt;AO$5)*F224+(K$5&lt;AO$5)*L224+(Q$5&lt;AO$5)*R224+(W$5&lt;AO$5)*X224+(AC$5&lt;AO$5)*AD224+(AI$5&lt;AO$5)*AJ224+(AU$5&lt;AO$5)*AV224)))</f>
        <v/>
      </c>
      <c r="AR224">
        <f>IF(AP224-AQ224&lt;0.005,0,AP224-AQ224)</f>
        <v/>
      </c>
      <c r="AS224">
        <f>AX223</f>
        <v/>
      </c>
      <c r="AT224">
        <f>AS224*Plan!D13/100/12</f>
        <v/>
      </c>
      <c r="AU224">
        <f>MIN(Plan!E13,AS224+AT224)</f>
        <v/>
      </c>
      <c r="AV224">
        <f>AS224+AT224-AU224</f>
        <v/>
      </c>
      <c r="AW224">
        <f>MIN(AV224,MAX(0,$B224-((E$5&lt;AU$5)*F224+(K$5&lt;AU$5)*L224+(Q$5&lt;AU$5)*R224+(W$5&lt;AU$5)*X224+(AC$5&lt;AU$5)*AD224+(AI$5&lt;AU$5)*AJ224+(AO$5&lt;AU$5)*AP224)))</f>
        <v/>
      </c>
      <c r="AX224">
        <f>IF(AV224-AW224&lt;0.005,0,AV224-AW224)</f>
        <v/>
      </c>
      <c r="BC224">
        <f>H224+N224+T224+Z224+AF224+AL224+AR224+AX224</f>
        <v/>
      </c>
    </row>
    <row r="225">
      <c r="A225" t="n">
        <v>219</v>
      </c>
      <c r="B225" s="19">
        <f>MAX(0,$B$3-(E225+K225+Q225+W225+AC225+AI225+AO225+AU225))</f>
        <v/>
      </c>
      <c r="C225">
        <f>H224</f>
        <v/>
      </c>
      <c r="D225">
        <f>C225*Plan!D6/100/12</f>
        <v/>
      </c>
      <c r="E225">
        <f>MIN(Plan!E6,C225+D225)</f>
        <v/>
      </c>
      <c r="F225">
        <f>C225+D225-E225</f>
        <v/>
      </c>
      <c r="G225">
        <f>MIN(F225,MAX(0,$B225-((K$5&lt;E$5)*L225+(Q$5&lt;E$5)*R225+(W$5&lt;E$5)*X225+(AC$5&lt;E$5)*AD225+(AI$5&lt;E$5)*AJ225+(AO$5&lt;E$5)*AP225+(AU$5&lt;E$5)*AV225)))</f>
        <v/>
      </c>
      <c r="H225">
        <f>IF(F225-G225&lt;0.005,0,F225-G225)</f>
        <v/>
      </c>
      <c r="I225">
        <f>N224</f>
        <v/>
      </c>
      <c r="J225">
        <f>I225*Plan!D7/100/12</f>
        <v/>
      </c>
      <c r="K225">
        <f>MIN(Plan!E7,I225+J225)</f>
        <v/>
      </c>
      <c r="L225">
        <f>I225+J225-K225</f>
        <v/>
      </c>
      <c r="M225">
        <f>MIN(L225,MAX(0,$B225-((E$5&lt;K$5)*F225+(Q$5&lt;K$5)*R225+(W$5&lt;K$5)*X225+(AC$5&lt;K$5)*AD225+(AI$5&lt;K$5)*AJ225+(AO$5&lt;K$5)*AP225+(AU$5&lt;K$5)*AV225)))</f>
        <v/>
      </c>
      <c r="N225">
        <f>IF(L225-M225&lt;0.005,0,L225-M225)</f>
        <v/>
      </c>
      <c r="O225">
        <f>T224</f>
        <v/>
      </c>
      <c r="P225">
        <f>O225*Plan!D8/100/12</f>
        <v/>
      </c>
      <c r="Q225">
        <f>MIN(Plan!E8,O225+P225)</f>
        <v/>
      </c>
      <c r="R225">
        <f>O225+P225-Q225</f>
        <v/>
      </c>
      <c r="S225">
        <f>MIN(R225,MAX(0,$B225-((E$5&lt;Q$5)*F225+(K$5&lt;Q$5)*L225+(W$5&lt;Q$5)*X225+(AC$5&lt;Q$5)*AD225+(AI$5&lt;Q$5)*AJ225+(AO$5&lt;Q$5)*AP225+(AU$5&lt;Q$5)*AV225)))</f>
        <v/>
      </c>
      <c r="T225">
        <f>IF(R225-S225&lt;0.005,0,R225-S225)</f>
        <v/>
      </c>
      <c r="U225">
        <f>Z224</f>
        <v/>
      </c>
      <c r="V225">
        <f>U225*Plan!D9/100/12</f>
        <v/>
      </c>
      <c r="W225">
        <f>MIN(Plan!E9,U225+V225)</f>
        <v/>
      </c>
      <c r="X225">
        <f>U225+V225-W225</f>
        <v/>
      </c>
      <c r="Y225">
        <f>MIN(X225,MAX(0,$B225-((E$5&lt;W$5)*F225+(K$5&lt;W$5)*L225+(Q$5&lt;W$5)*R225+(AC$5&lt;W$5)*AD225+(AI$5&lt;W$5)*AJ225+(AO$5&lt;W$5)*AP225+(AU$5&lt;W$5)*AV225)))</f>
        <v/>
      </c>
      <c r="Z225">
        <f>IF(X225-Y225&lt;0.005,0,X225-Y225)</f>
        <v/>
      </c>
      <c r="AA225">
        <f>AF224</f>
        <v/>
      </c>
      <c r="AB225">
        <f>AA225*Plan!D10/100/12</f>
        <v/>
      </c>
      <c r="AC225">
        <f>MIN(Plan!E10,AA225+AB225)</f>
        <v/>
      </c>
      <c r="AD225">
        <f>AA225+AB225-AC225</f>
        <v/>
      </c>
      <c r="AE225">
        <f>MIN(AD225,MAX(0,$B225-((E$5&lt;AC$5)*F225+(K$5&lt;AC$5)*L225+(Q$5&lt;AC$5)*R225+(W$5&lt;AC$5)*X225+(AI$5&lt;AC$5)*AJ225+(AO$5&lt;AC$5)*AP225+(AU$5&lt;AC$5)*AV225)))</f>
        <v/>
      </c>
      <c r="AF225">
        <f>IF(AD225-AE225&lt;0.005,0,AD225-AE225)</f>
        <v/>
      </c>
      <c r="AG225">
        <f>AL224</f>
        <v/>
      </c>
      <c r="AH225">
        <f>AG225*Plan!D11/100/12</f>
        <v/>
      </c>
      <c r="AI225">
        <f>MIN(Plan!E11,AG225+AH225)</f>
        <v/>
      </c>
      <c r="AJ225">
        <f>AG225+AH225-AI225</f>
        <v/>
      </c>
      <c r="AK225">
        <f>MIN(AJ225,MAX(0,$B225-((E$5&lt;AI$5)*F225+(K$5&lt;AI$5)*L225+(Q$5&lt;AI$5)*R225+(W$5&lt;AI$5)*X225+(AC$5&lt;AI$5)*AD225+(AO$5&lt;AI$5)*AP225+(AU$5&lt;AI$5)*AV225)))</f>
        <v/>
      </c>
      <c r="AL225">
        <f>IF(AJ225-AK225&lt;0.005,0,AJ225-AK225)</f>
        <v/>
      </c>
      <c r="AM225">
        <f>AR224</f>
        <v/>
      </c>
      <c r="AN225">
        <f>AM225*Plan!D12/100/12</f>
        <v/>
      </c>
      <c r="AO225">
        <f>MIN(Plan!E12,AM225+AN225)</f>
        <v/>
      </c>
      <c r="AP225">
        <f>AM225+AN225-AO225</f>
        <v/>
      </c>
      <c r="AQ225">
        <f>MIN(AP225,MAX(0,$B225-((E$5&lt;AO$5)*F225+(K$5&lt;AO$5)*L225+(Q$5&lt;AO$5)*R225+(W$5&lt;AO$5)*X225+(AC$5&lt;AO$5)*AD225+(AI$5&lt;AO$5)*AJ225+(AU$5&lt;AO$5)*AV225)))</f>
        <v/>
      </c>
      <c r="AR225">
        <f>IF(AP225-AQ225&lt;0.005,0,AP225-AQ225)</f>
        <v/>
      </c>
      <c r="AS225">
        <f>AX224</f>
        <v/>
      </c>
      <c r="AT225">
        <f>AS225*Plan!D13/100/12</f>
        <v/>
      </c>
      <c r="AU225">
        <f>MIN(Plan!E13,AS225+AT225)</f>
        <v/>
      </c>
      <c r="AV225">
        <f>AS225+AT225-AU225</f>
        <v/>
      </c>
      <c r="AW225">
        <f>MIN(AV225,MAX(0,$B225-((E$5&lt;AU$5)*F225+(K$5&lt;AU$5)*L225+(Q$5&lt;AU$5)*R225+(W$5&lt;AU$5)*X225+(AC$5&lt;AU$5)*AD225+(AI$5&lt;AU$5)*AJ225+(AO$5&lt;AU$5)*AP225)))</f>
        <v/>
      </c>
      <c r="AX225">
        <f>IF(AV225-AW225&lt;0.005,0,AV225-AW225)</f>
        <v/>
      </c>
      <c r="BC225">
        <f>H225+N225+T225+Z225+AF225+AL225+AR225+AX225</f>
        <v/>
      </c>
    </row>
    <row r="226">
      <c r="A226" t="n">
        <v>220</v>
      </c>
      <c r="B226" s="19">
        <f>MAX(0,$B$3-(E226+K226+Q226+W226+AC226+AI226+AO226+AU226))</f>
        <v/>
      </c>
      <c r="C226">
        <f>H225</f>
        <v/>
      </c>
      <c r="D226">
        <f>C226*Plan!D6/100/12</f>
        <v/>
      </c>
      <c r="E226">
        <f>MIN(Plan!E6,C226+D226)</f>
        <v/>
      </c>
      <c r="F226">
        <f>C226+D226-E226</f>
        <v/>
      </c>
      <c r="G226">
        <f>MIN(F226,MAX(0,$B226-((K$5&lt;E$5)*L226+(Q$5&lt;E$5)*R226+(W$5&lt;E$5)*X226+(AC$5&lt;E$5)*AD226+(AI$5&lt;E$5)*AJ226+(AO$5&lt;E$5)*AP226+(AU$5&lt;E$5)*AV226)))</f>
        <v/>
      </c>
      <c r="H226">
        <f>IF(F226-G226&lt;0.005,0,F226-G226)</f>
        <v/>
      </c>
      <c r="I226">
        <f>N225</f>
        <v/>
      </c>
      <c r="J226">
        <f>I226*Plan!D7/100/12</f>
        <v/>
      </c>
      <c r="K226">
        <f>MIN(Plan!E7,I226+J226)</f>
        <v/>
      </c>
      <c r="L226">
        <f>I226+J226-K226</f>
        <v/>
      </c>
      <c r="M226">
        <f>MIN(L226,MAX(0,$B226-((E$5&lt;K$5)*F226+(Q$5&lt;K$5)*R226+(W$5&lt;K$5)*X226+(AC$5&lt;K$5)*AD226+(AI$5&lt;K$5)*AJ226+(AO$5&lt;K$5)*AP226+(AU$5&lt;K$5)*AV226)))</f>
        <v/>
      </c>
      <c r="N226">
        <f>IF(L226-M226&lt;0.005,0,L226-M226)</f>
        <v/>
      </c>
      <c r="O226">
        <f>T225</f>
        <v/>
      </c>
      <c r="P226">
        <f>O226*Plan!D8/100/12</f>
        <v/>
      </c>
      <c r="Q226">
        <f>MIN(Plan!E8,O226+P226)</f>
        <v/>
      </c>
      <c r="R226">
        <f>O226+P226-Q226</f>
        <v/>
      </c>
      <c r="S226">
        <f>MIN(R226,MAX(0,$B226-((E$5&lt;Q$5)*F226+(K$5&lt;Q$5)*L226+(W$5&lt;Q$5)*X226+(AC$5&lt;Q$5)*AD226+(AI$5&lt;Q$5)*AJ226+(AO$5&lt;Q$5)*AP226+(AU$5&lt;Q$5)*AV226)))</f>
        <v/>
      </c>
      <c r="T226">
        <f>IF(R226-S226&lt;0.005,0,R226-S226)</f>
        <v/>
      </c>
      <c r="U226">
        <f>Z225</f>
        <v/>
      </c>
      <c r="V226">
        <f>U226*Plan!D9/100/12</f>
        <v/>
      </c>
      <c r="W226">
        <f>MIN(Plan!E9,U226+V226)</f>
        <v/>
      </c>
      <c r="X226">
        <f>U226+V226-W226</f>
        <v/>
      </c>
      <c r="Y226">
        <f>MIN(X226,MAX(0,$B226-((E$5&lt;W$5)*F226+(K$5&lt;W$5)*L226+(Q$5&lt;W$5)*R226+(AC$5&lt;W$5)*AD226+(AI$5&lt;W$5)*AJ226+(AO$5&lt;W$5)*AP226+(AU$5&lt;W$5)*AV226)))</f>
        <v/>
      </c>
      <c r="Z226">
        <f>IF(X226-Y226&lt;0.005,0,X226-Y226)</f>
        <v/>
      </c>
      <c r="AA226">
        <f>AF225</f>
        <v/>
      </c>
      <c r="AB226">
        <f>AA226*Plan!D10/100/12</f>
        <v/>
      </c>
      <c r="AC226">
        <f>MIN(Plan!E10,AA226+AB226)</f>
        <v/>
      </c>
      <c r="AD226">
        <f>AA226+AB226-AC226</f>
        <v/>
      </c>
      <c r="AE226">
        <f>MIN(AD226,MAX(0,$B226-((E$5&lt;AC$5)*F226+(K$5&lt;AC$5)*L226+(Q$5&lt;AC$5)*R226+(W$5&lt;AC$5)*X226+(AI$5&lt;AC$5)*AJ226+(AO$5&lt;AC$5)*AP226+(AU$5&lt;AC$5)*AV226)))</f>
        <v/>
      </c>
      <c r="AF226">
        <f>IF(AD226-AE226&lt;0.005,0,AD226-AE226)</f>
        <v/>
      </c>
      <c r="AG226">
        <f>AL225</f>
        <v/>
      </c>
      <c r="AH226">
        <f>AG226*Plan!D11/100/12</f>
        <v/>
      </c>
      <c r="AI226">
        <f>MIN(Plan!E11,AG226+AH226)</f>
        <v/>
      </c>
      <c r="AJ226">
        <f>AG226+AH226-AI226</f>
        <v/>
      </c>
      <c r="AK226">
        <f>MIN(AJ226,MAX(0,$B226-((E$5&lt;AI$5)*F226+(K$5&lt;AI$5)*L226+(Q$5&lt;AI$5)*R226+(W$5&lt;AI$5)*X226+(AC$5&lt;AI$5)*AD226+(AO$5&lt;AI$5)*AP226+(AU$5&lt;AI$5)*AV226)))</f>
        <v/>
      </c>
      <c r="AL226">
        <f>IF(AJ226-AK226&lt;0.005,0,AJ226-AK226)</f>
        <v/>
      </c>
      <c r="AM226">
        <f>AR225</f>
        <v/>
      </c>
      <c r="AN226">
        <f>AM226*Plan!D12/100/12</f>
        <v/>
      </c>
      <c r="AO226">
        <f>MIN(Plan!E12,AM226+AN226)</f>
        <v/>
      </c>
      <c r="AP226">
        <f>AM226+AN226-AO226</f>
        <v/>
      </c>
      <c r="AQ226">
        <f>MIN(AP226,MAX(0,$B226-((E$5&lt;AO$5)*F226+(K$5&lt;AO$5)*L226+(Q$5&lt;AO$5)*R226+(W$5&lt;AO$5)*X226+(AC$5&lt;AO$5)*AD226+(AI$5&lt;AO$5)*AJ226+(AU$5&lt;AO$5)*AV226)))</f>
        <v/>
      </c>
      <c r="AR226">
        <f>IF(AP226-AQ226&lt;0.005,0,AP226-AQ226)</f>
        <v/>
      </c>
      <c r="AS226">
        <f>AX225</f>
        <v/>
      </c>
      <c r="AT226">
        <f>AS226*Plan!D13/100/12</f>
        <v/>
      </c>
      <c r="AU226">
        <f>MIN(Plan!E13,AS226+AT226)</f>
        <v/>
      </c>
      <c r="AV226">
        <f>AS226+AT226-AU226</f>
        <v/>
      </c>
      <c r="AW226">
        <f>MIN(AV226,MAX(0,$B226-((E$5&lt;AU$5)*F226+(K$5&lt;AU$5)*L226+(Q$5&lt;AU$5)*R226+(W$5&lt;AU$5)*X226+(AC$5&lt;AU$5)*AD226+(AI$5&lt;AU$5)*AJ226+(AO$5&lt;AU$5)*AP226)))</f>
        <v/>
      </c>
      <c r="AX226">
        <f>IF(AV226-AW226&lt;0.005,0,AV226-AW226)</f>
        <v/>
      </c>
      <c r="BC226">
        <f>H226+N226+T226+Z226+AF226+AL226+AR226+AX226</f>
        <v/>
      </c>
    </row>
    <row r="227">
      <c r="A227" t="n">
        <v>221</v>
      </c>
      <c r="B227" s="19">
        <f>MAX(0,$B$3-(E227+K227+Q227+W227+AC227+AI227+AO227+AU227))</f>
        <v/>
      </c>
      <c r="C227">
        <f>H226</f>
        <v/>
      </c>
      <c r="D227">
        <f>C227*Plan!D6/100/12</f>
        <v/>
      </c>
      <c r="E227">
        <f>MIN(Plan!E6,C227+D227)</f>
        <v/>
      </c>
      <c r="F227">
        <f>C227+D227-E227</f>
        <v/>
      </c>
      <c r="G227">
        <f>MIN(F227,MAX(0,$B227-((K$5&lt;E$5)*L227+(Q$5&lt;E$5)*R227+(W$5&lt;E$5)*X227+(AC$5&lt;E$5)*AD227+(AI$5&lt;E$5)*AJ227+(AO$5&lt;E$5)*AP227+(AU$5&lt;E$5)*AV227)))</f>
        <v/>
      </c>
      <c r="H227">
        <f>IF(F227-G227&lt;0.005,0,F227-G227)</f>
        <v/>
      </c>
      <c r="I227">
        <f>N226</f>
        <v/>
      </c>
      <c r="J227">
        <f>I227*Plan!D7/100/12</f>
        <v/>
      </c>
      <c r="K227">
        <f>MIN(Plan!E7,I227+J227)</f>
        <v/>
      </c>
      <c r="L227">
        <f>I227+J227-K227</f>
        <v/>
      </c>
      <c r="M227">
        <f>MIN(L227,MAX(0,$B227-((E$5&lt;K$5)*F227+(Q$5&lt;K$5)*R227+(W$5&lt;K$5)*X227+(AC$5&lt;K$5)*AD227+(AI$5&lt;K$5)*AJ227+(AO$5&lt;K$5)*AP227+(AU$5&lt;K$5)*AV227)))</f>
        <v/>
      </c>
      <c r="N227">
        <f>IF(L227-M227&lt;0.005,0,L227-M227)</f>
        <v/>
      </c>
      <c r="O227">
        <f>T226</f>
        <v/>
      </c>
      <c r="P227">
        <f>O227*Plan!D8/100/12</f>
        <v/>
      </c>
      <c r="Q227">
        <f>MIN(Plan!E8,O227+P227)</f>
        <v/>
      </c>
      <c r="R227">
        <f>O227+P227-Q227</f>
        <v/>
      </c>
      <c r="S227">
        <f>MIN(R227,MAX(0,$B227-((E$5&lt;Q$5)*F227+(K$5&lt;Q$5)*L227+(W$5&lt;Q$5)*X227+(AC$5&lt;Q$5)*AD227+(AI$5&lt;Q$5)*AJ227+(AO$5&lt;Q$5)*AP227+(AU$5&lt;Q$5)*AV227)))</f>
        <v/>
      </c>
      <c r="T227">
        <f>IF(R227-S227&lt;0.005,0,R227-S227)</f>
        <v/>
      </c>
      <c r="U227">
        <f>Z226</f>
        <v/>
      </c>
      <c r="V227">
        <f>U227*Plan!D9/100/12</f>
        <v/>
      </c>
      <c r="W227">
        <f>MIN(Plan!E9,U227+V227)</f>
        <v/>
      </c>
      <c r="X227">
        <f>U227+V227-W227</f>
        <v/>
      </c>
      <c r="Y227">
        <f>MIN(X227,MAX(0,$B227-((E$5&lt;W$5)*F227+(K$5&lt;W$5)*L227+(Q$5&lt;W$5)*R227+(AC$5&lt;W$5)*AD227+(AI$5&lt;W$5)*AJ227+(AO$5&lt;W$5)*AP227+(AU$5&lt;W$5)*AV227)))</f>
        <v/>
      </c>
      <c r="Z227">
        <f>IF(X227-Y227&lt;0.005,0,X227-Y227)</f>
        <v/>
      </c>
      <c r="AA227">
        <f>AF226</f>
        <v/>
      </c>
      <c r="AB227">
        <f>AA227*Plan!D10/100/12</f>
        <v/>
      </c>
      <c r="AC227">
        <f>MIN(Plan!E10,AA227+AB227)</f>
        <v/>
      </c>
      <c r="AD227">
        <f>AA227+AB227-AC227</f>
        <v/>
      </c>
      <c r="AE227">
        <f>MIN(AD227,MAX(0,$B227-((E$5&lt;AC$5)*F227+(K$5&lt;AC$5)*L227+(Q$5&lt;AC$5)*R227+(W$5&lt;AC$5)*X227+(AI$5&lt;AC$5)*AJ227+(AO$5&lt;AC$5)*AP227+(AU$5&lt;AC$5)*AV227)))</f>
        <v/>
      </c>
      <c r="AF227">
        <f>IF(AD227-AE227&lt;0.005,0,AD227-AE227)</f>
        <v/>
      </c>
      <c r="AG227">
        <f>AL226</f>
        <v/>
      </c>
      <c r="AH227">
        <f>AG227*Plan!D11/100/12</f>
        <v/>
      </c>
      <c r="AI227">
        <f>MIN(Plan!E11,AG227+AH227)</f>
        <v/>
      </c>
      <c r="AJ227">
        <f>AG227+AH227-AI227</f>
        <v/>
      </c>
      <c r="AK227">
        <f>MIN(AJ227,MAX(0,$B227-((E$5&lt;AI$5)*F227+(K$5&lt;AI$5)*L227+(Q$5&lt;AI$5)*R227+(W$5&lt;AI$5)*X227+(AC$5&lt;AI$5)*AD227+(AO$5&lt;AI$5)*AP227+(AU$5&lt;AI$5)*AV227)))</f>
        <v/>
      </c>
      <c r="AL227">
        <f>IF(AJ227-AK227&lt;0.005,0,AJ227-AK227)</f>
        <v/>
      </c>
      <c r="AM227">
        <f>AR226</f>
        <v/>
      </c>
      <c r="AN227">
        <f>AM227*Plan!D12/100/12</f>
        <v/>
      </c>
      <c r="AO227">
        <f>MIN(Plan!E12,AM227+AN227)</f>
        <v/>
      </c>
      <c r="AP227">
        <f>AM227+AN227-AO227</f>
        <v/>
      </c>
      <c r="AQ227">
        <f>MIN(AP227,MAX(0,$B227-((E$5&lt;AO$5)*F227+(K$5&lt;AO$5)*L227+(Q$5&lt;AO$5)*R227+(W$5&lt;AO$5)*X227+(AC$5&lt;AO$5)*AD227+(AI$5&lt;AO$5)*AJ227+(AU$5&lt;AO$5)*AV227)))</f>
        <v/>
      </c>
      <c r="AR227">
        <f>IF(AP227-AQ227&lt;0.005,0,AP227-AQ227)</f>
        <v/>
      </c>
      <c r="AS227">
        <f>AX226</f>
        <v/>
      </c>
      <c r="AT227">
        <f>AS227*Plan!D13/100/12</f>
        <v/>
      </c>
      <c r="AU227">
        <f>MIN(Plan!E13,AS227+AT227)</f>
        <v/>
      </c>
      <c r="AV227">
        <f>AS227+AT227-AU227</f>
        <v/>
      </c>
      <c r="AW227">
        <f>MIN(AV227,MAX(0,$B227-((E$5&lt;AU$5)*F227+(K$5&lt;AU$5)*L227+(Q$5&lt;AU$5)*R227+(W$5&lt;AU$5)*X227+(AC$5&lt;AU$5)*AD227+(AI$5&lt;AU$5)*AJ227+(AO$5&lt;AU$5)*AP227)))</f>
        <v/>
      </c>
      <c r="AX227">
        <f>IF(AV227-AW227&lt;0.005,0,AV227-AW227)</f>
        <v/>
      </c>
      <c r="BC227">
        <f>H227+N227+T227+Z227+AF227+AL227+AR227+AX227</f>
        <v/>
      </c>
    </row>
    <row r="228">
      <c r="A228" t="n">
        <v>222</v>
      </c>
      <c r="B228" s="19">
        <f>MAX(0,$B$3-(E228+K228+Q228+W228+AC228+AI228+AO228+AU228))</f>
        <v/>
      </c>
      <c r="C228">
        <f>H227</f>
        <v/>
      </c>
      <c r="D228">
        <f>C228*Plan!D6/100/12</f>
        <v/>
      </c>
      <c r="E228">
        <f>MIN(Plan!E6,C228+D228)</f>
        <v/>
      </c>
      <c r="F228">
        <f>C228+D228-E228</f>
        <v/>
      </c>
      <c r="G228">
        <f>MIN(F228,MAX(0,$B228-((K$5&lt;E$5)*L228+(Q$5&lt;E$5)*R228+(W$5&lt;E$5)*X228+(AC$5&lt;E$5)*AD228+(AI$5&lt;E$5)*AJ228+(AO$5&lt;E$5)*AP228+(AU$5&lt;E$5)*AV228)))</f>
        <v/>
      </c>
      <c r="H228">
        <f>IF(F228-G228&lt;0.005,0,F228-G228)</f>
        <v/>
      </c>
      <c r="I228">
        <f>N227</f>
        <v/>
      </c>
      <c r="J228">
        <f>I228*Plan!D7/100/12</f>
        <v/>
      </c>
      <c r="K228">
        <f>MIN(Plan!E7,I228+J228)</f>
        <v/>
      </c>
      <c r="L228">
        <f>I228+J228-K228</f>
        <v/>
      </c>
      <c r="M228">
        <f>MIN(L228,MAX(0,$B228-((E$5&lt;K$5)*F228+(Q$5&lt;K$5)*R228+(W$5&lt;K$5)*X228+(AC$5&lt;K$5)*AD228+(AI$5&lt;K$5)*AJ228+(AO$5&lt;K$5)*AP228+(AU$5&lt;K$5)*AV228)))</f>
        <v/>
      </c>
      <c r="N228">
        <f>IF(L228-M228&lt;0.005,0,L228-M228)</f>
        <v/>
      </c>
      <c r="O228">
        <f>T227</f>
        <v/>
      </c>
      <c r="P228">
        <f>O228*Plan!D8/100/12</f>
        <v/>
      </c>
      <c r="Q228">
        <f>MIN(Plan!E8,O228+P228)</f>
        <v/>
      </c>
      <c r="R228">
        <f>O228+P228-Q228</f>
        <v/>
      </c>
      <c r="S228">
        <f>MIN(R228,MAX(0,$B228-((E$5&lt;Q$5)*F228+(K$5&lt;Q$5)*L228+(W$5&lt;Q$5)*X228+(AC$5&lt;Q$5)*AD228+(AI$5&lt;Q$5)*AJ228+(AO$5&lt;Q$5)*AP228+(AU$5&lt;Q$5)*AV228)))</f>
        <v/>
      </c>
      <c r="T228">
        <f>IF(R228-S228&lt;0.005,0,R228-S228)</f>
        <v/>
      </c>
      <c r="U228">
        <f>Z227</f>
        <v/>
      </c>
      <c r="V228">
        <f>U228*Plan!D9/100/12</f>
        <v/>
      </c>
      <c r="W228">
        <f>MIN(Plan!E9,U228+V228)</f>
        <v/>
      </c>
      <c r="X228">
        <f>U228+V228-W228</f>
        <v/>
      </c>
      <c r="Y228">
        <f>MIN(X228,MAX(0,$B228-((E$5&lt;W$5)*F228+(K$5&lt;W$5)*L228+(Q$5&lt;W$5)*R228+(AC$5&lt;W$5)*AD228+(AI$5&lt;W$5)*AJ228+(AO$5&lt;W$5)*AP228+(AU$5&lt;W$5)*AV228)))</f>
        <v/>
      </c>
      <c r="Z228">
        <f>IF(X228-Y228&lt;0.005,0,X228-Y228)</f>
        <v/>
      </c>
      <c r="AA228">
        <f>AF227</f>
        <v/>
      </c>
      <c r="AB228">
        <f>AA228*Plan!D10/100/12</f>
        <v/>
      </c>
      <c r="AC228">
        <f>MIN(Plan!E10,AA228+AB228)</f>
        <v/>
      </c>
      <c r="AD228">
        <f>AA228+AB228-AC228</f>
        <v/>
      </c>
      <c r="AE228">
        <f>MIN(AD228,MAX(0,$B228-((E$5&lt;AC$5)*F228+(K$5&lt;AC$5)*L228+(Q$5&lt;AC$5)*R228+(W$5&lt;AC$5)*X228+(AI$5&lt;AC$5)*AJ228+(AO$5&lt;AC$5)*AP228+(AU$5&lt;AC$5)*AV228)))</f>
        <v/>
      </c>
      <c r="AF228">
        <f>IF(AD228-AE228&lt;0.005,0,AD228-AE228)</f>
        <v/>
      </c>
      <c r="AG228">
        <f>AL227</f>
        <v/>
      </c>
      <c r="AH228">
        <f>AG228*Plan!D11/100/12</f>
        <v/>
      </c>
      <c r="AI228">
        <f>MIN(Plan!E11,AG228+AH228)</f>
        <v/>
      </c>
      <c r="AJ228">
        <f>AG228+AH228-AI228</f>
        <v/>
      </c>
      <c r="AK228">
        <f>MIN(AJ228,MAX(0,$B228-((E$5&lt;AI$5)*F228+(K$5&lt;AI$5)*L228+(Q$5&lt;AI$5)*R228+(W$5&lt;AI$5)*X228+(AC$5&lt;AI$5)*AD228+(AO$5&lt;AI$5)*AP228+(AU$5&lt;AI$5)*AV228)))</f>
        <v/>
      </c>
      <c r="AL228">
        <f>IF(AJ228-AK228&lt;0.005,0,AJ228-AK228)</f>
        <v/>
      </c>
      <c r="AM228">
        <f>AR227</f>
        <v/>
      </c>
      <c r="AN228">
        <f>AM228*Plan!D12/100/12</f>
        <v/>
      </c>
      <c r="AO228">
        <f>MIN(Plan!E12,AM228+AN228)</f>
        <v/>
      </c>
      <c r="AP228">
        <f>AM228+AN228-AO228</f>
        <v/>
      </c>
      <c r="AQ228">
        <f>MIN(AP228,MAX(0,$B228-((E$5&lt;AO$5)*F228+(K$5&lt;AO$5)*L228+(Q$5&lt;AO$5)*R228+(W$5&lt;AO$5)*X228+(AC$5&lt;AO$5)*AD228+(AI$5&lt;AO$5)*AJ228+(AU$5&lt;AO$5)*AV228)))</f>
        <v/>
      </c>
      <c r="AR228">
        <f>IF(AP228-AQ228&lt;0.005,0,AP228-AQ228)</f>
        <v/>
      </c>
      <c r="AS228">
        <f>AX227</f>
        <v/>
      </c>
      <c r="AT228">
        <f>AS228*Plan!D13/100/12</f>
        <v/>
      </c>
      <c r="AU228">
        <f>MIN(Plan!E13,AS228+AT228)</f>
        <v/>
      </c>
      <c r="AV228">
        <f>AS228+AT228-AU228</f>
        <v/>
      </c>
      <c r="AW228">
        <f>MIN(AV228,MAX(0,$B228-((E$5&lt;AU$5)*F228+(K$5&lt;AU$5)*L228+(Q$5&lt;AU$5)*R228+(W$5&lt;AU$5)*X228+(AC$5&lt;AU$5)*AD228+(AI$5&lt;AU$5)*AJ228+(AO$5&lt;AU$5)*AP228)))</f>
        <v/>
      </c>
      <c r="AX228">
        <f>IF(AV228-AW228&lt;0.005,0,AV228-AW228)</f>
        <v/>
      </c>
      <c r="BC228">
        <f>H228+N228+T228+Z228+AF228+AL228+AR228+AX228</f>
        <v/>
      </c>
    </row>
    <row r="229">
      <c r="A229" t="n">
        <v>223</v>
      </c>
      <c r="B229" s="19">
        <f>MAX(0,$B$3-(E229+K229+Q229+W229+AC229+AI229+AO229+AU229))</f>
        <v/>
      </c>
      <c r="C229">
        <f>H228</f>
        <v/>
      </c>
      <c r="D229">
        <f>C229*Plan!D6/100/12</f>
        <v/>
      </c>
      <c r="E229">
        <f>MIN(Plan!E6,C229+D229)</f>
        <v/>
      </c>
      <c r="F229">
        <f>C229+D229-E229</f>
        <v/>
      </c>
      <c r="G229">
        <f>MIN(F229,MAX(0,$B229-((K$5&lt;E$5)*L229+(Q$5&lt;E$5)*R229+(W$5&lt;E$5)*X229+(AC$5&lt;E$5)*AD229+(AI$5&lt;E$5)*AJ229+(AO$5&lt;E$5)*AP229+(AU$5&lt;E$5)*AV229)))</f>
        <v/>
      </c>
      <c r="H229">
        <f>IF(F229-G229&lt;0.005,0,F229-G229)</f>
        <v/>
      </c>
      <c r="I229">
        <f>N228</f>
        <v/>
      </c>
      <c r="J229">
        <f>I229*Plan!D7/100/12</f>
        <v/>
      </c>
      <c r="K229">
        <f>MIN(Plan!E7,I229+J229)</f>
        <v/>
      </c>
      <c r="L229">
        <f>I229+J229-K229</f>
        <v/>
      </c>
      <c r="M229">
        <f>MIN(L229,MAX(0,$B229-((E$5&lt;K$5)*F229+(Q$5&lt;K$5)*R229+(W$5&lt;K$5)*X229+(AC$5&lt;K$5)*AD229+(AI$5&lt;K$5)*AJ229+(AO$5&lt;K$5)*AP229+(AU$5&lt;K$5)*AV229)))</f>
        <v/>
      </c>
      <c r="N229">
        <f>IF(L229-M229&lt;0.005,0,L229-M229)</f>
        <v/>
      </c>
      <c r="O229">
        <f>T228</f>
        <v/>
      </c>
      <c r="P229">
        <f>O229*Plan!D8/100/12</f>
        <v/>
      </c>
      <c r="Q229">
        <f>MIN(Plan!E8,O229+P229)</f>
        <v/>
      </c>
      <c r="R229">
        <f>O229+P229-Q229</f>
        <v/>
      </c>
      <c r="S229">
        <f>MIN(R229,MAX(0,$B229-((E$5&lt;Q$5)*F229+(K$5&lt;Q$5)*L229+(W$5&lt;Q$5)*X229+(AC$5&lt;Q$5)*AD229+(AI$5&lt;Q$5)*AJ229+(AO$5&lt;Q$5)*AP229+(AU$5&lt;Q$5)*AV229)))</f>
        <v/>
      </c>
      <c r="T229">
        <f>IF(R229-S229&lt;0.005,0,R229-S229)</f>
        <v/>
      </c>
      <c r="U229">
        <f>Z228</f>
        <v/>
      </c>
      <c r="V229">
        <f>U229*Plan!D9/100/12</f>
        <v/>
      </c>
      <c r="W229">
        <f>MIN(Plan!E9,U229+V229)</f>
        <v/>
      </c>
      <c r="X229">
        <f>U229+V229-W229</f>
        <v/>
      </c>
      <c r="Y229">
        <f>MIN(X229,MAX(0,$B229-((E$5&lt;W$5)*F229+(K$5&lt;W$5)*L229+(Q$5&lt;W$5)*R229+(AC$5&lt;W$5)*AD229+(AI$5&lt;W$5)*AJ229+(AO$5&lt;W$5)*AP229+(AU$5&lt;W$5)*AV229)))</f>
        <v/>
      </c>
      <c r="Z229">
        <f>IF(X229-Y229&lt;0.005,0,X229-Y229)</f>
        <v/>
      </c>
      <c r="AA229">
        <f>AF228</f>
        <v/>
      </c>
      <c r="AB229">
        <f>AA229*Plan!D10/100/12</f>
        <v/>
      </c>
      <c r="AC229">
        <f>MIN(Plan!E10,AA229+AB229)</f>
        <v/>
      </c>
      <c r="AD229">
        <f>AA229+AB229-AC229</f>
        <v/>
      </c>
      <c r="AE229">
        <f>MIN(AD229,MAX(0,$B229-((E$5&lt;AC$5)*F229+(K$5&lt;AC$5)*L229+(Q$5&lt;AC$5)*R229+(W$5&lt;AC$5)*X229+(AI$5&lt;AC$5)*AJ229+(AO$5&lt;AC$5)*AP229+(AU$5&lt;AC$5)*AV229)))</f>
        <v/>
      </c>
      <c r="AF229">
        <f>IF(AD229-AE229&lt;0.005,0,AD229-AE229)</f>
        <v/>
      </c>
      <c r="AG229">
        <f>AL228</f>
        <v/>
      </c>
      <c r="AH229">
        <f>AG229*Plan!D11/100/12</f>
        <v/>
      </c>
      <c r="AI229">
        <f>MIN(Plan!E11,AG229+AH229)</f>
        <v/>
      </c>
      <c r="AJ229">
        <f>AG229+AH229-AI229</f>
        <v/>
      </c>
      <c r="AK229">
        <f>MIN(AJ229,MAX(0,$B229-((E$5&lt;AI$5)*F229+(K$5&lt;AI$5)*L229+(Q$5&lt;AI$5)*R229+(W$5&lt;AI$5)*X229+(AC$5&lt;AI$5)*AD229+(AO$5&lt;AI$5)*AP229+(AU$5&lt;AI$5)*AV229)))</f>
        <v/>
      </c>
      <c r="AL229">
        <f>IF(AJ229-AK229&lt;0.005,0,AJ229-AK229)</f>
        <v/>
      </c>
      <c r="AM229">
        <f>AR228</f>
        <v/>
      </c>
      <c r="AN229">
        <f>AM229*Plan!D12/100/12</f>
        <v/>
      </c>
      <c r="AO229">
        <f>MIN(Plan!E12,AM229+AN229)</f>
        <v/>
      </c>
      <c r="AP229">
        <f>AM229+AN229-AO229</f>
        <v/>
      </c>
      <c r="AQ229">
        <f>MIN(AP229,MAX(0,$B229-((E$5&lt;AO$5)*F229+(K$5&lt;AO$5)*L229+(Q$5&lt;AO$5)*R229+(W$5&lt;AO$5)*X229+(AC$5&lt;AO$5)*AD229+(AI$5&lt;AO$5)*AJ229+(AU$5&lt;AO$5)*AV229)))</f>
        <v/>
      </c>
      <c r="AR229">
        <f>IF(AP229-AQ229&lt;0.005,0,AP229-AQ229)</f>
        <v/>
      </c>
      <c r="AS229">
        <f>AX228</f>
        <v/>
      </c>
      <c r="AT229">
        <f>AS229*Plan!D13/100/12</f>
        <v/>
      </c>
      <c r="AU229">
        <f>MIN(Plan!E13,AS229+AT229)</f>
        <v/>
      </c>
      <c r="AV229">
        <f>AS229+AT229-AU229</f>
        <v/>
      </c>
      <c r="AW229">
        <f>MIN(AV229,MAX(0,$B229-((E$5&lt;AU$5)*F229+(K$5&lt;AU$5)*L229+(Q$5&lt;AU$5)*R229+(W$5&lt;AU$5)*X229+(AC$5&lt;AU$5)*AD229+(AI$5&lt;AU$5)*AJ229+(AO$5&lt;AU$5)*AP229)))</f>
        <v/>
      </c>
      <c r="AX229">
        <f>IF(AV229-AW229&lt;0.005,0,AV229-AW229)</f>
        <v/>
      </c>
      <c r="BC229">
        <f>H229+N229+T229+Z229+AF229+AL229+AR229+AX229</f>
        <v/>
      </c>
    </row>
    <row r="230">
      <c r="A230" t="n">
        <v>224</v>
      </c>
      <c r="B230" s="19">
        <f>MAX(0,$B$3-(E230+K230+Q230+W230+AC230+AI230+AO230+AU230))</f>
        <v/>
      </c>
      <c r="C230">
        <f>H229</f>
        <v/>
      </c>
      <c r="D230">
        <f>C230*Plan!D6/100/12</f>
        <v/>
      </c>
      <c r="E230">
        <f>MIN(Plan!E6,C230+D230)</f>
        <v/>
      </c>
      <c r="F230">
        <f>C230+D230-E230</f>
        <v/>
      </c>
      <c r="G230">
        <f>MIN(F230,MAX(0,$B230-((K$5&lt;E$5)*L230+(Q$5&lt;E$5)*R230+(W$5&lt;E$5)*X230+(AC$5&lt;E$5)*AD230+(AI$5&lt;E$5)*AJ230+(AO$5&lt;E$5)*AP230+(AU$5&lt;E$5)*AV230)))</f>
        <v/>
      </c>
      <c r="H230">
        <f>IF(F230-G230&lt;0.005,0,F230-G230)</f>
        <v/>
      </c>
      <c r="I230">
        <f>N229</f>
        <v/>
      </c>
      <c r="J230">
        <f>I230*Plan!D7/100/12</f>
        <v/>
      </c>
      <c r="K230">
        <f>MIN(Plan!E7,I230+J230)</f>
        <v/>
      </c>
      <c r="L230">
        <f>I230+J230-K230</f>
        <v/>
      </c>
      <c r="M230">
        <f>MIN(L230,MAX(0,$B230-((E$5&lt;K$5)*F230+(Q$5&lt;K$5)*R230+(W$5&lt;K$5)*X230+(AC$5&lt;K$5)*AD230+(AI$5&lt;K$5)*AJ230+(AO$5&lt;K$5)*AP230+(AU$5&lt;K$5)*AV230)))</f>
        <v/>
      </c>
      <c r="N230">
        <f>IF(L230-M230&lt;0.005,0,L230-M230)</f>
        <v/>
      </c>
      <c r="O230">
        <f>T229</f>
        <v/>
      </c>
      <c r="P230">
        <f>O230*Plan!D8/100/12</f>
        <v/>
      </c>
      <c r="Q230">
        <f>MIN(Plan!E8,O230+P230)</f>
        <v/>
      </c>
      <c r="R230">
        <f>O230+P230-Q230</f>
        <v/>
      </c>
      <c r="S230">
        <f>MIN(R230,MAX(0,$B230-((E$5&lt;Q$5)*F230+(K$5&lt;Q$5)*L230+(W$5&lt;Q$5)*X230+(AC$5&lt;Q$5)*AD230+(AI$5&lt;Q$5)*AJ230+(AO$5&lt;Q$5)*AP230+(AU$5&lt;Q$5)*AV230)))</f>
        <v/>
      </c>
      <c r="T230">
        <f>IF(R230-S230&lt;0.005,0,R230-S230)</f>
        <v/>
      </c>
      <c r="U230">
        <f>Z229</f>
        <v/>
      </c>
      <c r="V230">
        <f>U230*Plan!D9/100/12</f>
        <v/>
      </c>
      <c r="W230">
        <f>MIN(Plan!E9,U230+V230)</f>
        <v/>
      </c>
      <c r="X230">
        <f>U230+V230-W230</f>
        <v/>
      </c>
      <c r="Y230">
        <f>MIN(X230,MAX(0,$B230-((E$5&lt;W$5)*F230+(K$5&lt;W$5)*L230+(Q$5&lt;W$5)*R230+(AC$5&lt;W$5)*AD230+(AI$5&lt;W$5)*AJ230+(AO$5&lt;W$5)*AP230+(AU$5&lt;W$5)*AV230)))</f>
        <v/>
      </c>
      <c r="Z230">
        <f>IF(X230-Y230&lt;0.005,0,X230-Y230)</f>
        <v/>
      </c>
      <c r="AA230">
        <f>AF229</f>
        <v/>
      </c>
      <c r="AB230">
        <f>AA230*Plan!D10/100/12</f>
        <v/>
      </c>
      <c r="AC230">
        <f>MIN(Plan!E10,AA230+AB230)</f>
        <v/>
      </c>
      <c r="AD230">
        <f>AA230+AB230-AC230</f>
        <v/>
      </c>
      <c r="AE230">
        <f>MIN(AD230,MAX(0,$B230-((E$5&lt;AC$5)*F230+(K$5&lt;AC$5)*L230+(Q$5&lt;AC$5)*R230+(W$5&lt;AC$5)*X230+(AI$5&lt;AC$5)*AJ230+(AO$5&lt;AC$5)*AP230+(AU$5&lt;AC$5)*AV230)))</f>
        <v/>
      </c>
      <c r="AF230">
        <f>IF(AD230-AE230&lt;0.005,0,AD230-AE230)</f>
        <v/>
      </c>
      <c r="AG230">
        <f>AL229</f>
        <v/>
      </c>
      <c r="AH230">
        <f>AG230*Plan!D11/100/12</f>
        <v/>
      </c>
      <c r="AI230">
        <f>MIN(Plan!E11,AG230+AH230)</f>
        <v/>
      </c>
      <c r="AJ230">
        <f>AG230+AH230-AI230</f>
        <v/>
      </c>
      <c r="AK230">
        <f>MIN(AJ230,MAX(0,$B230-((E$5&lt;AI$5)*F230+(K$5&lt;AI$5)*L230+(Q$5&lt;AI$5)*R230+(W$5&lt;AI$5)*X230+(AC$5&lt;AI$5)*AD230+(AO$5&lt;AI$5)*AP230+(AU$5&lt;AI$5)*AV230)))</f>
        <v/>
      </c>
      <c r="AL230">
        <f>IF(AJ230-AK230&lt;0.005,0,AJ230-AK230)</f>
        <v/>
      </c>
      <c r="AM230">
        <f>AR229</f>
        <v/>
      </c>
      <c r="AN230">
        <f>AM230*Plan!D12/100/12</f>
        <v/>
      </c>
      <c r="AO230">
        <f>MIN(Plan!E12,AM230+AN230)</f>
        <v/>
      </c>
      <c r="AP230">
        <f>AM230+AN230-AO230</f>
        <v/>
      </c>
      <c r="AQ230">
        <f>MIN(AP230,MAX(0,$B230-((E$5&lt;AO$5)*F230+(K$5&lt;AO$5)*L230+(Q$5&lt;AO$5)*R230+(W$5&lt;AO$5)*X230+(AC$5&lt;AO$5)*AD230+(AI$5&lt;AO$5)*AJ230+(AU$5&lt;AO$5)*AV230)))</f>
        <v/>
      </c>
      <c r="AR230">
        <f>IF(AP230-AQ230&lt;0.005,0,AP230-AQ230)</f>
        <v/>
      </c>
      <c r="AS230">
        <f>AX229</f>
        <v/>
      </c>
      <c r="AT230">
        <f>AS230*Plan!D13/100/12</f>
        <v/>
      </c>
      <c r="AU230">
        <f>MIN(Plan!E13,AS230+AT230)</f>
        <v/>
      </c>
      <c r="AV230">
        <f>AS230+AT230-AU230</f>
        <v/>
      </c>
      <c r="AW230">
        <f>MIN(AV230,MAX(0,$B230-((E$5&lt;AU$5)*F230+(K$5&lt;AU$5)*L230+(Q$5&lt;AU$5)*R230+(W$5&lt;AU$5)*X230+(AC$5&lt;AU$5)*AD230+(AI$5&lt;AU$5)*AJ230+(AO$5&lt;AU$5)*AP230)))</f>
        <v/>
      </c>
      <c r="AX230">
        <f>IF(AV230-AW230&lt;0.005,0,AV230-AW230)</f>
        <v/>
      </c>
      <c r="BC230">
        <f>H230+N230+T230+Z230+AF230+AL230+AR230+AX230</f>
        <v/>
      </c>
    </row>
    <row r="231">
      <c r="A231" t="n">
        <v>225</v>
      </c>
      <c r="B231" s="19">
        <f>MAX(0,$B$3-(E231+K231+Q231+W231+AC231+AI231+AO231+AU231))</f>
        <v/>
      </c>
      <c r="C231">
        <f>H230</f>
        <v/>
      </c>
      <c r="D231">
        <f>C231*Plan!D6/100/12</f>
        <v/>
      </c>
      <c r="E231">
        <f>MIN(Plan!E6,C231+D231)</f>
        <v/>
      </c>
      <c r="F231">
        <f>C231+D231-E231</f>
        <v/>
      </c>
      <c r="G231">
        <f>MIN(F231,MAX(0,$B231-((K$5&lt;E$5)*L231+(Q$5&lt;E$5)*R231+(W$5&lt;E$5)*X231+(AC$5&lt;E$5)*AD231+(AI$5&lt;E$5)*AJ231+(AO$5&lt;E$5)*AP231+(AU$5&lt;E$5)*AV231)))</f>
        <v/>
      </c>
      <c r="H231">
        <f>IF(F231-G231&lt;0.005,0,F231-G231)</f>
        <v/>
      </c>
      <c r="I231">
        <f>N230</f>
        <v/>
      </c>
      <c r="J231">
        <f>I231*Plan!D7/100/12</f>
        <v/>
      </c>
      <c r="K231">
        <f>MIN(Plan!E7,I231+J231)</f>
        <v/>
      </c>
      <c r="L231">
        <f>I231+J231-K231</f>
        <v/>
      </c>
      <c r="M231">
        <f>MIN(L231,MAX(0,$B231-((E$5&lt;K$5)*F231+(Q$5&lt;K$5)*R231+(W$5&lt;K$5)*X231+(AC$5&lt;K$5)*AD231+(AI$5&lt;K$5)*AJ231+(AO$5&lt;K$5)*AP231+(AU$5&lt;K$5)*AV231)))</f>
        <v/>
      </c>
      <c r="N231">
        <f>IF(L231-M231&lt;0.005,0,L231-M231)</f>
        <v/>
      </c>
      <c r="O231">
        <f>T230</f>
        <v/>
      </c>
      <c r="P231">
        <f>O231*Plan!D8/100/12</f>
        <v/>
      </c>
      <c r="Q231">
        <f>MIN(Plan!E8,O231+P231)</f>
        <v/>
      </c>
      <c r="R231">
        <f>O231+P231-Q231</f>
        <v/>
      </c>
      <c r="S231">
        <f>MIN(R231,MAX(0,$B231-((E$5&lt;Q$5)*F231+(K$5&lt;Q$5)*L231+(W$5&lt;Q$5)*X231+(AC$5&lt;Q$5)*AD231+(AI$5&lt;Q$5)*AJ231+(AO$5&lt;Q$5)*AP231+(AU$5&lt;Q$5)*AV231)))</f>
        <v/>
      </c>
      <c r="T231">
        <f>IF(R231-S231&lt;0.005,0,R231-S231)</f>
        <v/>
      </c>
      <c r="U231">
        <f>Z230</f>
        <v/>
      </c>
      <c r="V231">
        <f>U231*Plan!D9/100/12</f>
        <v/>
      </c>
      <c r="W231">
        <f>MIN(Plan!E9,U231+V231)</f>
        <v/>
      </c>
      <c r="X231">
        <f>U231+V231-W231</f>
        <v/>
      </c>
      <c r="Y231">
        <f>MIN(X231,MAX(0,$B231-((E$5&lt;W$5)*F231+(K$5&lt;W$5)*L231+(Q$5&lt;W$5)*R231+(AC$5&lt;W$5)*AD231+(AI$5&lt;W$5)*AJ231+(AO$5&lt;W$5)*AP231+(AU$5&lt;W$5)*AV231)))</f>
        <v/>
      </c>
      <c r="Z231">
        <f>IF(X231-Y231&lt;0.005,0,X231-Y231)</f>
        <v/>
      </c>
      <c r="AA231">
        <f>AF230</f>
        <v/>
      </c>
      <c r="AB231">
        <f>AA231*Plan!D10/100/12</f>
        <v/>
      </c>
      <c r="AC231">
        <f>MIN(Plan!E10,AA231+AB231)</f>
        <v/>
      </c>
      <c r="AD231">
        <f>AA231+AB231-AC231</f>
        <v/>
      </c>
      <c r="AE231">
        <f>MIN(AD231,MAX(0,$B231-((E$5&lt;AC$5)*F231+(K$5&lt;AC$5)*L231+(Q$5&lt;AC$5)*R231+(W$5&lt;AC$5)*X231+(AI$5&lt;AC$5)*AJ231+(AO$5&lt;AC$5)*AP231+(AU$5&lt;AC$5)*AV231)))</f>
        <v/>
      </c>
      <c r="AF231">
        <f>IF(AD231-AE231&lt;0.005,0,AD231-AE231)</f>
        <v/>
      </c>
      <c r="AG231">
        <f>AL230</f>
        <v/>
      </c>
      <c r="AH231">
        <f>AG231*Plan!D11/100/12</f>
        <v/>
      </c>
      <c r="AI231">
        <f>MIN(Plan!E11,AG231+AH231)</f>
        <v/>
      </c>
      <c r="AJ231">
        <f>AG231+AH231-AI231</f>
        <v/>
      </c>
      <c r="AK231">
        <f>MIN(AJ231,MAX(0,$B231-((E$5&lt;AI$5)*F231+(K$5&lt;AI$5)*L231+(Q$5&lt;AI$5)*R231+(W$5&lt;AI$5)*X231+(AC$5&lt;AI$5)*AD231+(AO$5&lt;AI$5)*AP231+(AU$5&lt;AI$5)*AV231)))</f>
        <v/>
      </c>
      <c r="AL231">
        <f>IF(AJ231-AK231&lt;0.005,0,AJ231-AK231)</f>
        <v/>
      </c>
      <c r="AM231">
        <f>AR230</f>
        <v/>
      </c>
      <c r="AN231">
        <f>AM231*Plan!D12/100/12</f>
        <v/>
      </c>
      <c r="AO231">
        <f>MIN(Plan!E12,AM231+AN231)</f>
        <v/>
      </c>
      <c r="AP231">
        <f>AM231+AN231-AO231</f>
        <v/>
      </c>
      <c r="AQ231">
        <f>MIN(AP231,MAX(0,$B231-((E$5&lt;AO$5)*F231+(K$5&lt;AO$5)*L231+(Q$5&lt;AO$5)*R231+(W$5&lt;AO$5)*X231+(AC$5&lt;AO$5)*AD231+(AI$5&lt;AO$5)*AJ231+(AU$5&lt;AO$5)*AV231)))</f>
        <v/>
      </c>
      <c r="AR231">
        <f>IF(AP231-AQ231&lt;0.005,0,AP231-AQ231)</f>
        <v/>
      </c>
      <c r="AS231">
        <f>AX230</f>
        <v/>
      </c>
      <c r="AT231">
        <f>AS231*Plan!D13/100/12</f>
        <v/>
      </c>
      <c r="AU231">
        <f>MIN(Plan!E13,AS231+AT231)</f>
        <v/>
      </c>
      <c r="AV231">
        <f>AS231+AT231-AU231</f>
        <v/>
      </c>
      <c r="AW231">
        <f>MIN(AV231,MAX(0,$B231-((E$5&lt;AU$5)*F231+(K$5&lt;AU$5)*L231+(Q$5&lt;AU$5)*R231+(W$5&lt;AU$5)*X231+(AC$5&lt;AU$5)*AD231+(AI$5&lt;AU$5)*AJ231+(AO$5&lt;AU$5)*AP231)))</f>
        <v/>
      </c>
      <c r="AX231">
        <f>IF(AV231-AW231&lt;0.005,0,AV231-AW231)</f>
        <v/>
      </c>
      <c r="BC231">
        <f>H231+N231+T231+Z231+AF231+AL231+AR231+AX231</f>
        <v/>
      </c>
    </row>
    <row r="232">
      <c r="A232" t="n">
        <v>226</v>
      </c>
      <c r="B232" s="19">
        <f>MAX(0,$B$3-(E232+K232+Q232+W232+AC232+AI232+AO232+AU232))</f>
        <v/>
      </c>
      <c r="C232">
        <f>H231</f>
        <v/>
      </c>
      <c r="D232">
        <f>C232*Plan!D6/100/12</f>
        <v/>
      </c>
      <c r="E232">
        <f>MIN(Plan!E6,C232+D232)</f>
        <v/>
      </c>
      <c r="F232">
        <f>C232+D232-E232</f>
        <v/>
      </c>
      <c r="G232">
        <f>MIN(F232,MAX(0,$B232-((K$5&lt;E$5)*L232+(Q$5&lt;E$5)*R232+(W$5&lt;E$5)*X232+(AC$5&lt;E$5)*AD232+(AI$5&lt;E$5)*AJ232+(AO$5&lt;E$5)*AP232+(AU$5&lt;E$5)*AV232)))</f>
        <v/>
      </c>
      <c r="H232">
        <f>IF(F232-G232&lt;0.005,0,F232-G232)</f>
        <v/>
      </c>
      <c r="I232">
        <f>N231</f>
        <v/>
      </c>
      <c r="J232">
        <f>I232*Plan!D7/100/12</f>
        <v/>
      </c>
      <c r="K232">
        <f>MIN(Plan!E7,I232+J232)</f>
        <v/>
      </c>
      <c r="L232">
        <f>I232+J232-K232</f>
        <v/>
      </c>
      <c r="M232">
        <f>MIN(L232,MAX(0,$B232-((E$5&lt;K$5)*F232+(Q$5&lt;K$5)*R232+(W$5&lt;K$5)*X232+(AC$5&lt;K$5)*AD232+(AI$5&lt;K$5)*AJ232+(AO$5&lt;K$5)*AP232+(AU$5&lt;K$5)*AV232)))</f>
        <v/>
      </c>
      <c r="N232">
        <f>IF(L232-M232&lt;0.005,0,L232-M232)</f>
        <v/>
      </c>
      <c r="O232">
        <f>T231</f>
        <v/>
      </c>
      <c r="P232">
        <f>O232*Plan!D8/100/12</f>
        <v/>
      </c>
      <c r="Q232">
        <f>MIN(Plan!E8,O232+P232)</f>
        <v/>
      </c>
      <c r="R232">
        <f>O232+P232-Q232</f>
        <v/>
      </c>
      <c r="S232">
        <f>MIN(R232,MAX(0,$B232-((E$5&lt;Q$5)*F232+(K$5&lt;Q$5)*L232+(W$5&lt;Q$5)*X232+(AC$5&lt;Q$5)*AD232+(AI$5&lt;Q$5)*AJ232+(AO$5&lt;Q$5)*AP232+(AU$5&lt;Q$5)*AV232)))</f>
        <v/>
      </c>
      <c r="T232">
        <f>IF(R232-S232&lt;0.005,0,R232-S232)</f>
        <v/>
      </c>
      <c r="U232">
        <f>Z231</f>
        <v/>
      </c>
      <c r="V232">
        <f>U232*Plan!D9/100/12</f>
        <v/>
      </c>
      <c r="W232">
        <f>MIN(Plan!E9,U232+V232)</f>
        <v/>
      </c>
      <c r="X232">
        <f>U232+V232-W232</f>
        <v/>
      </c>
      <c r="Y232">
        <f>MIN(X232,MAX(0,$B232-((E$5&lt;W$5)*F232+(K$5&lt;W$5)*L232+(Q$5&lt;W$5)*R232+(AC$5&lt;W$5)*AD232+(AI$5&lt;W$5)*AJ232+(AO$5&lt;W$5)*AP232+(AU$5&lt;W$5)*AV232)))</f>
        <v/>
      </c>
      <c r="Z232">
        <f>IF(X232-Y232&lt;0.005,0,X232-Y232)</f>
        <v/>
      </c>
      <c r="AA232">
        <f>AF231</f>
        <v/>
      </c>
      <c r="AB232">
        <f>AA232*Plan!D10/100/12</f>
        <v/>
      </c>
      <c r="AC232">
        <f>MIN(Plan!E10,AA232+AB232)</f>
        <v/>
      </c>
      <c r="AD232">
        <f>AA232+AB232-AC232</f>
        <v/>
      </c>
      <c r="AE232">
        <f>MIN(AD232,MAX(0,$B232-((E$5&lt;AC$5)*F232+(K$5&lt;AC$5)*L232+(Q$5&lt;AC$5)*R232+(W$5&lt;AC$5)*X232+(AI$5&lt;AC$5)*AJ232+(AO$5&lt;AC$5)*AP232+(AU$5&lt;AC$5)*AV232)))</f>
        <v/>
      </c>
      <c r="AF232">
        <f>IF(AD232-AE232&lt;0.005,0,AD232-AE232)</f>
        <v/>
      </c>
      <c r="AG232">
        <f>AL231</f>
        <v/>
      </c>
      <c r="AH232">
        <f>AG232*Plan!D11/100/12</f>
        <v/>
      </c>
      <c r="AI232">
        <f>MIN(Plan!E11,AG232+AH232)</f>
        <v/>
      </c>
      <c r="AJ232">
        <f>AG232+AH232-AI232</f>
        <v/>
      </c>
      <c r="AK232">
        <f>MIN(AJ232,MAX(0,$B232-((E$5&lt;AI$5)*F232+(K$5&lt;AI$5)*L232+(Q$5&lt;AI$5)*R232+(W$5&lt;AI$5)*X232+(AC$5&lt;AI$5)*AD232+(AO$5&lt;AI$5)*AP232+(AU$5&lt;AI$5)*AV232)))</f>
        <v/>
      </c>
      <c r="AL232">
        <f>IF(AJ232-AK232&lt;0.005,0,AJ232-AK232)</f>
        <v/>
      </c>
      <c r="AM232">
        <f>AR231</f>
        <v/>
      </c>
      <c r="AN232">
        <f>AM232*Plan!D12/100/12</f>
        <v/>
      </c>
      <c r="AO232">
        <f>MIN(Plan!E12,AM232+AN232)</f>
        <v/>
      </c>
      <c r="AP232">
        <f>AM232+AN232-AO232</f>
        <v/>
      </c>
      <c r="AQ232">
        <f>MIN(AP232,MAX(0,$B232-((E$5&lt;AO$5)*F232+(K$5&lt;AO$5)*L232+(Q$5&lt;AO$5)*R232+(W$5&lt;AO$5)*X232+(AC$5&lt;AO$5)*AD232+(AI$5&lt;AO$5)*AJ232+(AU$5&lt;AO$5)*AV232)))</f>
        <v/>
      </c>
      <c r="AR232">
        <f>IF(AP232-AQ232&lt;0.005,0,AP232-AQ232)</f>
        <v/>
      </c>
      <c r="AS232">
        <f>AX231</f>
        <v/>
      </c>
      <c r="AT232">
        <f>AS232*Plan!D13/100/12</f>
        <v/>
      </c>
      <c r="AU232">
        <f>MIN(Plan!E13,AS232+AT232)</f>
        <v/>
      </c>
      <c r="AV232">
        <f>AS232+AT232-AU232</f>
        <v/>
      </c>
      <c r="AW232">
        <f>MIN(AV232,MAX(0,$B232-((E$5&lt;AU$5)*F232+(K$5&lt;AU$5)*L232+(Q$5&lt;AU$5)*R232+(W$5&lt;AU$5)*X232+(AC$5&lt;AU$5)*AD232+(AI$5&lt;AU$5)*AJ232+(AO$5&lt;AU$5)*AP232)))</f>
        <v/>
      </c>
      <c r="AX232">
        <f>IF(AV232-AW232&lt;0.005,0,AV232-AW232)</f>
        <v/>
      </c>
      <c r="BC232">
        <f>H232+N232+T232+Z232+AF232+AL232+AR232+AX232</f>
        <v/>
      </c>
    </row>
    <row r="233">
      <c r="A233" t="n">
        <v>227</v>
      </c>
      <c r="B233" s="19">
        <f>MAX(0,$B$3-(E233+K233+Q233+W233+AC233+AI233+AO233+AU233))</f>
        <v/>
      </c>
      <c r="C233">
        <f>H232</f>
        <v/>
      </c>
      <c r="D233">
        <f>C233*Plan!D6/100/12</f>
        <v/>
      </c>
      <c r="E233">
        <f>MIN(Plan!E6,C233+D233)</f>
        <v/>
      </c>
      <c r="F233">
        <f>C233+D233-E233</f>
        <v/>
      </c>
      <c r="G233">
        <f>MIN(F233,MAX(0,$B233-((K$5&lt;E$5)*L233+(Q$5&lt;E$5)*R233+(W$5&lt;E$5)*X233+(AC$5&lt;E$5)*AD233+(AI$5&lt;E$5)*AJ233+(AO$5&lt;E$5)*AP233+(AU$5&lt;E$5)*AV233)))</f>
        <v/>
      </c>
      <c r="H233">
        <f>IF(F233-G233&lt;0.005,0,F233-G233)</f>
        <v/>
      </c>
      <c r="I233">
        <f>N232</f>
        <v/>
      </c>
      <c r="J233">
        <f>I233*Plan!D7/100/12</f>
        <v/>
      </c>
      <c r="K233">
        <f>MIN(Plan!E7,I233+J233)</f>
        <v/>
      </c>
      <c r="L233">
        <f>I233+J233-K233</f>
        <v/>
      </c>
      <c r="M233">
        <f>MIN(L233,MAX(0,$B233-((E$5&lt;K$5)*F233+(Q$5&lt;K$5)*R233+(W$5&lt;K$5)*X233+(AC$5&lt;K$5)*AD233+(AI$5&lt;K$5)*AJ233+(AO$5&lt;K$5)*AP233+(AU$5&lt;K$5)*AV233)))</f>
        <v/>
      </c>
      <c r="N233">
        <f>IF(L233-M233&lt;0.005,0,L233-M233)</f>
        <v/>
      </c>
      <c r="O233">
        <f>T232</f>
        <v/>
      </c>
      <c r="P233">
        <f>O233*Plan!D8/100/12</f>
        <v/>
      </c>
      <c r="Q233">
        <f>MIN(Plan!E8,O233+P233)</f>
        <v/>
      </c>
      <c r="R233">
        <f>O233+P233-Q233</f>
        <v/>
      </c>
      <c r="S233">
        <f>MIN(R233,MAX(0,$B233-((E$5&lt;Q$5)*F233+(K$5&lt;Q$5)*L233+(W$5&lt;Q$5)*X233+(AC$5&lt;Q$5)*AD233+(AI$5&lt;Q$5)*AJ233+(AO$5&lt;Q$5)*AP233+(AU$5&lt;Q$5)*AV233)))</f>
        <v/>
      </c>
      <c r="T233">
        <f>IF(R233-S233&lt;0.005,0,R233-S233)</f>
        <v/>
      </c>
      <c r="U233">
        <f>Z232</f>
        <v/>
      </c>
      <c r="V233">
        <f>U233*Plan!D9/100/12</f>
        <v/>
      </c>
      <c r="W233">
        <f>MIN(Plan!E9,U233+V233)</f>
        <v/>
      </c>
      <c r="X233">
        <f>U233+V233-W233</f>
        <v/>
      </c>
      <c r="Y233">
        <f>MIN(X233,MAX(0,$B233-((E$5&lt;W$5)*F233+(K$5&lt;W$5)*L233+(Q$5&lt;W$5)*R233+(AC$5&lt;W$5)*AD233+(AI$5&lt;W$5)*AJ233+(AO$5&lt;W$5)*AP233+(AU$5&lt;W$5)*AV233)))</f>
        <v/>
      </c>
      <c r="Z233">
        <f>IF(X233-Y233&lt;0.005,0,X233-Y233)</f>
        <v/>
      </c>
      <c r="AA233">
        <f>AF232</f>
        <v/>
      </c>
      <c r="AB233">
        <f>AA233*Plan!D10/100/12</f>
        <v/>
      </c>
      <c r="AC233">
        <f>MIN(Plan!E10,AA233+AB233)</f>
        <v/>
      </c>
      <c r="AD233">
        <f>AA233+AB233-AC233</f>
        <v/>
      </c>
      <c r="AE233">
        <f>MIN(AD233,MAX(0,$B233-((E$5&lt;AC$5)*F233+(K$5&lt;AC$5)*L233+(Q$5&lt;AC$5)*R233+(W$5&lt;AC$5)*X233+(AI$5&lt;AC$5)*AJ233+(AO$5&lt;AC$5)*AP233+(AU$5&lt;AC$5)*AV233)))</f>
        <v/>
      </c>
      <c r="AF233">
        <f>IF(AD233-AE233&lt;0.005,0,AD233-AE233)</f>
        <v/>
      </c>
      <c r="AG233">
        <f>AL232</f>
        <v/>
      </c>
      <c r="AH233">
        <f>AG233*Plan!D11/100/12</f>
        <v/>
      </c>
      <c r="AI233">
        <f>MIN(Plan!E11,AG233+AH233)</f>
        <v/>
      </c>
      <c r="AJ233">
        <f>AG233+AH233-AI233</f>
        <v/>
      </c>
      <c r="AK233">
        <f>MIN(AJ233,MAX(0,$B233-((E$5&lt;AI$5)*F233+(K$5&lt;AI$5)*L233+(Q$5&lt;AI$5)*R233+(W$5&lt;AI$5)*X233+(AC$5&lt;AI$5)*AD233+(AO$5&lt;AI$5)*AP233+(AU$5&lt;AI$5)*AV233)))</f>
        <v/>
      </c>
      <c r="AL233">
        <f>IF(AJ233-AK233&lt;0.005,0,AJ233-AK233)</f>
        <v/>
      </c>
      <c r="AM233">
        <f>AR232</f>
        <v/>
      </c>
      <c r="AN233">
        <f>AM233*Plan!D12/100/12</f>
        <v/>
      </c>
      <c r="AO233">
        <f>MIN(Plan!E12,AM233+AN233)</f>
        <v/>
      </c>
      <c r="AP233">
        <f>AM233+AN233-AO233</f>
        <v/>
      </c>
      <c r="AQ233">
        <f>MIN(AP233,MAX(0,$B233-((E$5&lt;AO$5)*F233+(K$5&lt;AO$5)*L233+(Q$5&lt;AO$5)*R233+(W$5&lt;AO$5)*X233+(AC$5&lt;AO$5)*AD233+(AI$5&lt;AO$5)*AJ233+(AU$5&lt;AO$5)*AV233)))</f>
        <v/>
      </c>
      <c r="AR233">
        <f>IF(AP233-AQ233&lt;0.005,0,AP233-AQ233)</f>
        <v/>
      </c>
      <c r="AS233">
        <f>AX232</f>
        <v/>
      </c>
      <c r="AT233">
        <f>AS233*Plan!D13/100/12</f>
        <v/>
      </c>
      <c r="AU233">
        <f>MIN(Plan!E13,AS233+AT233)</f>
        <v/>
      </c>
      <c r="AV233">
        <f>AS233+AT233-AU233</f>
        <v/>
      </c>
      <c r="AW233">
        <f>MIN(AV233,MAX(0,$B233-((E$5&lt;AU$5)*F233+(K$5&lt;AU$5)*L233+(Q$5&lt;AU$5)*R233+(W$5&lt;AU$5)*X233+(AC$5&lt;AU$5)*AD233+(AI$5&lt;AU$5)*AJ233+(AO$5&lt;AU$5)*AP233)))</f>
        <v/>
      </c>
      <c r="AX233">
        <f>IF(AV233-AW233&lt;0.005,0,AV233-AW233)</f>
        <v/>
      </c>
      <c r="BC233">
        <f>H233+N233+T233+Z233+AF233+AL233+AR233+AX233</f>
        <v/>
      </c>
    </row>
    <row r="234">
      <c r="A234" t="n">
        <v>228</v>
      </c>
      <c r="B234" s="19">
        <f>MAX(0,$B$3-(E234+K234+Q234+W234+AC234+AI234+AO234+AU234))</f>
        <v/>
      </c>
      <c r="C234">
        <f>H233</f>
        <v/>
      </c>
      <c r="D234">
        <f>C234*Plan!D6/100/12</f>
        <v/>
      </c>
      <c r="E234">
        <f>MIN(Plan!E6,C234+D234)</f>
        <v/>
      </c>
      <c r="F234">
        <f>C234+D234-E234</f>
        <v/>
      </c>
      <c r="G234">
        <f>MIN(F234,MAX(0,$B234-((K$5&lt;E$5)*L234+(Q$5&lt;E$5)*R234+(W$5&lt;E$5)*X234+(AC$5&lt;E$5)*AD234+(AI$5&lt;E$5)*AJ234+(AO$5&lt;E$5)*AP234+(AU$5&lt;E$5)*AV234)))</f>
        <v/>
      </c>
      <c r="H234">
        <f>IF(F234-G234&lt;0.005,0,F234-G234)</f>
        <v/>
      </c>
      <c r="I234">
        <f>N233</f>
        <v/>
      </c>
      <c r="J234">
        <f>I234*Plan!D7/100/12</f>
        <v/>
      </c>
      <c r="K234">
        <f>MIN(Plan!E7,I234+J234)</f>
        <v/>
      </c>
      <c r="L234">
        <f>I234+J234-K234</f>
        <v/>
      </c>
      <c r="M234">
        <f>MIN(L234,MAX(0,$B234-((E$5&lt;K$5)*F234+(Q$5&lt;K$5)*R234+(W$5&lt;K$5)*X234+(AC$5&lt;K$5)*AD234+(AI$5&lt;K$5)*AJ234+(AO$5&lt;K$5)*AP234+(AU$5&lt;K$5)*AV234)))</f>
        <v/>
      </c>
      <c r="N234">
        <f>IF(L234-M234&lt;0.005,0,L234-M234)</f>
        <v/>
      </c>
      <c r="O234">
        <f>T233</f>
        <v/>
      </c>
      <c r="P234">
        <f>O234*Plan!D8/100/12</f>
        <v/>
      </c>
      <c r="Q234">
        <f>MIN(Plan!E8,O234+P234)</f>
        <v/>
      </c>
      <c r="R234">
        <f>O234+P234-Q234</f>
        <v/>
      </c>
      <c r="S234">
        <f>MIN(R234,MAX(0,$B234-((E$5&lt;Q$5)*F234+(K$5&lt;Q$5)*L234+(W$5&lt;Q$5)*X234+(AC$5&lt;Q$5)*AD234+(AI$5&lt;Q$5)*AJ234+(AO$5&lt;Q$5)*AP234+(AU$5&lt;Q$5)*AV234)))</f>
        <v/>
      </c>
      <c r="T234">
        <f>IF(R234-S234&lt;0.005,0,R234-S234)</f>
        <v/>
      </c>
      <c r="U234">
        <f>Z233</f>
        <v/>
      </c>
      <c r="V234">
        <f>U234*Plan!D9/100/12</f>
        <v/>
      </c>
      <c r="W234">
        <f>MIN(Plan!E9,U234+V234)</f>
        <v/>
      </c>
      <c r="X234">
        <f>U234+V234-W234</f>
        <v/>
      </c>
      <c r="Y234">
        <f>MIN(X234,MAX(0,$B234-((E$5&lt;W$5)*F234+(K$5&lt;W$5)*L234+(Q$5&lt;W$5)*R234+(AC$5&lt;W$5)*AD234+(AI$5&lt;W$5)*AJ234+(AO$5&lt;W$5)*AP234+(AU$5&lt;W$5)*AV234)))</f>
        <v/>
      </c>
      <c r="Z234">
        <f>IF(X234-Y234&lt;0.005,0,X234-Y234)</f>
        <v/>
      </c>
      <c r="AA234">
        <f>AF233</f>
        <v/>
      </c>
      <c r="AB234">
        <f>AA234*Plan!D10/100/12</f>
        <v/>
      </c>
      <c r="AC234">
        <f>MIN(Plan!E10,AA234+AB234)</f>
        <v/>
      </c>
      <c r="AD234">
        <f>AA234+AB234-AC234</f>
        <v/>
      </c>
      <c r="AE234">
        <f>MIN(AD234,MAX(0,$B234-((E$5&lt;AC$5)*F234+(K$5&lt;AC$5)*L234+(Q$5&lt;AC$5)*R234+(W$5&lt;AC$5)*X234+(AI$5&lt;AC$5)*AJ234+(AO$5&lt;AC$5)*AP234+(AU$5&lt;AC$5)*AV234)))</f>
        <v/>
      </c>
      <c r="AF234">
        <f>IF(AD234-AE234&lt;0.005,0,AD234-AE234)</f>
        <v/>
      </c>
      <c r="AG234">
        <f>AL233</f>
        <v/>
      </c>
      <c r="AH234">
        <f>AG234*Plan!D11/100/12</f>
        <v/>
      </c>
      <c r="AI234">
        <f>MIN(Plan!E11,AG234+AH234)</f>
        <v/>
      </c>
      <c r="AJ234">
        <f>AG234+AH234-AI234</f>
        <v/>
      </c>
      <c r="AK234">
        <f>MIN(AJ234,MAX(0,$B234-((E$5&lt;AI$5)*F234+(K$5&lt;AI$5)*L234+(Q$5&lt;AI$5)*R234+(W$5&lt;AI$5)*X234+(AC$5&lt;AI$5)*AD234+(AO$5&lt;AI$5)*AP234+(AU$5&lt;AI$5)*AV234)))</f>
        <v/>
      </c>
      <c r="AL234">
        <f>IF(AJ234-AK234&lt;0.005,0,AJ234-AK234)</f>
        <v/>
      </c>
      <c r="AM234">
        <f>AR233</f>
        <v/>
      </c>
      <c r="AN234">
        <f>AM234*Plan!D12/100/12</f>
        <v/>
      </c>
      <c r="AO234">
        <f>MIN(Plan!E12,AM234+AN234)</f>
        <v/>
      </c>
      <c r="AP234">
        <f>AM234+AN234-AO234</f>
        <v/>
      </c>
      <c r="AQ234">
        <f>MIN(AP234,MAX(0,$B234-((E$5&lt;AO$5)*F234+(K$5&lt;AO$5)*L234+(Q$5&lt;AO$5)*R234+(W$5&lt;AO$5)*X234+(AC$5&lt;AO$5)*AD234+(AI$5&lt;AO$5)*AJ234+(AU$5&lt;AO$5)*AV234)))</f>
        <v/>
      </c>
      <c r="AR234">
        <f>IF(AP234-AQ234&lt;0.005,0,AP234-AQ234)</f>
        <v/>
      </c>
      <c r="AS234">
        <f>AX233</f>
        <v/>
      </c>
      <c r="AT234">
        <f>AS234*Plan!D13/100/12</f>
        <v/>
      </c>
      <c r="AU234">
        <f>MIN(Plan!E13,AS234+AT234)</f>
        <v/>
      </c>
      <c r="AV234">
        <f>AS234+AT234-AU234</f>
        <v/>
      </c>
      <c r="AW234">
        <f>MIN(AV234,MAX(0,$B234-((E$5&lt;AU$5)*F234+(K$5&lt;AU$5)*L234+(Q$5&lt;AU$5)*R234+(W$5&lt;AU$5)*X234+(AC$5&lt;AU$5)*AD234+(AI$5&lt;AU$5)*AJ234+(AO$5&lt;AU$5)*AP234)))</f>
        <v/>
      </c>
      <c r="AX234">
        <f>IF(AV234-AW234&lt;0.005,0,AV234-AW234)</f>
        <v/>
      </c>
      <c r="BC234">
        <f>H234+N234+T234+Z234+AF234+AL234+AR234+AX234</f>
        <v/>
      </c>
    </row>
    <row r="235">
      <c r="A235" t="n">
        <v>229</v>
      </c>
      <c r="B235" s="19">
        <f>MAX(0,$B$3-(E235+K235+Q235+W235+AC235+AI235+AO235+AU235))</f>
        <v/>
      </c>
      <c r="C235">
        <f>H234</f>
        <v/>
      </c>
      <c r="D235">
        <f>C235*Plan!D6/100/12</f>
        <v/>
      </c>
      <c r="E235">
        <f>MIN(Plan!E6,C235+D235)</f>
        <v/>
      </c>
      <c r="F235">
        <f>C235+D235-E235</f>
        <v/>
      </c>
      <c r="G235">
        <f>MIN(F235,MAX(0,$B235-((K$5&lt;E$5)*L235+(Q$5&lt;E$5)*R235+(W$5&lt;E$5)*X235+(AC$5&lt;E$5)*AD235+(AI$5&lt;E$5)*AJ235+(AO$5&lt;E$5)*AP235+(AU$5&lt;E$5)*AV235)))</f>
        <v/>
      </c>
      <c r="H235">
        <f>IF(F235-G235&lt;0.005,0,F235-G235)</f>
        <v/>
      </c>
      <c r="I235">
        <f>N234</f>
        <v/>
      </c>
      <c r="J235">
        <f>I235*Plan!D7/100/12</f>
        <v/>
      </c>
      <c r="K235">
        <f>MIN(Plan!E7,I235+J235)</f>
        <v/>
      </c>
      <c r="L235">
        <f>I235+J235-K235</f>
        <v/>
      </c>
      <c r="M235">
        <f>MIN(L235,MAX(0,$B235-((E$5&lt;K$5)*F235+(Q$5&lt;K$5)*R235+(W$5&lt;K$5)*X235+(AC$5&lt;K$5)*AD235+(AI$5&lt;K$5)*AJ235+(AO$5&lt;K$5)*AP235+(AU$5&lt;K$5)*AV235)))</f>
        <v/>
      </c>
      <c r="N235">
        <f>IF(L235-M235&lt;0.005,0,L235-M235)</f>
        <v/>
      </c>
      <c r="O235">
        <f>T234</f>
        <v/>
      </c>
      <c r="P235">
        <f>O235*Plan!D8/100/12</f>
        <v/>
      </c>
      <c r="Q235">
        <f>MIN(Plan!E8,O235+P235)</f>
        <v/>
      </c>
      <c r="R235">
        <f>O235+P235-Q235</f>
        <v/>
      </c>
      <c r="S235">
        <f>MIN(R235,MAX(0,$B235-((E$5&lt;Q$5)*F235+(K$5&lt;Q$5)*L235+(W$5&lt;Q$5)*X235+(AC$5&lt;Q$5)*AD235+(AI$5&lt;Q$5)*AJ235+(AO$5&lt;Q$5)*AP235+(AU$5&lt;Q$5)*AV235)))</f>
        <v/>
      </c>
      <c r="T235">
        <f>IF(R235-S235&lt;0.005,0,R235-S235)</f>
        <v/>
      </c>
      <c r="U235">
        <f>Z234</f>
        <v/>
      </c>
      <c r="V235">
        <f>U235*Plan!D9/100/12</f>
        <v/>
      </c>
      <c r="W235">
        <f>MIN(Plan!E9,U235+V235)</f>
        <v/>
      </c>
      <c r="X235">
        <f>U235+V235-W235</f>
        <v/>
      </c>
      <c r="Y235">
        <f>MIN(X235,MAX(0,$B235-((E$5&lt;W$5)*F235+(K$5&lt;W$5)*L235+(Q$5&lt;W$5)*R235+(AC$5&lt;W$5)*AD235+(AI$5&lt;W$5)*AJ235+(AO$5&lt;W$5)*AP235+(AU$5&lt;W$5)*AV235)))</f>
        <v/>
      </c>
      <c r="Z235">
        <f>IF(X235-Y235&lt;0.005,0,X235-Y235)</f>
        <v/>
      </c>
      <c r="AA235">
        <f>AF234</f>
        <v/>
      </c>
      <c r="AB235">
        <f>AA235*Plan!D10/100/12</f>
        <v/>
      </c>
      <c r="AC235">
        <f>MIN(Plan!E10,AA235+AB235)</f>
        <v/>
      </c>
      <c r="AD235">
        <f>AA235+AB235-AC235</f>
        <v/>
      </c>
      <c r="AE235">
        <f>MIN(AD235,MAX(0,$B235-((E$5&lt;AC$5)*F235+(K$5&lt;AC$5)*L235+(Q$5&lt;AC$5)*R235+(W$5&lt;AC$5)*X235+(AI$5&lt;AC$5)*AJ235+(AO$5&lt;AC$5)*AP235+(AU$5&lt;AC$5)*AV235)))</f>
        <v/>
      </c>
      <c r="AF235">
        <f>IF(AD235-AE235&lt;0.005,0,AD235-AE235)</f>
        <v/>
      </c>
      <c r="AG235">
        <f>AL234</f>
        <v/>
      </c>
      <c r="AH235">
        <f>AG235*Plan!D11/100/12</f>
        <v/>
      </c>
      <c r="AI235">
        <f>MIN(Plan!E11,AG235+AH235)</f>
        <v/>
      </c>
      <c r="AJ235">
        <f>AG235+AH235-AI235</f>
        <v/>
      </c>
      <c r="AK235">
        <f>MIN(AJ235,MAX(0,$B235-((E$5&lt;AI$5)*F235+(K$5&lt;AI$5)*L235+(Q$5&lt;AI$5)*R235+(W$5&lt;AI$5)*X235+(AC$5&lt;AI$5)*AD235+(AO$5&lt;AI$5)*AP235+(AU$5&lt;AI$5)*AV235)))</f>
        <v/>
      </c>
      <c r="AL235">
        <f>IF(AJ235-AK235&lt;0.005,0,AJ235-AK235)</f>
        <v/>
      </c>
      <c r="AM235">
        <f>AR234</f>
        <v/>
      </c>
      <c r="AN235">
        <f>AM235*Plan!D12/100/12</f>
        <v/>
      </c>
      <c r="AO235">
        <f>MIN(Plan!E12,AM235+AN235)</f>
        <v/>
      </c>
      <c r="AP235">
        <f>AM235+AN235-AO235</f>
        <v/>
      </c>
      <c r="AQ235">
        <f>MIN(AP235,MAX(0,$B235-((E$5&lt;AO$5)*F235+(K$5&lt;AO$5)*L235+(Q$5&lt;AO$5)*R235+(W$5&lt;AO$5)*X235+(AC$5&lt;AO$5)*AD235+(AI$5&lt;AO$5)*AJ235+(AU$5&lt;AO$5)*AV235)))</f>
        <v/>
      </c>
      <c r="AR235">
        <f>IF(AP235-AQ235&lt;0.005,0,AP235-AQ235)</f>
        <v/>
      </c>
      <c r="AS235">
        <f>AX234</f>
        <v/>
      </c>
      <c r="AT235">
        <f>AS235*Plan!D13/100/12</f>
        <v/>
      </c>
      <c r="AU235">
        <f>MIN(Plan!E13,AS235+AT235)</f>
        <v/>
      </c>
      <c r="AV235">
        <f>AS235+AT235-AU235</f>
        <v/>
      </c>
      <c r="AW235">
        <f>MIN(AV235,MAX(0,$B235-((E$5&lt;AU$5)*F235+(K$5&lt;AU$5)*L235+(Q$5&lt;AU$5)*R235+(W$5&lt;AU$5)*X235+(AC$5&lt;AU$5)*AD235+(AI$5&lt;AU$5)*AJ235+(AO$5&lt;AU$5)*AP235)))</f>
        <v/>
      </c>
      <c r="AX235">
        <f>IF(AV235-AW235&lt;0.005,0,AV235-AW235)</f>
        <v/>
      </c>
      <c r="BC235">
        <f>H235+N235+T235+Z235+AF235+AL235+AR235+AX235</f>
        <v/>
      </c>
    </row>
    <row r="236">
      <c r="A236" t="n">
        <v>230</v>
      </c>
      <c r="B236" s="19">
        <f>MAX(0,$B$3-(E236+K236+Q236+W236+AC236+AI236+AO236+AU236))</f>
        <v/>
      </c>
      <c r="C236">
        <f>H235</f>
        <v/>
      </c>
      <c r="D236">
        <f>C236*Plan!D6/100/12</f>
        <v/>
      </c>
      <c r="E236">
        <f>MIN(Plan!E6,C236+D236)</f>
        <v/>
      </c>
      <c r="F236">
        <f>C236+D236-E236</f>
        <v/>
      </c>
      <c r="G236">
        <f>MIN(F236,MAX(0,$B236-((K$5&lt;E$5)*L236+(Q$5&lt;E$5)*R236+(W$5&lt;E$5)*X236+(AC$5&lt;E$5)*AD236+(AI$5&lt;E$5)*AJ236+(AO$5&lt;E$5)*AP236+(AU$5&lt;E$5)*AV236)))</f>
        <v/>
      </c>
      <c r="H236">
        <f>IF(F236-G236&lt;0.005,0,F236-G236)</f>
        <v/>
      </c>
      <c r="I236">
        <f>N235</f>
        <v/>
      </c>
      <c r="J236">
        <f>I236*Plan!D7/100/12</f>
        <v/>
      </c>
      <c r="K236">
        <f>MIN(Plan!E7,I236+J236)</f>
        <v/>
      </c>
      <c r="L236">
        <f>I236+J236-K236</f>
        <v/>
      </c>
      <c r="M236">
        <f>MIN(L236,MAX(0,$B236-((E$5&lt;K$5)*F236+(Q$5&lt;K$5)*R236+(W$5&lt;K$5)*X236+(AC$5&lt;K$5)*AD236+(AI$5&lt;K$5)*AJ236+(AO$5&lt;K$5)*AP236+(AU$5&lt;K$5)*AV236)))</f>
        <v/>
      </c>
      <c r="N236">
        <f>IF(L236-M236&lt;0.005,0,L236-M236)</f>
        <v/>
      </c>
      <c r="O236">
        <f>T235</f>
        <v/>
      </c>
      <c r="P236">
        <f>O236*Plan!D8/100/12</f>
        <v/>
      </c>
      <c r="Q236">
        <f>MIN(Plan!E8,O236+P236)</f>
        <v/>
      </c>
      <c r="R236">
        <f>O236+P236-Q236</f>
        <v/>
      </c>
      <c r="S236">
        <f>MIN(R236,MAX(0,$B236-((E$5&lt;Q$5)*F236+(K$5&lt;Q$5)*L236+(W$5&lt;Q$5)*X236+(AC$5&lt;Q$5)*AD236+(AI$5&lt;Q$5)*AJ236+(AO$5&lt;Q$5)*AP236+(AU$5&lt;Q$5)*AV236)))</f>
        <v/>
      </c>
      <c r="T236">
        <f>IF(R236-S236&lt;0.005,0,R236-S236)</f>
        <v/>
      </c>
      <c r="U236">
        <f>Z235</f>
        <v/>
      </c>
      <c r="V236">
        <f>U236*Plan!D9/100/12</f>
        <v/>
      </c>
      <c r="W236">
        <f>MIN(Plan!E9,U236+V236)</f>
        <v/>
      </c>
      <c r="X236">
        <f>U236+V236-W236</f>
        <v/>
      </c>
      <c r="Y236">
        <f>MIN(X236,MAX(0,$B236-((E$5&lt;W$5)*F236+(K$5&lt;W$5)*L236+(Q$5&lt;W$5)*R236+(AC$5&lt;W$5)*AD236+(AI$5&lt;W$5)*AJ236+(AO$5&lt;W$5)*AP236+(AU$5&lt;W$5)*AV236)))</f>
        <v/>
      </c>
      <c r="Z236">
        <f>IF(X236-Y236&lt;0.005,0,X236-Y236)</f>
        <v/>
      </c>
      <c r="AA236">
        <f>AF235</f>
        <v/>
      </c>
      <c r="AB236">
        <f>AA236*Plan!D10/100/12</f>
        <v/>
      </c>
      <c r="AC236">
        <f>MIN(Plan!E10,AA236+AB236)</f>
        <v/>
      </c>
      <c r="AD236">
        <f>AA236+AB236-AC236</f>
        <v/>
      </c>
      <c r="AE236">
        <f>MIN(AD236,MAX(0,$B236-((E$5&lt;AC$5)*F236+(K$5&lt;AC$5)*L236+(Q$5&lt;AC$5)*R236+(W$5&lt;AC$5)*X236+(AI$5&lt;AC$5)*AJ236+(AO$5&lt;AC$5)*AP236+(AU$5&lt;AC$5)*AV236)))</f>
        <v/>
      </c>
      <c r="AF236">
        <f>IF(AD236-AE236&lt;0.005,0,AD236-AE236)</f>
        <v/>
      </c>
      <c r="AG236">
        <f>AL235</f>
        <v/>
      </c>
      <c r="AH236">
        <f>AG236*Plan!D11/100/12</f>
        <v/>
      </c>
      <c r="AI236">
        <f>MIN(Plan!E11,AG236+AH236)</f>
        <v/>
      </c>
      <c r="AJ236">
        <f>AG236+AH236-AI236</f>
        <v/>
      </c>
      <c r="AK236">
        <f>MIN(AJ236,MAX(0,$B236-((E$5&lt;AI$5)*F236+(K$5&lt;AI$5)*L236+(Q$5&lt;AI$5)*R236+(W$5&lt;AI$5)*X236+(AC$5&lt;AI$5)*AD236+(AO$5&lt;AI$5)*AP236+(AU$5&lt;AI$5)*AV236)))</f>
        <v/>
      </c>
      <c r="AL236">
        <f>IF(AJ236-AK236&lt;0.005,0,AJ236-AK236)</f>
        <v/>
      </c>
      <c r="AM236">
        <f>AR235</f>
        <v/>
      </c>
      <c r="AN236">
        <f>AM236*Plan!D12/100/12</f>
        <v/>
      </c>
      <c r="AO236">
        <f>MIN(Plan!E12,AM236+AN236)</f>
        <v/>
      </c>
      <c r="AP236">
        <f>AM236+AN236-AO236</f>
        <v/>
      </c>
      <c r="AQ236">
        <f>MIN(AP236,MAX(0,$B236-((E$5&lt;AO$5)*F236+(K$5&lt;AO$5)*L236+(Q$5&lt;AO$5)*R236+(W$5&lt;AO$5)*X236+(AC$5&lt;AO$5)*AD236+(AI$5&lt;AO$5)*AJ236+(AU$5&lt;AO$5)*AV236)))</f>
        <v/>
      </c>
      <c r="AR236">
        <f>IF(AP236-AQ236&lt;0.005,0,AP236-AQ236)</f>
        <v/>
      </c>
      <c r="AS236">
        <f>AX235</f>
        <v/>
      </c>
      <c r="AT236">
        <f>AS236*Plan!D13/100/12</f>
        <v/>
      </c>
      <c r="AU236">
        <f>MIN(Plan!E13,AS236+AT236)</f>
        <v/>
      </c>
      <c r="AV236">
        <f>AS236+AT236-AU236</f>
        <v/>
      </c>
      <c r="AW236">
        <f>MIN(AV236,MAX(0,$B236-((E$5&lt;AU$5)*F236+(K$5&lt;AU$5)*L236+(Q$5&lt;AU$5)*R236+(W$5&lt;AU$5)*X236+(AC$5&lt;AU$5)*AD236+(AI$5&lt;AU$5)*AJ236+(AO$5&lt;AU$5)*AP236)))</f>
        <v/>
      </c>
      <c r="AX236">
        <f>IF(AV236-AW236&lt;0.005,0,AV236-AW236)</f>
        <v/>
      </c>
      <c r="BC236">
        <f>H236+N236+T236+Z236+AF236+AL236+AR236+AX236</f>
        <v/>
      </c>
    </row>
    <row r="237">
      <c r="A237" t="n">
        <v>231</v>
      </c>
      <c r="B237" s="19">
        <f>MAX(0,$B$3-(E237+K237+Q237+W237+AC237+AI237+AO237+AU237))</f>
        <v/>
      </c>
      <c r="C237">
        <f>H236</f>
        <v/>
      </c>
      <c r="D237">
        <f>C237*Plan!D6/100/12</f>
        <v/>
      </c>
      <c r="E237">
        <f>MIN(Plan!E6,C237+D237)</f>
        <v/>
      </c>
      <c r="F237">
        <f>C237+D237-E237</f>
        <v/>
      </c>
      <c r="G237">
        <f>MIN(F237,MAX(0,$B237-((K$5&lt;E$5)*L237+(Q$5&lt;E$5)*R237+(W$5&lt;E$5)*X237+(AC$5&lt;E$5)*AD237+(AI$5&lt;E$5)*AJ237+(AO$5&lt;E$5)*AP237+(AU$5&lt;E$5)*AV237)))</f>
        <v/>
      </c>
      <c r="H237">
        <f>IF(F237-G237&lt;0.005,0,F237-G237)</f>
        <v/>
      </c>
      <c r="I237">
        <f>N236</f>
        <v/>
      </c>
      <c r="J237">
        <f>I237*Plan!D7/100/12</f>
        <v/>
      </c>
      <c r="K237">
        <f>MIN(Plan!E7,I237+J237)</f>
        <v/>
      </c>
      <c r="L237">
        <f>I237+J237-K237</f>
        <v/>
      </c>
      <c r="M237">
        <f>MIN(L237,MAX(0,$B237-((E$5&lt;K$5)*F237+(Q$5&lt;K$5)*R237+(W$5&lt;K$5)*X237+(AC$5&lt;K$5)*AD237+(AI$5&lt;K$5)*AJ237+(AO$5&lt;K$5)*AP237+(AU$5&lt;K$5)*AV237)))</f>
        <v/>
      </c>
      <c r="N237">
        <f>IF(L237-M237&lt;0.005,0,L237-M237)</f>
        <v/>
      </c>
      <c r="O237">
        <f>T236</f>
        <v/>
      </c>
      <c r="P237">
        <f>O237*Plan!D8/100/12</f>
        <v/>
      </c>
      <c r="Q237">
        <f>MIN(Plan!E8,O237+P237)</f>
        <v/>
      </c>
      <c r="R237">
        <f>O237+P237-Q237</f>
        <v/>
      </c>
      <c r="S237">
        <f>MIN(R237,MAX(0,$B237-((E$5&lt;Q$5)*F237+(K$5&lt;Q$5)*L237+(W$5&lt;Q$5)*X237+(AC$5&lt;Q$5)*AD237+(AI$5&lt;Q$5)*AJ237+(AO$5&lt;Q$5)*AP237+(AU$5&lt;Q$5)*AV237)))</f>
        <v/>
      </c>
      <c r="T237">
        <f>IF(R237-S237&lt;0.005,0,R237-S237)</f>
        <v/>
      </c>
      <c r="U237">
        <f>Z236</f>
        <v/>
      </c>
      <c r="V237">
        <f>U237*Plan!D9/100/12</f>
        <v/>
      </c>
      <c r="W237">
        <f>MIN(Plan!E9,U237+V237)</f>
        <v/>
      </c>
      <c r="X237">
        <f>U237+V237-W237</f>
        <v/>
      </c>
      <c r="Y237">
        <f>MIN(X237,MAX(0,$B237-((E$5&lt;W$5)*F237+(K$5&lt;W$5)*L237+(Q$5&lt;W$5)*R237+(AC$5&lt;W$5)*AD237+(AI$5&lt;W$5)*AJ237+(AO$5&lt;W$5)*AP237+(AU$5&lt;W$5)*AV237)))</f>
        <v/>
      </c>
      <c r="Z237">
        <f>IF(X237-Y237&lt;0.005,0,X237-Y237)</f>
        <v/>
      </c>
      <c r="AA237">
        <f>AF236</f>
        <v/>
      </c>
      <c r="AB237">
        <f>AA237*Plan!D10/100/12</f>
        <v/>
      </c>
      <c r="AC237">
        <f>MIN(Plan!E10,AA237+AB237)</f>
        <v/>
      </c>
      <c r="AD237">
        <f>AA237+AB237-AC237</f>
        <v/>
      </c>
      <c r="AE237">
        <f>MIN(AD237,MAX(0,$B237-((E$5&lt;AC$5)*F237+(K$5&lt;AC$5)*L237+(Q$5&lt;AC$5)*R237+(W$5&lt;AC$5)*X237+(AI$5&lt;AC$5)*AJ237+(AO$5&lt;AC$5)*AP237+(AU$5&lt;AC$5)*AV237)))</f>
        <v/>
      </c>
      <c r="AF237">
        <f>IF(AD237-AE237&lt;0.005,0,AD237-AE237)</f>
        <v/>
      </c>
      <c r="AG237">
        <f>AL236</f>
        <v/>
      </c>
      <c r="AH237">
        <f>AG237*Plan!D11/100/12</f>
        <v/>
      </c>
      <c r="AI237">
        <f>MIN(Plan!E11,AG237+AH237)</f>
        <v/>
      </c>
      <c r="AJ237">
        <f>AG237+AH237-AI237</f>
        <v/>
      </c>
      <c r="AK237">
        <f>MIN(AJ237,MAX(0,$B237-((E$5&lt;AI$5)*F237+(K$5&lt;AI$5)*L237+(Q$5&lt;AI$5)*R237+(W$5&lt;AI$5)*X237+(AC$5&lt;AI$5)*AD237+(AO$5&lt;AI$5)*AP237+(AU$5&lt;AI$5)*AV237)))</f>
        <v/>
      </c>
      <c r="AL237">
        <f>IF(AJ237-AK237&lt;0.005,0,AJ237-AK237)</f>
        <v/>
      </c>
      <c r="AM237">
        <f>AR236</f>
        <v/>
      </c>
      <c r="AN237">
        <f>AM237*Plan!D12/100/12</f>
        <v/>
      </c>
      <c r="AO237">
        <f>MIN(Plan!E12,AM237+AN237)</f>
        <v/>
      </c>
      <c r="AP237">
        <f>AM237+AN237-AO237</f>
        <v/>
      </c>
      <c r="AQ237">
        <f>MIN(AP237,MAX(0,$B237-((E$5&lt;AO$5)*F237+(K$5&lt;AO$5)*L237+(Q$5&lt;AO$5)*R237+(W$5&lt;AO$5)*X237+(AC$5&lt;AO$5)*AD237+(AI$5&lt;AO$5)*AJ237+(AU$5&lt;AO$5)*AV237)))</f>
        <v/>
      </c>
      <c r="AR237">
        <f>IF(AP237-AQ237&lt;0.005,0,AP237-AQ237)</f>
        <v/>
      </c>
      <c r="AS237">
        <f>AX236</f>
        <v/>
      </c>
      <c r="AT237">
        <f>AS237*Plan!D13/100/12</f>
        <v/>
      </c>
      <c r="AU237">
        <f>MIN(Plan!E13,AS237+AT237)</f>
        <v/>
      </c>
      <c r="AV237">
        <f>AS237+AT237-AU237</f>
        <v/>
      </c>
      <c r="AW237">
        <f>MIN(AV237,MAX(0,$B237-((E$5&lt;AU$5)*F237+(K$5&lt;AU$5)*L237+(Q$5&lt;AU$5)*R237+(W$5&lt;AU$5)*X237+(AC$5&lt;AU$5)*AD237+(AI$5&lt;AU$5)*AJ237+(AO$5&lt;AU$5)*AP237)))</f>
        <v/>
      </c>
      <c r="AX237">
        <f>IF(AV237-AW237&lt;0.005,0,AV237-AW237)</f>
        <v/>
      </c>
      <c r="BC237">
        <f>H237+N237+T237+Z237+AF237+AL237+AR237+AX237</f>
        <v/>
      </c>
    </row>
    <row r="238">
      <c r="A238" t="n">
        <v>232</v>
      </c>
      <c r="B238" s="19">
        <f>MAX(0,$B$3-(E238+K238+Q238+W238+AC238+AI238+AO238+AU238))</f>
        <v/>
      </c>
      <c r="C238">
        <f>H237</f>
        <v/>
      </c>
      <c r="D238">
        <f>C238*Plan!D6/100/12</f>
        <v/>
      </c>
      <c r="E238">
        <f>MIN(Plan!E6,C238+D238)</f>
        <v/>
      </c>
      <c r="F238">
        <f>C238+D238-E238</f>
        <v/>
      </c>
      <c r="G238">
        <f>MIN(F238,MAX(0,$B238-((K$5&lt;E$5)*L238+(Q$5&lt;E$5)*R238+(W$5&lt;E$5)*X238+(AC$5&lt;E$5)*AD238+(AI$5&lt;E$5)*AJ238+(AO$5&lt;E$5)*AP238+(AU$5&lt;E$5)*AV238)))</f>
        <v/>
      </c>
      <c r="H238">
        <f>IF(F238-G238&lt;0.005,0,F238-G238)</f>
        <v/>
      </c>
      <c r="I238">
        <f>N237</f>
        <v/>
      </c>
      <c r="J238">
        <f>I238*Plan!D7/100/12</f>
        <v/>
      </c>
      <c r="K238">
        <f>MIN(Plan!E7,I238+J238)</f>
        <v/>
      </c>
      <c r="L238">
        <f>I238+J238-K238</f>
        <v/>
      </c>
      <c r="M238">
        <f>MIN(L238,MAX(0,$B238-((E$5&lt;K$5)*F238+(Q$5&lt;K$5)*R238+(W$5&lt;K$5)*X238+(AC$5&lt;K$5)*AD238+(AI$5&lt;K$5)*AJ238+(AO$5&lt;K$5)*AP238+(AU$5&lt;K$5)*AV238)))</f>
        <v/>
      </c>
      <c r="N238">
        <f>IF(L238-M238&lt;0.005,0,L238-M238)</f>
        <v/>
      </c>
      <c r="O238">
        <f>T237</f>
        <v/>
      </c>
      <c r="P238">
        <f>O238*Plan!D8/100/12</f>
        <v/>
      </c>
      <c r="Q238">
        <f>MIN(Plan!E8,O238+P238)</f>
        <v/>
      </c>
      <c r="R238">
        <f>O238+P238-Q238</f>
        <v/>
      </c>
      <c r="S238">
        <f>MIN(R238,MAX(0,$B238-((E$5&lt;Q$5)*F238+(K$5&lt;Q$5)*L238+(W$5&lt;Q$5)*X238+(AC$5&lt;Q$5)*AD238+(AI$5&lt;Q$5)*AJ238+(AO$5&lt;Q$5)*AP238+(AU$5&lt;Q$5)*AV238)))</f>
        <v/>
      </c>
      <c r="T238">
        <f>IF(R238-S238&lt;0.005,0,R238-S238)</f>
        <v/>
      </c>
      <c r="U238">
        <f>Z237</f>
        <v/>
      </c>
      <c r="V238">
        <f>U238*Plan!D9/100/12</f>
        <v/>
      </c>
      <c r="W238">
        <f>MIN(Plan!E9,U238+V238)</f>
        <v/>
      </c>
      <c r="X238">
        <f>U238+V238-W238</f>
        <v/>
      </c>
      <c r="Y238">
        <f>MIN(X238,MAX(0,$B238-((E$5&lt;W$5)*F238+(K$5&lt;W$5)*L238+(Q$5&lt;W$5)*R238+(AC$5&lt;W$5)*AD238+(AI$5&lt;W$5)*AJ238+(AO$5&lt;W$5)*AP238+(AU$5&lt;W$5)*AV238)))</f>
        <v/>
      </c>
      <c r="Z238">
        <f>IF(X238-Y238&lt;0.005,0,X238-Y238)</f>
        <v/>
      </c>
      <c r="AA238">
        <f>AF237</f>
        <v/>
      </c>
      <c r="AB238">
        <f>AA238*Plan!D10/100/12</f>
        <v/>
      </c>
      <c r="AC238">
        <f>MIN(Plan!E10,AA238+AB238)</f>
        <v/>
      </c>
      <c r="AD238">
        <f>AA238+AB238-AC238</f>
        <v/>
      </c>
      <c r="AE238">
        <f>MIN(AD238,MAX(0,$B238-((E$5&lt;AC$5)*F238+(K$5&lt;AC$5)*L238+(Q$5&lt;AC$5)*R238+(W$5&lt;AC$5)*X238+(AI$5&lt;AC$5)*AJ238+(AO$5&lt;AC$5)*AP238+(AU$5&lt;AC$5)*AV238)))</f>
        <v/>
      </c>
      <c r="AF238">
        <f>IF(AD238-AE238&lt;0.005,0,AD238-AE238)</f>
        <v/>
      </c>
      <c r="AG238">
        <f>AL237</f>
        <v/>
      </c>
      <c r="AH238">
        <f>AG238*Plan!D11/100/12</f>
        <v/>
      </c>
      <c r="AI238">
        <f>MIN(Plan!E11,AG238+AH238)</f>
        <v/>
      </c>
      <c r="AJ238">
        <f>AG238+AH238-AI238</f>
        <v/>
      </c>
      <c r="AK238">
        <f>MIN(AJ238,MAX(0,$B238-((E$5&lt;AI$5)*F238+(K$5&lt;AI$5)*L238+(Q$5&lt;AI$5)*R238+(W$5&lt;AI$5)*X238+(AC$5&lt;AI$5)*AD238+(AO$5&lt;AI$5)*AP238+(AU$5&lt;AI$5)*AV238)))</f>
        <v/>
      </c>
      <c r="AL238">
        <f>IF(AJ238-AK238&lt;0.005,0,AJ238-AK238)</f>
        <v/>
      </c>
      <c r="AM238">
        <f>AR237</f>
        <v/>
      </c>
      <c r="AN238">
        <f>AM238*Plan!D12/100/12</f>
        <v/>
      </c>
      <c r="AO238">
        <f>MIN(Plan!E12,AM238+AN238)</f>
        <v/>
      </c>
      <c r="AP238">
        <f>AM238+AN238-AO238</f>
        <v/>
      </c>
      <c r="AQ238">
        <f>MIN(AP238,MAX(0,$B238-((E$5&lt;AO$5)*F238+(K$5&lt;AO$5)*L238+(Q$5&lt;AO$5)*R238+(W$5&lt;AO$5)*X238+(AC$5&lt;AO$5)*AD238+(AI$5&lt;AO$5)*AJ238+(AU$5&lt;AO$5)*AV238)))</f>
        <v/>
      </c>
      <c r="AR238">
        <f>IF(AP238-AQ238&lt;0.005,0,AP238-AQ238)</f>
        <v/>
      </c>
      <c r="AS238">
        <f>AX237</f>
        <v/>
      </c>
      <c r="AT238">
        <f>AS238*Plan!D13/100/12</f>
        <v/>
      </c>
      <c r="AU238">
        <f>MIN(Plan!E13,AS238+AT238)</f>
        <v/>
      </c>
      <c r="AV238">
        <f>AS238+AT238-AU238</f>
        <v/>
      </c>
      <c r="AW238">
        <f>MIN(AV238,MAX(0,$B238-((E$5&lt;AU$5)*F238+(K$5&lt;AU$5)*L238+(Q$5&lt;AU$5)*R238+(W$5&lt;AU$5)*X238+(AC$5&lt;AU$5)*AD238+(AI$5&lt;AU$5)*AJ238+(AO$5&lt;AU$5)*AP238)))</f>
        <v/>
      </c>
      <c r="AX238">
        <f>IF(AV238-AW238&lt;0.005,0,AV238-AW238)</f>
        <v/>
      </c>
      <c r="BC238">
        <f>H238+N238+T238+Z238+AF238+AL238+AR238+AX238</f>
        <v/>
      </c>
    </row>
    <row r="239">
      <c r="A239" t="n">
        <v>233</v>
      </c>
      <c r="B239" s="19">
        <f>MAX(0,$B$3-(E239+K239+Q239+W239+AC239+AI239+AO239+AU239))</f>
        <v/>
      </c>
      <c r="C239">
        <f>H238</f>
        <v/>
      </c>
      <c r="D239">
        <f>C239*Plan!D6/100/12</f>
        <v/>
      </c>
      <c r="E239">
        <f>MIN(Plan!E6,C239+D239)</f>
        <v/>
      </c>
      <c r="F239">
        <f>C239+D239-E239</f>
        <v/>
      </c>
      <c r="G239">
        <f>MIN(F239,MAX(0,$B239-((K$5&lt;E$5)*L239+(Q$5&lt;E$5)*R239+(W$5&lt;E$5)*X239+(AC$5&lt;E$5)*AD239+(AI$5&lt;E$5)*AJ239+(AO$5&lt;E$5)*AP239+(AU$5&lt;E$5)*AV239)))</f>
        <v/>
      </c>
      <c r="H239">
        <f>IF(F239-G239&lt;0.005,0,F239-G239)</f>
        <v/>
      </c>
      <c r="I239">
        <f>N238</f>
        <v/>
      </c>
      <c r="J239">
        <f>I239*Plan!D7/100/12</f>
        <v/>
      </c>
      <c r="K239">
        <f>MIN(Plan!E7,I239+J239)</f>
        <v/>
      </c>
      <c r="L239">
        <f>I239+J239-K239</f>
        <v/>
      </c>
      <c r="M239">
        <f>MIN(L239,MAX(0,$B239-((E$5&lt;K$5)*F239+(Q$5&lt;K$5)*R239+(W$5&lt;K$5)*X239+(AC$5&lt;K$5)*AD239+(AI$5&lt;K$5)*AJ239+(AO$5&lt;K$5)*AP239+(AU$5&lt;K$5)*AV239)))</f>
        <v/>
      </c>
      <c r="N239">
        <f>IF(L239-M239&lt;0.005,0,L239-M239)</f>
        <v/>
      </c>
      <c r="O239">
        <f>T238</f>
        <v/>
      </c>
      <c r="P239">
        <f>O239*Plan!D8/100/12</f>
        <v/>
      </c>
      <c r="Q239">
        <f>MIN(Plan!E8,O239+P239)</f>
        <v/>
      </c>
      <c r="R239">
        <f>O239+P239-Q239</f>
        <v/>
      </c>
      <c r="S239">
        <f>MIN(R239,MAX(0,$B239-((E$5&lt;Q$5)*F239+(K$5&lt;Q$5)*L239+(W$5&lt;Q$5)*X239+(AC$5&lt;Q$5)*AD239+(AI$5&lt;Q$5)*AJ239+(AO$5&lt;Q$5)*AP239+(AU$5&lt;Q$5)*AV239)))</f>
        <v/>
      </c>
      <c r="T239">
        <f>IF(R239-S239&lt;0.005,0,R239-S239)</f>
        <v/>
      </c>
      <c r="U239">
        <f>Z238</f>
        <v/>
      </c>
      <c r="V239">
        <f>U239*Plan!D9/100/12</f>
        <v/>
      </c>
      <c r="W239">
        <f>MIN(Plan!E9,U239+V239)</f>
        <v/>
      </c>
      <c r="X239">
        <f>U239+V239-W239</f>
        <v/>
      </c>
      <c r="Y239">
        <f>MIN(X239,MAX(0,$B239-((E$5&lt;W$5)*F239+(K$5&lt;W$5)*L239+(Q$5&lt;W$5)*R239+(AC$5&lt;W$5)*AD239+(AI$5&lt;W$5)*AJ239+(AO$5&lt;W$5)*AP239+(AU$5&lt;W$5)*AV239)))</f>
        <v/>
      </c>
      <c r="Z239">
        <f>IF(X239-Y239&lt;0.005,0,X239-Y239)</f>
        <v/>
      </c>
      <c r="AA239">
        <f>AF238</f>
        <v/>
      </c>
      <c r="AB239">
        <f>AA239*Plan!D10/100/12</f>
        <v/>
      </c>
      <c r="AC239">
        <f>MIN(Plan!E10,AA239+AB239)</f>
        <v/>
      </c>
      <c r="AD239">
        <f>AA239+AB239-AC239</f>
        <v/>
      </c>
      <c r="AE239">
        <f>MIN(AD239,MAX(0,$B239-((E$5&lt;AC$5)*F239+(K$5&lt;AC$5)*L239+(Q$5&lt;AC$5)*R239+(W$5&lt;AC$5)*X239+(AI$5&lt;AC$5)*AJ239+(AO$5&lt;AC$5)*AP239+(AU$5&lt;AC$5)*AV239)))</f>
        <v/>
      </c>
      <c r="AF239">
        <f>IF(AD239-AE239&lt;0.005,0,AD239-AE239)</f>
        <v/>
      </c>
      <c r="AG239">
        <f>AL238</f>
        <v/>
      </c>
      <c r="AH239">
        <f>AG239*Plan!D11/100/12</f>
        <v/>
      </c>
      <c r="AI239">
        <f>MIN(Plan!E11,AG239+AH239)</f>
        <v/>
      </c>
      <c r="AJ239">
        <f>AG239+AH239-AI239</f>
        <v/>
      </c>
      <c r="AK239">
        <f>MIN(AJ239,MAX(0,$B239-((E$5&lt;AI$5)*F239+(K$5&lt;AI$5)*L239+(Q$5&lt;AI$5)*R239+(W$5&lt;AI$5)*X239+(AC$5&lt;AI$5)*AD239+(AO$5&lt;AI$5)*AP239+(AU$5&lt;AI$5)*AV239)))</f>
        <v/>
      </c>
      <c r="AL239">
        <f>IF(AJ239-AK239&lt;0.005,0,AJ239-AK239)</f>
        <v/>
      </c>
      <c r="AM239">
        <f>AR238</f>
        <v/>
      </c>
      <c r="AN239">
        <f>AM239*Plan!D12/100/12</f>
        <v/>
      </c>
      <c r="AO239">
        <f>MIN(Plan!E12,AM239+AN239)</f>
        <v/>
      </c>
      <c r="AP239">
        <f>AM239+AN239-AO239</f>
        <v/>
      </c>
      <c r="AQ239">
        <f>MIN(AP239,MAX(0,$B239-((E$5&lt;AO$5)*F239+(K$5&lt;AO$5)*L239+(Q$5&lt;AO$5)*R239+(W$5&lt;AO$5)*X239+(AC$5&lt;AO$5)*AD239+(AI$5&lt;AO$5)*AJ239+(AU$5&lt;AO$5)*AV239)))</f>
        <v/>
      </c>
      <c r="AR239">
        <f>IF(AP239-AQ239&lt;0.005,0,AP239-AQ239)</f>
        <v/>
      </c>
      <c r="AS239">
        <f>AX238</f>
        <v/>
      </c>
      <c r="AT239">
        <f>AS239*Plan!D13/100/12</f>
        <v/>
      </c>
      <c r="AU239">
        <f>MIN(Plan!E13,AS239+AT239)</f>
        <v/>
      </c>
      <c r="AV239">
        <f>AS239+AT239-AU239</f>
        <v/>
      </c>
      <c r="AW239">
        <f>MIN(AV239,MAX(0,$B239-((E$5&lt;AU$5)*F239+(K$5&lt;AU$5)*L239+(Q$5&lt;AU$5)*R239+(W$5&lt;AU$5)*X239+(AC$5&lt;AU$5)*AD239+(AI$5&lt;AU$5)*AJ239+(AO$5&lt;AU$5)*AP239)))</f>
        <v/>
      </c>
      <c r="AX239">
        <f>IF(AV239-AW239&lt;0.005,0,AV239-AW239)</f>
        <v/>
      </c>
      <c r="BC239">
        <f>H239+N239+T239+Z239+AF239+AL239+AR239+AX239</f>
        <v/>
      </c>
    </row>
    <row r="240">
      <c r="A240" t="n">
        <v>234</v>
      </c>
      <c r="B240" s="19">
        <f>MAX(0,$B$3-(E240+K240+Q240+W240+AC240+AI240+AO240+AU240))</f>
        <v/>
      </c>
      <c r="C240">
        <f>H239</f>
        <v/>
      </c>
      <c r="D240">
        <f>C240*Plan!D6/100/12</f>
        <v/>
      </c>
      <c r="E240">
        <f>MIN(Plan!E6,C240+D240)</f>
        <v/>
      </c>
      <c r="F240">
        <f>C240+D240-E240</f>
        <v/>
      </c>
      <c r="G240">
        <f>MIN(F240,MAX(0,$B240-((K$5&lt;E$5)*L240+(Q$5&lt;E$5)*R240+(W$5&lt;E$5)*X240+(AC$5&lt;E$5)*AD240+(AI$5&lt;E$5)*AJ240+(AO$5&lt;E$5)*AP240+(AU$5&lt;E$5)*AV240)))</f>
        <v/>
      </c>
      <c r="H240">
        <f>IF(F240-G240&lt;0.005,0,F240-G240)</f>
        <v/>
      </c>
      <c r="I240">
        <f>N239</f>
        <v/>
      </c>
      <c r="J240">
        <f>I240*Plan!D7/100/12</f>
        <v/>
      </c>
      <c r="K240">
        <f>MIN(Plan!E7,I240+J240)</f>
        <v/>
      </c>
      <c r="L240">
        <f>I240+J240-K240</f>
        <v/>
      </c>
      <c r="M240">
        <f>MIN(L240,MAX(0,$B240-((E$5&lt;K$5)*F240+(Q$5&lt;K$5)*R240+(W$5&lt;K$5)*X240+(AC$5&lt;K$5)*AD240+(AI$5&lt;K$5)*AJ240+(AO$5&lt;K$5)*AP240+(AU$5&lt;K$5)*AV240)))</f>
        <v/>
      </c>
      <c r="N240">
        <f>IF(L240-M240&lt;0.005,0,L240-M240)</f>
        <v/>
      </c>
      <c r="O240">
        <f>T239</f>
        <v/>
      </c>
      <c r="P240">
        <f>O240*Plan!D8/100/12</f>
        <v/>
      </c>
      <c r="Q240">
        <f>MIN(Plan!E8,O240+P240)</f>
        <v/>
      </c>
      <c r="R240">
        <f>O240+P240-Q240</f>
        <v/>
      </c>
      <c r="S240">
        <f>MIN(R240,MAX(0,$B240-((E$5&lt;Q$5)*F240+(K$5&lt;Q$5)*L240+(W$5&lt;Q$5)*X240+(AC$5&lt;Q$5)*AD240+(AI$5&lt;Q$5)*AJ240+(AO$5&lt;Q$5)*AP240+(AU$5&lt;Q$5)*AV240)))</f>
        <v/>
      </c>
      <c r="T240">
        <f>IF(R240-S240&lt;0.005,0,R240-S240)</f>
        <v/>
      </c>
      <c r="U240">
        <f>Z239</f>
        <v/>
      </c>
      <c r="V240">
        <f>U240*Plan!D9/100/12</f>
        <v/>
      </c>
      <c r="W240">
        <f>MIN(Plan!E9,U240+V240)</f>
        <v/>
      </c>
      <c r="X240">
        <f>U240+V240-W240</f>
        <v/>
      </c>
      <c r="Y240">
        <f>MIN(X240,MAX(0,$B240-((E$5&lt;W$5)*F240+(K$5&lt;W$5)*L240+(Q$5&lt;W$5)*R240+(AC$5&lt;W$5)*AD240+(AI$5&lt;W$5)*AJ240+(AO$5&lt;W$5)*AP240+(AU$5&lt;W$5)*AV240)))</f>
        <v/>
      </c>
      <c r="Z240">
        <f>IF(X240-Y240&lt;0.005,0,X240-Y240)</f>
        <v/>
      </c>
      <c r="AA240">
        <f>AF239</f>
        <v/>
      </c>
      <c r="AB240">
        <f>AA240*Plan!D10/100/12</f>
        <v/>
      </c>
      <c r="AC240">
        <f>MIN(Plan!E10,AA240+AB240)</f>
        <v/>
      </c>
      <c r="AD240">
        <f>AA240+AB240-AC240</f>
        <v/>
      </c>
      <c r="AE240">
        <f>MIN(AD240,MAX(0,$B240-((E$5&lt;AC$5)*F240+(K$5&lt;AC$5)*L240+(Q$5&lt;AC$5)*R240+(W$5&lt;AC$5)*X240+(AI$5&lt;AC$5)*AJ240+(AO$5&lt;AC$5)*AP240+(AU$5&lt;AC$5)*AV240)))</f>
        <v/>
      </c>
      <c r="AF240">
        <f>IF(AD240-AE240&lt;0.005,0,AD240-AE240)</f>
        <v/>
      </c>
      <c r="AG240">
        <f>AL239</f>
        <v/>
      </c>
      <c r="AH240">
        <f>AG240*Plan!D11/100/12</f>
        <v/>
      </c>
      <c r="AI240">
        <f>MIN(Plan!E11,AG240+AH240)</f>
        <v/>
      </c>
      <c r="AJ240">
        <f>AG240+AH240-AI240</f>
        <v/>
      </c>
      <c r="AK240">
        <f>MIN(AJ240,MAX(0,$B240-((E$5&lt;AI$5)*F240+(K$5&lt;AI$5)*L240+(Q$5&lt;AI$5)*R240+(W$5&lt;AI$5)*X240+(AC$5&lt;AI$5)*AD240+(AO$5&lt;AI$5)*AP240+(AU$5&lt;AI$5)*AV240)))</f>
        <v/>
      </c>
      <c r="AL240">
        <f>IF(AJ240-AK240&lt;0.005,0,AJ240-AK240)</f>
        <v/>
      </c>
      <c r="AM240">
        <f>AR239</f>
        <v/>
      </c>
      <c r="AN240">
        <f>AM240*Plan!D12/100/12</f>
        <v/>
      </c>
      <c r="AO240">
        <f>MIN(Plan!E12,AM240+AN240)</f>
        <v/>
      </c>
      <c r="AP240">
        <f>AM240+AN240-AO240</f>
        <v/>
      </c>
      <c r="AQ240">
        <f>MIN(AP240,MAX(0,$B240-((E$5&lt;AO$5)*F240+(K$5&lt;AO$5)*L240+(Q$5&lt;AO$5)*R240+(W$5&lt;AO$5)*X240+(AC$5&lt;AO$5)*AD240+(AI$5&lt;AO$5)*AJ240+(AU$5&lt;AO$5)*AV240)))</f>
        <v/>
      </c>
      <c r="AR240">
        <f>IF(AP240-AQ240&lt;0.005,0,AP240-AQ240)</f>
        <v/>
      </c>
      <c r="AS240">
        <f>AX239</f>
        <v/>
      </c>
      <c r="AT240">
        <f>AS240*Plan!D13/100/12</f>
        <v/>
      </c>
      <c r="AU240">
        <f>MIN(Plan!E13,AS240+AT240)</f>
        <v/>
      </c>
      <c r="AV240">
        <f>AS240+AT240-AU240</f>
        <v/>
      </c>
      <c r="AW240">
        <f>MIN(AV240,MAX(0,$B240-((E$5&lt;AU$5)*F240+(K$5&lt;AU$5)*L240+(Q$5&lt;AU$5)*R240+(W$5&lt;AU$5)*X240+(AC$5&lt;AU$5)*AD240+(AI$5&lt;AU$5)*AJ240+(AO$5&lt;AU$5)*AP240)))</f>
        <v/>
      </c>
      <c r="AX240">
        <f>IF(AV240-AW240&lt;0.005,0,AV240-AW240)</f>
        <v/>
      </c>
      <c r="BC240">
        <f>H240+N240+T240+Z240+AF240+AL240+AR240+AX240</f>
        <v/>
      </c>
    </row>
    <row r="241">
      <c r="A241" t="n">
        <v>235</v>
      </c>
      <c r="B241" s="19">
        <f>MAX(0,$B$3-(E241+K241+Q241+W241+AC241+AI241+AO241+AU241))</f>
        <v/>
      </c>
      <c r="C241">
        <f>H240</f>
        <v/>
      </c>
      <c r="D241">
        <f>C241*Plan!D6/100/12</f>
        <v/>
      </c>
      <c r="E241">
        <f>MIN(Plan!E6,C241+D241)</f>
        <v/>
      </c>
      <c r="F241">
        <f>C241+D241-E241</f>
        <v/>
      </c>
      <c r="G241">
        <f>MIN(F241,MAX(0,$B241-((K$5&lt;E$5)*L241+(Q$5&lt;E$5)*R241+(W$5&lt;E$5)*X241+(AC$5&lt;E$5)*AD241+(AI$5&lt;E$5)*AJ241+(AO$5&lt;E$5)*AP241+(AU$5&lt;E$5)*AV241)))</f>
        <v/>
      </c>
      <c r="H241">
        <f>IF(F241-G241&lt;0.005,0,F241-G241)</f>
        <v/>
      </c>
      <c r="I241">
        <f>N240</f>
        <v/>
      </c>
      <c r="J241">
        <f>I241*Plan!D7/100/12</f>
        <v/>
      </c>
      <c r="K241">
        <f>MIN(Plan!E7,I241+J241)</f>
        <v/>
      </c>
      <c r="L241">
        <f>I241+J241-K241</f>
        <v/>
      </c>
      <c r="M241">
        <f>MIN(L241,MAX(0,$B241-((E$5&lt;K$5)*F241+(Q$5&lt;K$5)*R241+(W$5&lt;K$5)*X241+(AC$5&lt;K$5)*AD241+(AI$5&lt;K$5)*AJ241+(AO$5&lt;K$5)*AP241+(AU$5&lt;K$5)*AV241)))</f>
        <v/>
      </c>
      <c r="N241">
        <f>IF(L241-M241&lt;0.005,0,L241-M241)</f>
        <v/>
      </c>
      <c r="O241">
        <f>T240</f>
        <v/>
      </c>
      <c r="P241">
        <f>O241*Plan!D8/100/12</f>
        <v/>
      </c>
      <c r="Q241">
        <f>MIN(Plan!E8,O241+P241)</f>
        <v/>
      </c>
      <c r="R241">
        <f>O241+P241-Q241</f>
        <v/>
      </c>
      <c r="S241">
        <f>MIN(R241,MAX(0,$B241-((E$5&lt;Q$5)*F241+(K$5&lt;Q$5)*L241+(W$5&lt;Q$5)*X241+(AC$5&lt;Q$5)*AD241+(AI$5&lt;Q$5)*AJ241+(AO$5&lt;Q$5)*AP241+(AU$5&lt;Q$5)*AV241)))</f>
        <v/>
      </c>
      <c r="T241">
        <f>IF(R241-S241&lt;0.005,0,R241-S241)</f>
        <v/>
      </c>
      <c r="U241">
        <f>Z240</f>
        <v/>
      </c>
      <c r="V241">
        <f>U241*Plan!D9/100/12</f>
        <v/>
      </c>
      <c r="W241">
        <f>MIN(Plan!E9,U241+V241)</f>
        <v/>
      </c>
      <c r="X241">
        <f>U241+V241-W241</f>
        <v/>
      </c>
      <c r="Y241">
        <f>MIN(X241,MAX(0,$B241-((E$5&lt;W$5)*F241+(K$5&lt;W$5)*L241+(Q$5&lt;W$5)*R241+(AC$5&lt;W$5)*AD241+(AI$5&lt;W$5)*AJ241+(AO$5&lt;W$5)*AP241+(AU$5&lt;W$5)*AV241)))</f>
        <v/>
      </c>
      <c r="Z241">
        <f>IF(X241-Y241&lt;0.005,0,X241-Y241)</f>
        <v/>
      </c>
      <c r="AA241">
        <f>AF240</f>
        <v/>
      </c>
      <c r="AB241">
        <f>AA241*Plan!D10/100/12</f>
        <v/>
      </c>
      <c r="AC241">
        <f>MIN(Plan!E10,AA241+AB241)</f>
        <v/>
      </c>
      <c r="AD241">
        <f>AA241+AB241-AC241</f>
        <v/>
      </c>
      <c r="AE241">
        <f>MIN(AD241,MAX(0,$B241-((E$5&lt;AC$5)*F241+(K$5&lt;AC$5)*L241+(Q$5&lt;AC$5)*R241+(W$5&lt;AC$5)*X241+(AI$5&lt;AC$5)*AJ241+(AO$5&lt;AC$5)*AP241+(AU$5&lt;AC$5)*AV241)))</f>
        <v/>
      </c>
      <c r="AF241">
        <f>IF(AD241-AE241&lt;0.005,0,AD241-AE241)</f>
        <v/>
      </c>
      <c r="AG241">
        <f>AL240</f>
        <v/>
      </c>
      <c r="AH241">
        <f>AG241*Plan!D11/100/12</f>
        <v/>
      </c>
      <c r="AI241">
        <f>MIN(Plan!E11,AG241+AH241)</f>
        <v/>
      </c>
      <c r="AJ241">
        <f>AG241+AH241-AI241</f>
        <v/>
      </c>
      <c r="AK241">
        <f>MIN(AJ241,MAX(0,$B241-((E$5&lt;AI$5)*F241+(K$5&lt;AI$5)*L241+(Q$5&lt;AI$5)*R241+(W$5&lt;AI$5)*X241+(AC$5&lt;AI$5)*AD241+(AO$5&lt;AI$5)*AP241+(AU$5&lt;AI$5)*AV241)))</f>
        <v/>
      </c>
      <c r="AL241">
        <f>IF(AJ241-AK241&lt;0.005,0,AJ241-AK241)</f>
        <v/>
      </c>
      <c r="AM241">
        <f>AR240</f>
        <v/>
      </c>
      <c r="AN241">
        <f>AM241*Plan!D12/100/12</f>
        <v/>
      </c>
      <c r="AO241">
        <f>MIN(Plan!E12,AM241+AN241)</f>
        <v/>
      </c>
      <c r="AP241">
        <f>AM241+AN241-AO241</f>
        <v/>
      </c>
      <c r="AQ241">
        <f>MIN(AP241,MAX(0,$B241-((E$5&lt;AO$5)*F241+(K$5&lt;AO$5)*L241+(Q$5&lt;AO$5)*R241+(W$5&lt;AO$5)*X241+(AC$5&lt;AO$5)*AD241+(AI$5&lt;AO$5)*AJ241+(AU$5&lt;AO$5)*AV241)))</f>
        <v/>
      </c>
      <c r="AR241">
        <f>IF(AP241-AQ241&lt;0.005,0,AP241-AQ241)</f>
        <v/>
      </c>
      <c r="AS241">
        <f>AX240</f>
        <v/>
      </c>
      <c r="AT241">
        <f>AS241*Plan!D13/100/12</f>
        <v/>
      </c>
      <c r="AU241">
        <f>MIN(Plan!E13,AS241+AT241)</f>
        <v/>
      </c>
      <c r="AV241">
        <f>AS241+AT241-AU241</f>
        <v/>
      </c>
      <c r="AW241">
        <f>MIN(AV241,MAX(0,$B241-((E$5&lt;AU$5)*F241+(K$5&lt;AU$5)*L241+(Q$5&lt;AU$5)*R241+(W$5&lt;AU$5)*X241+(AC$5&lt;AU$5)*AD241+(AI$5&lt;AU$5)*AJ241+(AO$5&lt;AU$5)*AP241)))</f>
        <v/>
      </c>
      <c r="AX241">
        <f>IF(AV241-AW241&lt;0.005,0,AV241-AW241)</f>
        <v/>
      </c>
      <c r="BC241">
        <f>H241+N241+T241+Z241+AF241+AL241+AR241+AX241</f>
        <v/>
      </c>
    </row>
    <row r="242">
      <c r="A242" t="n">
        <v>236</v>
      </c>
      <c r="B242" s="19">
        <f>MAX(0,$B$3-(E242+K242+Q242+W242+AC242+AI242+AO242+AU242))</f>
        <v/>
      </c>
      <c r="C242">
        <f>H241</f>
        <v/>
      </c>
      <c r="D242">
        <f>C242*Plan!D6/100/12</f>
        <v/>
      </c>
      <c r="E242">
        <f>MIN(Plan!E6,C242+D242)</f>
        <v/>
      </c>
      <c r="F242">
        <f>C242+D242-E242</f>
        <v/>
      </c>
      <c r="G242">
        <f>MIN(F242,MAX(0,$B242-((K$5&lt;E$5)*L242+(Q$5&lt;E$5)*R242+(W$5&lt;E$5)*X242+(AC$5&lt;E$5)*AD242+(AI$5&lt;E$5)*AJ242+(AO$5&lt;E$5)*AP242+(AU$5&lt;E$5)*AV242)))</f>
        <v/>
      </c>
      <c r="H242">
        <f>IF(F242-G242&lt;0.005,0,F242-G242)</f>
        <v/>
      </c>
      <c r="I242">
        <f>N241</f>
        <v/>
      </c>
      <c r="J242">
        <f>I242*Plan!D7/100/12</f>
        <v/>
      </c>
      <c r="K242">
        <f>MIN(Plan!E7,I242+J242)</f>
        <v/>
      </c>
      <c r="L242">
        <f>I242+J242-K242</f>
        <v/>
      </c>
      <c r="M242">
        <f>MIN(L242,MAX(0,$B242-((E$5&lt;K$5)*F242+(Q$5&lt;K$5)*R242+(W$5&lt;K$5)*X242+(AC$5&lt;K$5)*AD242+(AI$5&lt;K$5)*AJ242+(AO$5&lt;K$5)*AP242+(AU$5&lt;K$5)*AV242)))</f>
        <v/>
      </c>
      <c r="N242">
        <f>IF(L242-M242&lt;0.005,0,L242-M242)</f>
        <v/>
      </c>
      <c r="O242">
        <f>T241</f>
        <v/>
      </c>
      <c r="P242">
        <f>O242*Plan!D8/100/12</f>
        <v/>
      </c>
      <c r="Q242">
        <f>MIN(Plan!E8,O242+P242)</f>
        <v/>
      </c>
      <c r="R242">
        <f>O242+P242-Q242</f>
        <v/>
      </c>
      <c r="S242">
        <f>MIN(R242,MAX(0,$B242-((E$5&lt;Q$5)*F242+(K$5&lt;Q$5)*L242+(W$5&lt;Q$5)*X242+(AC$5&lt;Q$5)*AD242+(AI$5&lt;Q$5)*AJ242+(AO$5&lt;Q$5)*AP242+(AU$5&lt;Q$5)*AV242)))</f>
        <v/>
      </c>
      <c r="T242">
        <f>IF(R242-S242&lt;0.005,0,R242-S242)</f>
        <v/>
      </c>
      <c r="U242">
        <f>Z241</f>
        <v/>
      </c>
      <c r="V242">
        <f>U242*Plan!D9/100/12</f>
        <v/>
      </c>
      <c r="W242">
        <f>MIN(Plan!E9,U242+V242)</f>
        <v/>
      </c>
      <c r="X242">
        <f>U242+V242-W242</f>
        <v/>
      </c>
      <c r="Y242">
        <f>MIN(X242,MAX(0,$B242-((E$5&lt;W$5)*F242+(K$5&lt;W$5)*L242+(Q$5&lt;W$5)*R242+(AC$5&lt;W$5)*AD242+(AI$5&lt;W$5)*AJ242+(AO$5&lt;W$5)*AP242+(AU$5&lt;W$5)*AV242)))</f>
        <v/>
      </c>
      <c r="Z242">
        <f>IF(X242-Y242&lt;0.005,0,X242-Y242)</f>
        <v/>
      </c>
      <c r="AA242">
        <f>AF241</f>
        <v/>
      </c>
      <c r="AB242">
        <f>AA242*Plan!D10/100/12</f>
        <v/>
      </c>
      <c r="AC242">
        <f>MIN(Plan!E10,AA242+AB242)</f>
        <v/>
      </c>
      <c r="AD242">
        <f>AA242+AB242-AC242</f>
        <v/>
      </c>
      <c r="AE242">
        <f>MIN(AD242,MAX(0,$B242-((E$5&lt;AC$5)*F242+(K$5&lt;AC$5)*L242+(Q$5&lt;AC$5)*R242+(W$5&lt;AC$5)*X242+(AI$5&lt;AC$5)*AJ242+(AO$5&lt;AC$5)*AP242+(AU$5&lt;AC$5)*AV242)))</f>
        <v/>
      </c>
      <c r="AF242">
        <f>IF(AD242-AE242&lt;0.005,0,AD242-AE242)</f>
        <v/>
      </c>
      <c r="AG242">
        <f>AL241</f>
        <v/>
      </c>
      <c r="AH242">
        <f>AG242*Plan!D11/100/12</f>
        <v/>
      </c>
      <c r="AI242">
        <f>MIN(Plan!E11,AG242+AH242)</f>
        <v/>
      </c>
      <c r="AJ242">
        <f>AG242+AH242-AI242</f>
        <v/>
      </c>
      <c r="AK242">
        <f>MIN(AJ242,MAX(0,$B242-((E$5&lt;AI$5)*F242+(K$5&lt;AI$5)*L242+(Q$5&lt;AI$5)*R242+(W$5&lt;AI$5)*X242+(AC$5&lt;AI$5)*AD242+(AO$5&lt;AI$5)*AP242+(AU$5&lt;AI$5)*AV242)))</f>
        <v/>
      </c>
      <c r="AL242">
        <f>IF(AJ242-AK242&lt;0.005,0,AJ242-AK242)</f>
        <v/>
      </c>
      <c r="AM242">
        <f>AR241</f>
        <v/>
      </c>
      <c r="AN242">
        <f>AM242*Plan!D12/100/12</f>
        <v/>
      </c>
      <c r="AO242">
        <f>MIN(Plan!E12,AM242+AN242)</f>
        <v/>
      </c>
      <c r="AP242">
        <f>AM242+AN242-AO242</f>
        <v/>
      </c>
      <c r="AQ242">
        <f>MIN(AP242,MAX(0,$B242-((E$5&lt;AO$5)*F242+(K$5&lt;AO$5)*L242+(Q$5&lt;AO$5)*R242+(W$5&lt;AO$5)*X242+(AC$5&lt;AO$5)*AD242+(AI$5&lt;AO$5)*AJ242+(AU$5&lt;AO$5)*AV242)))</f>
        <v/>
      </c>
      <c r="AR242">
        <f>IF(AP242-AQ242&lt;0.005,0,AP242-AQ242)</f>
        <v/>
      </c>
      <c r="AS242">
        <f>AX241</f>
        <v/>
      </c>
      <c r="AT242">
        <f>AS242*Plan!D13/100/12</f>
        <v/>
      </c>
      <c r="AU242">
        <f>MIN(Plan!E13,AS242+AT242)</f>
        <v/>
      </c>
      <c r="AV242">
        <f>AS242+AT242-AU242</f>
        <v/>
      </c>
      <c r="AW242">
        <f>MIN(AV242,MAX(0,$B242-((E$5&lt;AU$5)*F242+(K$5&lt;AU$5)*L242+(Q$5&lt;AU$5)*R242+(W$5&lt;AU$5)*X242+(AC$5&lt;AU$5)*AD242+(AI$5&lt;AU$5)*AJ242+(AO$5&lt;AU$5)*AP242)))</f>
        <v/>
      </c>
      <c r="AX242">
        <f>IF(AV242-AW242&lt;0.005,0,AV242-AW242)</f>
        <v/>
      </c>
      <c r="BC242">
        <f>H242+N242+T242+Z242+AF242+AL242+AR242+AX242</f>
        <v/>
      </c>
    </row>
    <row r="243">
      <c r="A243" t="n">
        <v>237</v>
      </c>
      <c r="B243" s="19">
        <f>MAX(0,$B$3-(E243+K243+Q243+W243+AC243+AI243+AO243+AU243))</f>
        <v/>
      </c>
      <c r="C243">
        <f>H242</f>
        <v/>
      </c>
      <c r="D243">
        <f>C243*Plan!D6/100/12</f>
        <v/>
      </c>
      <c r="E243">
        <f>MIN(Plan!E6,C243+D243)</f>
        <v/>
      </c>
      <c r="F243">
        <f>C243+D243-E243</f>
        <v/>
      </c>
      <c r="G243">
        <f>MIN(F243,MAX(0,$B243-((K$5&lt;E$5)*L243+(Q$5&lt;E$5)*R243+(W$5&lt;E$5)*X243+(AC$5&lt;E$5)*AD243+(AI$5&lt;E$5)*AJ243+(AO$5&lt;E$5)*AP243+(AU$5&lt;E$5)*AV243)))</f>
        <v/>
      </c>
      <c r="H243">
        <f>IF(F243-G243&lt;0.005,0,F243-G243)</f>
        <v/>
      </c>
      <c r="I243">
        <f>N242</f>
        <v/>
      </c>
      <c r="J243">
        <f>I243*Plan!D7/100/12</f>
        <v/>
      </c>
      <c r="K243">
        <f>MIN(Plan!E7,I243+J243)</f>
        <v/>
      </c>
      <c r="L243">
        <f>I243+J243-K243</f>
        <v/>
      </c>
      <c r="M243">
        <f>MIN(L243,MAX(0,$B243-((E$5&lt;K$5)*F243+(Q$5&lt;K$5)*R243+(W$5&lt;K$5)*X243+(AC$5&lt;K$5)*AD243+(AI$5&lt;K$5)*AJ243+(AO$5&lt;K$5)*AP243+(AU$5&lt;K$5)*AV243)))</f>
        <v/>
      </c>
      <c r="N243">
        <f>IF(L243-M243&lt;0.005,0,L243-M243)</f>
        <v/>
      </c>
      <c r="O243">
        <f>T242</f>
        <v/>
      </c>
      <c r="P243">
        <f>O243*Plan!D8/100/12</f>
        <v/>
      </c>
      <c r="Q243">
        <f>MIN(Plan!E8,O243+P243)</f>
        <v/>
      </c>
      <c r="R243">
        <f>O243+P243-Q243</f>
        <v/>
      </c>
      <c r="S243">
        <f>MIN(R243,MAX(0,$B243-((E$5&lt;Q$5)*F243+(K$5&lt;Q$5)*L243+(W$5&lt;Q$5)*X243+(AC$5&lt;Q$5)*AD243+(AI$5&lt;Q$5)*AJ243+(AO$5&lt;Q$5)*AP243+(AU$5&lt;Q$5)*AV243)))</f>
        <v/>
      </c>
      <c r="T243">
        <f>IF(R243-S243&lt;0.005,0,R243-S243)</f>
        <v/>
      </c>
      <c r="U243">
        <f>Z242</f>
        <v/>
      </c>
      <c r="V243">
        <f>U243*Plan!D9/100/12</f>
        <v/>
      </c>
      <c r="W243">
        <f>MIN(Plan!E9,U243+V243)</f>
        <v/>
      </c>
      <c r="X243">
        <f>U243+V243-W243</f>
        <v/>
      </c>
      <c r="Y243">
        <f>MIN(X243,MAX(0,$B243-((E$5&lt;W$5)*F243+(K$5&lt;W$5)*L243+(Q$5&lt;W$5)*R243+(AC$5&lt;W$5)*AD243+(AI$5&lt;W$5)*AJ243+(AO$5&lt;W$5)*AP243+(AU$5&lt;W$5)*AV243)))</f>
        <v/>
      </c>
      <c r="Z243">
        <f>IF(X243-Y243&lt;0.005,0,X243-Y243)</f>
        <v/>
      </c>
      <c r="AA243">
        <f>AF242</f>
        <v/>
      </c>
      <c r="AB243">
        <f>AA243*Plan!D10/100/12</f>
        <v/>
      </c>
      <c r="AC243">
        <f>MIN(Plan!E10,AA243+AB243)</f>
        <v/>
      </c>
      <c r="AD243">
        <f>AA243+AB243-AC243</f>
        <v/>
      </c>
      <c r="AE243">
        <f>MIN(AD243,MAX(0,$B243-((E$5&lt;AC$5)*F243+(K$5&lt;AC$5)*L243+(Q$5&lt;AC$5)*R243+(W$5&lt;AC$5)*X243+(AI$5&lt;AC$5)*AJ243+(AO$5&lt;AC$5)*AP243+(AU$5&lt;AC$5)*AV243)))</f>
        <v/>
      </c>
      <c r="AF243">
        <f>IF(AD243-AE243&lt;0.005,0,AD243-AE243)</f>
        <v/>
      </c>
      <c r="AG243">
        <f>AL242</f>
        <v/>
      </c>
      <c r="AH243">
        <f>AG243*Plan!D11/100/12</f>
        <v/>
      </c>
      <c r="AI243">
        <f>MIN(Plan!E11,AG243+AH243)</f>
        <v/>
      </c>
      <c r="AJ243">
        <f>AG243+AH243-AI243</f>
        <v/>
      </c>
      <c r="AK243">
        <f>MIN(AJ243,MAX(0,$B243-((E$5&lt;AI$5)*F243+(K$5&lt;AI$5)*L243+(Q$5&lt;AI$5)*R243+(W$5&lt;AI$5)*X243+(AC$5&lt;AI$5)*AD243+(AO$5&lt;AI$5)*AP243+(AU$5&lt;AI$5)*AV243)))</f>
        <v/>
      </c>
      <c r="AL243">
        <f>IF(AJ243-AK243&lt;0.005,0,AJ243-AK243)</f>
        <v/>
      </c>
      <c r="AM243">
        <f>AR242</f>
        <v/>
      </c>
      <c r="AN243">
        <f>AM243*Plan!D12/100/12</f>
        <v/>
      </c>
      <c r="AO243">
        <f>MIN(Plan!E12,AM243+AN243)</f>
        <v/>
      </c>
      <c r="AP243">
        <f>AM243+AN243-AO243</f>
        <v/>
      </c>
      <c r="AQ243">
        <f>MIN(AP243,MAX(0,$B243-((E$5&lt;AO$5)*F243+(K$5&lt;AO$5)*L243+(Q$5&lt;AO$5)*R243+(W$5&lt;AO$5)*X243+(AC$5&lt;AO$5)*AD243+(AI$5&lt;AO$5)*AJ243+(AU$5&lt;AO$5)*AV243)))</f>
        <v/>
      </c>
      <c r="AR243">
        <f>IF(AP243-AQ243&lt;0.005,0,AP243-AQ243)</f>
        <v/>
      </c>
      <c r="AS243">
        <f>AX242</f>
        <v/>
      </c>
      <c r="AT243">
        <f>AS243*Plan!D13/100/12</f>
        <v/>
      </c>
      <c r="AU243">
        <f>MIN(Plan!E13,AS243+AT243)</f>
        <v/>
      </c>
      <c r="AV243">
        <f>AS243+AT243-AU243</f>
        <v/>
      </c>
      <c r="AW243">
        <f>MIN(AV243,MAX(0,$B243-((E$5&lt;AU$5)*F243+(K$5&lt;AU$5)*L243+(Q$5&lt;AU$5)*R243+(W$5&lt;AU$5)*X243+(AC$5&lt;AU$5)*AD243+(AI$5&lt;AU$5)*AJ243+(AO$5&lt;AU$5)*AP243)))</f>
        <v/>
      </c>
      <c r="AX243">
        <f>IF(AV243-AW243&lt;0.005,0,AV243-AW243)</f>
        <v/>
      </c>
      <c r="BC243">
        <f>H243+N243+T243+Z243+AF243+AL243+AR243+AX243</f>
        <v/>
      </c>
    </row>
    <row r="244">
      <c r="A244" t="n">
        <v>238</v>
      </c>
      <c r="B244" s="19">
        <f>MAX(0,$B$3-(E244+K244+Q244+W244+AC244+AI244+AO244+AU244))</f>
        <v/>
      </c>
      <c r="C244">
        <f>H243</f>
        <v/>
      </c>
      <c r="D244">
        <f>C244*Plan!D6/100/12</f>
        <v/>
      </c>
      <c r="E244">
        <f>MIN(Plan!E6,C244+D244)</f>
        <v/>
      </c>
      <c r="F244">
        <f>C244+D244-E244</f>
        <v/>
      </c>
      <c r="G244">
        <f>MIN(F244,MAX(0,$B244-((K$5&lt;E$5)*L244+(Q$5&lt;E$5)*R244+(W$5&lt;E$5)*X244+(AC$5&lt;E$5)*AD244+(AI$5&lt;E$5)*AJ244+(AO$5&lt;E$5)*AP244+(AU$5&lt;E$5)*AV244)))</f>
        <v/>
      </c>
      <c r="H244">
        <f>IF(F244-G244&lt;0.005,0,F244-G244)</f>
        <v/>
      </c>
      <c r="I244">
        <f>N243</f>
        <v/>
      </c>
      <c r="J244">
        <f>I244*Plan!D7/100/12</f>
        <v/>
      </c>
      <c r="K244">
        <f>MIN(Plan!E7,I244+J244)</f>
        <v/>
      </c>
      <c r="L244">
        <f>I244+J244-K244</f>
        <v/>
      </c>
      <c r="M244">
        <f>MIN(L244,MAX(0,$B244-((E$5&lt;K$5)*F244+(Q$5&lt;K$5)*R244+(W$5&lt;K$5)*X244+(AC$5&lt;K$5)*AD244+(AI$5&lt;K$5)*AJ244+(AO$5&lt;K$5)*AP244+(AU$5&lt;K$5)*AV244)))</f>
        <v/>
      </c>
      <c r="N244">
        <f>IF(L244-M244&lt;0.005,0,L244-M244)</f>
        <v/>
      </c>
      <c r="O244">
        <f>T243</f>
        <v/>
      </c>
      <c r="P244">
        <f>O244*Plan!D8/100/12</f>
        <v/>
      </c>
      <c r="Q244">
        <f>MIN(Plan!E8,O244+P244)</f>
        <v/>
      </c>
      <c r="R244">
        <f>O244+P244-Q244</f>
        <v/>
      </c>
      <c r="S244">
        <f>MIN(R244,MAX(0,$B244-((E$5&lt;Q$5)*F244+(K$5&lt;Q$5)*L244+(W$5&lt;Q$5)*X244+(AC$5&lt;Q$5)*AD244+(AI$5&lt;Q$5)*AJ244+(AO$5&lt;Q$5)*AP244+(AU$5&lt;Q$5)*AV244)))</f>
        <v/>
      </c>
      <c r="T244">
        <f>IF(R244-S244&lt;0.005,0,R244-S244)</f>
        <v/>
      </c>
      <c r="U244">
        <f>Z243</f>
        <v/>
      </c>
      <c r="V244">
        <f>U244*Plan!D9/100/12</f>
        <v/>
      </c>
      <c r="W244">
        <f>MIN(Plan!E9,U244+V244)</f>
        <v/>
      </c>
      <c r="X244">
        <f>U244+V244-W244</f>
        <v/>
      </c>
      <c r="Y244">
        <f>MIN(X244,MAX(0,$B244-((E$5&lt;W$5)*F244+(K$5&lt;W$5)*L244+(Q$5&lt;W$5)*R244+(AC$5&lt;W$5)*AD244+(AI$5&lt;W$5)*AJ244+(AO$5&lt;W$5)*AP244+(AU$5&lt;W$5)*AV244)))</f>
        <v/>
      </c>
      <c r="Z244">
        <f>IF(X244-Y244&lt;0.005,0,X244-Y244)</f>
        <v/>
      </c>
      <c r="AA244">
        <f>AF243</f>
        <v/>
      </c>
      <c r="AB244">
        <f>AA244*Plan!D10/100/12</f>
        <v/>
      </c>
      <c r="AC244">
        <f>MIN(Plan!E10,AA244+AB244)</f>
        <v/>
      </c>
      <c r="AD244">
        <f>AA244+AB244-AC244</f>
        <v/>
      </c>
      <c r="AE244">
        <f>MIN(AD244,MAX(0,$B244-((E$5&lt;AC$5)*F244+(K$5&lt;AC$5)*L244+(Q$5&lt;AC$5)*R244+(W$5&lt;AC$5)*X244+(AI$5&lt;AC$5)*AJ244+(AO$5&lt;AC$5)*AP244+(AU$5&lt;AC$5)*AV244)))</f>
        <v/>
      </c>
      <c r="AF244">
        <f>IF(AD244-AE244&lt;0.005,0,AD244-AE244)</f>
        <v/>
      </c>
      <c r="AG244">
        <f>AL243</f>
        <v/>
      </c>
      <c r="AH244">
        <f>AG244*Plan!D11/100/12</f>
        <v/>
      </c>
      <c r="AI244">
        <f>MIN(Plan!E11,AG244+AH244)</f>
        <v/>
      </c>
      <c r="AJ244">
        <f>AG244+AH244-AI244</f>
        <v/>
      </c>
      <c r="AK244">
        <f>MIN(AJ244,MAX(0,$B244-((E$5&lt;AI$5)*F244+(K$5&lt;AI$5)*L244+(Q$5&lt;AI$5)*R244+(W$5&lt;AI$5)*X244+(AC$5&lt;AI$5)*AD244+(AO$5&lt;AI$5)*AP244+(AU$5&lt;AI$5)*AV244)))</f>
        <v/>
      </c>
      <c r="AL244">
        <f>IF(AJ244-AK244&lt;0.005,0,AJ244-AK244)</f>
        <v/>
      </c>
      <c r="AM244">
        <f>AR243</f>
        <v/>
      </c>
      <c r="AN244">
        <f>AM244*Plan!D12/100/12</f>
        <v/>
      </c>
      <c r="AO244">
        <f>MIN(Plan!E12,AM244+AN244)</f>
        <v/>
      </c>
      <c r="AP244">
        <f>AM244+AN244-AO244</f>
        <v/>
      </c>
      <c r="AQ244">
        <f>MIN(AP244,MAX(0,$B244-((E$5&lt;AO$5)*F244+(K$5&lt;AO$5)*L244+(Q$5&lt;AO$5)*R244+(W$5&lt;AO$5)*X244+(AC$5&lt;AO$5)*AD244+(AI$5&lt;AO$5)*AJ244+(AU$5&lt;AO$5)*AV244)))</f>
        <v/>
      </c>
      <c r="AR244">
        <f>IF(AP244-AQ244&lt;0.005,0,AP244-AQ244)</f>
        <v/>
      </c>
      <c r="AS244">
        <f>AX243</f>
        <v/>
      </c>
      <c r="AT244">
        <f>AS244*Plan!D13/100/12</f>
        <v/>
      </c>
      <c r="AU244">
        <f>MIN(Plan!E13,AS244+AT244)</f>
        <v/>
      </c>
      <c r="AV244">
        <f>AS244+AT244-AU244</f>
        <v/>
      </c>
      <c r="AW244">
        <f>MIN(AV244,MAX(0,$B244-((E$5&lt;AU$5)*F244+(K$5&lt;AU$5)*L244+(Q$5&lt;AU$5)*R244+(W$5&lt;AU$5)*X244+(AC$5&lt;AU$5)*AD244+(AI$5&lt;AU$5)*AJ244+(AO$5&lt;AU$5)*AP244)))</f>
        <v/>
      </c>
      <c r="AX244">
        <f>IF(AV244-AW244&lt;0.005,0,AV244-AW244)</f>
        <v/>
      </c>
      <c r="BC244">
        <f>H244+N244+T244+Z244+AF244+AL244+AR244+AX244</f>
        <v/>
      </c>
    </row>
    <row r="245">
      <c r="A245" t="n">
        <v>239</v>
      </c>
      <c r="B245" s="19">
        <f>MAX(0,$B$3-(E245+K245+Q245+W245+AC245+AI245+AO245+AU245))</f>
        <v/>
      </c>
      <c r="C245">
        <f>H244</f>
        <v/>
      </c>
      <c r="D245">
        <f>C245*Plan!D6/100/12</f>
        <v/>
      </c>
      <c r="E245">
        <f>MIN(Plan!E6,C245+D245)</f>
        <v/>
      </c>
      <c r="F245">
        <f>C245+D245-E245</f>
        <v/>
      </c>
      <c r="G245">
        <f>MIN(F245,MAX(0,$B245-((K$5&lt;E$5)*L245+(Q$5&lt;E$5)*R245+(W$5&lt;E$5)*X245+(AC$5&lt;E$5)*AD245+(AI$5&lt;E$5)*AJ245+(AO$5&lt;E$5)*AP245+(AU$5&lt;E$5)*AV245)))</f>
        <v/>
      </c>
      <c r="H245">
        <f>IF(F245-G245&lt;0.005,0,F245-G245)</f>
        <v/>
      </c>
      <c r="I245">
        <f>N244</f>
        <v/>
      </c>
      <c r="J245">
        <f>I245*Plan!D7/100/12</f>
        <v/>
      </c>
      <c r="K245">
        <f>MIN(Plan!E7,I245+J245)</f>
        <v/>
      </c>
      <c r="L245">
        <f>I245+J245-K245</f>
        <v/>
      </c>
      <c r="M245">
        <f>MIN(L245,MAX(0,$B245-((E$5&lt;K$5)*F245+(Q$5&lt;K$5)*R245+(W$5&lt;K$5)*X245+(AC$5&lt;K$5)*AD245+(AI$5&lt;K$5)*AJ245+(AO$5&lt;K$5)*AP245+(AU$5&lt;K$5)*AV245)))</f>
        <v/>
      </c>
      <c r="N245">
        <f>IF(L245-M245&lt;0.005,0,L245-M245)</f>
        <v/>
      </c>
      <c r="O245">
        <f>T244</f>
        <v/>
      </c>
      <c r="P245">
        <f>O245*Plan!D8/100/12</f>
        <v/>
      </c>
      <c r="Q245">
        <f>MIN(Plan!E8,O245+P245)</f>
        <v/>
      </c>
      <c r="R245">
        <f>O245+P245-Q245</f>
        <v/>
      </c>
      <c r="S245">
        <f>MIN(R245,MAX(0,$B245-((E$5&lt;Q$5)*F245+(K$5&lt;Q$5)*L245+(W$5&lt;Q$5)*X245+(AC$5&lt;Q$5)*AD245+(AI$5&lt;Q$5)*AJ245+(AO$5&lt;Q$5)*AP245+(AU$5&lt;Q$5)*AV245)))</f>
        <v/>
      </c>
      <c r="T245">
        <f>IF(R245-S245&lt;0.005,0,R245-S245)</f>
        <v/>
      </c>
      <c r="U245">
        <f>Z244</f>
        <v/>
      </c>
      <c r="V245">
        <f>U245*Plan!D9/100/12</f>
        <v/>
      </c>
      <c r="W245">
        <f>MIN(Plan!E9,U245+V245)</f>
        <v/>
      </c>
      <c r="X245">
        <f>U245+V245-W245</f>
        <v/>
      </c>
      <c r="Y245">
        <f>MIN(X245,MAX(0,$B245-((E$5&lt;W$5)*F245+(K$5&lt;W$5)*L245+(Q$5&lt;W$5)*R245+(AC$5&lt;W$5)*AD245+(AI$5&lt;W$5)*AJ245+(AO$5&lt;W$5)*AP245+(AU$5&lt;W$5)*AV245)))</f>
        <v/>
      </c>
      <c r="Z245">
        <f>IF(X245-Y245&lt;0.005,0,X245-Y245)</f>
        <v/>
      </c>
      <c r="AA245">
        <f>AF244</f>
        <v/>
      </c>
      <c r="AB245">
        <f>AA245*Plan!D10/100/12</f>
        <v/>
      </c>
      <c r="AC245">
        <f>MIN(Plan!E10,AA245+AB245)</f>
        <v/>
      </c>
      <c r="AD245">
        <f>AA245+AB245-AC245</f>
        <v/>
      </c>
      <c r="AE245">
        <f>MIN(AD245,MAX(0,$B245-((E$5&lt;AC$5)*F245+(K$5&lt;AC$5)*L245+(Q$5&lt;AC$5)*R245+(W$5&lt;AC$5)*X245+(AI$5&lt;AC$5)*AJ245+(AO$5&lt;AC$5)*AP245+(AU$5&lt;AC$5)*AV245)))</f>
        <v/>
      </c>
      <c r="AF245">
        <f>IF(AD245-AE245&lt;0.005,0,AD245-AE245)</f>
        <v/>
      </c>
      <c r="AG245">
        <f>AL244</f>
        <v/>
      </c>
      <c r="AH245">
        <f>AG245*Plan!D11/100/12</f>
        <v/>
      </c>
      <c r="AI245">
        <f>MIN(Plan!E11,AG245+AH245)</f>
        <v/>
      </c>
      <c r="AJ245">
        <f>AG245+AH245-AI245</f>
        <v/>
      </c>
      <c r="AK245">
        <f>MIN(AJ245,MAX(0,$B245-((E$5&lt;AI$5)*F245+(K$5&lt;AI$5)*L245+(Q$5&lt;AI$5)*R245+(W$5&lt;AI$5)*X245+(AC$5&lt;AI$5)*AD245+(AO$5&lt;AI$5)*AP245+(AU$5&lt;AI$5)*AV245)))</f>
        <v/>
      </c>
      <c r="AL245">
        <f>IF(AJ245-AK245&lt;0.005,0,AJ245-AK245)</f>
        <v/>
      </c>
      <c r="AM245">
        <f>AR244</f>
        <v/>
      </c>
      <c r="AN245">
        <f>AM245*Plan!D12/100/12</f>
        <v/>
      </c>
      <c r="AO245">
        <f>MIN(Plan!E12,AM245+AN245)</f>
        <v/>
      </c>
      <c r="AP245">
        <f>AM245+AN245-AO245</f>
        <v/>
      </c>
      <c r="AQ245">
        <f>MIN(AP245,MAX(0,$B245-((E$5&lt;AO$5)*F245+(K$5&lt;AO$5)*L245+(Q$5&lt;AO$5)*R245+(W$5&lt;AO$5)*X245+(AC$5&lt;AO$5)*AD245+(AI$5&lt;AO$5)*AJ245+(AU$5&lt;AO$5)*AV245)))</f>
        <v/>
      </c>
      <c r="AR245">
        <f>IF(AP245-AQ245&lt;0.005,0,AP245-AQ245)</f>
        <v/>
      </c>
      <c r="AS245">
        <f>AX244</f>
        <v/>
      </c>
      <c r="AT245">
        <f>AS245*Plan!D13/100/12</f>
        <v/>
      </c>
      <c r="AU245">
        <f>MIN(Plan!E13,AS245+AT245)</f>
        <v/>
      </c>
      <c r="AV245">
        <f>AS245+AT245-AU245</f>
        <v/>
      </c>
      <c r="AW245">
        <f>MIN(AV245,MAX(0,$B245-((E$5&lt;AU$5)*F245+(K$5&lt;AU$5)*L245+(Q$5&lt;AU$5)*R245+(W$5&lt;AU$5)*X245+(AC$5&lt;AU$5)*AD245+(AI$5&lt;AU$5)*AJ245+(AO$5&lt;AU$5)*AP245)))</f>
        <v/>
      </c>
      <c r="AX245">
        <f>IF(AV245-AW245&lt;0.005,0,AV245-AW245)</f>
        <v/>
      </c>
      <c r="BC245">
        <f>H245+N245+T245+Z245+AF245+AL245+AR245+AX245</f>
        <v/>
      </c>
    </row>
    <row r="246">
      <c r="A246" t="n">
        <v>240</v>
      </c>
      <c r="B246" s="19">
        <f>MAX(0,$B$3-(E246+K246+Q246+W246+AC246+AI246+AO246+AU246))</f>
        <v/>
      </c>
      <c r="C246">
        <f>H245</f>
        <v/>
      </c>
      <c r="D246">
        <f>C246*Plan!D6/100/12</f>
        <v/>
      </c>
      <c r="E246">
        <f>MIN(Plan!E6,C246+D246)</f>
        <v/>
      </c>
      <c r="F246">
        <f>C246+D246-E246</f>
        <v/>
      </c>
      <c r="G246">
        <f>MIN(F246,MAX(0,$B246-((K$5&lt;E$5)*L246+(Q$5&lt;E$5)*R246+(W$5&lt;E$5)*X246+(AC$5&lt;E$5)*AD246+(AI$5&lt;E$5)*AJ246+(AO$5&lt;E$5)*AP246+(AU$5&lt;E$5)*AV246)))</f>
        <v/>
      </c>
      <c r="H246">
        <f>IF(F246-G246&lt;0.005,0,F246-G246)</f>
        <v/>
      </c>
      <c r="I246">
        <f>N245</f>
        <v/>
      </c>
      <c r="J246">
        <f>I246*Plan!D7/100/12</f>
        <v/>
      </c>
      <c r="K246">
        <f>MIN(Plan!E7,I246+J246)</f>
        <v/>
      </c>
      <c r="L246">
        <f>I246+J246-K246</f>
        <v/>
      </c>
      <c r="M246">
        <f>MIN(L246,MAX(0,$B246-((E$5&lt;K$5)*F246+(Q$5&lt;K$5)*R246+(W$5&lt;K$5)*X246+(AC$5&lt;K$5)*AD246+(AI$5&lt;K$5)*AJ246+(AO$5&lt;K$5)*AP246+(AU$5&lt;K$5)*AV246)))</f>
        <v/>
      </c>
      <c r="N246">
        <f>IF(L246-M246&lt;0.005,0,L246-M246)</f>
        <v/>
      </c>
      <c r="O246">
        <f>T245</f>
        <v/>
      </c>
      <c r="P246">
        <f>O246*Plan!D8/100/12</f>
        <v/>
      </c>
      <c r="Q246">
        <f>MIN(Plan!E8,O246+P246)</f>
        <v/>
      </c>
      <c r="R246">
        <f>O246+P246-Q246</f>
        <v/>
      </c>
      <c r="S246">
        <f>MIN(R246,MAX(0,$B246-((E$5&lt;Q$5)*F246+(K$5&lt;Q$5)*L246+(W$5&lt;Q$5)*X246+(AC$5&lt;Q$5)*AD246+(AI$5&lt;Q$5)*AJ246+(AO$5&lt;Q$5)*AP246+(AU$5&lt;Q$5)*AV246)))</f>
        <v/>
      </c>
      <c r="T246">
        <f>IF(R246-S246&lt;0.005,0,R246-S246)</f>
        <v/>
      </c>
      <c r="U246">
        <f>Z245</f>
        <v/>
      </c>
      <c r="V246">
        <f>U246*Plan!D9/100/12</f>
        <v/>
      </c>
      <c r="W246">
        <f>MIN(Plan!E9,U246+V246)</f>
        <v/>
      </c>
      <c r="X246">
        <f>U246+V246-W246</f>
        <v/>
      </c>
      <c r="Y246">
        <f>MIN(X246,MAX(0,$B246-((E$5&lt;W$5)*F246+(K$5&lt;W$5)*L246+(Q$5&lt;W$5)*R246+(AC$5&lt;W$5)*AD246+(AI$5&lt;W$5)*AJ246+(AO$5&lt;W$5)*AP246+(AU$5&lt;W$5)*AV246)))</f>
        <v/>
      </c>
      <c r="Z246">
        <f>IF(X246-Y246&lt;0.005,0,X246-Y246)</f>
        <v/>
      </c>
      <c r="AA246">
        <f>AF245</f>
        <v/>
      </c>
      <c r="AB246">
        <f>AA246*Plan!D10/100/12</f>
        <v/>
      </c>
      <c r="AC246">
        <f>MIN(Plan!E10,AA246+AB246)</f>
        <v/>
      </c>
      <c r="AD246">
        <f>AA246+AB246-AC246</f>
        <v/>
      </c>
      <c r="AE246">
        <f>MIN(AD246,MAX(0,$B246-((E$5&lt;AC$5)*F246+(K$5&lt;AC$5)*L246+(Q$5&lt;AC$5)*R246+(W$5&lt;AC$5)*X246+(AI$5&lt;AC$5)*AJ246+(AO$5&lt;AC$5)*AP246+(AU$5&lt;AC$5)*AV246)))</f>
        <v/>
      </c>
      <c r="AF246">
        <f>IF(AD246-AE246&lt;0.005,0,AD246-AE246)</f>
        <v/>
      </c>
      <c r="AG246">
        <f>AL245</f>
        <v/>
      </c>
      <c r="AH246">
        <f>AG246*Plan!D11/100/12</f>
        <v/>
      </c>
      <c r="AI246">
        <f>MIN(Plan!E11,AG246+AH246)</f>
        <v/>
      </c>
      <c r="AJ246">
        <f>AG246+AH246-AI246</f>
        <v/>
      </c>
      <c r="AK246">
        <f>MIN(AJ246,MAX(0,$B246-((E$5&lt;AI$5)*F246+(K$5&lt;AI$5)*L246+(Q$5&lt;AI$5)*R246+(W$5&lt;AI$5)*X246+(AC$5&lt;AI$5)*AD246+(AO$5&lt;AI$5)*AP246+(AU$5&lt;AI$5)*AV246)))</f>
        <v/>
      </c>
      <c r="AL246">
        <f>IF(AJ246-AK246&lt;0.005,0,AJ246-AK246)</f>
        <v/>
      </c>
      <c r="AM246">
        <f>AR245</f>
        <v/>
      </c>
      <c r="AN246">
        <f>AM246*Plan!D12/100/12</f>
        <v/>
      </c>
      <c r="AO246">
        <f>MIN(Plan!E12,AM246+AN246)</f>
        <v/>
      </c>
      <c r="AP246">
        <f>AM246+AN246-AO246</f>
        <v/>
      </c>
      <c r="AQ246">
        <f>MIN(AP246,MAX(0,$B246-((E$5&lt;AO$5)*F246+(K$5&lt;AO$5)*L246+(Q$5&lt;AO$5)*R246+(W$5&lt;AO$5)*X246+(AC$5&lt;AO$5)*AD246+(AI$5&lt;AO$5)*AJ246+(AU$5&lt;AO$5)*AV246)))</f>
        <v/>
      </c>
      <c r="AR246">
        <f>IF(AP246-AQ246&lt;0.005,0,AP246-AQ246)</f>
        <v/>
      </c>
      <c r="AS246">
        <f>AX245</f>
        <v/>
      </c>
      <c r="AT246">
        <f>AS246*Plan!D13/100/12</f>
        <v/>
      </c>
      <c r="AU246">
        <f>MIN(Plan!E13,AS246+AT246)</f>
        <v/>
      </c>
      <c r="AV246">
        <f>AS246+AT246-AU246</f>
        <v/>
      </c>
      <c r="AW246">
        <f>MIN(AV246,MAX(0,$B246-((E$5&lt;AU$5)*F246+(K$5&lt;AU$5)*L246+(Q$5&lt;AU$5)*R246+(W$5&lt;AU$5)*X246+(AC$5&lt;AU$5)*AD246+(AI$5&lt;AU$5)*AJ246+(AO$5&lt;AU$5)*AP246)))</f>
        <v/>
      </c>
      <c r="AX246">
        <f>IF(AV246-AW246&lt;0.005,0,AV246-AW246)</f>
        <v/>
      </c>
      <c r="BC246">
        <f>H246+N246+T246+Z246+AF246+AL246+AR246+AX246</f>
        <v/>
      </c>
    </row>
    <row r="247">
      <c r="A247" t="n">
        <v>241</v>
      </c>
      <c r="B247" s="19">
        <f>MAX(0,$B$3-(E247+K247+Q247+W247+AC247+AI247+AO247+AU247))</f>
        <v/>
      </c>
      <c r="C247">
        <f>H246</f>
        <v/>
      </c>
      <c r="D247">
        <f>C247*Plan!D6/100/12</f>
        <v/>
      </c>
      <c r="E247">
        <f>MIN(Plan!E6,C247+D247)</f>
        <v/>
      </c>
      <c r="F247">
        <f>C247+D247-E247</f>
        <v/>
      </c>
      <c r="G247">
        <f>MIN(F247,MAX(0,$B247-((K$5&lt;E$5)*L247+(Q$5&lt;E$5)*R247+(W$5&lt;E$5)*X247+(AC$5&lt;E$5)*AD247+(AI$5&lt;E$5)*AJ247+(AO$5&lt;E$5)*AP247+(AU$5&lt;E$5)*AV247)))</f>
        <v/>
      </c>
      <c r="H247">
        <f>IF(F247-G247&lt;0.005,0,F247-G247)</f>
        <v/>
      </c>
      <c r="I247">
        <f>N246</f>
        <v/>
      </c>
      <c r="J247">
        <f>I247*Plan!D7/100/12</f>
        <v/>
      </c>
      <c r="K247">
        <f>MIN(Plan!E7,I247+J247)</f>
        <v/>
      </c>
      <c r="L247">
        <f>I247+J247-K247</f>
        <v/>
      </c>
      <c r="M247">
        <f>MIN(L247,MAX(0,$B247-((E$5&lt;K$5)*F247+(Q$5&lt;K$5)*R247+(W$5&lt;K$5)*X247+(AC$5&lt;K$5)*AD247+(AI$5&lt;K$5)*AJ247+(AO$5&lt;K$5)*AP247+(AU$5&lt;K$5)*AV247)))</f>
        <v/>
      </c>
      <c r="N247">
        <f>IF(L247-M247&lt;0.005,0,L247-M247)</f>
        <v/>
      </c>
      <c r="O247">
        <f>T246</f>
        <v/>
      </c>
      <c r="P247">
        <f>O247*Plan!D8/100/12</f>
        <v/>
      </c>
      <c r="Q247">
        <f>MIN(Plan!E8,O247+P247)</f>
        <v/>
      </c>
      <c r="R247">
        <f>O247+P247-Q247</f>
        <v/>
      </c>
      <c r="S247">
        <f>MIN(R247,MAX(0,$B247-((E$5&lt;Q$5)*F247+(K$5&lt;Q$5)*L247+(W$5&lt;Q$5)*X247+(AC$5&lt;Q$5)*AD247+(AI$5&lt;Q$5)*AJ247+(AO$5&lt;Q$5)*AP247+(AU$5&lt;Q$5)*AV247)))</f>
        <v/>
      </c>
      <c r="T247">
        <f>IF(R247-S247&lt;0.005,0,R247-S247)</f>
        <v/>
      </c>
      <c r="U247">
        <f>Z246</f>
        <v/>
      </c>
      <c r="V247">
        <f>U247*Plan!D9/100/12</f>
        <v/>
      </c>
      <c r="W247">
        <f>MIN(Plan!E9,U247+V247)</f>
        <v/>
      </c>
      <c r="X247">
        <f>U247+V247-W247</f>
        <v/>
      </c>
      <c r="Y247">
        <f>MIN(X247,MAX(0,$B247-((E$5&lt;W$5)*F247+(K$5&lt;W$5)*L247+(Q$5&lt;W$5)*R247+(AC$5&lt;W$5)*AD247+(AI$5&lt;W$5)*AJ247+(AO$5&lt;W$5)*AP247+(AU$5&lt;W$5)*AV247)))</f>
        <v/>
      </c>
      <c r="Z247">
        <f>IF(X247-Y247&lt;0.005,0,X247-Y247)</f>
        <v/>
      </c>
      <c r="AA247">
        <f>AF246</f>
        <v/>
      </c>
      <c r="AB247">
        <f>AA247*Plan!D10/100/12</f>
        <v/>
      </c>
      <c r="AC247">
        <f>MIN(Plan!E10,AA247+AB247)</f>
        <v/>
      </c>
      <c r="AD247">
        <f>AA247+AB247-AC247</f>
        <v/>
      </c>
      <c r="AE247">
        <f>MIN(AD247,MAX(0,$B247-((E$5&lt;AC$5)*F247+(K$5&lt;AC$5)*L247+(Q$5&lt;AC$5)*R247+(W$5&lt;AC$5)*X247+(AI$5&lt;AC$5)*AJ247+(AO$5&lt;AC$5)*AP247+(AU$5&lt;AC$5)*AV247)))</f>
        <v/>
      </c>
      <c r="AF247">
        <f>IF(AD247-AE247&lt;0.005,0,AD247-AE247)</f>
        <v/>
      </c>
      <c r="AG247">
        <f>AL246</f>
        <v/>
      </c>
      <c r="AH247">
        <f>AG247*Plan!D11/100/12</f>
        <v/>
      </c>
      <c r="AI247">
        <f>MIN(Plan!E11,AG247+AH247)</f>
        <v/>
      </c>
      <c r="AJ247">
        <f>AG247+AH247-AI247</f>
        <v/>
      </c>
      <c r="AK247">
        <f>MIN(AJ247,MAX(0,$B247-((E$5&lt;AI$5)*F247+(K$5&lt;AI$5)*L247+(Q$5&lt;AI$5)*R247+(W$5&lt;AI$5)*X247+(AC$5&lt;AI$5)*AD247+(AO$5&lt;AI$5)*AP247+(AU$5&lt;AI$5)*AV247)))</f>
        <v/>
      </c>
      <c r="AL247">
        <f>IF(AJ247-AK247&lt;0.005,0,AJ247-AK247)</f>
        <v/>
      </c>
      <c r="AM247">
        <f>AR246</f>
        <v/>
      </c>
      <c r="AN247">
        <f>AM247*Plan!D12/100/12</f>
        <v/>
      </c>
      <c r="AO247">
        <f>MIN(Plan!E12,AM247+AN247)</f>
        <v/>
      </c>
      <c r="AP247">
        <f>AM247+AN247-AO247</f>
        <v/>
      </c>
      <c r="AQ247">
        <f>MIN(AP247,MAX(0,$B247-((E$5&lt;AO$5)*F247+(K$5&lt;AO$5)*L247+(Q$5&lt;AO$5)*R247+(W$5&lt;AO$5)*X247+(AC$5&lt;AO$5)*AD247+(AI$5&lt;AO$5)*AJ247+(AU$5&lt;AO$5)*AV247)))</f>
        <v/>
      </c>
      <c r="AR247">
        <f>IF(AP247-AQ247&lt;0.005,0,AP247-AQ247)</f>
        <v/>
      </c>
      <c r="AS247">
        <f>AX246</f>
        <v/>
      </c>
      <c r="AT247">
        <f>AS247*Plan!D13/100/12</f>
        <v/>
      </c>
      <c r="AU247">
        <f>MIN(Plan!E13,AS247+AT247)</f>
        <v/>
      </c>
      <c r="AV247">
        <f>AS247+AT247-AU247</f>
        <v/>
      </c>
      <c r="AW247">
        <f>MIN(AV247,MAX(0,$B247-((E$5&lt;AU$5)*F247+(K$5&lt;AU$5)*L247+(Q$5&lt;AU$5)*R247+(W$5&lt;AU$5)*X247+(AC$5&lt;AU$5)*AD247+(AI$5&lt;AU$5)*AJ247+(AO$5&lt;AU$5)*AP247)))</f>
        <v/>
      </c>
      <c r="AX247">
        <f>IF(AV247-AW247&lt;0.005,0,AV247-AW247)</f>
        <v/>
      </c>
      <c r="BC247">
        <f>H247+N247+T247+Z247+AF247+AL247+AR247+AX247</f>
        <v/>
      </c>
    </row>
    <row r="248">
      <c r="A248" t="n">
        <v>242</v>
      </c>
      <c r="B248" s="19">
        <f>MAX(0,$B$3-(E248+K248+Q248+W248+AC248+AI248+AO248+AU248))</f>
        <v/>
      </c>
      <c r="C248">
        <f>H247</f>
        <v/>
      </c>
      <c r="D248">
        <f>C248*Plan!D6/100/12</f>
        <v/>
      </c>
      <c r="E248">
        <f>MIN(Plan!E6,C248+D248)</f>
        <v/>
      </c>
      <c r="F248">
        <f>C248+D248-E248</f>
        <v/>
      </c>
      <c r="G248">
        <f>MIN(F248,MAX(0,$B248-((K$5&lt;E$5)*L248+(Q$5&lt;E$5)*R248+(W$5&lt;E$5)*X248+(AC$5&lt;E$5)*AD248+(AI$5&lt;E$5)*AJ248+(AO$5&lt;E$5)*AP248+(AU$5&lt;E$5)*AV248)))</f>
        <v/>
      </c>
      <c r="H248">
        <f>IF(F248-G248&lt;0.005,0,F248-G248)</f>
        <v/>
      </c>
      <c r="I248">
        <f>N247</f>
        <v/>
      </c>
      <c r="J248">
        <f>I248*Plan!D7/100/12</f>
        <v/>
      </c>
      <c r="K248">
        <f>MIN(Plan!E7,I248+J248)</f>
        <v/>
      </c>
      <c r="L248">
        <f>I248+J248-K248</f>
        <v/>
      </c>
      <c r="M248">
        <f>MIN(L248,MAX(0,$B248-((E$5&lt;K$5)*F248+(Q$5&lt;K$5)*R248+(W$5&lt;K$5)*X248+(AC$5&lt;K$5)*AD248+(AI$5&lt;K$5)*AJ248+(AO$5&lt;K$5)*AP248+(AU$5&lt;K$5)*AV248)))</f>
        <v/>
      </c>
      <c r="N248">
        <f>IF(L248-M248&lt;0.005,0,L248-M248)</f>
        <v/>
      </c>
      <c r="O248">
        <f>T247</f>
        <v/>
      </c>
      <c r="P248">
        <f>O248*Plan!D8/100/12</f>
        <v/>
      </c>
      <c r="Q248">
        <f>MIN(Plan!E8,O248+P248)</f>
        <v/>
      </c>
      <c r="R248">
        <f>O248+P248-Q248</f>
        <v/>
      </c>
      <c r="S248">
        <f>MIN(R248,MAX(0,$B248-((E$5&lt;Q$5)*F248+(K$5&lt;Q$5)*L248+(W$5&lt;Q$5)*X248+(AC$5&lt;Q$5)*AD248+(AI$5&lt;Q$5)*AJ248+(AO$5&lt;Q$5)*AP248+(AU$5&lt;Q$5)*AV248)))</f>
        <v/>
      </c>
      <c r="T248">
        <f>IF(R248-S248&lt;0.005,0,R248-S248)</f>
        <v/>
      </c>
      <c r="U248">
        <f>Z247</f>
        <v/>
      </c>
      <c r="V248">
        <f>U248*Plan!D9/100/12</f>
        <v/>
      </c>
      <c r="W248">
        <f>MIN(Plan!E9,U248+V248)</f>
        <v/>
      </c>
      <c r="X248">
        <f>U248+V248-W248</f>
        <v/>
      </c>
      <c r="Y248">
        <f>MIN(X248,MAX(0,$B248-((E$5&lt;W$5)*F248+(K$5&lt;W$5)*L248+(Q$5&lt;W$5)*R248+(AC$5&lt;W$5)*AD248+(AI$5&lt;W$5)*AJ248+(AO$5&lt;W$5)*AP248+(AU$5&lt;W$5)*AV248)))</f>
        <v/>
      </c>
      <c r="Z248">
        <f>IF(X248-Y248&lt;0.005,0,X248-Y248)</f>
        <v/>
      </c>
      <c r="AA248">
        <f>AF247</f>
        <v/>
      </c>
      <c r="AB248">
        <f>AA248*Plan!D10/100/12</f>
        <v/>
      </c>
      <c r="AC248">
        <f>MIN(Plan!E10,AA248+AB248)</f>
        <v/>
      </c>
      <c r="AD248">
        <f>AA248+AB248-AC248</f>
        <v/>
      </c>
      <c r="AE248">
        <f>MIN(AD248,MAX(0,$B248-((E$5&lt;AC$5)*F248+(K$5&lt;AC$5)*L248+(Q$5&lt;AC$5)*R248+(W$5&lt;AC$5)*X248+(AI$5&lt;AC$5)*AJ248+(AO$5&lt;AC$5)*AP248+(AU$5&lt;AC$5)*AV248)))</f>
        <v/>
      </c>
      <c r="AF248">
        <f>IF(AD248-AE248&lt;0.005,0,AD248-AE248)</f>
        <v/>
      </c>
      <c r="AG248">
        <f>AL247</f>
        <v/>
      </c>
      <c r="AH248">
        <f>AG248*Plan!D11/100/12</f>
        <v/>
      </c>
      <c r="AI248">
        <f>MIN(Plan!E11,AG248+AH248)</f>
        <v/>
      </c>
      <c r="AJ248">
        <f>AG248+AH248-AI248</f>
        <v/>
      </c>
      <c r="AK248">
        <f>MIN(AJ248,MAX(0,$B248-((E$5&lt;AI$5)*F248+(K$5&lt;AI$5)*L248+(Q$5&lt;AI$5)*R248+(W$5&lt;AI$5)*X248+(AC$5&lt;AI$5)*AD248+(AO$5&lt;AI$5)*AP248+(AU$5&lt;AI$5)*AV248)))</f>
        <v/>
      </c>
      <c r="AL248">
        <f>IF(AJ248-AK248&lt;0.005,0,AJ248-AK248)</f>
        <v/>
      </c>
      <c r="AM248">
        <f>AR247</f>
        <v/>
      </c>
      <c r="AN248">
        <f>AM248*Plan!D12/100/12</f>
        <v/>
      </c>
      <c r="AO248">
        <f>MIN(Plan!E12,AM248+AN248)</f>
        <v/>
      </c>
      <c r="AP248">
        <f>AM248+AN248-AO248</f>
        <v/>
      </c>
      <c r="AQ248">
        <f>MIN(AP248,MAX(0,$B248-((E$5&lt;AO$5)*F248+(K$5&lt;AO$5)*L248+(Q$5&lt;AO$5)*R248+(W$5&lt;AO$5)*X248+(AC$5&lt;AO$5)*AD248+(AI$5&lt;AO$5)*AJ248+(AU$5&lt;AO$5)*AV248)))</f>
        <v/>
      </c>
      <c r="AR248">
        <f>IF(AP248-AQ248&lt;0.005,0,AP248-AQ248)</f>
        <v/>
      </c>
      <c r="AS248">
        <f>AX247</f>
        <v/>
      </c>
      <c r="AT248">
        <f>AS248*Plan!D13/100/12</f>
        <v/>
      </c>
      <c r="AU248">
        <f>MIN(Plan!E13,AS248+AT248)</f>
        <v/>
      </c>
      <c r="AV248">
        <f>AS248+AT248-AU248</f>
        <v/>
      </c>
      <c r="AW248">
        <f>MIN(AV248,MAX(0,$B248-((E$5&lt;AU$5)*F248+(K$5&lt;AU$5)*L248+(Q$5&lt;AU$5)*R248+(W$5&lt;AU$5)*X248+(AC$5&lt;AU$5)*AD248+(AI$5&lt;AU$5)*AJ248+(AO$5&lt;AU$5)*AP248)))</f>
        <v/>
      </c>
      <c r="AX248">
        <f>IF(AV248-AW248&lt;0.005,0,AV248-AW248)</f>
        <v/>
      </c>
      <c r="BC248">
        <f>H248+N248+T248+Z248+AF248+AL248+AR248+AX248</f>
        <v/>
      </c>
    </row>
    <row r="249">
      <c r="A249" t="n">
        <v>243</v>
      </c>
      <c r="B249" s="19">
        <f>MAX(0,$B$3-(E249+K249+Q249+W249+AC249+AI249+AO249+AU249))</f>
        <v/>
      </c>
      <c r="C249">
        <f>H248</f>
        <v/>
      </c>
      <c r="D249">
        <f>C249*Plan!D6/100/12</f>
        <v/>
      </c>
      <c r="E249">
        <f>MIN(Plan!E6,C249+D249)</f>
        <v/>
      </c>
      <c r="F249">
        <f>C249+D249-E249</f>
        <v/>
      </c>
      <c r="G249">
        <f>MIN(F249,MAX(0,$B249-((K$5&lt;E$5)*L249+(Q$5&lt;E$5)*R249+(W$5&lt;E$5)*X249+(AC$5&lt;E$5)*AD249+(AI$5&lt;E$5)*AJ249+(AO$5&lt;E$5)*AP249+(AU$5&lt;E$5)*AV249)))</f>
        <v/>
      </c>
      <c r="H249">
        <f>IF(F249-G249&lt;0.005,0,F249-G249)</f>
        <v/>
      </c>
      <c r="I249">
        <f>N248</f>
        <v/>
      </c>
      <c r="J249">
        <f>I249*Plan!D7/100/12</f>
        <v/>
      </c>
      <c r="K249">
        <f>MIN(Plan!E7,I249+J249)</f>
        <v/>
      </c>
      <c r="L249">
        <f>I249+J249-K249</f>
        <v/>
      </c>
      <c r="M249">
        <f>MIN(L249,MAX(0,$B249-((E$5&lt;K$5)*F249+(Q$5&lt;K$5)*R249+(W$5&lt;K$5)*X249+(AC$5&lt;K$5)*AD249+(AI$5&lt;K$5)*AJ249+(AO$5&lt;K$5)*AP249+(AU$5&lt;K$5)*AV249)))</f>
        <v/>
      </c>
      <c r="N249">
        <f>IF(L249-M249&lt;0.005,0,L249-M249)</f>
        <v/>
      </c>
      <c r="O249">
        <f>T248</f>
        <v/>
      </c>
      <c r="P249">
        <f>O249*Plan!D8/100/12</f>
        <v/>
      </c>
      <c r="Q249">
        <f>MIN(Plan!E8,O249+P249)</f>
        <v/>
      </c>
      <c r="R249">
        <f>O249+P249-Q249</f>
        <v/>
      </c>
      <c r="S249">
        <f>MIN(R249,MAX(0,$B249-((E$5&lt;Q$5)*F249+(K$5&lt;Q$5)*L249+(W$5&lt;Q$5)*X249+(AC$5&lt;Q$5)*AD249+(AI$5&lt;Q$5)*AJ249+(AO$5&lt;Q$5)*AP249+(AU$5&lt;Q$5)*AV249)))</f>
        <v/>
      </c>
      <c r="T249">
        <f>IF(R249-S249&lt;0.005,0,R249-S249)</f>
        <v/>
      </c>
      <c r="U249">
        <f>Z248</f>
        <v/>
      </c>
      <c r="V249">
        <f>U249*Plan!D9/100/12</f>
        <v/>
      </c>
      <c r="W249">
        <f>MIN(Plan!E9,U249+V249)</f>
        <v/>
      </c>
      <c r="X249">
        <f>U249+V249-W249</f>
        <v/>
      </c>
      <c r="Y249">
        <f>MIN(X249,MAX(0,$B249-((E$5&lt;W$5)*F249+(K$5&lt;W$5)*L249+(Q$5&lt;W$5)*R249+(AC$5&lt;W$5)*AD249+(AI$5&lt;W$5)*AJ249+(AO$5&lt;W$5)*AP249+(AU$5&lt;W$5)*AV249)))</f>
        <v/>
      </c>
      <c r="Z249">
        <f>IF(X249-Y249&lt;0.005,0,X249-Y249)</f>
        <v/>
      </c>
      <c r="AA249">
        <f>AF248</f>
        <v/>
      </c>
      <c r="AB249">
        <f>AA249*Plan!D10/100/12</f>
        <v/>
      </c>
      <c r="AC249">
        <f>MIN(Plan!E10,AA249+AB249)</f>
        <v/>
      </c>
      <c r="AD249">
        <f>AA249+AB249-AC249</f>
        <v/>
      </c>
      <c r="AE249">
        <f>MIN(AD249,MAX(0,$B249-((E$5&lt;AC$5)*F249+(K$5&lt;AC$5)*L249+(Q$5&lt;AC$5)*R249+(W$5&lt;AC$5)*X249+(AI$5&lt;AC$5)*AJ249+(AO$5&lt;AC$5)*AP249+(AU$5&lt;AC$5)*AV249)))</f>
        <v/>
      </c>
      <c r="AF249">
        <f>IF(AD249-AE249&lt;0.005,0,AD249-AE249)</f>
        <v/>
      </c>
      <c r="AG249">
        <f>AL248</f>
        <v/>
      </c>
      <c r="AH249">
        <f>AG249*Plan!D11/100/12</f>
        <v/>
      </c>
      <c r="AI249">
        <f>MIN(Plan!E11,AG249+AH249)</f>
        <v/>
      </c>
      <c r="AJ249">
        <f>AG249+AH249-AI249</f>
        <v/>
      </c>
      <c r="AK249">
        <f>MIN(AJ249,MAX(0,$B249-((E$5&lt;AI$5)*F249+(K$5&lt;AI$5)*L249+(Q$5&lt;AI$5)*R249+(W$5&lt;AI$5)*X249+(AC$5&lt;AI$5)*AD249+(AO$5&lt;AI$5)*AP249+(AU$5&lt;AI$5)*AV249)))</f>
        <v/>
      </c>
      <c r="AL249">
        <f>IF(AJ249-AK249&lt;0.005,0,AJ249-AK249)</f>
        <v/>
      </c>
      <c r="AM249">
        <f>AR248</f>
        <v/>
      </c>
      <c r="AN249">
        <f>AM249*Plan!D12/100/12</f>
        <v/>
      </c>
      <c r="AO249">
        <f>MIN(Plan!E12,AM249+AN249)</f>
        <v/>
      </c>
      <c r="AP249">
        <f>AM249+AN249-AO249</f>
        <v/>
      </c>
      <c r="AQ249">
        <f>MIN(AP249,MAX(0,$B249-((E$5&lt;AO$5)*F249+(K$5&lt;AO$5)*L249+(Q$5&lt;AO$5)*R249+(W$5&lt;AO$5)*X249+(AC$5&lt;AO$5)*AD249+(AI$5&lt;AO$5)*AJ249+(AU$5&lt;AO$5)*AV249)))</f>
        <v/>
      </c>
      <c r="AR249">
        <f>IF(AP249-AQ249&lt;0.005,0,AP249-AQ249)</f>
        <v/>
      </c>
      <c r="AS249">
        <f>AX248</f>
        <v/>
      </c>
      <c r="AT249">
        <f>AS249*Plan!D13/100/12</f>
        <v/>
      </c>
      <c r="AU249">
        <f>MIN(Plan!E13,AS249+AT249)</f>
        <v/>
      </c>
      <c r="AV249">
        <f>AS249+AT249-AU249</f>
        <v/>
      </c>
      <c r="AW249">
        <f>MIN(AV249,MAX(0,$B249-((E$5&lt;AU$5)*F249+(K$5&lt;AU$5)*L249+(Q$5&lt;AU$5)*R249+(W$5&lt;AU$5)*X249+(AC$5&lt;AU$5)*AD249+(AI$5&lt;AU$5)*AJ249+(AO$5&lt;AU$5)*AP249)))</f>
        <v/>
      </c>
      <c r="AX249">
        <f>IF(AV249-AW249&lt;0.005,0,AV249-AW249)</f>
        <v/>
      </c>
      <c r="BC249">
        <f>H249+N249+T249+Z249+AF249+AL249+AR249+AX249</f>
        <v/>
      </c>
    </row>
    <row r="250">
      <c r="A250" t="n">
        <v>244</v>
      </c>
      <c r="B250" s="19">
        <f>MAX(0,$B$3-(E250+K250+Q250+W250+AC250+AI250+AO250+AU250))</f>
        <v/>
      </c>
      <c r="C250">
        <f>H249</f>
        <v/>
      </c>
      <c r="D250">
        <f>C250*Plan!D6/100/12</f>
        <v/>
      </c>
      <c r="E250">
        <f>MIN(Plan!E6,C250+D250)</f>
        <v/>
      </c>
      <c r="F250">
        <f>C250+D250-E250</f>
        <v/>
      </c>
      <c r="G250">
        <f>MIN(F250,MAX(0,$B250-((K$5&lt;E$5)*L250+(Q$5&lt;E$5)*R250+(W$5&lt;E$5)*X250+(AC$5&lt;E$5)*AD250+(AI$5&lt;E$5)*AJ250+(AO$5&lt;E$5)*AP250+(AU$5&lt;E$5)*AV250)))</f>
        <v/>
      </c>
      <c r="H250">
        <f>IF(F250-G250&lt;0.005,0,F250-G250)</f>
        <v/>
      </c>
      <c r="I250">
        <f>N249</f>
        <v/>
      </c>
      <c r="J250">
        <f>I250*Plan!D7/100/12</f>
        <v/>
      </c>
      <c r="K250">
        <f>MIN(Plan!E7,I250+J250)</f>
        <v/>
      </c>
      <c r="L250">
        <f>I250+J250-K250</f>
        <v/>
      </c>
      <c r="M250">
        <f>MIN(L250,MAX(0,$B250-((E$5&lt;K$5)*F250+(Q$5&lt;K$5)*R250+(W$5&lt;K$5)*X250+(AC$5&lt;K$5)*AD250+(AI$5&lt;K$5)*AJ250+(AO$5&lt;K$5)*AP250+(AU$5&lt;K$5)*AV250)))</f>
        <v/>
      </c>
      <c r="N250">
        <f>IF(L250-M250&lt;0.005,0,L250-M250)</f>
        <v/>
      </c>
      <c r="O250">
        <f>T249</f>
        <v/>
      </c>
      <c r="P250">
        <f>O250*Plan!D8/100/12</f>
        <v/>
      </c>
      <c r="Q250">
        <f>MIN(Plan!E8,O250+P250)</f>
        <v/>
      </c>
      <c r="R250">
        <f>O250+P250-Q250</f>
        <v/>
      </c>
      <c r="S250">
        <f>MIN(R250,MAX(0,$B250-((E$5&lt;Q$5)*F250+(K$5&lt;Q$5)*L250+(W$5&lt;Q$5)*X250+(AC$5&lt;Q$5)*AD250+(AI$5&lt;Q$5)*AJ250+(AO$5&lt;Q$5)*AP250+(AU$5&lt;Q$5)*AV250)))</f>
        <v/>
      </c>
      <c r="T250">
        <f>IF(R250-S250&lt;0.005,0,R250-S250)</f>
        <v/>
      </c>
      <c r="U250">
        <f>Z249</f>
        <v/>
      </c>
      <c r="V250">
        <f>U250*Plan!D9/100/12</f>
        <v/>
      </c>
      <c r="W250">
        <f>MIN(Plan!E9,U250+V250)</f>
        <v/>
      </c>
      <c r="X250">
        <f>U250+V250-W250</f>
        <v/>
      </c>
      <c r="Y250">
        <f>MIN(X250,MAX(0,$B250-((E$5&lt;W$5)*F250+(K$5&lt;W$5)*L250+(Q$5&lt;W$5)*R250+(AC$5&lt;W$5)*AD250+(AI$5&lt;W$5)*AJ250+(AO$5&lt;W$5)*AP250+(AU$5&lt;W$5)*AV250)))</f>
        <v/>
      </c>
      <c r="Z250">
        <f>IF(X250-Y250&lt;0.005,0,X250-Y250)</f>
        <v/>
      </c>
      <c r="AA250">
        <f>AF249</f>
        <v/>
      </c>
      <c r="AB250">
        <f>AA250*Plan!D10/100/12</f>
        <v/>
      </c>
      <c r="AC250">
        <f>MIN(Plan!E10,AA250+AB250)</f>
        <v/>
      </c>
      <c r="AD250">
        <f>AA250+AB250-AC250</f>
        <v/>
      </c>
      <c r="AE250">
        <f>MIN(AD250,MAX(0,$B250-((E$5&lt;AC$5)*F250+(K$5&lt;AC$5)*L250+(Q$5&lt;AC$5)*R250+(W$5&lt;AC$5)*X250+(AI$5&lt;AC$5)*AJ250+(AO$5&lt;AC$5)*AP250+(AU$5&lt;AC$5)*AV250)))</f>
        <v/>
      </c>
      <c r="AF250">
        <f>IF(AD250-AE250&lt;0.005,0,AD250-AE250)</f>
        <v/>
      </c>
      <c r="AG250">
        <f>AL249</f>
        <v/>
      </c>
      <c r="AH250">
        <f>AG250*Plan!D11/100/12</f>
        <v/>
      </c>
      <c r="AI250">
        <f>MIN(Plan!E11,AG250+AH250)</f>
        <v/>
      </c>
      <c r="AJ250">
        <f>AG250+AH250-AI250</f>
        <v/>
      </c>
      <c r="AK250">
        <f>MIN(AJ250,MAX(0,$B250-((E$5&lt;AI$5)*F250+(K$5&lt;AI$5)*L250+(Q$5&lt;AI$5)*R250+(W$5&lt;AI$5)*X250+(AC$5&lt;AI$5)*AD250+(AO$5&lt;AI$5)*AP250+(AU$5&lt;AI$5)*AV250)))</f>
        <v/>
      </c>
      <c r="AL250">
        <f>IF(AJ250-AK250&lt;0.005,0,AJ250-AK250)</f>
        <v/>
      </c>
      <c r="AM250">
        <f>AR249</f>
        <v/>
      </c>
      <c r="AN250">
        <f>AM250*Plan!D12/100/12</f>
        <v/>
      </c>
      <c r="AO250">
        <f>MIN(Plan!E12,AM250+AN250)</f>
        <v/>
      </c>
      <c r="AP250">
        <f>AM250+AN250-AO250</f>
        <v/>
      </c>
      <c r="AQ250">
        <f>MIN(AP250,MAX(0,$B250-((E$5&lt;AO$5)*F250+(K$5&lt;AO$5)*L250+(Q$5&lt;AO$5)*R250+(W$5&lt;AO$5)*X250+(AC$5&lt;AO$5)*AD250+(AI$5&lt;AO$5)*AJ250+(AU$5&lt;AO$5)*AV250)))</f>
        <v/>
      </c>
      <c r="AR250">
        <f>IF(AP250-AQ250&lt;0.005,0,AP250-AQ250)</f>
        <v/>
      </c>
      <c r="AS250">
        <f>AX249</f>
        <v/>
      </c>
      <c r="AT250">
        <f>AS250*Plan!D13/100/12</f>
        <v/>
      </c>
      <c r="AU250">
        <f>MIN(Plan!E13,AS250+AT250)</f>
        <v/>
      </c>
      <c r="AV250">
        <f>AS250+AT250-AU250</f>
        <v/>
      </c>
      <c r="AW250">
        <f>MIN(AV250,MAX(0,$B250-((E$5&lt;AU$5)*F250+(K$5&lt;AU$5)*L250+(Q$5&lt;AU$5)*R250+(W$5&lt;AU$5)*X250+(AC$5&lt;AU$5)*AD250+(AI$5&lt;AU$5)*AJ250+(AO$5&lt;AU$5)*AP250)))</f>
        <v/>
      </c>
      <c r="AX250">
        <f>IF(AV250-AW250&lt;0.005,0,AV250-AW250)</f>
        <v/>
      </c>
      <c r="BC250">
        <f>H250+N250+T250+Z250+AF250+AL250+AR250+AX250</f>
        <v/>
      </c>
    </row>
    <row r="251">
      <c r="A251" t="n">
        <v>245</v>
      </c>
      <c r="B251" s="19">
        <f>MAX(0,$B$3-(E251+K251+Q251+W251+AC251+AI251+AO251+AU251))</f>
        <v/>
      </c>
      <c r="C251">
        <f>H250</f>
        <v/>
      </c>
      <c r="D251">
        <f>C251*Plan!D6/100/12</f>
        <v/>
      </c>
      <c r="E251">
        <f>MIN(Plan!E6,C251+D251)</f>
        <v/>
      </c>
      <c r="F251">
        <f>C251+D251-E251</f>
        <v/>
      </c>
      <c r="G251">
        <f>MIN(F251,MAX(0,$B251-((K$5&lt;E$5)*L251+(Q$5&lt;E$5)*R251+(W$5&lt;E$5)*X251+(AC$5&lt;E$5)*AD251+(AI$5&lt;E$5)*AJ251+(AO$5&lt;E$5)*AP251+(AU$5&lt;E$5)*AV251)))</f>
        <v/>
      </c>
      <c r="H251">
        <f>IF(F251-G251&lt;0.005,0,F251-G251)</f>
        <v/>
      </c>
      <c r="I251">
        <f>N250</f>
        <v/>
      </c>
      <c r="J251">
        <f>I251*Plan!D7/100/12</f>
        <v/>
      </c>
      <c r="K251">
        <f>MIN(Plan!E7,I251+J251)</f>
        <v/>
      </c>
      <c r="L251">
        <f>I251+J251-K251</f>
        <v/>
      </c>
      <c r="M251">
        <f>MIN(L251,MAX(0,$B251-((E$5&lt;K$5)*F251+(Q$5&lt;K$5)*R251+(W$5&lt;K$5)*X251+(AC$5&lt;K$5)*AD251+(AI$5&lt;K$5)*AJ251+(AO$5&lt;K$5)*AP251+(AU$5&lt;K$5)*AV251)))</f>
        <v/>
      </c>
      <c r="N251">
        <f>IF(L251-M251&lt;0.005,0,L251-M251)</f>
        <v/>
      </c>
      <c r="O251">
        <f>T250</f>
        <v/>
      </c>
      <c r="P251">
        <f>O251*Plan!D8/100/12</f>
        <v/>
      </c>
      <c r="Q251">
        <f>MIN(Plan!E8,O251+P251)</f>
        <v/>
      </c>
      <c r="R251">
        <f>O251+P251-Q251</f>
        <v/>
      </c>
      <c r="S251">
        <f>MIN(R251,MAX(0,$B251-((E$5&lt;Q$5)*F251+(K$5&lt;Q$5)*L251+(W$5&lt;Q$5)*X251+(AC$5&lt;Q$5)*AD251+(AI$5&lt;Q$5)*AJ251+(AO$5&lt;Q$5)*AP251+(AU$5&lt;Q$5)*AV251)))</f>
        <v/>
      </c>
      <c r="T251">
        <f>IF(R251-S251&lt;0.005,0,R251-S251)</f>
        <v/>
      </c>
      <c r="U251">
        <f>Z250</f>
        <v/>
      </c>
      <c r="V251">
        <f>U251*Plan!D9/100/12</f>
        <v/>
      </c>
      <c r="W251">
        <f>MIN(Plan!E9,U251+V251)</f>
        <v/>
      </c>
      <c r="X251">
        <f>U251+V251-W251</f>
        <v/>
      </c>
      <c r="Y251">
        <f>MIN(X251,MAX(0,$B251-((E$5&lt;W$5)*F251+(K$5&lt;W$5)*L251+(Q$5&lt;W$5)*R251+(AC$5&lt;W$5)*AD251+(AI$5&lt;W$5)*AJ251+(AO$5&lt;W$5)*AP251+(AU$5&lt;W$5)*AV251)))</f>
        <v/>
      </c>
      <c r="Z251">
        <f>IF(X251-Y251&lt;0.005,0,X251-Y251)</f>
        <v/>
      </c>
      <c r="AA251">
        <f>AF250</f>
        <v/>
      </c>
      <c r="AB251">
        <f>AA251*Plan!D10/100/12</f>
        <v/>
      </c>
      <c r="AC251">
        <f>MIN(Plan!E10,AA251+AB251)</f>
        <v/>
      </c>
      <c r="AD251">
        <f>AA251+AB251-AC251</f>
        <v/>
      </c>
      <c r="AE251">
        <f>MIN(AD251,MAX(0,$B251-((E$5&lt;AC$5)*F251+(K$5&lt;AC$5)*L251+(Q$5&lt;AC$5)*R251+(W$5&lt;AC$5)*X251+(AI$5&lt;AC$5)*AJ251+(AO$5&lt;AC$5)*AP251+(AU$5&lt;AC$5)*AV251)))</f>
        <v/>
      </c>
      <c r="AF251">
        <f>IF(AD251-AE251&lt;0.005,0,AD251-AE251)</f>
        <v/>
      </c>
      <c r="AG251">
        <f>AL250</f>
        <v/>
      </c>
      <c r="AH251">
        <f>AG251*Plan!D11/100/12</f>
        <v/>
      </c>
      <c r="AI251">
        <f>MIN(Plan!E11,AG251+AH251)</f>
        <v/>
      </c>
      <c r="AJ251">
        <f>AG251+AH251-AI251</f>
        <v/>
      </c>
      <c r="AK251">
        <f>MIN(AJ251,MAX(0,$B251-((E$5&lt;AI$5)*F251+(K$5&lt;AI$5)*L251+(Q$5&lt;AI$5)*R251+(W$5&lt;AI$5)*X251+(AC$5&lt;AI$5)*AD251+(AO$5&lt;AI$5)*AP251+(AU$5&lt;AI$5)*AV251)))</f>
        <v/>
      </c>
      <c r="AL251">
        <f>IF(AJ251-AK251&lt;0.005,0,AJ251-AK251)</f>
        <v/>
      </c>
      <c r="AM251">
        <f>AR250</f>
        <v/>
      </c>
      <c r="AN251">
        <f>AM251*Plan!D12/100/12</f>
        <v/>
      </c>
      <c r="AO251">
        <f>MIN(Plan!E12,AM251+AN251)</f>
        <v/>
      </c>
      <c r="AP251">
        <f>AM251+AN251-AO251</f>
        <v/>
      </c>
      <c r="AQ251">
        <f>MIN(AP251,MAX(0,$B251-((E$5&lt;AO$5)*F251+(K$5&lt;AO$5)*L251+(Q$5&lt;AO$5)*R251+(W$5&lt;AO$5)*X251+(AC$5&lt;AO$5)*AD251+(AI$5&lt;AO$5)*AJ251+(AU$5&lt;AO$5)*AV251)))</f>
        <v/>
      </c>
      <c r="AR251">
        <f>IF(AP251-AQ251&lt;0.005,0,AP251-AQ251)</f>
        <v/>
      </c>
      <c r="AS251">
        <f>AX250</f>
        <v/>
      </c>
      <c r="AT251">
        <f>AS251*Plan!D13/100/12</f>
        <v/>
      </c>
      <c r="AU251">
        <f>MIN(Plan!E13,AS251+AT251)</f>
        <v/>
      </c>
      <c r="AV251">
        <f>AS251+AT251-AU251</f>
        <v/>
      </c>
      <c r="AW251">
        <f>MIN(AV251,MAX(0,$B251-((E$5&lt;AU$5)*F251+(K$5&lt;AU$5)*L251+(Q$5&lt;AU$5)*R251+(W$5&lt;AU$5)*X251+(AC$5&lt;AU$5)*AD251+(AI$5&lt;AU$5)*AJ251+(AO$5&lt;AU$5)*AP251)))</f>
        <v/>
      </c>
      <c r="AX251">
        <f>IF(AV251-AW251&lt;0.005,0,AV251-AW251)</f>
        <v/>
      </c>
      <c r="BC251">
        <f>H251+N251+T251+Z251+AF251+AL251+AR251+AX251</f>
        <v/>
      </c>
    </row>
    <row r="252">
      <c r="A252" t="n">
        <v>246</v>
      </c>
      <c r="B252" s="19">
        <f>MAX(0,$B$3-(E252+K252+Q252+W252+AC252+AI252+AO252+AU252))</f>
        <v/>
      </c>
      <c r="C252">
        <f>H251</f>
        <v/>
      </c>
      <c r="D252">
        <f>C252*Plan!D6/100/12</f>
        <v/>
      </c>
      <c r="E252">
        <f>MIN(Plan!E6,C252+D252)</f>
        <v/>
      </c>
      <c r="F252">
        <f>C252+D252-E252</f>
        <v/>
      </c>
      <c r="G252">
        <f>MIN(F252,MAX(0,$B252-((K$5&lt;E$5)*L252+(Q$5&lt;E$5)*R252+(W$5&lt;E$5)*X252+(AC$5&lt;E$5)*AD252+(AI$5&lt;E$5)*AJ252+(AO$5&lt;E$5)*AP252+(AU$5&lt;E$5)*AV252)))</f>
        <v/>
      </c>
      <c r="H252">
        <f>IF(F252-G252&lt;0.005,0,F252-G252)</f>
        <v/>
      </c>
      <c r="I252">
        <f>N251</f>
        <v/>
      </c>
      <c r="J252">
        <f>I252*Plan!D7/100/12</f>
        <v/>
      </c>
      <c r="K252">
        <f>MIN(Plan!E7,I252+J252)</f>
        <v/>
      </c>
      <c r="L252">
        <f>I252+J252-K252</f>
        <v/>
      </c>
      <c r="M252">
        <f>MIN(L252,MAX(0,$B252-((E$5&lt;K$5)*F252+(Q$5&lt;K$5)*R252+(W$5&lt;K$5)*X252+(AC$5&lt;K$5)*AD252+(AI$5&lt;K$5)*AJ252+(AO$5&lt;K$5)*AP252+(AU$5&lt;K$5)*AV252)))</f>
        <v/>
      </c>
      <c r="N252">
        <f>IF(L252-M252&lt;0.005,0,L252-M252)</f>
        <v/>
      </c>
      <c r="O252">
        <f>T251</f>
        <v/>
      </c>
      <c r="P252">
        <f>O252*Plan!D8/100/12</f>
        <v/>
      </c>
      <c r="Q252">
        <f>MIN(Plan!E8,O252+P252)</f>
        <v/>
      </c>
      <c r="R252">
        <f>O252+P252-Q252</f>
        <v/>
      </c>
      <c r="S252">
        <f>MIN(R252,MAX(0,$B252-((E$5&lt;Q$5)*F252+(K$5&lt;Q$5)*L252+(W$5&lt;Q$5)*X252+(AC$5&lt;Q$5)*AD252+(AI$5&lt;Q$5)*AJ252+(AO$5&lt;Q$5)*AP252+(AU$5&lt;Q$5)*AV252)))</f>
        <v/>
      </c>
      <c r="T252">
        <f>IF(R252-S252&lt;0.005,0,R252-S252)</f>
        <v/>
      </c>
      <c r="U252">
        <f>Z251</f>
        <v/>
      </c>
      <c r="V252">
        <f>U252*Plan!D9/100/12</f>
        <v/>
      </c>
      <c r="W252">
        <f>MIN(Plan!E9,U252+V252)</f>
        <v/>
      </c>
      <c r="X252">
        <f>U252+V252-W252</f>
        <v/>
      </c>
      <c r="Y252">
        <f>MIN(X252,MAX(0,$B252-((E$5&lt;W$5)*F252+(K$5&lt;W$5)*L252+(Q$5&lt;W$5)*R252+(AC$5&lt;W$5)*AD252+(AI$5&lt;W$5)*AJ252+(AO$5&lt;W$5)*AP252+(AU$5&lt;W$5)*AV252)))</f>
        <v/>
      </c>
      <c r="Z252">
        <f>IF(X252-Y252&lt;0.005,0,X252-Y252)</f>
        <v/>
      </c>
      <c r="AA252">
        <f>AF251</f>
        <v/>
      </c>
      <c r="AB252">
        <f>AA252*Plan!D10/100/12</f>
        <v/>
      </c>
      <c r="AC252">
        <f>MIN(Plan!E10,AA252+AB252)</f>
        <v/>
      </c>
      <c r="AD252">
        <f>AA252+AB252-AC252</f>
        <v/>
      </c>
      <c r="AE252">
        <f>MIN(AD252,MAX(0,$B252-((E$5&lt;AC$5)*F252+(K$5&lt;AC$5)*L252+(Q$5&lt;AC$5)*R252+(W$5&lt;AC$5)*X252+(AI$5&lt;AC$5)*AJ252+(AO$5&lt;AC$5)*AP252+(AU$5&lt;AC$5)*AV252)))</f>
        <v/>
      </c>
      <c r="AF252">
        <f>IF(AD252-AE252&lt;0.005,0,AD252-AE252)</f>
        <v/>
      </c>
      <c r="AG252">
        <f>AL251</f>
        <v/>
      </c>
      <c r="AH252">
        <f>AG252*Plan!D11/100/12</f>
        <v/>
      </c>
      <c r="AI252">
        <f>MIN(Plan!E11,AG252+AH252)</f>
        <v/>
      </c>
      <c r="AJ252">
        <f>AG252+AH252-AI252</f>
        <v/>
      </c>
      <c r="AK252">
        <f>MIN(AJ252,MAX(0,$B252-((E$5&lt;AI$5)*F252+(K$5&lt;AI$5)*L252+(Q$5&lt;AI$5)*R252+(W$5&lt;AI$5)*X252+(AC$5&lt;AI$5)*AD252+(AO$5&lt;AI$5)*AP252+(AU$5&lt;AI$5)*AV252)))</f>
        <v/>
      </c>
      <c r="AL252">
        <f>IF(AJ252-AK252&lt;0.005,0,AJ252-AK252)</f>
        <v/>
      </c>
      <c r="AM252">
        <f>AR251</f>
        <v/>
      </c>
      <c r="AN252">
        <f>AM252*Plan!D12/100/12</f>
        <v/>
      </c>
      <c r="AO252">
        <f>MIN(Plan!E12,AM252+AN252)</f>
        <v/>
      </c>
      <c r="AP252">
        <f>AM252+AN252-AO252</f>
        <v/>
      </c>
      <c r="AQ252">
        <f>MIN(AP252,MAX(0,$B252-((E$5&lt;AO$5)*F252+(K$5&lt;AO$5)*L252+(Q$5&lt;AO$5)*R252+(W$5&lt;AO$5)*X252+(AC$5&lt;AO$5)*AD252+(AI$5&lt;AO$5)*AJ252+(AU$5&lt;AO$5)*AV252)))</f>
        <v/>
      </c>
      <c r="AR252">
        <f>IF(AP252-AQ252&lt;0.005,0,AP252-AQ252)</f>
        <v/>
      </c>
      <c r="AS252">
        <f>AX251</f>
        <v/>
      </c>
      <c r="AT252">
        <f>AS252*Plan!D13/100/12</f>
        <v/>
      </c>
      <c r="AU252">
        <f>MIN(Plan!E13,AS252+AT252)</f>
        <v/>
      </c>
      <c r="AV252">
        <f>AS252+AT252-AU252</f>
        <v/>
      </c>
      <c r="AW252">
        <f>MIN(AV252,MAX(0,$B252-((E$5&lt;AU$5)*F252+(K$5&lt;AU$5)*L252+(Q$5&lt;AU$5)*R252+(W$5&lt;AU$5)*X252+(AC$5&lt;AU$5)*AD252+(AI$5&lt;AU$5)*AJ252+(AO$5&lt;AU$5)*AP252)))</f>
        <v/>
      </c>
      <c r="AX252">
        <f>IF(AV252-AW252&lt;0.005,0,AV252-AW252)</f>
        <v/>
      </c>
      <c r="BC252">
        <f>H252+N252+T252+Z252+AF252+AL252+AR252+AX252</f>
        <v/>
      </c>
    </row>
    <row r="253">
      <c r="A253" t="n">
        <v>247</v>
      </c>
      <c r="B253" s="19">
        <f>MAX(0,$B$3-(E253+K253+Q253+W253+AC253+AI253+AO253+AU253))</f>
        <v/>
      </c>
      <c r="C253">
        <f>H252</f>
        <v/>
      </c>
      <c r="D253">
        <f>C253*Plan!D6/100/12</f>
        <v/>
      </c>
      <c r="E253">
        <f>MIN(Plan!E6,C253+D253)</f>
        <v/>
      </c>
      <c r="F253">
        <f>C253+D253-E253</f>
        <v/>
      </c>
      <c r="G253">
        <f>MIN(F253,MAX(0,$B253-((K$5&lt;E$5)*L253+(Q$5&lt;E$5)*R253+(W$5&lt;E$5)*X253+(AC$5&lt;E$5)*AD253+(AI$5&lt;E$5)*AJ253+(AO$5&lt;E$5)*AP253+(AU$5&lt;E$5)*AV253)))</f>
        <v/>
      </c>
      <c r="H253">
        <f>IF(F253-G253&lt;0.005,0,F253-G253)</f>
        <v/>
      </c>
      <c r="I253">
        <f>N252</f>
        <v/>
      </c>
      <c r="J253">
        <f>I253*Plan!D7/100/12</f>
        <v/>
      </c>
      <c r="K253">
        <f>MIN(Plan!E7,I253+J253)</f>
        <v/>
      </c>
      <c r="L253">
        <f>I253+J253-K253</f>
        <v/>
      </c>
      <c r="M253">
        <f>MIN(L253,MAX(0,$B253-((E$5&lt;K$5)*F253+(Q$5&lt;K$5)*R253+(W$5&lt;K$5)*X253+(AC$5&lt;K$5)*AD253+(AI$5&lt;K$5)*AJ253+(AO$5&lt;K$5)*AP253+(AU$5&lt;K$5)*AV253)))</f>
        <v/>
      </c>
      <c r="N253">
        <f>IF(L253-M253&lt;0.005,0,L253-M253)</f>
        <v/>
      </c>
      <c r="O253">
        <f>T252</f>
        <v/>
      </c>
      <c r="P253">
        <f>O253*Plan!D8/100/12</f>
        <v/>
      </c>
      <c r="Q253">
        <f>MIN(Plan!E8,O253+P253)</f>
        <v/>
      </c>
      <c r="R253">
        <f>O253+P253-Q253</f>
        <v/>
      </c>
      <c r="S253">
        <f>MIN(R253,MAX(0,$B253-((E$5&lt;Q$5)*F253+(K$5&lt;Q$5)*L253+(W$5&lt;Q$5)*X253+(AC$5&lt;Q$5)*AD253+(AI$5&lt;Q$5)*AJ253+(AO$5&lt;Q$5)*AP253+(AU$5&lt;Q$5)*AV253)))</f>
        <v/>
      </c>
      <c r="T253">
        <f>IF(R253-S253&lt;0.005,0,R253-S253)</f>
        <v/>
      </c>
      <c r="U253">
        <f>Z252</f>
        <v/>
      </c>
      <c r="V253">
        <f>U253*Plan!D9/100/12</f>
        <v/>
      </c>
      <c r="W253">
        <f>MIN(Plan!E9,U253+V253)</f>
        <v/>
      </c>
      <c r="X253">
        <f>U253+V253-W253</f>
        <v/>
      </c>
      <c r="Y253">
        <f>MIN(X253,MAX(0,$B253-((E$5&lt;W$5)*F253+(K$5&lt;W$5)*L253+(Q$5&lt;W$5)*R253+(AC$5&lt;W$5)*AD253+(AI$5&lt;W$5)*AJ253+(AO$5&lt;W$5)*AP253+(AU$5&lt;W$5)*AV253)))</f>
        <v/>
      </c>
      <c r="Z253">
        <f>IF(X253-Y253&lt;0.005,0,X253-Y253)</f>
        <v/>
      </c>
      <c r="AA253">
        <f>AF252</f>
        <v/>
      </c>
      <c r="AB253">
        <f>AA253*Plan!D10/100/12</f>
        <v/>
      </c>
      <c r="AC253">
        <f>MIN(Plan!E10,AA253+AB253)</f>
        <v/>
      </c>
      <c r="AD253">
        <f>AA253+AB253-AC253</f>
        <v/>
      </c>
      <c r="AE253">
        <f>MIN(AD253,MAX(0,$B253-((E$5&lt;AC$5)*F253+(K$5&lt;AC$5)*L253+(Q$5&lt;AC$5)*R253+(W$5&lt;AC$5)*X253+(AI$5&lt;AC$5)*AJ253+(AO$5&lt;AC$5)*AP253+(AU$5&lt;AC$5)*AV253)))</f>
        <v/>
      </c>
      <c r="AF253">
        <f>IF(AD253-AE253&lt;0.005,0,AD253-AE253)</f>
        <v/>
      </c>
      <c r="AG253">
        <f>AL252</f>
        <v/>
      </c>
      <c r="AH253">
        <f>AG253*Plan!D11/100/12</f>
        <v/>
      </c>
      <c r="AI253">
        <f>MIN(Plan!E11,AG253+AH253)</f>
        <v/>
      </c>
      <c r="AJ253">
        <f>AG253+AH253-AI253</f>
        <v/>
      </c>
      <c r="AK253">
        <f>MIN(AJ253,MAX(0,$B253-((E$5&lt;AI$5)*F253+(K$5&lt;AI$5)*L253+(Q$5&lt;AI$5)*R253+(W$5&lt;AI$5)*X253+(AC$5&lt;AI$5)*AD253+(AO$5&lt;AI$5)*AP253+(AU$5&lt;AI$5)*AV253)))</f>
        <v/>
      </c>
      <c r="AL253">
        <f>IF(AJ253-AK253&lt;0.005,0,AJ253-AK253)</f>
        <v/>
      </c>
      <c r="AM253">
        <f>AR252</f>
        <v/>
      </c>
      <c r="AN253">
        <f>AM253*Plan!D12/100/12</f>
        <v/>
      </c>
      <c r="AO253">
        <f>MIN(Plan!E12,AM253+AN253)</f>
        <v/>
      </c>
      <c r="AP253">
        <f>AM253+AN253-AO253</f>
        <v/>
      </c>
      <c r="AQ253">
        <f>MIN(AP253,MAX(0,$B253-((E$5&lt;AO$5)*F253+(K$5&lt;AO$5)*L253+(Q$5&lt;AO$5)*R253+(W$5&lt;AO$5)*X253+(AC$5&lt;AO$5)*AD253+(AI$5&lt;AO$5)*AJ253+(AU$5&lt;AO$5)*AV253)))</f>
        <v/>
      </c>
      <c r="AR253">
        <f>IF(AP253-AQ253&lt;0.005,0,AP253-AQ253)</f>
        <v/>
      </c>
      <c r="AS253">
        <f>AX252</f>
        <v/>
      </c>
      <c r="AT253">
        <f>AS253*Plan!D13/100/12</f>
        <v/>
      </c>
      <c r="AU253">
        <f>MIN(Plan!E13,AS253+AT253)</f>
        <v/>
      </c>
      <c r="AV253">
        <f>AS253+AT253-AU253</f>
        <v/>
      </c>
      <c r="AW253">
        <f>MIN(AV253,MAX(0,$B253-((E$5&lt;AU$5)*F253+(K$5&lt;AU$5)*L253+(Q$5&lt;AU$5)*R253+(W$5&lt;AU$5)*X253+(AC$5&lt;AU$5)*AD253+(AI$5&lt;AU$5)*AJ253+(AO$5&lt;AU$5)*AP253)))</f>
        <v/>
      </c>
      <c r="AX253">
        <f>IF(AV253-AW253&lt;0.005,0,AV253-AW253)</f>
        <v/>
      </c>
      <c r="BC253">
        <f>H253+N253+T253+Z253+AF253+AL253+AR253+AX253</f>
        <v/>
      </c>
    </row>
    <row r="254">
      <c r="A254" t="n">
        <v>248</v>
      </c>
      <c r="B254" s="19">
        <f>MAX(0,$B$3-(E254+K254+Q254+W254+AC254+AI254+AO254+AU254))</f>
        <v/>
      </c>
      <c r="C254">
        <f>H253</f>
        <v/>
      </c>
      <c r="D254">
        <f>C254*Plan!D6/100/12</f>
        <v/>
      </c>
      <c r="E254">
        <f>MIN(Plan!E6,C254+D254)</f>
        <v/>
      </c>
      <c r="F254">
        <f>C254+D254-E254</f>
        <v/>
      </c>
      <c r="G254">
        <f>MIN(F254,MAX(0,$B254-((K$5&lt;E$5)*L254+(Q$5&lt;E$5)*R254+(W$5&lt;E$5)*X254+(AC$5&lt;E$5)*AD254+(AI$5&lt;E$5)*AJ254+(AO$5&lt;E$5)*AP254+(AU$5&lt;E$5)*AV254)))</f>
        <v/>
      </c>
      <c r="H254">
        <f>IF(F254-G254&lt;0.005,0,F254-G254)</f>
        <v/>
      </c>
      <c r="I254">
        <f>N253</f>
        <v/>
      </c>
      <c r="J254">
        <f>I254*Plan!D7/100/12</f>
        <v/>
      </c>
      <c r="K254">
        <f>MIN(Plan!E7,I254+J254)</f>
        <v/>
      </c>
      <c r="L254">
        <f>I254+J254-K254</f>
        <v/>
      </c>
      <c r="M254">
        <f>MIN(L254,MAX(0,$B254-((E$5&lt;K$5)*F254+(Q$5&lt;K$5)*R254+(W$5&lt;K$5)*X254+(AC$5&lt;K$5)*AD254+(AI$5&lt;K$5)*AJ254+(AO$5&lt;K$5)*AP254+(AU$5&lt;K$5)*AV254)))</f>
        <v/>
      </c>
      <c r="N254">
        <f>IF(L254-M254&lt;0.005,0,L254-M254)</f>
        <v/>
      </c>
      <c r="O254">
        <f>T253</f>
        <v/>
      </c>
      <c r="P254">
        <f>O254*Plan!D8/100/12</f>
        <v/>
      </c>
      <c r="Q254">
        <f>MIN(Plan!E8,O254+P254)</f>
        <v/>
      </c>
      <c r="R254">
        <f>O254+P254-Q254</f>
        <v/>
      </c>
      <c r="S254">
        <f>MIN(R254,MAX(0,$B254-((E$5&lt;Q$5)*F254+(K$5&lt;Q$5)*L254+(W$5&lt;Q$5)*X254+(AC$5&lt;Q$5)*AD254+(AI$5&lt;Q$5)*AJ254+(AO$5&lt;Q$5)*AP254+(AU$5&lt;Q$5)*AV254)))</f>
        <v/>
      </c>
      <c r="T254">
        <f>IF(R254-S254&lt;0.005,0,R254-S254)</f>
        <v/>
      </c>
      <c r="U254">
        <f>Z253</f>
        <v/>
      </c>
      <c r="V254">
        <f>U254*Plan!D9/100/12</f>
        <v/>
      </c>
      <c r="W254">
        <f>MIN(Plan!E9,U254+V254)</f>
        <v/>
      </c>
      <c r="X254">
        <f>U254+V254-W254</f>
        <v/>
      </c>
      <c r="Y254">
        <f>MIN(X254,MAX(0,$B254-((E$5&lt;W$5)*F254+(K$5&lt;W$5)*L254+(Q$5&lt;W$5)*R254+(AC$5&lt;W$5)*AD254+(AI$5&lt;W$5)*AJ254+(AO$5&lt;W$5)*AP254+(AU$5&lt;W$5)*AV254)))</f>
        <v/>
      </c>
      <c r="Z254">
        <f>IF(X254-Y254&lt;0.005,0,X254-Y254)</f>
        <v/>
      </c>
      <c r="AA254">
        <f>AF253</f>
        <v/>
      </c>
      <c r="AB254">
        <f>AA254*Plan!D10/100/12</f>
        <v/>
      </c>
      <c r="AC254">
        <f>MIN(Plan!E10,AA254+AB254)</f>
        <v/>
      </c>
      <c r="AD254">
        <f>AA254+AB254-AC254</f>
        <v/>
      </c>
      <c r="AE254">
        <f>MIN(AD254,MAX(0,$B254-((E$5&lt;AC$5)*F254+(K$5&lt;AC$5)*L254+(Q$5&lt;AC$5)*R254+(W$5&lt;AC$5)*X254+(AI$5&lt;AC$5)*AJ254+(AO$5&lt;AC$5)*AP254+(AU$5&lt;AC$5)*AV254)))</f>
        <v/>
      </c>
      <c r="AF254">
        <f>IF(AD254-AE254&lt;0.005,0,AD254-AE254)</f>
        <v/>
      </c>
      <c r="AG254">
        <f>AL253</f>
        <v/>
      </c>
      <c r="AH254">
        <f>AG254*Plan!D11/100/12</f>
        <v/>
      </c>
      <c r="AI254">
        <f>MIN(Plan!E11,AG254+AH254)</f>
        <v/>
      </c>
      <c r="AJ254">
        <f>AG254+AH254-AI254</f>
        <v/>
      </c>
      <c r="AK254">
        <f>MIN(AJ254,MAX(0,$B254-((E$5&lt;AI$5)*F254+(K$5&lt;AI$5)*L254+(Q$5&lt;AI$5)*R254+(W$5&lt;AI$5)*X254+(AC$5&lt;AI$5)*AD254+(AO$5&lt;AI$5)*AP254+(AU$5&lt;AI$5)*AV254)))</f>
        <v/>
      </c>
      <c r="AL254">
        <f>IF(AJ254-AK254&lt;0.005,0,AJ254-AK254)</f>
        <v/>
      </c>
      <c r="AM254">
        <f>AR253</f>
        <v/>
      </c>
      <c r="AN254">
        <f>AM254*Plan!D12/100/12</f>
        <v/>
      </c>
      <c r="AO254">
        <f>MIN(Plan!E12,AM254+AN254)</f>
        <v/>
      </c>
      <c r="AP254">
        <f>AM254+AN254-AO254</f>
        <v/>
      </c>
      <c r="AQ254">
        <f>MIN(AP254,MAX(0,$B254-((E$5&lt;AO$5)*F254+(K$5&lt;AO$5)*L254+(Q$5&lt;AO$5)*R254+(W$5&lt;AO$5)*X254+(AC$5&lt;AO$5)*AD254+(AI$5&lt;AO$5)*AJ254+(AU$5&lt;AO$5)*AV254)))</f>
        <v/>
      </c>
      <c r="AR254">
        <f>IF(AP254-AQ254&lt;0.005,0,AP254-AQ254)</f>
        <v/>
      </c>
      <c r="AS254">
        <f>AX253</f>
        <v/>
      </c>
      <c r="AT254">
        <f>AS254*Plan!D13/100/12</f>
        <v/>
      </c>
      <c r="AU254">
        <f>MIN(Plan!E13,AS254+AT254)</f>
        <v/>
      </c>
      <c r="AV254">
        <f>AS254+AT254-AU254</f>
        <v/>
      </c>
      <c r="AW254">
        <f>MIN(AV254,MAX(0,$B254-((E$5&lt;AU$5)*F254+(K$5&lt;AU$5)*L254+(Q$5&lt;AU$5)*R254+(W$5&lt;AU$5)*X254+(AC$5&lt;AU$5)*AD254+(AI$5&lt;AU$5)*AJ254+(AO$5&lt;AU$5)*AP254)))</f>
        <v/>
      </c>
      <c r="AX254">
        <f>IF(AV254-AW254&lt;0.005,0,AV254-AW254)</f>
        <v/>
      </c>
      <c r="BC254">
        <f>H254+N254+T254+Z254+AF254+AL254+AR254+AX254</f>
        <v/>
      </c>
    </row>
    <row r="255">
      <c r="A255" t="n">
        <v>249</v>
      </c>
      <c r="B255" s="19">
        <f>MAX(0,$B$3-(E255+K255+Q255+W255+AC255+AI255+AO255+AU255))</f>
        <v/>
      </c>
      <c r="C255">
        <f>H254</f>
        <v/>
      </c>
      <c r="D255">
        <f>C255*Plan!D6/100/12</f>
        <v/>
      </c>
      <c r="E255">
        <f>MIN(Plan!E6,C255+D255)</f>
        <v/>
      </c>
      <c r="F255">
        <f>C255+D255-E255</f>
        <v/>
      </c>
      <c r="G255">
        <f>MIN(F255,MAX(0,$B255-((K$5&lt;E$5)*L255+(Q$5&lt;E$5)*R255+(W$5&lt;E$5)*X255+(AC$5&lt;E$5)*AD255+(AI$5&lt;E$5)*AJ255+(AO$5&lt;E$5)*AP255+(AU$5&lt;E$5)*AV255)))</f>
        <v/>
      </c>
      <c r="H255">
        <f>IF(F255-G255&lt;0.005,0,F255-G255)</f>
        <v/>
      </c>
      <c r="I255">
        <f>N254</f>
        <v/>
      </c>
      <c r="J255">
        <f>I255*Plan!D7/100/12</f>
        <v/>
      </c>
      <c r="K255">
        <f>MIN(Plan!E7,I255+J255)</f>
        <v/>
      </c>
      <c r="L255">
        <f>I255+J255-K255</f>
        <v/>
      </c>
      <c r="M255">
        <f>MIN(L255,MAX(0,$B255-((E$5&lt;K$5)*F255+(Q$5&lt;K$5)*R255+(W$5&lt;K$5)*X255+(AC$5&lt;K$5)*AD255+(AI$5&lt;K$5)*AJ255+(AO$5&lt;K$5)*AP255+(AU$5&lt;K$5)*AV255)))</f>
        <v/>
      </c>
      <c r="N255">
        <f>IF(L255-M255&lt;0.005,0,L255-M255)</f>
        <v/>
      </c>
      <c r="O255">
        <f>T254</f>
        <v/>
      </c>
      <c r="P255">
        <f>O255*Plan!D8/100/12</f>
        <v/>
      </c>
      <c r="Q255">
        <f>MIN(Plan!E8,O255+P255)</f>
        <v/>
      </c>
      <c r="R255">
        <f>O255+P255-Q255</f>
        <v/>
      </c>
      <c r="S255">
        <f>MIN(R255,MAX(0,$B255-((E$5&lt;Q$5)*F255+(K$5&lt;Q$5)*L255+(W$5&lt;Q$5)*X255+(AC$5&lt;Q$5)*AD255+(AI$5&lt;Q$5)*AJ255+(AO$5&lt;Q$5)*AP255+(AU$5&lt;Q$5)*AV255)))</f>
        <v/>
      </c>
      <c r="T255">
        <f>IF(R255-S255&lt;0.005,0,R255-S255)</f>
        <v/>
      </c>
      <c r="U255">
        <f>Z254</f>
        <v/>
      </c>
      <c r="V255">
        <f>U255*Plan!D9/100/12</f>
        <v/>
      </c>
      <c r="W255">
        <f>MIN(Plan!E9,U255+V255)</f>
        <v/>
      </c>
      <c r="X255">
        <f>U255+V255-W255</f>
        <v/>
      </c>
      <c r="Y255">
        <f>MIN(X255,MAX(0,$B255-((E$5&lt;W$5)*F255+(K$5&lt;W$5)*L255+(Q$5&lt;W$5)*R255+(AC$5&lt;W$5)*AD255+(AI$5&lt;W$5)*AJ255+(AO$5&lt;W$5)*AP255+(AU$5&lt;W$5)*AV255)))</f>
        <v/>
      </c>
      <c r="Z255">
        <f>IF(X255-Y255&lt;0.005,0,X255-Y255)</f>
        <v/>
      </c>
      <c r="AA255">
        <f>AF254</f>
        <v/>
      </c>
      <c r="AB255">
        <f>AA255*Plan!D10/100/12</f>
        <v/>
      </c>
      <c r="AC255">
        <f>MIN(Plan!E10,AA255+AB255)</f>
        <v/>
      </c>
      <c r="AD255">
        <f>AA255+AB255-AC255</f>
        <v/>
      </c>
      <c r="AE255">
        <f>MIN(AD255,MAX(0,$B255-((E$5&lt;AC$5)*F255+(K$5&lt;AC$5)*L255+(Q$5&lt;AC$5)*R255+(W$5&lt;AC$5)*X255+(AI$5&lt;AC$5)*AJ255+(AO$5&lt;AC$5)*AP255+(AU$5&lt;AC$5)*AV255)))</f>
        <v/>
      </c>
      <c r="AF255">
        <f>IF(AD255-AE255&lt;0.005,0,AD255-AE255)</f>
        <v/>
      </c>
      <c r="AG255">
        <f>AL254</f>
        <v/>
      </c>
      <c r="AH255">
        <f>AG255*Plan!D11/100/12</f>
        <v/>
      </c>
      <c r="AI255">
        <f>MIN(Plan!E11,AG255+AH255)</f>
        <v/>
      </c>
      <c r="AJ255">
        <f>AG255+AH255-AI255</f>
        <v/>
      </c>
      <c r="AK255">
        <f>MIN(AJ255,MAX(0,$B255-((E$5&lt;AI$5)*F255+(K$5&lt;AI$5)*L255+(Q$5&lt;AI$5)*R255+(W$5&lt;AI$5)*X255+(AC$5&lt;AI$5)*AD255+(AO$5&lt;AI$5)*AP255+(AU$5&lt;AI$5)*AV255)))</f>
        <v/>
      </c>
      <c r="AL255">
        <f>IF(AJ255-AK255&lt;0.005,0,AJ255-AK255)</f>
        <v/>
      </c>
      <c r="AM255">
        <f>AR254</f>
        <v/>
      </c>
      <c r="AN255">
        <f>AM255*Plan!D12/100/12</f>
        <v/>
      </c>
      <c r="AO255">
        <f>MIN(Plan!E12,AM255+AN255)</f>
        <v/>
      </c>
      <c r="AP255">
        <f>AM255+AN255-AO255</f>
        <v/>
      </c>
      <c r="AQ255">
        <f>MIN(AP255,MAX(0,$B255-((E$5&lt;AO$5)*F255+(K$5&lt;AO$5)*L255+(Q$5&lt;AO$5)*R255+(W$5&lt;AO$5)*X255+(AC$5&lt;AO$5)*AD255+(AI$5&lt;AO$5)*AJ255+(AU$5&lt;AO$5)*AV255)))</f>
        <v/>
      </c>
      <c r="AR255">
        <f>IF(AP255-AQ255&lt;0.005,0,AP255-AQ255)</f>
        <v/>
      </c>
      <c r="AS255">
        <f>AX254</f>
        <v/>
      </c>
      <c r="AT255">
        <f>AS255*Plan!D13/100/12</f>
        <v/>
      </c>
      <c r="AU255">
        <f>MIN(Plan!E13,AS255+AT255)</f>
        <v/>
      </c>
      <c r="AV255">
        <f>AS255+AT255-AU255</f>
        <v/>
      </c>
      <c r="AW255">
        <f>MIN(AV255,MAX(0,$B255-((E$5&lt;AU$5)*F255+(K$5&lt;AU$5)*L255+(Q$5&lt;AU$5)*R255+(W$5&lt;AU$5)*X255+(AC$5&lt;AU$5)*AD255+(AI$5&lt;AU$5)*AJ255+(AO$5&lt;AU$5)*AP255)))</f>
        <v/>
      </c>
      <c r="AX255">
        <f>IF(AV255-AW255&lt;0.005,0,AV255-AW255)</f>
        <v/>
      </c>
      <c r="BC255">
        <f>H255+N255+T255+Z255+AF255+AL255+AR255+AX255</f>
        <v/>
      </c>
    </row>
    <row r="256">
      <c r="A256" t="n">
        <v>250</v>
      </c>
      <c r="B256" s="19">
        <f>MAX(0,$B$3-(E256+K256+Q256+W256+AC256+AI256+AO256+AU256))</f>
        <v/>
      </c>
      <c r="C256">
        <f>H255</f>
        <v/>
      </c>
      <c r="D256">
        <f>C256*Plan!D6/100/12</f>
        <v/>
      </c>
      <c r="E256">
        <f>MIN(Plan!E6,C256+D256)</f>
        <v/>
      </c>
      <c r="F256">
        <f>C256+D256-E256</f>
        <v/>
      </c>
      <c r="G256">
        <f>MIN(F256,MAX(0,$B256-((K$5&lt;E$5)*L256+(Q$5&lt;E$5)*R256+(W$5&lt;E$5)*X256+(AC$5&lt;E$5)*AD256+(AI$5&lt;E$5)*AJ256+(AO$5&lt;E$5)*AP256+(AU$5&lt;E$5)*AV256)))</f>
        <v/>
      </c>
      <c r="H256">
        <f>IF(F256-G256&lt;0.005,0,F256-G256)</f>
        <v/>
      </c>
      <c r="I256">
        <f>N255</f>
        <v/>
      </c>
      <c r="J256">
        <f>I256*Plan!D7/100/12</f>
        <v/>
      </c>
      <c r="K256">
        <f>MIN(Plan!E7,I256+J256)</f>
        <v/>
      </c>
      <c r="L256">
        <f>I256+J256-K256</f>
        <v/>
      </c>
      <c r="M256">
        <f>MIN(L256,MAX(0,$B256-((E$5&lt;K$5)*F256+(Q$5&lt;K$5)*R256+(W$5&lt;K$5)*X256+(AC$5&lt;K$5)*AD256+(AI$5&lt;K$5)*AJ256+(AO$5&lt;K$5)*AP256+(AU$5&lt;K$5)*AV256)))</f>
        <v/>
      </c>
      <c r="N256">
        <f>IF(L256-M256&lt;0.005,0,L256-M256)</f>
        <v/>
      </c>
      <c r="O256">
        <f>T255</f>
        <v/>
      </c>
      <c r="P256">
        <f>O256*Plan!D8/100/12</f>
        <v/>
      </c>
      <c r="Q256">
        <f>MIN(Plan!E8,O256+P256)</f>
        <v/>
      </c>
      <c r="R256">
        <f>O256+P256-Q256</f>
        <v/>
      </c>
      <c r="S256">
        <f>MIN(R256,MAX(0,$B256-((E$5&lt;Q$5)*F256+(K$5&lt;Q$5)*L256+(W$5&lt;Q$5)*X256+(AC$5&lt;Q$5)*AD256+(AI$5&lt;Q$5)*AJ256+(AO$5&lt;Q$5)*AP256+(AU$5&lt;Q$5)*AV256)))</f>
        <v/>
      </c>
      <c r="T256">
        <f>IF(R256-S256&lt;0.005,0,R256-S256)</f>
        <v/>
      </c>
      <c r="U256">
        <f>Z255</f>
        <v/>
      </c>
      <c r="V256">
        <f>U256*Plan!D9/100/12</f>
        <v/>
      </c>
      <c r="W256">
        <f>MIN(Plan!E9,U256+V256)</f>
        <v/>
      </c>
      <c r="X256">
        <f>U256+V256-W256</f>
        <v/>
      </c>
      <c r="Y256">
        <f>MIN(X256,MAX(0,$B256-((E$5&lt;W$5)*F256+(K$5&lt;W$5)*L256+(Q$5&lt;W$5)*R256+(AC$5&lt;W$5)*AD256+(AI$5&lt;W$5)*AJ256+(AO$5&lt;W$5)*AP256+(AU$5&lt;W$5)*AV256)))</f>
        <v/>
      </c>
      <c r="Z256">
        <f>IF(X256-Y256&lt;0.005,0,X256-Y256)</f>
        <v/>
      </c>
      <c r="AA256">
        <f>AF255</f>
        <v/>
      </c>
      <c r="AB256">
        <f>AA256*Plan!D10/100/12</f>
        <v/>
      </c>
      <c r="AC256">
        <f>MIN(Plan!E10,AA256+AB256)</f>
        <v/>
      </c>
      <c r="AD256">
        <f>AA256+AB256-AC256</f>
        <v/>
      </c>
      <c r="AE256">
        <f>MIN(AD256,MAX(0,$B256-((E$5&lt;AC$5)*F256+(K$5&lt;AC$5)*L256+(Q$5&lt;AC$5)*R256+(W$5&lt;AC$5)*X256+(AI$5&lt;AC$5)*AJ256+(AO$5&lt;AC$5)*AP256+(AU$5&lt;AC$5)*AV256)))</f>
        <v/>
      </c>
      <c r="AF256">
        <f>IF(AD256-AE256&lt;0.005,0,AD256-AE256)</f>
        <v/>
      </c>
      <c r="AG256">
        <f>AL255</f>
        <v/>
      </c>
      <c r="AH256">
        <f>AG256*Plan!D11/100/12</f>
        <v/>
      </c>
      <c r="AI256">
        <f>MIN(Plan!E11,AG256+AH256)</f>
        <v/>
      </c>
      <c r="AJ256">
        <f>AG256+AH256-AI256</f>
        <v/>
      </c>
      <c r="AK256">
        <f>MIN(AJ256,MAX(0,$B256-((E$5&lt;AI$5)*F256+(K$5&lt;AI$5)*L256+(Q$5&lt;AI$5)*R256+(W$5&lt;AI$5)*X256+(AC$5&lt;AI$5)*AD256+(AO$5&lt;AI$5)*AP256+(AU$5&lt;AI$5)*AV256)))</f>
        <v/>
      </c>
      <c r="AL256">
        <f>IF(AJ256-AK256&lt;0.005,0,AJ256-AK256)</f>
        <v/>
      </c>
      <c r="AM256">
        <f>AR255</f>
        <v/>
      </c>
      <c r="AN256">
        <f>AM256*Plan!D12/100/12</f>
        <v/>
      </c>
      <c r="AO256">
        <f>MIN(Plan!E12,AM256+AN256)</f>
        <v/>
      </c>
      <c r="AP256">
        <f>AM256+AN256-AO256</f>
        <v/>
      </c>
      <c r="AQ256">
        <f>MIN(AP256,MAX(0,$B256-((E$5&lt;AO$5)*F256+(K$5&lt;AO$5)*L256+(Q$5&lt;AO$5)*R256+(W$5&lt;AO$5)*X256+(AC$5&lt;AO$5)*AD256+(AI$5&lt;AO$5)*AJ256+(AU$5&lt;AO$5)*AV256)))</f>
        <v/>
      </c>
      <c r="AR256">
        <f>IF(AP256-AQ256&lt;0.005,0,AP256-AQ256)</f>
        <v/>
      </c>
      <c r="AS256">
        <f>AX255</f>
        <v/>
      </c>
      <c r="AT256">
        <f>AS256*Plan!D13/100/12</f>
        <v/>
      </c>
      <c r="AU256">
        <f>MIN(Plan!E13,AS256+AT256)</f>
        <v/>
      </c>
      <c r="AV256">
        <f>AS256+AT256-AU256</f>
        <v/>
      </c>
      <c r="AW256">
        <f>MIN(AV256,MAX(0,$B256-((E$5&lt;AU$5)*F256+(K$5&lt;AU$5)*L256+(Q$5&lt;AU$5)*R256+(W$5&lt;AU$5)*X256+(AC$5&lt;AU$5)*AD256+(AI$5&lt;AU$5)*AJ256+(AO$5&lt;AU$5)*AP256)))</f>
        <v/>
      </c>
      <c r="AX256">
        <f>IF(AV256-AW256&lt;0.005,0,AV256-AW256)</f>
        <v/>
      </c>
      <c r="BC256">
        <f>H256+N256+T256+Z256+AF256+AL256+AR256+AX256</f>
        <v/>
      </c>
    </row>
    <row r="257">
      <c r="A257" t="n">
        <v>251</v>
      </c>
      <c r="B257" s="19">
        <f>MAX(0,$B$3-(E257+K257+Q257+W257+AC257+AI257+AO257+AU257))</f>
        <v/>
      </c>
      <c r="C257">
        <f>H256</f>
        <v/>
      </c>
      <c r="D257">
        <f>C257*Plan!D6/100/12</f>
        <v/>
      </c>
      <c r="E257">
        <f>MIN(Plan!E6,C257+D257)</f>
        <v/>
      </c>
      <c r="F257">
        <f>C257+D257-E257</f>
        <v/>
      </c>
      <c r="G257">
        <f>MIN(F257,MAX(0,$B257-((K$5&lt;E$5)*L257+(Q$5&lt;E$5)*R257+(W$5&lt;E$5)*X257+(AC$5&lt;E$5)*AD257+(AI$5&lt;E$5)*AJ257+(AO$5&lt;E$5)*AP257+(AU$5&lt;E$5)*AV257)))</f>
        <v/>
      </c>
      <c r="H257">
        <f>IF(F257-G257&lt;0.005,0,F257-G257)</f>
        <v/>
      </c>
      <c r="I257">
        <f>N256</f>
        <v/>
      </c>
      <c r="J257">
        <f>I257*Plan!D7/100/12</f>
        <v/>
      </c>
      <c r="K257">
        <f>MIN(Plan!E7,I257+J257)</f>
        <v/>
      </c>
      <c r="L257">
        <f>I257+J257-K257</f>
        <v/>
      </c>
      <c r="M257">
        <f>MIN(L257,MAX(0,$B257-((E$5&lt;K$5)*F257+(Q$5&lt;K$5)*R257+(W$5&lt;K$5)*X257+(AC$5&lt;K$5)*AD257+(AI$5&lt;K$5)*AJ257+(AO$5&lt;K$5)*AP257+(AU$5&lt;K$5)*AV257)))</f>
        <v/>
      </c>
      <c r="N257">
        <f>IF(L257-M257&lt;0.005,0,L257-M257)</f>
        <v/>
      </c>
      <c r="O257">
        <f>T256</f>
        <v/>
      </c>
      <c r="P257">
        <f>O257*Plan!D8/100/12</f>
        <v/>
      </c>
      <c r="Q257">
        <f>MIN(Plan!E8,O257+P257)</f>
        <v/>
      </c>
      <c r="R257">
        <f>O257+P257-Q257</f>
        <v/>
      </c>
      <c r="S257">
        <f>MIN(R257,MAX(0,$B257-((E$5&lt;Q$5)*F257+(K$5&lt;Q$5)*L257+(W$5&lt;Q$5)*X257+(AC$5&lt;Q$5)*AD257+(AI$5&lt;Q$5)*AJ257+(AO$5&lt;Q$5)*AP257+(AU$5&lt;Q$5)*AV257)))</f>
        <v/>
      </c>
      <c r="T257">
        <f>IF(R257-S257&lt;0.005,0,R257-S257)</f>
        <v/>
      </c>
      <c r="U257">
        <f>Z256</f>
        <v/>
      </c>
      <c r="V257">
        <f>U257*Plan!D9/100/12</f>
        <v/>
      </c>
      <c r="W257">
        <f>MIN(Plan!E9,U257+V257)</f>
        <v/>
      </c>
      <c r="X257">
        <f>U257+V257-W257</f>
        <v/>
      </c>
      <c r="Y257">
        <f>MIN(X257,MAX(0,$B257-((E$5&lt;W$5)*F257+(K$5&lt;W$5)*L257+(Q$5&lt;W$5)*R257+(AC$5&lt;W$5)*AD257+(AI$5&lt;W$5)*AJ257+(AO$5&lt;W$5)*AP257+(AU$5&lt;W$5)*AV257)))</f>
        <v/>
      </c>
      <c r="Z257">
        <f>IF(X257-Y257&lt;0.005,0,X257-Y257)</f>
        <v/>
      </c>
      <c r="AA257">
        <f>AF256</f>
        <v/>
      </c>
      <c r="AB257">
        <f>AA257*Plan!D10/100/12</f>
        <v/>
      </c>
      <c r="AC257">
        <f>MIN(Plan!E10,AA257+AB257)</f>
        <v/>
      </c>
      <c r="AD257">
        <f>AA257+AB257-AC257</f>
        <v/>
      </c>
      <c r="AE257">
        <f>MIN(AD257,MAX(0,$B257-((E$5&lt;AC$5)*F257+(K$5&lt;AC$5)*L257+(Q$5&lt;AC$5)*R257+(W$5&lt;AC$5)*X257+(AI$5&lt;AC$5)*AJ257+(AO$5&lt;AC$5)*AP257+(AU$5&lt;AC$5)*AV257)))</f>
        <v/>
      </c>
      <c r="AF257">
        <f>IF(AD257-AE257&lt;0.005,0,AD257-AE257)</f>
        <v/>
      </c>
      <c r="AG257">
        <f>AL256</f>
        <v/>
      </c>
      <c r="AH257">
        <f>AG257*Plan!D11/100/12</f>
        <v/>
      </c>
      <c r="AI257">
        <f>MIN(Plan!E11,AG257+AH257)</f>
        <v/>
      </c>
      <c r="AJ257">
        <f>AG257+AH257-AI257</f>
        <v/>
      </c>
      <c r="AK257">
        <f>MIN(AJ257,MAX(0,$B257-((E$5&lt;AI$5)*F257+(K$5&lt;AI$5)*L257+(Q$5&lt;AI$5)*R257+(W$5&lt;AI$5)*X257+(AC$5&lt;AI$5)*AD257+(AO$5&lt;AI$5)*AP257+(AU$5&lt;AI$5)*AV257)))</f>
        <v/>
      </c>
      <c r="AL257">
        <f>IF(AJ257-AK257&lt;0.005,0,AJ257-AK257)</f>
        <v/>
      </c>
      <c r="AM257">
        <f>AR256</f>
        <v/>
      </c>
      <c r="AN257">
        <f>AM257*Plan!D12/100/12</f>
        <v/>
      </c>
      <c r="AO257">
        <f>MIN(Plan!E12,AM257+AN257)</f>
        <v/>
      </c>
      <c r="AP257">
        <f>AM257+AN257-AO257</f>
        <v/>
      </c>
      <c r="AQ257">
        <f>MIN(AP257,MAX(0,$B257-((E$5&lt;AO$5)*F257+(K$5&lt;AO$5)*L257+(Q$5&lt;AO$5)*R257+(W$5&lt;AO$5)*X257+(AC$5&lt;AO$5)*AD257+(AI$5&lt;AO$5)*AJ257+(AU$5&lt;AO$5)*AV257)))</f>
        <v/>
      </c>
      <c r="AR257">
        <f>IF(AP257-AQ257&lt;0.005,0,AP257-AQ257)</f>
        <v/>
      </c>
      <c r="AS257">
        <f>AX256</f>
        <v/>
      </c>
      <c r="AT257">
        <f>AS257*Plan!D13/100/12</f>
        <v/>
      </c>
      <c r="AU257">
        <f>MIN(Plan!E13,AS257+AT257)</f>
        <v/>
      </c>
      <c r="AV257">
        <f>AS257+AT257-AU257</f>
        <v/>
      </c>
      <c r="AW257">
        <f>MIN(AV257,MAX(0,$B257-((E$5&lt;AU$5)*F257+(K$5&lt;AU$5)*L257+(Q$5&lt;AU$5)*R257+(W$5&lt;AU$5)*X257+(AC$5&lt;AU$5)*AD257+(AI$5&lt;AU$5)*AJ257+(AO$5&lt;AU$5)*AP257)))</f>
        <v/>
      </c>
      <c r="AX257">
        <f>IF(AV257-AW257&lt;0.005,0,AV257-AW257)</f>
        <v/>
      </c>
      <c r="BC257">
        <f>H257+N257+T257+Z257+AF257+AL257+AR257+AX257</f>
        <v/>
      </c>
    </row>
    <row r="258">
      <c r="A258" t="n">
        <v>252</v>
      </c>
      <c r="B258" s="19">
        <f>MAX(0,$B$3-(E258+K258+Q258+W258+AC258+AI258+AO258+AU258))</f>
        <v/>
      </c>
      <c r="C258">
        <f>H257</f>
        <v/>
      </c>
      <c r="D258">
        <f>C258*Plan!D6/100/12</f>
        <v/>
      </c>
      <c r="E258">
        <f>MIN(Plan!E6,C258+D258)</f>
        <v/>
      </c>
      <c r="F258">
        <f>C258+D258-E258</f>
        <v/>
      </c>
      <c r="G258">
        <f>MIN(F258,MAX(0,$B258-((K$5&lt;E$5)*L258+(Q$5&lt;E$5)*R258+(W$5&lt;E$5)*X258+(AC$5&lt;E$5)*AD258+(AI$5&lt;E$5)*AJ258+(AO$5&lt;E$5)*AP258+(AU$5&lt;E$5)*AV258)))</f>
        <v/>
      </c>
      <c r="H258">
        <f>IF(F258-G258&lt;0.005,0,F258-G258)</f>
        <v/>
      </c>
      <c r="I258">
        <f>N257</f>
        <v/>
      </c>
      <c r="J258">
        <f>I258*Plan!D7/100/12</f>
        <v/>
      </c>
      <c r="K258">
        <f>MIN(Plan!E7,I258+J258)</f>
        <v/>
      </c>
      <c r="L258">
        <f>I258+J258-K258</f>
        <v/>
      </c>
      <c r="M258">
        <f>MIN(L258,MAX(0,$B258-((E$5&lt;K$5)*F258+(Q$5&lt;K$5)*R258+(W$5&lt;K$5)*X258+(AC$5&lt;K$5)*AD258+(AI$5&lt;K$5)*AJ258+(AO$5&lt;K$5)*AP258+(AU$5&lt;K$5)*AV258)))</f>
        <v/>
      </c>
      <c r="N258">
        <f>IF(L258-M258&lt;0.005,0,L258-M258)</f>
        <v/>
      </c>
      <c r="O258">
        <f>T257</f>
        <v/>
      </c>
      <c r="P258">
        <f>O258*Plan!D8/100/12</f>
        <v/>
      </c>
      <c r="Q258">
        <f>MIN(Plan!E8,O258+P258)</f>
        <v/>
      </c>
      <c r="R258">
        <f>O258+P258-Q258</f>
        <v/>
      </c>
      <c r="S258">
        <f>MIN(R258,MAX(0,$B258-((E$5&lt;Q$5)*F258+(K$5&lt;Q$5)*L258+(W$5&lt;Q$5)*X258+(AC$5&lt;Q$5)*AD258+(AI$5&lt;Q$5)*AJ258+(AO$5&lt;Q$5)*AP258+(AU$5&lt;Q$5)*AV258)))</f>
        <v/>
      </c>
      <c r="T258">
        <f>IF(R258-S258&lt;0.005,0,R258-S258)</f>
        <v/>
      </c>
      <c r="U258">
        <f>Z257</f>
        <v/>
      </c>
      <c r="V258">
        <f>U258*Plan!D9/100/12</f>
        <v/>
      </c>
      <c r="W258">
        <f>MIN(Plan!E9,U258+V258)</f>
        <v/>
      </c>
      <c r="X258">
        <f>U258+V258-W258</f>
        <v/>
      </c>
      <c r="Y258">
        <f>MIN(X258,MAX(0,$B258-((E$5&lt;W$5)*F258+(K$5&lt;W$5)*L258+(Q$5&lt;W$5)*R258+(AC$5&lt;W$5)*AD258+(AI$5&lt;W$5)*AJ258+(AO$5&lt;W$5)*AP258+(AU$5&lt;W$5)*AV258)))</f>
        <v/>
      </c>
      <c r="Z258">
        <f>IF(X258-Y258&lt;0.005,0,X258-Y258)</f>
        <v/>
      </c>
      <c r="AA258">
        <f>AF257</f>
        <v/>
      </c>
      <c r="AB258">
        <f>AA258*Plan!D10/100/12</f>
        <v/>
      </c>
      <c r="AC258">
        <f>MIN(Plan!E10,AA258+AB258)</f>
        <v/>
      </c>
      <c r="AD258">
        <f>AA258+AB258-AC258</f>
        <v/>
      </c>
      <c r="AE258">
        <f>MIN(AD258,MAX(0,$B258-((E$5&lt;AC$5)*F258+(K$5&lt;AC$5)*L258+(Q$5&lt;AC$5)*R258+(W$5&lt;AC$5)*X258+(AI$5&lt;AC$5)*AJ258+(AO$5&lt;AC$5)*AP258+(AU$5&lt;AC$5)*AV258)))</f>
        <v/>
      </c>
      <c r="AF258">
        <f>IF(AD258-AE258&lt;0.005,0,AD258-AE258)</f>
        <v/>
      </c>
      <c r="AG258">
        <f>AL257</f>
        <v/>
      </c>
      <c r="AH258">
        <f>AG258*Plan!D11/100/12</f>
        <v/>
      </c>
      <c r="AI258">
        <f>MIN(Plan!E11,AG258+AH258)</f>
        <v/>
      </c>
      <c r="AJ258">
        <f>AG258+AH258-AI258</f>
        <v/>
      </c>
      <c r="AK258">
        <f>MIN(AJ258,MAX(0,$B258-((E$5&lt;AI$5)*F258+(K$5&lt;AI$5)*L258+(Q$5&lt;AI$5)*R258+(W$5&lt;AI$5)*X258+(AC$5&lt;AI$5)*AD258+(AO$5&lt;AI$5)*AP258+(AU$5&lt;AI$5)*AV258)))</f>
        <v/>
      </c>
      <c r="AL258">
        <f>IF(AJ258-AK258&lt;0.005,0,AJ258-AK258)</f>
        <v/>
      </c>
      <c r="AM258">
        <f>AR257</f>
        <v/>
      </c>
      <c r="AN258">
        <f>AM258*Plan!D12/100/12</f>
        <v/>
      </c>
      <c r="AO258">
        <f>MIN(Plan!E12,AM258+AN258)</f>
        <v/>
      </c>
      <c r="AP258">
        <f>AM258+AN258-AO258</f>
        <v/>
      </c>
      <c r="AQ258">
        <f>MIN(AP258,MAX(0,$B258-((E$5&lt;AO$5)*F258+(K$5&lt;AO$5)*L258+(Q$5&lt;AO$5)*R258+(W$5&lt;AO$5)*X258+(AC$5&lt;AO$5)*AD258+(AI$5&lt;AO$5)*AJ258+(AU$5&lt;AO$5)*AV258)))</f>
        <v/>
      </c>
      <c r="AR258">
        <f>IF(AP258-AQ258&lt;0.005,0,AP258-AQ258)</f>
        <v/>
      </c>
      <c r="AS258">
        <f>AX257</f>
        <v/>
      </c>
      <c r="AT258">
        <f>AS258*Plan!D13/100/12</f>
        <v/>
      </c>
      <c r="AU258">
        <f>MIN(Plan!E13,AS258+AT258)</f>
        <v/>
      </c>
      <c r="AV258">
        <f>AS258+AT258-AU258</f>
        <v/>
      </c>
      <c r="AW258">
        <f>MIN(AV258,MAX(0,$B258-((E$5&lt;AU$5)*F258+(K$5&lt;AU$5)*L258+(Q$5&lt;AU$5)*R258+(W$5&lt;AU$5)*X258+(AC$5&lt;AU$5)*AD258+(AI$5&lt;AU$5)*AJ258+(AO$5&lt;AU$5)*AP258)))</f>
        <v/>
      </c>
      <c r="AX258">
        <f>IF(AV258-AW258&lt;0.005,0,AV258-AW258)</f>
        <v/>
      </c>
      <c r="BC258">
        <f>H258+N258+T258+Z258+AF258+AL258+AR258+AX258</f>
        <v/>
      </c>
    </row>
    <row r="259">
      <c r="A259" t="n">
        <v>253</v>
      </c>
      <c r="B259" s="19">
        <f>MAX(0,$B$3-(E259+K259+Q259+W259+AC259+AI259+AO259+AU259))</f>
        <v/>
      </c>
      <c r="C259">
        <f>H258</f>
        <v/>
      </c>
      <c r="D259">
        <f>C259*Plan!D6/100/12</f>
        <v/>
      </c>
      <c r="E259">
        <f>MIN(Plan!E6,C259+D259)</f>
        <v/>
      </c>
      <c r="F259">
        <f>C259+D259-E259</f>
        <v/>
      </c>
      <c r="G259">
        <f>MIN(F259,MAX(0,$B259-((K$5&lt;E$5)*L259+(Q$5&lt;E$5)*R259+(W$5&lt;E$5)*X259+(AC$5&lt;E$5)*AD259+(AI$5&lt;E$5)*AJ259+(AO$5&lt;E$5)*AP259+(AU$5&lt;E$5)*AV259)))</f>
        <v/>
      </c>
      <c r="H259">
        <f>IF(F259-G259&lt;0.005,0,F259-G259)</f>
        <v/>
      </c>
      <c r="I259">
        <f>N258</f>
        <v/>
      </c>
      <c r="J259">
        <f>I259*Plan!D7/100/12</f>
        <v/>
      </c>
      <c r="K259">
        <f>MIN(Plan!E7,I259+J259)</f>
        <v/>
      </c>
      <c r="L259">
        <f>I259+J259-K259</f>
        <v/>
      </c>
      <c r="M259">
        <f>MIN(L259,MAX(0,$B259-((E$5&lt;K$5)*F259+(Q$5&lt;K$5)*R259+(W$5&lt;K$5)*X259+(AC$5&lt;K$5)*AD259+(AI$5&lt;K$5)*AJ259+(AO$5&lt;K$5)*AP259+(AU$5&lt;K$5)*AV259)))</f>
        <v/>
      </c>
      <c r="N259">
        <f>IF(L259-M259&lt;0.005,0,L259-M259)</f>
        <v/>
      </c>
      <c r="O259">
        <f>T258</f>
        <v/>
      </c>
      <c r="P259">
        <f>O259*Plan!D8/100/12</f>
        <v/>
      </c>
      <c r="Q259">
        <f>MIN(Plan!E8,O259+P259)</f>
        <v/>
      </c>
      <c r="R259">
        <f>O259+P259-Q259</f>
        <v/>
      </c>
      <c r="S259">
        <f>MIN(R259,MAX(0,$B259-((E$5&lt;Q$5)*F259+(K$5&lt;Q$5)*L259+(W$5&lt;Q$5)*X259+(AC$5&lt;Q$5)*AD259+(AI$5&lt;Q$5)*AJ259+(AO$5&lt;Q$5)*AP259+(AU$5&lt;Q$5)*AV259)))</f>
        <v/>
      </c>
      <c r="T259">
        <f>IF(R259-S259&lt;0.005,0,R259-S259)</f>
        <v/>
      </c>
      <c r="U259">
        <f>Z258</f>
        <v/>
      </c>
      <c r="V259">
        <f>U259*Plan!D9/100/12</f>
        <v/>
      </c>
      <c r="W259">
        <f>MIN(Plan!E9,U259+V259)</f>
        <v/>
      </c>
      <c r="X259">
        <f>U259+V259-W259</f>
        <v/>
      </c>
      <c r="Y259">
        <f>MIN(X259,MAX(0,$B259-((E$5&lt;W$5)*F259+(K$5&lt;W$5)*L259+(Q$5&lt;W$5)*R259+(AC$5&lt;W$5)*AD259+(AI$5&lt;W$5)*AJ259+(AO$5&lt;W$5)*AP259+(AU$5&lt;W$5)*AV259)))</f>
        <v/>
      </c>
      <c r="Z259">
        <f>IF(X259-Y259&lt;0.005,0,X259-Y259)</f>
        <v/>
      </c>
      <c r="AA259">
        <f>AF258</f>
        <v/>
      </c>
      <c r="AB259">
        <f>AA259*Plan!D10/100/12</f>
        <v/>
      </c>
      <c r="AC259">
        <f>MIN(Plan!E10,AA259+AB259)</f>
        <v/>
      </c>
      <c r="AD259">
        <f>AA259+AB259-AC259</f>
        <v/>
      </c>
      <c r="AE259">
        <f>MIN(AD259,MAX(0,$B259-((E$5&lt;AC$5)*F259+(K$5&lt;AC$5)*L259+(Q$5&lt;AC$5)*R259+(W$5&lt;AC$5)*X259+(AI$5&lt;AC$5)*AJ259+(AO$5&lt;AC$5)*AP259+(AU$5&lt;AC$5)*AV259)))</f>
        <v/>
      </c>
      <c r="AF259">
        <f>IF(AD259-AE259&lt;0.005,0,AD259-AE259)</f>
        <v/>
      </c>
      <c r="AG259">
        <f>AL258</f>
        <v/>
      </c>
      <c r="AH259">
        <f>AG259*Plan!D11/100/12</f>
        <v/>
      </c>
      <c r="AI259">
        <f>MIN(Plan!E11,AG259+AH259)</f>
        <v/>
      </c>
      <c r="AJ259">
        <f>AG259+AH259-AI259</f>
        <v/>
      </c>
      <c r="AK259">
        <f>MIN(AJ259,MAX(0,$B259-((E$5&lt;AI$5)*F259+(K$5&lt;AI$5)*L259+(Q$5&lt;AI$5)*R259+(W$5&lt;AI$5)*X259+(AC$5&lt;AI$5)*AD259+(AO$5&lt;AI$5)*AP259+(AU$5&lt;AI$5)*AV259)))</f>
        <v/>
      </c>
      <c r="AL259">
        <f>IF(AJ259-AK259&lt;0.005,0,AJ259-AK259)</f>
        <v/>
      </c>
      <c r="AM259">
        <f>AR258</f>
        <v/>
      </c>
      <c r="AN259">
        <f>AM259*Plan!D12/100/12</f>
        <v/>
      </c>
      <c r="AO259">
        <f>MIN(Plan!E12,AM259+AN259)</f>
        <v/>
      </c>
      <c r="AP259">
        <f>AM259+AN259-AO259</f>
        <v/>
      </c>
      <c r="AQ259">
        <f>MIN(AP259,MAX(0,$B259-((E$5&lt;AO$5)*F259+(K$5&lt;AO$5)*L259+(Q$5&lt;AO$5)*R259+(W$5&lt;AO$5)*X259+(AC$5&lt;AO$5)*AD259+(AI$5&lt;AO$5)*AJ259+(AU$5&lt;AO$5)*AV259)))</f>
        <v/>
      </c>
      <c r="AR259">
        <f>IF(AP259-AQ259&lt;0.005,0,AP259-AQ259)</f>
        <v/>
      </c>
      <c r="AS259">
        <f>AX258</f>
        <v/>
      </c>
      <c r="AT259">
        <f>AS259*Plan!D13/100/12</f>
        <v/>
      </c>
      <c r="AU259">
        <f>MIN(Plan!E13,AS259+AT259)</f>
        <v/>
      </c>
      <c r="AV259">
        <f>AS259+AT259-AU259</f>
        <v/>
      </c>
      <c r="AW259">
        <f>MIN(AV259,MAX(0,$B259-((E$5&lt;AU$5)*F259+(K$5&lt;AU$5)*L259+(Q$5&lt;AU$5)*R259+(W$5&lt;AU$5)*X259+(AC$5&lt;AU$5)*AD259+(AI$5&lt;AU$5)*AJ259+(AO$5&lt;AU$5)*AP259)))</f>
        <v/>
      </c>
      <c r="AX259">
        <f>IF(AV259-AW259&lt;0.005,0,AV259-AW259)</f>
        <v/>
      </c>
      <c r="BC259">
        <f>H259+N259+T259+Z259+AF259+AL259+AR259+AX259</f>
        <v/>
      </c>
    </row>
    <row r="260">
      <c r="A260" t="n">
        <v>254</v>
      </c>
      <c r="B260" s="19">
        <f>MAX(0,$B$3-(E260+K260+Q260+W260+AC260+AI260+AO260+AU260))</f>
        <v/>
      </c>
      <c r="C260">
        <f>H259</f>
        <v/>
      </c>
      <c r="D260">
        <f>C260*Plan!D6/100/12</f>
        <v/>
      </c>
      <c r="E260">
        <f>MIN(Plan!E6,C260+D260)</f>
        <v/>
      </c>
      <c r="F260">
        <f>C260+D260-E260</f>
        <v/>
      </c>
      <c r="G260">
        <f>MIN(F260,MAX(0,$B260-((K$5&lt;E$5)*L260+(Q$5&lt;E$5)*R260+(W$5&lt;E$5)*X260+(AC$5&lt;E$5)*AD260+(AI$5&lt;E$5)*AJ260+(AO$5&lt;E$5)*AP260+(AU$5&lt;E$5)*AV260)))</f>
        <v/>
      </c>
      <c r="H260">
        <f>IF(F260-G260&lt;0.005,0,F260-G260)</f>
        <v/>
      </c>
      <c r="I260">
        <f>N259</f>
        <v/>
      </c>
      <c r="J260">
        <f>I260*Plan!D7/100/12</f>
        <v/>
      </c>
      <c r="K260">
        <f>MIN(Plan!E7,I260+J260)</f>
        <v/>
      </c>
      <c r="L260">
        <f>I260+J260-K260</f>
        <v/>
      </c>
      <c r="M260">
        <f>MIN(L260,MAX(0,$B260-((E$5&lt;K$5)*F260+(Q$5&lt;K$5)*R260+(W$5&lt;K$5)*X260+(AC$5&lt;K$5)*AD260+(AI$5&lt;K$5)*AJ260+(AO$5&lt;K$5)*AP260+(AU$5&lt;K$5)*AV260)))</f>
        <v/>
      </c>
      <c r="N260">
        <f>IF(L260-M260&lt;0.005,0,L260-M260)</f>
        <v/>
      </c>
      <c r="O260">
        <f>T259</f>
        <v/>
      </c>
      <c r="P260">
        <f>O260*Plan!D8/100/12</f>
        <v/>
      </c>
      <c r="Q260">
        <f>MIN(Plan!E8,O260+P260)</f>
        <v/>
      </c>
      <c r="R260">
        <f>O260+P260-Q260</f>
        <v/>
      </c>
      <c r="S260">
        <f>MIN(R260,MAX(0,$B260-((E$5&lt;Q$5)*F260+(K$5&lt;Q$5)*L260+(W$5&lt;Q$5)*X260+(AC$5&lt;Q$5)*AD260+(AI$5&lt;Q$5)*AJ260+(AO$5&lt;Q$5)*AP260+(AU$5&lt;Q$5)*AV260)))</f>
        <v/>
      </c>
      <c r="T260">
        <f>IF(R260-S260&lt;0.005,0,R260-S260)</f>
        <v/>
      </c>
      <c r="U260">
        <f>Z259</f>
        <v/>
      </c>
      <c r="V260">
        <f>U260*Plan!D9/100/12</f>
        <v/>
      </c>
      <c r="W260">
        <f>MIN(Plan!E9,U260+V260)</f>
        <v/>
      </c>
      <c r="X260">
        <f>U260+V260-W260</f>
        <v/>
      </c>
      <c r="Y260">
        <f>MIN(X260,MAX(0,$B260-((E$5&lt;W$5)*F260+(K$5&lt;W$5)*L260+(Q$5&lt;W$5)*R260+(AC$5&lt;W$5)*AD260+(AI$5&lt;W$5)*AJ260+(AO$5&lt;W$5)*AP260+(AU$5&lt;W$5)*AV260)))</f>
        <v/>
      </c>
      <c r="Z260">
        <f>IF(X260-Y260&lt;0.005,0,X260-Y260)</f>
        <v/>
      </c>
      <c r="AA260">
        <f>AF259</f>
        <v/>
      </c>
      <c r="AB260">
        <f>AA260*Plan!D10/100/12</f>
        <v/>
      </c>
      <c r="AC260">
        <f>MIN(Plan!E10,AA260+AB260)</f>
        <v/>
      </c>
      <c r="AD260">
        <f>AA260+AB260-AC260</f>
        <v/>
      </c>
      <c r="AE260">
        <f>MIN(AD260,MAX(0,$B260-((E$5&lt;AC$5)*F260+(K$5&lt;AC$5)*L260+(Q$5&lt;AC$5)*R260+(W$5&lt;AC$5)*X260+(AI$5&lt;AC$5)*AJ260+(AO$5&lt;AC$5)*AP260+(AU$5&lt;AC$5)*AV260)))</f>
        <v/>
      </c>
      <c r="AF260">
        <f>IF(AD260-AE260&lt;0.005,0,AD260-AE260)</f>
        <v/>
      </c>
      <c r="AG260">
        <f>AL259</f>
        <v/>
      </c>
      <c r="AH260">
        <f>AG260*Plan!D11/100/12</f>
        <v/>
      </c>
      <c r="AI260">
        <f>MIN(Plan!E11,AG260+AH260)</f>
        <v/>
      </c>
      <c r="AJ260">
        <f>AG260+AH260-AI260</f>
        <v/>
      </c>
      <c r="AK260">
        <f>MIN(AJ260,MAX(0,$B260-((E$5&lt;AI$5)*F260+(K$5&lt;AI$5)*L260+(Q$5&lt;AI$5)*R260+(W$5&lt;AI$5)*X260+(AC$5&lt;AI$5)*AD260+(AO$5&lt;AI$5)*AP260+(AU$5&lt;AI$5)*AV260)))</f>
        <v/>
      </c>
      <c r="AL260">
        <f>IF(AJ260-AK260&lt;0.005,0,AJ260-AK260)</f>
        <v/>
      </c>
      <c r="AM260">
        <f>AR259</f>
        <v/>
      </c>
      <c r="AN260">
        <f>AM260*Plan!D12/100/12</f>
        <v/>
      </c>
      <c r="AO260">
        <f>MIN(Plan!E12,AM260+AN260)</f>
        <v/>
      </c>
      <c r="AP260">
        <f>AM260+AN260-AO260</f>
        <v/>
      </c>
      <c r="AQ260">
        <f>MIN(AP260,MAX(0,$B260-((E$5&lt;AO$5)*F260+(K$5&lt;AO$5)*L260+(Q$5&lt;AO$5)*R260+(W$5&lt;AO$5)*X260+(AC$5&lt;AO$5)*AD260+(AI$5&lt;AO$5)*AJ260+(AU$5&lt;AO$5)*AV260)))</f>
        <v/>
      </c>
      <c r="AR260">
        <f>IF(AP260-AQ260&lt;0.005,0,AP260-AQ260)</f>
        <v/>
      </c>
      <c r="AS260">
        <f>AX259</f>
        <v/>
      </c>
      <c r="AT260">
        <f>AS260*Plan!D13/100/12</f>
        <v/>
      </c>
      <c r="AU260">
        <f>MIN(Plan!E13,AS260+AT260)</f>
        <v/>
      </c>
      <c r="AV260">
        <f>AS260+AT260-AU260</f>
        <v/>
      </c>
      <c r="AW260">
        <f>MIN(AV260,MAX(0,$B260-((E$5&lt;AU$5)*F260+(K$5&lt;AU$5)*L260+(Q$5&lt;AU$5)*R260+(W$5&lt;AU$5)*X260+(AC$5&lt;AU$5)*AD260+(AI$5&lt;AU$5)*AJ260+(AO$5&lt;AU$5)*AP260)))</f>
        <v/>
      </c>
      <c r="AX260">
        <f>IF(AV260-AW260&lt;0.005,0,AV260-AW260)</f>
        <v/>
      </c>
      <c r="BC260">
        <f>H260+N260+T260+Z260+AF260+AL260+AR260+AX260</f>
        <v/>
      </c>
    </row>
    <row r="261">
      <c r="A261" t="n">
        <v>255</v>
      </c>
      <c r="B261" s="19">
        <f>MAX(0,$B$3-(E261+K261+Q261+W261+AC261+AI261+AO261+AU261))</f>
        <v/>
      </c>
      <c r="C261">
        <f>H260</f>
        <v/>
      </c>
      <c r="D261">
        <f>C261*Plan!D6/100/12</f>
        <v/>
      </c>
      <c r="E261">
        <f>MIN(Plan!E6,C261+D261)</f>
        <v/>
      </c>
      <c r="F261">
        <f>C261+D261-E261</f>
        <v/>
      </c>
      <c r="G261">
        <f>MIN(F261,MAX(0,$B261-((K$5&lt;E$5)*L261+(Q$5&lt;E$5)*R261+(W$5&lt;E$5)*X261+(AC$5&lt;E$5)*AD261+(AI$5&lt;E$5)*AJ261+(AO$5&lt;E$5)*AP261+(AU$5&lt;E$5)*AV261)))</f>
        <v/>
      </c>
      <c r="H261">
        <f>IF(F261-G261&lt;0.005,0,F261-G261)</f>
        <v/>
      </c>
      <c r="I261">
        <f>N260</f>
        <v/>
      </c>
      <c r="J261">
        <f>I261*Plan!D7/100/12</f>
        <v/>
      </c>
      <c r="K261">
        <f>MIN(Plan!E7,I261+J261)</f>
        <v/>
      </c>
      <c r="L261">
        <f>I261+J261-K261</f>
        <v/>
      </c>
      <c r="M261">
        <f>MIN(L261,MAX(0,$B261-((E$5&lt;K$5)*F261+(Q$5&lt;K$5)*R261+(W$5&lt;K$5)*X261+(AC$5&lt;K$5)*AD261+(AI$5&lt;K$5)*AJ261+(AO$5&lt;K$5)*AP261+(AU$5&lt;K$5)*AV261)))</f>
        <v/>
      </c>
      <c r="N261">
        <f>IF(L261-M261&lt;0.005,0,L261-M261)</f>
        <v/>
      </c>
      <c r="O261">
        <f>T260</f>
        <v/>
      </c>
      <c r="P261">
        <f>O261*Plan!D8/100/12</f>
        <v/>
      </c>
      <c r="Q261">
        <f>MIN(Plan!E8,O261+P261)</f>
        <v/>
      </c>
      <c r="R261">
        <f>O261+P261-Q261</f>
        <v/>
      </c>
      <c r="S261">
        <f>MIN(R261,MAX(0,$B261-((E$5&lt;Q$5)*F261+(K$5&lt;Q$5)*L261+(W$5&lt;Q$5)*X261+(AC$5&lt;Q$5)*AD261+(AI$5&lt;Q$5)*AJ261+(AO$5&lt;Q$5)*AP261+(AU$5&lt;Q$5)*AV261)))</f>
        <v/>
      </c>
      <c r="T261">
        <f>IF(R261-S261&lt;0.005,0,R261-S261)</f>
        <v/>
      </c>
      <c r="U261">
        <f>Z260</f>
        <v/>
      </c>
      <c r="V261">
        <f>U261*Plan!D9/100/12</f>
        <v/>
      </c>
      <c r="W261">
        <f>MIN(Plan!E9,U261+V261)</f>
        <v/>
      </c>
      <c r="X261">
        <f>U261+V261-W261</f>
        <v/>
      </c>
      <c r="Y261">
        <f>MIN(X261,MAX(0,$B261-((E$5&lt;W$5)*F261+(K$5&lt;W$5)*L261+(Q$5&lt;W$5)*R261+(AC$5&lt;W$5)*AD261+(AI$5&lt;W$5)*AJ261+(AO$5&lt;W$5)*AP261+(AU$5&lt;W$5)*AV261)))</f>
        <v/>
      </c>
      <c r="Z261">
        <f>IF(X261-Y261&lt;0.005,0,X261-Y261)</f>
        <v/>
      </c>
      <c r="AA261">
        <f>AF260</f>
        <v/>
      </c>
      <c r="AB261">
        <f>AA261*Plan!D10/100/12</f>
        <v/>
      </c>
      <c r="AC261">
        <f>MIN(Plan!E10,AA261+AB261)</f>
        <v/>
      </c>
      <c r="AD261">
        <f>AA261+AB261-AC261</f>
        <v/>
      </c>
      <c r="AE261">
        <f>MIN(AD261,MAX(0,$B261-((E$5&lt;AC$5)*F261+(K$5&lt;AC$5)*L261+(Q$5&lt;AC$5)*R261+(W$5&lt;AC$5)*X261+(AI$5&lt;AC$5)*AJ261+(AO$5&lt;AC$5)*AP261+(AU$5&lt;AC$5)*AV261)))</f>
        <v/>
      </c>
      <c r="AF261">
        <f>IF(AD261-AE261&lt;0.005,0,AD261-AE261)</f>
        <v/>
      </c>
      <c r="AG261">
        <f>AL260</f>
        <v/>
      </c>
      <c r="AH261">
        <f>AG261*Plan!D11/100/12</f>
        <v/>
      </c>
      <c r="AI261">
        <f>MIN(Plan!E11,AG261+AH261)</f>
        <v/>
      </c>
      <c r="AJ261">
        <f>AG261+AH261-AI261</f>
        <v/>
      </c>
      <c r="AK261">
        <f>MIN(AJ261,MAX(0,$B261-((E$5&lt;AI$5)*F261+(K$5&lt;AI$5)*L261+(Q$5&lt;AI$5)*R261+(W$5&lt;AI$5)*X261+(AC$5&lt;AI$5)*AD261+(AO$5&lt;AI$5)*AP261+(AU$5&lt;AI$5)*AV261)))</f>
        <v/>
      </c>
      <c r="AL261">
        <f>IF(AJ261-AK261&lt;0.005,0,AJ261-AK261)</f>
        <v/>
      </c>
      <c r="AM261">
        <f>AR260</f>
        <v/>
      </c>
      <c r="AN261">
        <f>AM261*Plan!D12/100/12</f>
        <v/>
      </c>
      <c r="AO261">
        <f>MIN(Plan!E12,AM261+AN261)</f>
        <v/>
      </c>
      <c r="AP261">
        <f>AM261+AN261-AO261</f>
        <v/>
      </c>
      <c r="AQ261">
        <f>MIN(AP261,MAX(0,$B261-((E$5&lt;AO$5)*F261+(K$5&lt;AO$5)*L261+(Q$5&lt;AO$5)*R261+(W$5&lt;AO$5)*X261+(AC$5&lt;AO$5)*AD261+(AI$5&lt;AO$5)*AJ261+(AU$5&lt;AO$5)*AV261)))</f>
        <v/>
      </c>
      <c r="AR261">
        <f>IF(AP261-AQ261&lt;0.005,0,AP261-AQ261)</f>
        <v/>
      </c>
      <c r="AS261">
        <f>AX260</f>
        <v/>
      </c>
      <c r="AT261">
        <f>AS261*Plan!D13/100/12</f>
        <v/>
      </c>
      <c r="AU261">
        <f>MIN(Plan!E13,AS261+AT261)</f>
        <v/>
      </c>
      <c r="AV261">
        <f>AS261+AT261-AU261</f>
        <v/>
      </c>
      <c r="AW261">
        <f>MIN(AV261,MAX(0,$B261-((E$5&lt;AU$5)*F261+(K$5&lt;AU$5)*L261+(Q$5&lt;AU$5)*R261+(W$5&lt;AU$5)*X261+(AC$5&lt;AU$5)*AD261+(AI$5&lt;AU$5)*AJ261+(AO$5&lt;AU$5)*AP261)))</f>
        <v/>
      </c>
      <c r="AX261">
        <f>IF(AV261-AW261&lt;0.005,0,AV261-AW261)</f>
        <v/>
      </c>
      <c r="BC261">
        <f>H261+N261+T261+Z261+AF261+AL261+AR261+AX261</f>
        <v/>
      </c>
    </row>
    <row r="262">
      <c r="A262" t="n">
        <v>256</v>
      </c>
      <c r="B262" s="19">
        <f>MAX(0,$B$3-(E262+K262+Q262+W262+AC262+AI262+AO262+AU262))</f>
        <v/>
      </c>
      <c r="C262">
        <f>H261</f>
        <v/>
      </c>
      <c r="D262">
        <f>C262*Plan!D6/100/12</f>
        <v/>
      </c>
      <c r="E262">
        <f>MIN(Plan!E6,C262+D262)</f>
        <v/>
      </c>
      <c r="F262">
        <f>C262+D262-E262</f>
        <v/>
      </c>
      <c r="G262">
        <f>MIN(F262,MAX(0,$B262-((K$5&lt;E$5)*L262+(Q$5&lt;E$5)*R262+(W$5&lt;E$5)*X262+(AC$5&lt;E$5)*AD262+(AI$5&lt;E$5)*AJ262+(AO$5&lt;E$5)*AP262+(AU$5&lt;E$5)*AV262)))</f>
        <v/>
      </c>
      <c r="H262">
        <f>IF(F262-G262&lt;0.005,0,F262-G262)</f>
        <v/>
      </c>
      <c r="I262">
        <f>N261</f>
        <v/>
      </c>
      <c r="J262">
        <f>I262*Plan!D7/100/12</f>
        <v/>
      </c>
      <c r="K262">
        <f>MIN(Plan!E7,I262+J262)</f>
        <v/>
      </c>
      <c r="L262">
        <f>I262+J262-K262</f>
        <v/>
      </c>
      <c r="M262">
        <f>MIN(L262,MAX(0,$B262-((E$5&lt;K$5)*F262+(Q$5&lt;K$5)*R262+(W$5&lt;K$5)*X262+(AC$5&lt;K$5)*AD262+(AI$5&lt;K$5)*AJ262+(AO$5&lt;K$5)*AP262+(AU$5&lt;K$5)*AV262)))</f>
        <v/>
      </c>
      <c r="N262">
        <f>IF(L262-M262&lt;0.005,0,L262-M262)</f>
        <v/>
      </c>
      <c r="O262">
        <f>T261</f>
        <v/>
      </c>
      <c r="P262">
        <f>O262*Plan!D8/100/12</f>
        <v/>
      </c>
      <c r="Q262">
        <f>MIN(Plan!E8,O262+P262)</f>
        <v/>
      </c>
      <c r="R262">
        <f>O262+P262-Q262</f>
        <v/>
      </c>
      <c r="S262">
        <f>MIN(R262,MAX(0,$B262-((E$5&lt;Q$5)*F262+(K$5&lt;Q$5)*L262+(W$5&lt;Q$5)*X262+(AC$5&lt;Q$5)*AD262+(AI$5&lt;Q$5)*AJ262+(AO$5&lt;Q$5)*AP262+(AU$5&lt;Q$5)*AV262)))</f>
        <v/>
      </c>
      <c r="T262">
        <f>IF(R262-S262&lt;0.005,0,R262-S262)</f>
        <v/>
      </c>
      <c r="U262">
        <f>Z261</f>
        <v/>
      </c>
      <c r="V262">
        <f>U262*Plan!D9/100/12</f>
        <v/>
      </c>
      <c r="W262">
        <f>MIN(Plan!E9,U262+V262)</f>
        <v/>
      </c>
      <c r="X262">
        <f>U262+V262-W262</f>
        <v/>
      </c>
      <c r="Y262">
        <f>MIN(X262,MAX(0,$B262-((E$5&lt;W$5)*F262+(K$5&lt;W$5)*L262+(Q$5&lt;W$5)*R262+(AC$5&lt;W$5)*AD262+(AI$5&lt;W$5)*AJ262+(AO$5&lt;W$5)*AP262+(AU$5&lt;W$5)*AV262)))</f>
        <v/>
      </c>
      <c r="Z262">
        <f>IF(X262-Y262&lt;0.005,0,X262-Y262)</f>
        <v/>
      </c>
      <c r="AA262">
        <f>AF261</f>
        <v/>
      </c>
      <c r="AB262">
        <f>AA262*Plan!D10/100/12</f>
        <v/>
      </c>
      <c r="AC262">
        <f>MIN(Plan!E10,AA262+AB262)</f>
        <v/>
      </c>
      <c r="AD262">
        <f>AA262+AB262-AC262</f>
        <v/>
      </c>
      <c r="AE262">
        <f>MIN(AD262,MAX(0,$B262-((E$5&lt;AC$5)*F262+(K$5&lt;AC$5)*L262+(Q$5&lt;AC$5)*R262+(W$5&lt;AC$5)*X262+(AI$5&lt;AC$5)*AJ262+(AO$5&lt;AC$5)*AP262+(AU$5&lt;AC$5)*AV262)))</f>
        <v/>
      </c>
      <c r="AF262">
        <f>IF(AD262-AE262&lt;0.005,0,AD262-AE262)</f>
        <v/>
      </c>
      <c r="AG262">
        <f>AL261</f>
        <v/>
      </c>
      <c r="AH262">
        <f>AG262*Plan!D11/100/12</f>
        <v/>
      </c>
      <c r="AI262">
        <f>MIN(Plan!E11,AG262+AH262)</f>
        <v/>
      </c>
      <c r="AJ262">
        <f>AG262+AH262-AI262</f>
        <v/>
      </c>
      <c r="AK262">
        <f>MIN(AJ262,MAX(0,$B262-((E$5&lt;AI$5)*F262+(K$5&lt;AI$5)*L262+(Q$5&lt;AI$5)*R262+(W$5&lt;AI$5)*X262+(AC$5&lt;AI$5)*AD262+(AO$5&lt;AI$5)*AP262+(AU$5&lt;AI$5)*AV262)))</f>
        <v/>
      </c>
      <c r="AL262">
        <f>IF(AJ262-AK262&lt;0.005,0,AJ262-AK262)</f>
        <v/>
      </c>
      <c r="AM262">
        <f>AR261</f>
        <v/>
      </c>
      <c r="AN262">
        <f>AM262*Plan!D12/100/12</f>
        <v/>
      </c>
      <c r="AO262">
        <f>MIN(Plan!E12,AM262+AN262)</f>
        <v/>
      </c>
      <c r="AP262">
        <f>AM262+AN262-AO262</f>
        <v/>
      </c>
      <c r="AQ262">
        <f>MIN(AP262,MAX(0,$B262-((E$5&lt;AO$5)*F262+(K$5&lt;AO$5)*L262+(Q$5&lt;AO$5)*R262+(W$5&lt;AO$5)*X262+(AC$5&lt;AO$5)*AD262+(AI$5&lt;AO$5)*AJ262+(AU$5&lt;AO$5)*AV262)))</f>
        <v/>
      </c>
      <c r="AR262">
        <f>IF(AP262-AQ262&lt;0.005,0,AP262-AQ262)</f>
        <v/>
      </c>
      <c r="AS262">
        <f>AX261</f>
        <v/>
      </c>
      <c r="AT262">
        <f>AS262*Plan!D13/100/12</f>
        <v/>
      </c>
      <c r="AU262">
        <f>MIN(Plan!E13,AS262+AT262)</f>
        <v/>
      </c>
      <c r="AV262">
        <f>AS262+AT262-AU262</f>
        <v/>
      </c>
      <c r="AW262">
        <f>MIN(AV262,MAX(0,$B262-((E$5&lt;AU$5)*F262+(K$5&lt;AU$5)*L262+(Q$5&lt;AU$5)*R262+(W$5&lt;AU$5)*X262+(AC$5&lt;AU$5)*AD262+(AI$5&lt;AU$5)*AJ262+(AO$5&lt;AU$5)*AP262)))</f>
        <v/>
      </c>
      <c r="AX262">
        <f>IF(AV262-AW262&lt;0.005,0,AV262-AW262)</f>
        <v/>
      </c>
      <c r="BC262">
        <f>H262+N262+T262+Z262+AF262+AL262+AR262+AX262</f>
        <v/>
      </c>
    </row>
    <row r="263">
      <c r="A263" t="n">
        <v>257</v>
      </c>
      <c r="B263" s="19">
        <f>MAX(0,$B$3-(E263+K263+Q263+W263+AC263+AI263+AO263+AU263))</f>
        <v/>
      </c>
      <c r="C263">
        <f>H262</f>
        <v/>
      </c>
      <c r="D263">
        <f>C263*Plan!D6/100/12</f>
        <v/>
      </c>
      <c r="E263">
        <f>MIN(Plan!E6,C263+D263)</f>
        <v/>
      </c>
      <c r="F263">
        <f>C263+D263-E263</f>
        <v/>
      </c>
      <c r="G263">
        <f>MIN(F263,MAX(0,$B263-((K$5&lt;E$5)*L263+(Q$5&lt;E$5)*R263+(W$5&lt;E$5)*X263+(AC$5&lt;E$5)*AD263+(AI$5&lt;E$5)*AJ263+(AO$5&lt;E$5)*AP263+(AU$5&lt;E$5)*AV263)))</f>
        <v/>
      </c>
      <c r="H263">
        <f>IF(F263-G263&lt;0.005,0,F263-G263)</f>
        <v/>
      </c>
      <c r="I263">
        <f>N262</f>
        <v/>
      </c>
      <c r="J263">
        <f>I263*Plan!D7/100/12</f>
        <v/>
      </c>
      <c r="K263">
        <f>MIN(Plan!E7,I263+J263)</f>
        <v/>
      </c>
      <c r="L263">
        <f>I263+J263-K263</f>
        <v/>
      </c>
      <c r="M263">
        <f>MIN(L263,MAX(0,$B263-((E$5&lt;K$5)*F263+(Q$5&lt;K$5)*R263+(W$5&lt;K$5)*X263+(AC$5&lt;K$5)*AD263+(AI$5&lt;K$5)*AJ263+(AO$5&lt;K$5)*AP263+(AU$5&lt;K$5)*AV263)))</f>
        <v/>
      </c>
      <c r="N263">
        <f>IF(L263-M263&lt;0.005,0,L263-M263)</f>
        <v/>
      </c>
      <c r="O263">
        <f>T262</f>
        <v/>
      </c>
      <c r="P263">
        <f>O263*Plan!D8/100/12</f>
        <v/>
      </c>
      <c r="Q263">
        <f>MIN(Plan!E8,O263+P263)</f>
        <v/>
      </c>
      <c r="R263">
        <f>O263+P263-Q263</f>
        <v/>
      </c>
      <c r="S263">
        <f>MIN(R263,MAX(0,$B263-((E$5&lt;Q$5)*F263+(K$5&lt;Q$5)*L263+(W$5&lt;Q$5)*X263+(AC$5&lt;Q$5)*AD263+(AI$5&lt;Q$5)*AJ263+(AO$5&lt;Q$5)*AP263+(AU$5&lt;Q$5)*AV263)))</f>
        <v/>
      </c>
      <c r="T263">
        <f>IF(R263-S263&lt;0.005,0,R263-S263)</f>
        <v/>
      </c>
      <c r="U263">
        <f>Z262</f>
        <v/>
      </c>
      <c r="V263">
        <f>U263*Plan!D9/100/12</f>
        <v/>
      </c>
      <c r="W263">
        <f>MIN(Plan!E9,U263+V263)</f>
        <v/>
      </c>
      <c r="X263">
        <f>U263+V263-W263</f>
        <v/>
      </c>
      <c r="Y263">
        <f>MIN(X263,MAX(0,$B263-((E$5&lt;W$5)*F263+(K$5&lt;W$5)*L263+(Q$5&lt;W$5)*R263+(AC$5&lt;W$5)*AD263+(AI$5&lt;W$5)*AJ263+(AO$5&lt;W$5)*AP263+(AU$5&lt;W$5)*AV263)))</f>
        <v/>
      </c>
      <c r="Z263">
        <f>IF(X263-Y263&lt;0.005,0,X263-Y263)</f>
        <v/>
      </c>
      <c r="AA263">
        <f>AF262</f>
        <v/>
      </c>
      <c r="AB263">
        <f>AA263*Plan!D10/100/12</f>
        <v/>
      </c>
      <c r="AC263">
        <f>MIN(Plan!E10,AA263+AB263)</f>
        <v/>
      </c>
      <c r="AD263">
        <f>AA263+AB263-AC263</f>
        <v/>
      </c>
      <c r="AE263">
        <f>MIN(AD263,MAX(0,$B263-((E$5&lt;AC$5)*F263+(K$5&lt;AC$5)*L263+(Q$5&lt;AC$5)*R263+(W$5&lt;AC$5)*X263+(AI$5&lt;AC$5)*AJ263+(AO$5&lt;AC$5)*AP263+(AU$5&lt;AC$5)*AV263)))</f>
        <v/>
      </c>
      <c r="AF263">
        <f>IF(AD263-AE263&lt;0.005,0,AD263-AE263)</f>
        <v/>
      </c>
      <c r="AG263">
        <f>AL262</f>
        <v/>
      </c>
      <c r="AH263">
        <f>AG263*Plan!D11/100/12</f>
        <v/>
      </c>
      <c r="AI263">
        <f>MIN(Plan!E11,AG263+AH263)</f>
        <v/>
      </c>
      <c r="AJ263">
        <f>AG263+AH263-AI263</f>
        <v/>
      </c>
      <c r="AK263">
        <f>MIN(AJ263,MAX(0,$B263-((E$5&lt;AI$5)*F263+(K$5&lt;AI$5)*L263+(Q$5&lt;AI$5)*R263+(W$5&lt;AI$5)*X263+(AC$5&lt;AI$5)*AD263+(AO$5&lt;AI$5)*AP263+(AU$5&lt;AI$5)*AV263)))</f>
        <v/>
      </c>
      <c r="AL263">
        <f>IF(AJ263-AK263&lt;0.005,0,AJ263-AK263)</f>
        <v/>
      </c>
      <c r="AM263">
        <f>AR262</f>
        <v/>
      </c>
      <c r="AN263">
        <f>AM263*Plan!D12/100/12</f>
        <v/>
      </c>
      <c r="AO263">
        <f>MIN(Plan!E12,AM263+AN263)</f>
        <v/>
      </c>
      <c r="AP263">
        <f>AM263+AN263-AO263</f>
        <v/>
      </c>
      <c r="AQ263">
        <f>MIN(AP263,MAX(0,$B263-((E$5&lt;AO$5)*F263+(K$5&lt;AO$5)*L263+(Q$5&lt;AO$5)*R263+(W$5&lt;AO$5)*X263+(AC$5&lt;AO$5)*AD263+(AI$5&lt;AO$5)*AJ263+(AU$5&lt;AO$5)*AV263)))</f>
        <v/>
      </c>
      <c r="AR263">
        <f>IF(AP263-AQ263&lt;0.005,0,AP263-AQ263)</f>
        <v/>
      </c>
      <c r="AS263">
        <f>AX262</f>
        <v/>
      </c>
      <c r="AT263">
        <f>AS263*Plan!D13/100/12</f>
        <v/>
      </c>
      <c r="AU263">
        <f>MIN(Plan!E13,AS263+AT263)</f>
        <v/>
      </c>
      <c r="AV263">
        <f>AS263+AT263-AU263</f>
        <v/>
      </c>
      <c r="AW263">
        <f>MIN(AV263,MAX(0,$B263-((E$5&lt;AU$5)*F263+(K$5&lt;AU$5)*L263+(Q$5&lt;AU$5)*R263+(W$5&lt;AU$5)*X263+(AC$5&lt;AU$5)*AD263+(AI$5&lt;AU$5)*AJ263+(AO$5&lt;AU$5)*AP263)))</f>
        <v/>
      </c>
      <c r="AX263">
        <f>IF(AV263-AW263&lt;0.005,0,AV263-AW263)</f>
        <v/>
      </c>
      <c r="BC263">
        <f>H263+N263+T263+Z263+AF263+AL263+AR263+AX263</f>
        <v/>
      </c>
    </row>
    <row r="264">
      <c r="A264" t="n">
        <v>258</v>
      </c>
      <c r="B264" s="19">
        <f>MAX(0,$B$3-(E264+K264+Q264+W264+AC264+AI264+AO264+AU264))</f>
        <v/>
      </c>
      <c r="C264">
        <f>H263</f>
        <v/>
      </c>
      <c r="D264">
        <f>C264*Plan!D6/100/12</f>
        <v/>
      </c>
      <c r="E264">
        <f>MIN(Plan!E6,C264+D264)</f>
        <v/>
      </c>
      <c r="F264">
        <f>C264+D264-E264</f>
        <v/>
      </c>
      <c r="G264">
        <f>MIN(F264,MAX(0,$B264-((K$5&lt;E$5)*L264+(Q$5&lt;E$5)*R264+(W$5&lt;E$5)*X264+(AC$5&lt;E$5)*AD264+(AI$5&lt;E$5)*AJ264+(AO$5&lt;E$5)*AP264+(AU$5&lt;E$5)*AV264)))</f>
        <v/>
      </c>
      <c r="H264">
        <f>IF(F264-G264&lt;0.005,0,F264-G264)</f>
        <v/>
      </c>
      <c r="I264">
        <f>N263</f>
        <v/>
      </c>
      <c r="J264">
        <f>I264*Plan!D7/100/12</f>
        <v/>
      </c>
      <c r="K264">
        <f>MIN(Plan!E7,I264+J264)</f>
        <v/>
      </c>
      <c r="L264">
        <f>I264+J264-K264</f>
        <v/>
      </c>
      <c r="M264">
        <f>MIN(L264,MAX(0,$B264-((E$5&lt;K$5)*F264+(Q$5&lt;K$5)*R264+(W$5&lt;K$5)*X264+(AC$5&lt;K$5)*AD264+(AI$5&lt;K$5)*AJ264+(AO$5&lt;K$5)*AP264+(AU$5&lt;K$5)*AV264)))</f>
        <v/>
      </c>
      <c r="N264">
        <f>IF(L264-M264&lt;0.005,0,L264-M264)</f>
        <v/>
      </c>
      <c r="O264">
        <f>T263</f>
        <v/>
      </c>
      <c r="P264">
        <f>O264*Plan!D8/100/12</f>
        <v/>
      </c>
      <c r="Q264">
        <f>MIN(Plan!E8,O264+P264)</f>
        <v/>
      </c>
      <c r="R264">
        <f>O264+P264-Q264</f>
        <v/>
      </c>
      <c r="S264">
        <f>MIN(R264,MAX(0,$B264-((E$5&lt;Q$5)*F264+(K$5&lt;Q$5)*L264+(W$5&lt;Q$5)*X264+(AC$5&lt;Q$5)*AD264+(AI$5&lt;Q$5)*AJ264+(AO$5&lt;Q$5)*AP264+(AU$5&lt;Q$5)*AV264)))</f>
        <v/>
      </c>
      <c r="T264">
        <f>IF(R264-S264&lt;0.005,0,R264-S264)</f>
        <v/>
      </c>
      <c r="U264">
        <f>Z263</f>
        <v/>
      </c>
      <c r="V264">
        <f>U264*Plan!D9/100/12</f>
        <v/>
      </c>
      <c r="W264">
        <f>MIN(Plan!E9,U264+V264)</f>
        <v/>
      </c>
      <c r="X264">
        <f>U264+V264-W264</f>
        <v/>
      </c>
      <c r="Y264">
        <f>MIN(X264,MAX(0,$B264-((E$5&lt;W$5)*F264+(K$5&lt;W$5)*L264+(Q$5&lt;W$5)*R264+(AC$5&lt;W$5)*AD264+(AI$5&lt;W$5)*AJ264+(AO$5&lt;W$5)*AP264+(AU$5&lt;W$5)*AV264)))</f>
        <v/>
      </c>
      <c r="Z264">
        <f>IF(X264-Y264&lt;0.005,0,X264-Y264)</f>
        <v/>
      </c>
      <c r="AA264">
        <f>AF263</f>
        <v/>
      </c>
      <c r="AB264">
        <f>AA264*Plan!D10/100/12</f>
        <v/>
      </c>
      <c r="AC264">
        <f>MIN(Plan!E10,AA264+AB264)</f>
        <v/>
      </c>
      <c r="AD264">
        <f>AA264+AB264-AC264</f>
        <v/>
      </c>
      <c r="AE264">
        <f>MIN(AD264,MAX(0,$B264-((E$5&lt;AC$5)*F264+(K$5&lt;AC$5)*L264+(Q$5&lt;AC$5)*R264+(W$5&lt;AC$5)*X264+(AI$5&lt;AC$5)*AJ264+(AO$5&lt;AC$5)*AP264+(AU$5&lt;AC$5)*AV264)))</f>
        <v/>
      </c>
      <c r="AF264">
        <f>IF(AD264-AE264&lt;0.005,0,AD264-AE264)</f>
        <v/>
      </c>
      <c r="AG264">
        <f>AL263</f>
        <v/>
      </c>
      <c r="AH264">
        <f>AG264*Plan!D11/100/12</f>
        <v/>
      </c>
      <c r="AI264">
        <f>MIN(Plan!E11,AG264+AH264)</f>
        <v/>
      </c>
      <c r="AJ264">
        <f>AG264+AH264-AI264</f>
        <v/>
      </c>
      <c r="AK264">
        <f>MIN(AJ264,MAX(0,$B264-((E$5&lt;AI$5)*F264+(K$5&lt;AI$5)*L264+(Q$5&lt;AI$5)*R264+(W$5&lt;AI$5)*X264+(AC$5&lt;AI$5)*AD264+(AO$5&lt;AI$5)*AP264+(AU$5&lt;AI$5)*AV264)))</f>
        <v/>
      </c>
      <c r="AL264">
        <f>IF(AJ264-AK264&lt;0.005,0,AJ264-AK264)</f>
        <v/>
      </c>
      <c r="AM264">
        <f>AR263</f>
        <v/>
      </c>
      <c r="AN264">
        <f>AM264*Plan!D12/100/12</f>
        <v/>
      </c>
      <c r="AO264">
        <f>MIN(Plan!E12,AM264+AN264)</f>
        <v/>
      </c>
      <c r="AP264">
        <f>AM264+AN264-AO264</f>
        <v/>
      </c>
      <c r="AQ264">
        <f>MIN(AP264,MAX(0,$B264-((E$5&lt;AO$5)*F264+(K$5&lt;AO$5)*L264+(Q$5&lt;AO$5)*R264+(W$5&lt;AO$5)*X264+(AC$5&lt;AO$5)*AD264+(AI$5&lt;AO$5)*AJ264+(AU$5&lt;AO$5)*AV264)))</f>
        <v/>
      </c>
      <c r="AR264">
        <f>IF(AP264-AQ264&lt;0.005,0,AP264-AQ264)</f>
        <v/>
      </c>
      <c r="AS264">
        <f>AX263</f>
        <v/>
      </c>
      <c r="AT264">
        <f>AS264*Plan!D13/100/12</f>
        <v/>
      </c>
      <c r="AU264">
        <f>MIN(Plan!E13,AS264+AT264)</f>
        <v/>
      </c>
      <c r="AV264">
        <f>AS264+AT264-AU264</f>
        <v/>
      </c>
      <c r="AW264">
        <f>MIN(AV264,MAX(0,$B264-((E$5&lt;AU$5)*F264+(K$5&lt;AU$5)*L264+(Q$5&lt;AU$5)*R264+(W$5&lt;AU$5)*X264+(AC$5&lt;AU$5)*AD264+(AI$5&lt;AU$5)*AJ264+(AO$5&lt;AU$5)*AP264)))</f>
        <v/>
      </c>
      <c r="AX264">
        <f>IF(AV264-AW264&lt;0.005,0,AV264-AW264)</f>
        <v/>
      </c>
      <c r="BC264">
        <f>H264+N264+T264+Z264+AF264+AL264+AR264+AX264</f>
        <v/>
      </c>
    </row>
    <row r="265">
      <c r="A265" t="n">
        <v>259</v>
      </c>
      <c r="B265" s="19">
        <f>MAX(0,$B$3-(E265+K265+Q265+W265+AC265+AI265+AO265+AU265))</f>
        <v/>
      </c>
      <c r="C265">
        <f>H264</f>
        <v/>
      </c>
      <c r="D265">
        <f>C265*Plan!D6/100/12</f>
        <v/>
      </c>
      <c r="E265">
        <f>MIN(Plan!E6,C265+D265)</f>
        <v/>
      </c>
      <c r="F265">
        <f>C265+D265-E265</f>
        <v/>
      </c>
      <c r="G265">
        <f>MIN(F265,MAX(0,$B265-((K$5&lt;E$5)*L265+(Q$5&lt;E$5)*R265+(W$5&lt;E$5)*X265+(AC$5&lt;E$5)*AD265+(AI$5&lt;E$5)*AJ265+(AO$5&lt;E$5)*AP265+(AU$5&lt;E$5)*AV265)))</f>
        <v/>
      </c>
      <c r="H265">
        <f>IF(F265-G265&lt;0.005,0,F265-G265)</f>
        <v/>
      </c>
      <c r="I265">
        <f>N264</f>
        <v/>
      </c>
      <c r="J265">
        <f>I265*Plan!D7/100/12</f>
        <v/>
      </c>
      <c r="K265">
        <f>MIN(Plan!E7,I265+J265)</f>
        <v/>
      </c>
      <c r="L265">
        <f>I265+J265-K265</f>
        <v/>
      </c>
      <c r="M265">
        <f>MIN(L265,MAX(0,$B265-((E$5&lt;K$5)*F265+(Q$5&lt;K$5)*R265+(W$5&lt;K$5)*X265+(AC$5&lt;K$5)*AD265+(AI$5&lt;K$5)*AJ265+(AO$5&lt;K$5)*AP265+(AU$5&lt;K$5)*AV265)))</f>
        <v/>
      </c>
      <c r="N265">
        <f>IF(L265-M265&lt;0.005,0,L265-M265)</f>
        <v/>
      </c>
      <c r="O265">
        <f>T264</f>
        <v/>
      </c>
      <c r="P265">
        <f>O265*Plan!D8/100/12</f>
        <v/>
      </c>
      <c r="Q265">
        <f>MIN(Plan!E8,O265+P265)</f>
        <v/>
      </c>
      <c r="R265">
        <f>O265+P265-Q265</f>
        <v/>
      </c>
      <c r="S265">
        <f>MIN(R265,MAX(0,$B265-((E$5&lt;Q$5)*F265+(K$5&lt;Q$5)*L265+(W$5&lt;Q$5)*X265+(AC$5&lt;Q$5)*AD265+(AI$5&lt;Q$5)*AJ265+(AO$5&lt;Q$5)*AP265+(AU$5&lt;Q$5)*AV265)))</f>
        <v/>
      </c>
      <c r="T265">
        <f>IF(R265-S265&lt;0.005,0,R265-S265)</f>
        <v/>
      </c>
      <c r="U265">
        <f>Z264</f>
        <v/>
      </c>
      <c r="V265">
        <f>U265*Plan!D9/100/12</f>
        <v/>
      </c>
      <c r="W265">
        <f>MIN(Plan!E9,U265+V265)</f>
        <v/>
      </c>
      <c r="X265">
        <f>U265+V265-W265</f>
        <v/>
      </c>
      <c r="Y265">
        <f>MIN(X265,MAX(0,$B265-((E$5&lt;W$5)*F265+(K$5&lt;W$5)*L265+(Q$5&lt;W$5)*R265+(AC$5&lt;W$5)*AD265+(AI$5&lt;W$5)*AJ265+(AO$5&lt;W$5)*AP265+(AU$5&lt;W$5)*AV265)))</f>
        <v/>
      </c>
      <c r="Z265">
        <f>IF(X265-Y265&lt;0.005,0,X265-Y265)</f>
        <v/>
      </c>
      <c r="AA265">
        <f>AF264</f>
        <v/>
      </c>
      <c r="AB265">
        <f>AA265*Plan!D10/100/12</f>
        <v/>
      </c>
      <c r="AC265">
        <f>MIN(Plan!E10,AA265+AB265)</f>
        <v/>
      </c>
      <c r="AD265">
        <f>AA265+AB265-AC265</f>
        <v/>
      </c>
      <c r="AE265">
        <f>MIN(AD265,MAX(0,$B265-((E$5&lt;AC$5)*F265+(K$5&lt;AC$5)*L265+(Q$5&lt;AC$5)*R265+(W$5&lt;AC$5)*X265+(AI$5&lt;AC$5)*AJ265+(AO$5&lt;AC$5)*AP265+(AU$5&lt;AC$5)*AV265)))</f>
        <v/>
      </c>
      <c r="AF265">
        <f>IF(AD265-AE265&lt;0.005,0,AD265-AE265)</f>
        <v/>
      </c>
      <c r="AG265">
        <f>AL264</f>
        <v/>
      </c>
      <c r="AH265">
        <f>AG265*Plan!D11/100/12</f>
        <v/>
      </c>
      <c r="AI265">
        <f>MIN(Plan!E11,AG265+AH265)</f>
        <v/>
      </c>
      <c r="AJ265">
        <f>AG265+AH265-AI265</f>
        <v/>
      </c>
      <c r="AK265">
        <f>MIN(AJ265,MAX(0,$B265-((E$5&lt;AI$5)*F265+(K$5&lt;AI$5)*L265+(Q$5&lt;AI$5)*R265+(W$5&lt;AI$5)*X265+(AC$5&lt;AI$5)*AD265+(AO$5&lt;AI$5)*AP265+(AU$5&lt;AI$5)*AV265)))</f>
        <v/>
      </c>
      <c r="AL265">
        <f>IF(AJ265-AK265&lt;0.005,0,AJ265-AK265)</f>
        <v/>
      </c>
      <c r="AM265">
        <f>AR264</f>
        <v/>
      </c>
      <c r="AN265">
        <f>AM265*Plan!D12/100/12</f>
        <v/>
      </c>
      <c r="AO265">
        <f>MIN(Plan!E12,AM265+AN265)</f>
        <v/>
      </c>
      <c r="AP265">
        <f>AM265+AN265-AO265</f>
        <v/>
      </c>
      <c r="AQ265">
        <f>MIN(AP265,MAX(0,$B265-((E$5&lt;AO$5)*F265+(K$5&lt;AO$5)*L265+(Q$5&lt;AO$5)*R265+(W$5&lt;AO$5)*X265+(AC$5&lt;AO$5)*AD265+(AI$5&lt;AO$5)*AJ265+(AU$5&lt;AO$5)*AV265)))</f>
        <v/>
      </c>
      <c r="AR265">
        <f>IF(AP265-AQ265&lt;0.005,0,AP265-AQ265)</f>
        <v/>
      </c>
      <c r="AS265">
        <f>AX264</f>
        <v/>
      </c>
      <c r="AT265">
        <f>AS265*Plan!D13/100/12</f>
        <v/>
      </c>
      <c r="AU265">
        <f>MIN(Plan!E13,AS265+AT265)</f>
        <v/>
      </c>
      <c r="AV265">
        <f>AS265+AT265-AU265</f>
        <v/>
      </c>
      <c r="AW265">
        <f>MIN(AV265,MAX(0,$B265-((E$5&lt;AU$5)*F265+(K$5&lt;AU$5)*L265+(Q$5&lt;AU$5)*R265+(W$5&lt;AU$5)*X265+(AC$5&lt;AU$5)*AD265+(AI$5&lt;AU$5)*AJ265+(AO$5&lt;AU$5)*AP265)))</f>
        <v/>
      </c>
      <c r="AX265">
        <f>IF(AV265-AW265&lt;0.005,0,AV265-AW265)</f>
        <v/>
      </c>
      <c r="BC265">
        <f>H265+N265+T265+Z265+AF265+AL265+AR265+AX265</f>
        <v/>
      </c>
    </row>
    <row r="266">
      <c r="A266" t="n">
        <v>260</v>
      </c>
      <c r="B266" s="19">
        <f>MAX(0,$B$3-(E266+K266+Q266+W266+AC266+AI266+AO266+AU266))</f>
        <v/>
      </c>
      <c r="C266">
        <f>H265</f>
        <v/>
      </c>
      <c r="D266">
        <f>C266*Plan!D6/100/12</f>
        <v/>
      </c>
      <c r="E266">
        <f>MIN(Plan!E6,C266+D266)</f>
        <v/>
      </c>
      <c r="F266">
        <f>C266+D266-E266</f>
        <v/>
      </c>
      <c r="G266">
        <f>MIN(F266,MAX(0,$B266-((K$5&lt;E$5)*L266+(Q$5&lt;E$5)*R266+(W$5&lt;E$5)*X266+(AC$5&lt;E$5)*AD266+(AI$5&lt;E$5)*AJ266+(AO$5&lt;E$5)*AP266+(AU$5&lt;E$5)*AV266)))</f>
        <v/>
      </c>
      <c r="H266">
        <f>IF(F266-G266&lt;0.005,0,F266-G266)</f>
        <v/>
      </c>
      <c r="I266">
        <f>N265</f>
        <v/>
      </c>
      <c r="J266">
        <f>I266*Plan!D7/100/12</f>
        <v/>
      </c>
      <c r="K266">
        <f>MIN(Plan!E7,I266+J266)</f>
        <v/>
      </c>
      <c r="L266">
        <f>I266+J266-K266</f>
        <v/>
      </c>
      <c r="M266">
        <f>MIN(L266,MAX(0,$B266-((E$5&lt;K$5)*F266+(Q$5&lt;K$5)*R266+(W$5&lt;K$5)*X266+(AC$5&lt;K$5)*AD266+(AI$5&lt;K$5)*AJ266+(AO$5&lt;K$5)*AP266+(AU$5&lt;K$5)*AV266)))</f>
        <v/>
      </c>
      <c r="N266">
        <f>IF(L266-M266&lt;0.005,0,L266-M266)</f>
        <v/>
      </c>
      <c r="O266">
        <f>T265</f>
        <v/>
      </c>
      <c r="P266">
        <f>O266*Plan!D8/100/12</f>
        <v/>
      </c>
      <c r="Q266">
        <f>MIN(Plan!E8,O266+P266)</f>
        <v/>
      </c>
      <c r="R266">
        <f>O266+P266-Q266</f>
        <v/>
      </c>
      <c r="S266">
        <f>MIN(R266,MAX(0,$B266-((E$5&lt;Q$5)*F266+(K$5&lt;Q$5)*L266+(W$5&lt;Q$5)*X266+(AC$5&lt;Q$5)*AD266+(AI$5&lt;Q$5)*AJ266+(AO$5&lt;Q$5)*AP266+(AU$5&lt;Q$5)*AV266)))</f>
        <v/>
      </c>
      <c r="T266">
        <f>IF(R266-S266&lt;0.005,0,R266-S266)</f>
        <v/>
      </c>
      <c r="U266">
        <f>Z265</f>
        <v/>
      </c>
      <c r="V266">
        <f>U266*Plan!D9/100/12</f>
        <v/>
      </c>
      <c r="W266">
        <f>MIN(Plan!E9,U266+V266)</f>
        <v/>
      </c>
      <c r="X266">
        <f>U266+V266-W266</f>
        <v/>
      </c>
      <c r="Y266">
        <f>MIN(X266,MAX(0,$B266-((E$5&lt;W$5)*F266+(K$5&lt;W$5)*L266+(Q$5&lt;W$5)*R266+(AC$5&lt;W$5)*AD266+(AI$5&lt;W$5)*AJ266+(AO$5&lt;W$5)*AP266+(AU$5&lt;W$5)*AV266)))</f>
        <v/>
      </c>
      <c r="Z266">
        <f>IF(X266-Y266&lt;0.005,0,X266-Y266)</f>
        <v/>
      </c>
      <c r="AA266">
        <f>AF265</f>
        <v/>
      </c>
      <c r="AB266">
        <f>AA266*Plan!D10/100/12</f>
        <v/>
      </c>
      <c r="AC266">
        <f>MIN(Plan!E10,AA266+AB266)</f>
        <v/>
      </c>
      <c r="AD266">
        <f>AA266+AB266-AC266</f>
        <v/>
      </c>
      <c r="AE266">
        <f>MIN(AD266,MAX(0,$B266-((E$5&lt;AC$5)*F266+(K$5&lt;AC$5)*L266+(Q$5&lt;AC$5)*R266+(W$5&lt;AC$5)*X266+(AI$5&lt;AC$5)*AJ266+(AO$5&lt;AC$5)*AP266+(AU$5&lt;AC$5)*AV266)))</f>
        <v/>
      </c>
      <c r="AF266">
        <f>IF(AD266-AE266&lt;0.005,0,AD266-AE266)</f>
        <v/>
      </c>
      <c r="AG266">
        <f>AL265</f>
        <v/>
      </c>
      <c r="AH266">
        <f>AG266*Plan!D11/100/12</f>
        <v/>
      </c>
      <c r="AI266">
        <f>MIN(Plan!E11,AG266+AH266)</f>
        <v/>
      </c>
      <c r="AJ266">
        <f>AG266+AH266-AI266</f>
        <v/>
      </c>
      <c r="AK266">
        <f>MIN(AJ266,MAX(0,$B266-((E$5&lt;AI$5)*F266+(K$5&lt;AI$5)*L266+(Q$5&lt;AI$5)*R266+(W$5&lt;AI$5)*X266+(AC$5&lt;AI$5)*AD266+(AO$5&lt;AI$5)*AP266+(AU$5&lt;AI$5)*AV266)))</f>
        <v/>
      </c>
      <c r="AL266">
        <f>IF(AJ266-AK266&lt;0.005,0,AJ266-AK266)</f>
        <v/>
      </c>
      <c r="AM266">
        <f>AR265</f>
        <v/>
      </c>
      <c r="AN266">
        <f>AM266*Plan!D12/100/12</f>
        <v/>
      </c>
      <c r="AO266">
        <f>MIN(Plan!E12,AM266+AN266)</f>
        <v/>
      </c>
      <c r="AP266">
        <f>AM266+AN266-AO266</f>
        <v/>
      </c>
      <c r="AQ266">
        <f>MIN(AP266,MAX(0,$B266-((E$5&lt;AO$5)*F266+(K$5&lt;AO$5)*L266+(Q$5&lt;AO$5)*R266+(W$5&lt;AO$5)*X266+(AC$5&lt;AO$5)*AD266+(AI$5&lt;AO$5)*AJ266+(AU$5&lt;AO$5)*AV266)))</f>
        <v/>
      </c>
      <c r="AR266">
        <f>IF(AP266-AQ266&lt;0.005,0,AP266-AQ266)</f>
        <v/>
      </c>
      <c r="AS266">
        <f>AX265</f>
        <v/>
      </c>
      <c r="AT266">
        <f>AS266*Plan!D13/100/12</f>
        <v/>
      </c>
      <c r="AU266">
        <f>MIN(Plan!E13,AS266+AT266)</f>
        <v/>
      </c>
      <c r="AV266">
        <f>AS266+AT266-AU266</f>
        <v/>
      </c>
      <c r="AW266">
        <f>MIN(AV266,MAX(0,$B266-((E$5&lt;AU$5)*F266+(K$5&lt;AU$5)*L266+(Q$5&lt;AU$5)*R266+(W$5&lt;AU$5)*X266+(AC$5&lt;AU$5)*AD266+(AI$5&lt;AU$5)*AJ266+(AO$5&lt;AU$5)*AP266)))</f>
        <v/>
      </c>
      <c r="AX266">
        <f>IF(AV266-AW266&lt;0.005,0,AV266-AW266)</f>
        <v/>
      </c>
      <c r="BC266">
        <f>H266+N266+T266+Z266+AF266+AL266+AR266+AX266</f>
        <v/>
      </c>
    </row>
    <row r="267">
      <c r="A267" t="n">
        <v>261</v>
      </c>
      <c r="B267" s="19">
        <f>MAX(0,$B$3-(E267+K267+Q267+W267+AC267+AI267+AO267+AU267))</f>
        <v/>
      </c>
      <c r="C267">
        <f>H266</f>
        <v/>
      </c>
      <c r="D267">
        <f>C267*Plan!D6/100/12</f>
        <v/>
      </c>
      <c r="E267">
        <f>MIN(Plan!E6,C267+D267)</f>
        <v/>
      </c>
      <c r="F267">
        <f>C267+D267-E267</f>
        <v/>
      </c>
      <c r="G267">
        <f>MIN(F267,MAX(0,$B267-((K$5&lt;E$5)*L267+(Q$5&lt;E$5)*R267+(W$5&lt;E$5)*X267+(AC$5&lt;E$5)*AD267+(AI$5&lt;E$5)*AJ267+(AO$5&lt;E$5)*AP267+(AU$5&lt;E$5)*AV267)))</f>
        <v/>
      </c>
      <c r="H267">
        <f>IF(F267-G267&lt;0.005,0,F267-G267)</f>
        <v/>
      </c>
      <c r="I267">
        <f>N266</f>
        <v/>
      </c>
      <c r="J267">
        <f>I267*Plan!D7/100/12</f>
        <v/>
      </c>
      <c r="K267">
        <f>MIN(Plan!E7,I267+J267)</f>
        <v/>
      </c>
      <c r="L267">
        <f>I267+J267-K267</f>
        <v/>
      </c>
      <c r="M267">
        <f>MIN(L267,MAX(0,$B267-((E$5&lt;K$5)*F267+(Q$5&lt;K$5)*R267+(W$5&lt;K$5)*X267+(AC$5&lt;K$5)*AD267+(AI$5&lt;K$5)*AJ267+(AO$5&lt;K$5)*AP267+(AU$5&lt;K$5)*AV267)))</f>
        <v/>
      </c>
      <c r="N267">
        <f>IF(L267-M267&lt;0.005,0,L267-M267)</f>
        <v/>
      </c>
      <c r="O267">
        <f>T266</f>
        <v/>
      </c>
      <c r="P267">
        <f>O267*Plan!D8/100/12</f>
        <v/>
      </c>
      <c r="Q267">
        <f>MIN(Plan!E8,O267+P267)</f>
        <v/>
      </c>
      <c r="R267">
        <f>O267+P267-Q267</f>
        <v/>
      </c>
      <c r="S267">
        <f>MIN(R267,MAX(0,$B267-((E$5&lt;Q$5)*F267+(K$5&lt;Q$5)*L267+(W$5&lt;Q$5)*X267+(AC$5&lt;Q$5)*AD267+(AI$5&lt;Q$5)*AJ267+(AO$5&lt;Q$5)*AP267+(AU$5&lt;Q$5)*AV267)))</f>
        <v/>
      </c>
      <c r="T267">
        <f>IF(R267-S267&lt;0.005,0,R267-S267)</f>
        <v/>
      </c>
      <c r="U267">
        <f>Z266</f>
        <v/>
      </c>
      <c r="V267">
        <f>U267*Plan!D9/100/12</f>
        <v/>
      </c>
      <c r="W267">
        <f>MIN(Plan!E9,U267+V267)</f>
        <v/>
      </c>
      <c r="X267">
        <f>U267+V267-W267</f>
        <v/>
      </c>
      <c r="Y267">
        <f>MIN(X267,MAX(0,$B267-((E$5&lt;W$5)*F267+(K$5&lt;W$5)*L267+(Q$5&lt;W$5)*R267+(AC$5&lt;W$5)*AD267+(AI$5&lt;W$5)*AJ267+(AO$5&lt;W$5)*AP267+(AU$5&lt;W$5)*AV267)))</f>
        <v/>
      </c>
      <c r="Z267">
        <f>IF(X267-Y267&lt;0.005,0,X267-Y267)</f>
        <v/>
      </c>
      <c r="AA267">
        <f>AF266</f>
        <v/>
      </c>
      <c r="AB267">
        <f>AA267*Plan!D10/100/12</f>
        <v/>
      </c>
      <c r="AC267">
        <f>MIN(Plan!E10,AA267+AB267)</f>
        <v/>
      </c>
      <c r="AD267">
        <f>AA267+AB267-AC267</f>
        <v/>
      </c>
      <c r="AE267">
        <f>MIN(AD267,MAX(0,$B267-((E$5&lt;AC$5)*F267+(K$5&lt;AC$5)*L267+(Q$5&lt;AC$5)*R267+(W$5&lt;AC$5)*X267+(AI$5&lt;AC$5)*AJ267+(AO$5&lt;AC$5)*AP267+(AU$5&lt;AC$5)*AV267)))</f>
        <v/>
      </c>
      <c r="AF267">
        <f>IF(AD267-AE267&lt;0.005,0,AD267-AE267)</f>
        <v/>
      </c>
      <c r="AG267">
        <f>AL266</f>
        <v/>
      </c>
      <c r="AH267">
        <f>AG267*Plan!D11/100/12</f>
        <v/>
      </c>
      <c r="AI267">
        <f>MIN(Plan!E11,AG267+AH267)</f>
        <v/>
      </c>
      <c r="AJ267">
        <f>AG267+AH267-AI267</f>
        <v/>
      </c>
      <c r="AK267">
        <f>MIN(AJ267,MAX(0,$B267-((E$5&lt;AI$5)*F267+(K$5&lt;AI$5)*L267+(Q$5&lt;AI$5)*R267+(W$5&lt;AI$5)*X267+(AC$5&lt;AI$5)*AD267+(AO$5&lt;AI$5)*AP267+(AU$5&lt;AI$5)*AV267)))</f>
        <v/>
      </c>
      <c r="AL267">
        <f>IF(AJ267-AK267&lt;0.005,0,AJ267-AK267)</f>
        <v/>
      </c>
      <c r="AM267">
        <f>AR266</f>
        <v/>
      </c>
      <c r="AN267">
        <f>AM267*Plan!D12/100/12</f>
        <v/>
      </c>
      <c r="AO267">
        <f>MIN(Plan!E12,AM267+AN267)</f>
        <v/>
      </c>
      <c r="AP267">
        <f>AM267+AN267-AO267</f>
        <v/>
      </c>
      <c r="AQ267">
        <f>MIN(AP267,MAX(0,$B267-((E$5&lt;AO$5)*F267+(K$5&lt;AO$5)*L267+(Q$5&lt;AO$5)*R267+(W$5&lt;AO$5)*X267+(AC$5&lt;AO$5)*AD267+(AI$5&lt;AO$5)*AJ267+(AU$5&lt;AO$5)*AV267)))</f>
        <v/>
      </c>
      <c r="AR267">
        <f>IF(AP267-AQ267&lt;0.005,0,AP267-AQ267)</f>
        <v/>
      </c>
      <c r="AS267">
        <f>AX266</f>
        <v/>
      </c>
      <c r="AT267">
        <f>AS267*Plan!D13/100/12</f>
        <v/>
      </c>
      <c r="AU267">
        <f>MIN(Plan!E13,AS267+AT267)</f>
        <v/>
      </c>
      <c r="AV267">
        <f>AS267+AT267-AU267</f>
        <v/>
      </c>
      <c r="AW267">
        <f>MIN(AV267,MAX(0,$B267-((E$5&lt;AU$5)*F267+(K$5&lt;AU$5)*L267+(Q$5&lt;AU$5)*R267+(W$5&lt;AU$5)*X267+(AC$5&lt;AU$5)*AD267+(AI$5&lt;AU$5)*AJ267+(AO$5&lt;AU$5)*AP267)))</f>
        <v/>
      </c>
      <c r="AX267">
        <f>IF(AV267-AW267&lt;0.005,0,AV267-AW267)</f>
        <v/>
      </c>
      <c r="BC267">
        <f>H267+N267+T267+Z267+AF267+AL267+AR267+AX267</f>
        <v/>
      </c>
    </row>
    <row r="268">
      <c r="A268" t="n">
        <v>262</v>
      </c>
      <c r="B268" s="19">
        <f>MAX(0,$B$3-(E268+K268+Q268+W268+AC268+AI268+AO268+AU268))</f>
        <v/>
      </c>
      <c r="C268">
        <f>H267</f>
        <v/>
      </c>
      <c r="D268">
        <f>C268*Plan!D6/100/12</f>
        <v/>
      </c>
      <c r="E268">
        <f>MIN(Plan!E6,C268+D268)</f>
        <v/>
      </c>
      <c r="F268">
        <f>C268+D268-E268</f>
        <v/>
      </c>
      <c r="G268">
        <f>MIN(F268,MAX(0,$B268-((K$5&lt;E$5)*L268+(Q$5&lt;E$5)*R268+(W$5&lt;E$5)*X268+(AC$5&lt;E$5)*AD268+(AI$5&lt;E$5)*AJ268+(AO$5&lt;E$5)*AP268+(AU$5&lt;E$5)*AV268)))</f>
        <v/>
      </c>
      <c r="H268">
        <f>IF(F268-G268&lt;0.005,0,F268-G268)</f>
        <v/>
      </c>
      <c r="I268">
        <f>N267</f>
        <v/>
      </c>
      <c r="J268">
        <f>I268*Plan!D7/100/12</f>
        <v/>
      </c>
      <c r="K268">
        <f>MIN(Plan!E7,I268+J268)</f>
        <v/>
      </c>
      <c r="L268">
        <f>I268+J268-K268</f>
        <v/>
      </c>
      <c r="M268">
        <f>MIN(L268,MAX(0,$B268-((E$5&lt;K$5)*F268+(Q$5&lt;K$5)*R268+(W$5&lt;K$5)*X268+(AC$5&lt;K$5)*AD268+(AI$5&lt;K$5)*AJ268+(AO$5&lt;K$5)*AP268+(AU$5&lt;K$5)*AV268)))</f>
        <v/>
      </c>
      <c r="N268">
        <f>IF(L268-M268&lt;0.005,0,L268-M268)</f>
        <v/>
      </c>
      <c r="O268">
        <f>T267</f>
        <v/>
      </c>
      <c r="P268">
        <f>O268*Plan!D8/100/12</f>
        <v/>
      </c>
      <c r="Q268">
        <f>MIN(Plan!E8,O268+P268)</f>
        <v/>
      </c>
      <c r="R268">
        <f>O268+P268-Q268</f>
        <v/>
      </c>
      <c r="S268">
        <f>MIN(R268,MAX(0,$B268-((E$5&lt;Q$5)*F268+(K$5&lt;Q$5)*L268+(W$5&lt;Q$5)*X268+(AC$5&lt;Q$5)*AD268+(AI$5&lt;Q$5)*AJ268+(AO$5&lt;Q$5)*AP268+(AU$5&lt;Q$5)*AV268)))</f>
        <v/>
      </c>
      <c r="T268">
        <f>IF(R268-S268&lt;0.005,0,R268-S268)</f>
        <v/>
      </c>
      <c r="U268">
        <f>Z267</f>
        <v/>
      </c>
      <c r="V268">
        <f>U268*Plan!D9/100/12</f>
        <v/>
      </c>
      <c r="W268">
        <f>MIN(Plan!E9,U268+V268)</f>
        <v/>
      </c>
      <c r="X268">
        <f>U268+V268-W268</f>
        <v/>
      </c>
      <c r="Y268">
        <f>MIN(X268,MAX(0,$B268-((E$5&lt;W$5)*F268+(K$5&lt;W$5)*L268+(Q$5&lt;W$5)*R268+(AC$5&lt;W$5)*AD268+(AI$5&lt;W$5)*AJ268+(AO$5&lt;W$5)*AP268+(AU$5&lt;W$5)*AV268)))</f>
        <v/>
      </c>
      <c r="Z268">
        <f>IF(X268-Y268&lt;0.005,0,X268-Y268)</f>
        <v/>
      </c>
      <c r="AA268">
        <f>AF267</f>
        <v/>
      </c>
      <c r="AB268">
        <f>AA268*Plan!D10/100/12</f>
        <v/>
      </c>
      <c r="AC268">
        <f>MIN(Plan!E10,AA268+AB268)</f>
        <v/>
      </c>
      <c r="AD268">
        <f>AA268+AB268-AC268</f>
        <v/>
      </c>
      <c r="AE268">
        <f>MIN(AD268,MAX(0,$B268-((E$5&lt;AC$5)*F268+(K$5&lt;AC$5)*L268+(Q$5&lt;AC$5)*R268+(W$5&lt;AC$5)*X268+(AI$5&lt;AC$5)*AJ268+(AO$5&lt;AC$5)*AP268+(AU$5&lt;AC$5)*AV268)))</f>
        <v/>
      </c>
      <c r="AF268">
        <f>IF(AD268-AE268&lt;0.005,0,AD268-AE268)</f>
        <v/>
      </c>
      <c r="AG268">
        <f>AL267</f>
        <v/>
      </c>
      <c r="AH268">
        <f>AG268*Plan!D11/100/12</f>
        <v/>
      </c>
      <c r="AI268">
        <f>MIN(Plan!E11,AG268+AH268)</f>
        <v/>
      </c>
      <c r="AJ268">
        <f>AG268+AH268-AI268</f>
        <v/>
      </c>
      <c r="AK268">
        <f>MIN(AJ268,MAX(0,$B268-((E$5&lt;AI$5)*F268+(K$5&lt;AI$5)*L268+(Q$5&lt;AI$5)*R268+(W$5&lt;AI$5)*X268+(AC$5&lt;AI$5)*AD268+(AO$5&lt;AI$5)*AP268+(AU$5&lt;AI$5)*AV268)))</f>
        <v/>
      </c>
      <c r="AL268">
        <f>IF(AJ268-AK268&lt;0.005,0,AJ268-AK268)</f>
        <v/>
      </c>
      <c r="AM268">
        <f>AR267</f>
        <v/>
      </c>
      <c r="AN268">
        <f>AM268*Plan!D12/100/12</f>
        <v/>
      </c>
      <c r="AO268">
        <f>MIN(Plan!E12,AM268+AN268)</f>
        <v/>
      </c>
      <c r="AP268">
        <f>AM268+AN268-AO268</f>
        <v/>
      </c>
      <c r="AQ268">
        <f>MIN(AP268,MAX(0,$B268-((E$5&lt;AO$5)*F268+(K$5&lt;AO$5)*L268+(Q$5&lt;AO$5)*R268+(W$5&lt;AO$5)*X268+(AC$5&lt;AO$5)*AD268+(AI$5&lt;AO$5)*AJ268+(AU$5&lt;AO$5)*AV268)))</f>
        <v/>
      </c>
      <c r="AR268">
        <f>IF(AP268-AQ268&lt;0.005,0,AP268-AQ268)</f>
        <v/>
      </c>
      <c r="AS268">
        <f>AX267</f>
        <v/>
      </c>
      <c r="AT268">
        <f>AS268*Plan!D13/100/12</f>
        <v/>
      </c>
      <c r="AU268">
        <f>MIN(Plan!E13,AS268+AT268)</f>
        <v/>
      </c>
      <c r="AV268">
        <f>AS268+AT268-AU268</f>
        <v/>
      </c>
      <c r="AW268">
        <f>MIN(AV268,MAX(0,$B268-((E$5&lt;AU$5)*F268+(K$5&lt;AU$5)*L268+(Q$5&lt;AU$5)*R268+(W$5&lt;AU$5)*X268+(AC$5&lt;AU$5)*AD268+(AI$5&lt;AU$5)*AJ268+(AO$5&lt;AU$5)*AP268)))</f>
        <v/>
      </c>
      <c r="AX268">
        <f>IF(AV268-AW268&lt;0.005,0,AV268-AW268)</f>
        <v/>
      </c>
      <c r="BC268">
        <f>H268+N268+T268+Z268+AF268+AL268+AR268+AX268</f>
        <v/>
      </c>
    </row>
    <row r="269">
      <c r="A269" t="n">
        <v>263</v>
      </c>
      <c r="B269" s="19">
        <f>MAX(0,$B$3-(E269+K269+Q269+W269+AC269+AI269+AO269+AU269))</f>
        <v/>
      </c>
      <c r="C269">
        <f>H268</f>
        <v/>
      </c>
      <c r="D269">
        <f>C269*Plan!D6/100/12</f>
        <v/>
      </c>
      <c r="E269">
        <f>MIN(Plan!E6,C269+D269)</f>
        <v/>
      </c>
      <c r="F269">
        <f>C269+D269-E269</f>
        <v/>
      </c>
      <c r="G269">
        <f>MIN(F269,MAX(0,$B269-((K$5&lt;E$5)*L269+(Q$5&lt;E$5)*R269+(W$5&lt;E$5)*X269+(AC$5&lt;E$5)*AD269+(AI$5&lt;E$5)*AJ269+(AO$5&lt;E$5)*AP269+(AU$5&lt;E$5)*AV269)))</f>
        <v/>
      </c>
      <c r="H269">
        <f>IF(F269-G269&lt;0.005,0,F269-G269)</f>
        <v/>
      </c>
      <c r="I269">
        <f>N268</f>
        <v/>
      </c>
      <c r="J269">
        <f>I269*Plan!D7/100/12</f>
        <v/>
      </c>
      <c r="K269">
        <f>MIN(Plan!E7,I269+J269)</f>
        <v/>
      </c>
      <c r="L269">
        <f>I269+J269-K269</f>
        <v/>
      </c>
      <c r="M269">
        <f>MIN(L269,MAX(0,$B269-((E$5&lt;K$5)*F269+(Q$5&lt;K$5)*R269+(W$5&lt;K$5)*X269+(AC$5&lt;K$5)*AD269+(AI$5&lt;K$5)*AJ269+(AO$5&lt;K$5)*AP269+(AU$5&lt;K$5)*AV269)))</f>
        <v/>
      </c>
      <c r="N269">
        <f>IF(L269-M269&lt;0.005,0,L269-M269)</f>
        <v/>
      </c>
      <c r="O269">
        <f>T268</f>
        <v/>
      </c>
      <c r="P269">
        <f>O269*Plan!D8/100/12</f>
        <v/>
      </c>
      <c r="Q269">
        <f>MIN(Plan!E8,O269+P269)</f>
        <v/>
      </c>
      <c r="R269">
        <f>O269+P269-Q269</f>
        <v/>
      </c>
      <c r="S269">
        <f>MIN(R269,MAX(0,$B269-((E$5&lt;Q$5)*F269+(K$5&lt;Q$5)*L269+(W$5&lt;Q$5)*X269+(AC$5&lt;Q$5)*AD269+(AI$5&lt;Q$5)*AJ269+(AO$5&lt;Q$5)*AP269+(AU$5&lt;Q$5)*AV269)))</f>
        <v/>
      </c>
      <c r="T269">
        <f>IF(R269-S269&lt;0.005,0,R269-S269)</f>
        <v/>
      </c>
      <c r="U269">
        <f>Z268</f>
        <v/>
      </c>
      <c r="V269">
        <f>U269*Plan!D9/100/12</f>
        <v/>
      </c>
      <c r="W269">
        <f>MIN(Plan!E9,U269+V269)</f>
        <v/>
      </c>
      <c r="X269">
        <f>U269+V269-W269</f>
        <v/>
      </c>
      <c r="Y269">
        <f>MIN(X269,MAX(0,$B269-((E$5&lt;W$5)*F269+(K$5&lt;W$5)*L269+(Q$5&lt;W$5)*R269+(AC$5&lt;W$5)*AD269+(AI$5&lt;W$5)*AJ269+(AO$5&lt;W$5)*AP269+(AU$5&lt;W$5)*AV269)))</f>
        <v/>
      </c>
      <c r="Z269">
        <f>IF(X269-Y269&lt;0.005,0,X269-Y269)</f>
        <v/>
      </c>
      <c r="AA269">
        <f>AF268</f>
        <v/>
      </c>
      <c r="AB269">
        <f>AA269*Plan!D10/100/12</f>
        <v/>
      </c>
      <c r="AC269">
        <f>MIN(Plan!E10,AA269+AB269)</f>
        <v/>
      </c>
      <c r="AD269">
        <f>AA269+AB269-AC269</f>
        <v/>
      </c>
      <c r="AE269">
        <f>MIN(AD269,MAX(0,$B269-((E$5&lt;AC$5)*F269+(K$5&lt;AC$5)*L269+(Q$5&lt;AC$5)*R269+(W$5&lt;AC$5)*X269+(AI$5&lt;AC$5)*AJ269+(AO$5&lt;AC$5)*AP269+(AU$5&lt;AC$5)*AV269)))</f>
        <v/>
      </c>
      <c r="AF269">
        <f>IF(AD269-AE269&lt;0.005,0,AD269-AE269)</f>
        <v/>
      </c>
      <c r="AG269">
        <f>AL268</f>
        <v/>
      </c>
      <c r="AH269">
        <f>AG269*Plan!D11/100/12</f>
        <v/>
      </c>
      <c r="AI269">
        <f>MIN(Plan!E11,AG269+AH269)</f>
        <v/>
      </c>
      <c r="AJ269">
        <f>AG269+AH269-AI269</f>
        <v/>
      </c>
      <c r="AK269">
        <f>MIN(AJ269,MAX(0,$B269-((E$5&lt;AI$5)*F269+(K$5&lt;AI$5)*L269+(Q$5&lt;AI$5)*R269+(W$5&lt;AI$5)*X269+(AC$5&lt;AI$5)*AD269+(AO$5&lt;AI$5)*AP269+(AU$5&lt;AI$5)*AV269)))</f>
        <v/>
      </c>
      <c r="AL269">
        <f>IF(AJ269-AK269&lt;0.005,0,AJ269-AK269)</f>
        <v/>
      </c>
      <c r="AM269">
        <f>AR268</f>
        <v/>
      </c>
      <c r="AN269">
        <f>AM269*Plan!D12/100/12</f>
        <v/>
      </c>
      <c r="AO269">
        <f>MIN(Plan!E12,AM269+AN269)</f>
        <v/>
      </c>
      <c r="AP269">
        <f>AM269+AN269-AO269</f>
        <v/>
      </c>
      <c r="AQ269">
        <f>MIN(AP269,MAX(0,$B269-((E$5&lt;AO$5)*F269+(K$5&lt;AO$5)*L269+(Q$5&lt;AO$5)*R269+(W$5&lt;AO$5)*X269+(AC$5&lt;AO$5)*AD269+(AI$5&lt;AO$5)*AJ269+(AU$5&lt;AO$5)*AV269)))</f>
        <v/>
      </c>
      <c r="AR269">
        <f>IF(AP269-AQ269&lt;0.005,0,AP269-AQ269)</f>
        <v/>
      </c>
      <c r="AS269">
        <f>AX268</f>
        <v/>
      </c>
      <c r="AT269">
        <f>AS269*Plan!D13/100/12</f>
        <v/>
      </c>
      <c r="AU269">
        <f>MIN(Plan!E13,AS269+AT269)</f>
        <v/>
      </c>
      <c r="AV269">
        <f>AS269+AT269-AU269</f>
        <v/>
      </c>
      <c r="AW269">
        <f>MIN(AV269,MAX(0,$B269-((E$5&lt;AU$5)*F269+(K$5&lt;AU$5)*L269+(Q$5&lt;AU$5)*R269+(W$5&lt;AU$5)*X269+(AC$5&lt;AU$5)*AD269+(AI$5&lt;AU$5)*AJ269+(AO$5&lt;AU$5)*AP269)))</f>
        <v/>
      </c>
      <c r="AX269">
        <f>IF(AV269-AW269&lt;0.005,0,AV269-AW269)</f>
        <v/>
      </c>
      <c r="BC269">
        <f>H269+N269+T269+Z269+AF269+AL269+AR269+AX269</f>
        <v/>
      </c>
    </row>
    <row r="270">
      <c r="A270" t="n">
        <v>264</v>
      </c>
      <c r="B270" s="19">
        <f>MAX(0,$B$3-(E270+K270+Q270+W270+AC270+AI270+AO270+AU270))</f>
        <v/>
      </c>
      <c r="C270">
        <f>H269</f>
        <v/>
      </c>
      <c r="D270">
        <f>C270*Plan!D6/100/12</f>
        <v/>
      </c>
      <c r="E270">
        <f>MIN(Plan!E6,C270+D270)</f>
        <v/>
      </c>
      <c r="F270">
        <f>C270+D270-E270</f>
        <v/>
      </c>
      <c r="G270">
        <f>MIN(F270,MAX(0,$B270-((K$5&lt;E$5)*L270+(Q$5&lt;E$5)*R270+(W$5&lt;E$5)*X270+(AC$5&lt;E$5)*AD270+(AI$5&lt;E$5)*AJ270+(AO$5&lt;E$5)*AP270+(AU$5&lt;E$5)*AV270)))</f>
        <v/>
      </c>
      <c r="H270">
        <f>IF(F270-G270&lt;0.005,0,F270-G270)</f>
        <v/>
      </c>
      <c r="I270">
        <f>N269</f>
        <v/>
      </c>
      <c r="J270">
        <f>I270*Plan!D7/100/12</f>
        <v/>
      </c>
      <c r="K270">
        <f>MIN(Plan!E7,I270+J270)</f>
        <v/>
      </c>
      <c r="L270">
        <f>I270+J270-K270</f>
        <v/>
      </c>
      <c r="M270">
        <f>MIN(L270,MAX(0,$B270-((E$5&lt;K$5)*F270+(Q$5&lt;K$5)*R270+(W$5&lt;K$5)*X270+(AC$5&lt;K$5)*AD270+(AI$5&lt;K$5)*AJ270+(AO$5&lt;K$5)*AP270+(AU$5&lt;K$5)*AV270)))</f>
        <v/>
      </c>
      <c r="N270">
        <f>IF(L270-M270&lt;0.005,0,L270-M270)</f>
        <v/>
      </c>
      <c r="O270">
        <f>T269</f>
        <v/>
      </c>
      <c r="P270">
        <f>O270*Plan!D8/100/12</f>
        <v/>
      </c>
      <c r="Q270">
        <f>MIN(Plan!E8,O270+P270)</f>
        <v/>
      </c>
      <c r="R270">
        <f>O270+P270-Q270</f>
        <v/>
      </c>
      <c r="S270">
        <f>MIN(R270,MAX(0,$B270-((E$5&lt;Q$5)*F270+(K$5&lt;Q$5)*L270+(W$5&lt;Q$5)*X270+(AC$5&lt;Q$5)*AD270+(AI$5&lt;Q$5)*AJ270+(AO$5&lt;Q$5)*AP270+(AU$5&lt;Q$5)*AV270)))</f>
        <v/>
      </c>
      <c r="T270">
        <f>IF(R270-S270&lt;0.005,0,R270-S270)</f>
        <v/>
      </c>
      <c r="U270">
        <f>Z269</f>
        <v/>
      </c>
      <c r="V270">
        <f>U270*Plan!D9/100/12</f>
        <v/>
      </c>
      <c r="W270">
        <f>MIN(Plan!E9,U270+V270)</f>
        <v/>
      </c>
      <c r="X270">
        <f>U270+V270-W270</f>
        <v/>
      </c>
      <c r="Y270">
        <f>MIN(X270,MAX(0,$B270-((E$5&lt;W$5)*F270+(K$5&lt;W$5)*L270+(Q$5&lt;W$5)*R270+(AC$5&lt;W$5)*AD270+(AI$5&lt;W$5)*AJ270+(AO$5&lt;W$5)*AP270+(AU$5&lt;W$5)*AV270)))</f>
        <v/>
      </c>
      <c r="Z270">
        <f>IF(X270-Y270&lt;0.005,0,X270-Y270)</f>
        <v/>
      </c>
      <c r="AA270">
        <f>AF269</f>
        <v/>
      </c>
      <c r="AB270">
        <f>AA270*Plan!D10/100/12</f>
        <v/>
      </c>
      <c r="AC270">
        <f>MIN(Plan!E10,AA270+AB270)</f>
        <v/>
      </c>
      <c r="AD270">
        <f>AA270+AB270-AC270</f>
        <v/>
      </c>
      <c r="AE270">
        <f>MIN(AD270,MAX(0,$B270-((E$5&lt;AC$5)*F270+(K$5&lt;AC$5)*L270+(Q$5&lt;AC$5)*R270+(W$5&lt;AC$5)*X270+(AI$5&lt;AC$5)*AJ270+(AO$5&lt;AC$5)*AP270+(AU$5&lt;AC$5)*AV270)))</f>
        <v/>
      </c>
      <c r="AF270">
        <f>IF(AD270-AE270&lt;0.005,0,AD270-AE270)</f>
        <v/>
      </c>
      <c r="AG270">
        <f>AL269</f>
        <v/>
      </c>
      <c r="AH270">
        <f>AG270*Plan!D11/100/12</f>
        <v/>
      </c>
      <c r="AI270">
        <f>MIN(Plan!E11,AG270+AH270)</f>
        <v/>
      </c>
      <c r="AJ270">
        <f>AG270+AH270-AI270</f>
        <v/>
      </c>
      <c r="AK270">
        <f>MIN(AJ270,MAX(0,$B270-((E$5&lt;AI$5)*F270+(K$5&lt;AI$5)*L270+(Q$5&lt;AI$5)*R270+(W$5&lt;AI$5)*X270+(AC$5&lt;AI$5)*AD270+(AO$5&lt;AI$5)*AP270+(AU$5&lt;AI$5)*AV270)))</f>
        <v/>
      </c>
      <c r="AL270">
        <f>IF(AJ270-AK270&lt;0.005,0,AJ270-AK270)</f>
        <v/>
      </c>
      <c r="AM270">
        <f>AR269</f>
        <v/>
      </c>
      <c r="AN270">
        <f>AM270*Plan!D12/100/12</f>
        <v/>
      </c>
      <c r="AO270">
        <f>MIN(Plan!E12,AM270+AN270)</f>
        <v/>
      </c>
      <c r="AP270">
        <f>AM270+AN270-AO270</f>
        <v/>
      </c>
      <c r="AQ270">
        <f>MIN(AP270,MAX(0,$B270-((E$5&lt;AO$5)*F270+(K$5&lt;AO$5)*L270+(Q$5&lt;AO$5)*R270+(W$5&lt;AO$5)*X270+(AC$5&lt;AO$5)*AD270+(AI$5&lt;AO$5)*AJ270+(AU$5&lt;AO$5)*AV270)))</f>
        <v/>
      </c>
      <c r="AR270">
        <f>IF(AP270-AQ270&lt;0.005,0,AP270-AQ270)</f>
        <v/>
      </c>
      <c r="AS270">
        <f>AX269</f>
        <v/>
      </c>
      <c r="AT270">
        <f>AS270*Plan!D13/100/12</f>
        <v/>
      </c>
      <c r="AU270">
        <f>MIN(Plan!E13,AS270+AT270)</f>
        <v/>
      </c>
      <c r="AV270">
        <f>AS270+AT270-AU270</f>
        <v/>
      </c>
      <c r="AW270">
        <f>MIN(AV270,MAX(0,$B270-((E$5&lt;AU$5)*F270+(K$5&lt;AU$5)*L270+(Q$5&lt;AU$5)*R270+(W$5&lt;AU$5)*X270+(AC$5&lt;AU$5)*AD270+(AI$5&lt;AU$5)*AJ270+(AO$5&lt;AU$5)*AP270)))</f>
        <v/>
      </c>
      <c r="AX270">
        <f>IF(AV270-AW270&lt;0.005,0,AV270-AW270)</f>
        <v/>
      </c>
      <c r="BC270">
        <f>H270+N270+T270+Z270+AF270+AL270+AR270+AX270</f>
        <v/>
      </c>
    </row>
    <row r="271">
      <c r="A271" t="n">
        <v>265</v>
      </c>
      <c r="B271" s="19">
        <f>MAX(0,$B$3-(E271+K271+Q271+W271+AC271+AI271+AO271+AU271))</f>
        <v/>
      </c>
      <c r="C271">
        <f>H270</f>
        <v/>
      </c>
      <c r="D271">
        <f>C271*Plan!D6/100/12</f>
        <v/>
      </c>
      <c r="E271">
        <f>MIN(Plan!E6,C271+D271)</f>
        <v/>
      </c>
      <c r="F271">
        <f>C271+D271-E271</f>
        <v/>
      </c>
      <c r="G271">
        <f>MIN(F271,MAX(0,$B271-((K$5&lt;E$5)*L271+(Q$5&lt;E$5)*R271+(W$5&lt;E$5)*X271+(AC$5&lt;E$5)*AD271+(AI$5&lt;E$5)*AJ271+(AO$5&lt;E$5)*AP271+(AU$5&lt;E$5)*AV271)))</f>
        <v/>
      </c>
      <c r="H271">
        <f>IF(F271-G271&lt;0.005,0,F271-G271)</f>
        <v/>
      </c>
      <c r="I271">
        <f>N270</f>
        <v/>
      </c>
      <c r="J271">
        <f>I271*Plan!D7/100/12</f>
        <v/>
      </c>
      <c r="K271">
        <f>MIN(Plan!E7,I271+J271)</f>
        <v/>
      </c>
      <c r="L271">
        <f>I271+J271-K271</f>
        <v/>
      </c>
      <c r="M271">
        <f>MIN(L271,MAX(0,$B271-((E$5&lt;K$5)*F271+(Q$5&lt;K$5)*R271+(W$5&lt;K$5)*X271+(AC$5&lt;K$5)*AD271+(AI$5&lt;K$5)*AJ271+(AO$5&lt;K$5)*AP271+(AU$5&lt;K$5)*AV271)))</f>
        <v/>
      </c>
      <c r="N271">
        <f>IF(L271-M271&lt;0.005,0,L271-M271)</f>
        <v/>
      </c>
      <c r="O271">
        <f>T270</f>
        <v/>
      </c>
      <c r="P271">
        <f>O271*Plan!D8/100/12</f>
        <v/>
      </c>
      <c r="Q271">
        <f>MIN(Plan!E8,O271+P271)</f>
        <v/>
      </c>
      <c r="R271">
        <f>O271+P271-Q271</f>
        <v/>
      </c>
      <c r="S271">
        <f>MIN(R271,MAX(0,$B271-((E$5&lt;Q$5)*F271+(K$5&lt;Q$5)*L271+(W$5&lt;Q$5)*X271+(AC$5&lt;Q$5)*AD271+(AI$5&lt;Q$5)*AJ271+(AO$5&lt;Q$5)*AP271+(AU$5&lt;Q$5)*AV271)))</f>
        <v/>
      </c>
      <c r="T271">
        <f>IF(R271-S271&lt;0.005,0,R271-S271)</f>
        <v/>
      </c>
      <c r="U271">
        <f>Z270</f>
        <v/>
      </c>
      <c r="V271">
        <f>U271*Plan!D9/100/12</f>
        <v/>
      </c>
      <c r="W271">
        <f>MIN(Plan!E9,U271+V271)</f>
        <v/>
      </c>
      <c r="X271">
        <f>U271+V271-W271</f>
        <v/>
      </c>
      <c r="Y271">
        <f>MIN(X271,MAX(0,$B271-((E$5&lt;W$5)*F271+(K$5&lt;W$5)*L271+(Q$5&lt;W$5)*R271+(AC$5&lt;W$5)*AD271+(AI$5&lt;W$5)*AJ271+(AO$5&lt;W$5)*AP271+(AU$5&lt;W$5)*AV271)))</f>
        <v/>
      </c>
      <c r="Z271">
        <f>IF(X271-Y271&lt;0.005,0,X271-Y271)</f>
        <v/>
      </c>
      <c r="AA271">
        <f>AF270</f>
        <v/>
      </c>
      <c r="AB271">
        <f>AA271*Plan!D10/100/12</f>
        <v/>
      </c>
      <c r="AC271">
        <f>MIN(Plan!E10,AA271+AB271)</f>
        <v/>
      </c>
      <c r="AD271">
        <f>AA271+AB271-AC271</f>
        <v/>
      </c>
      <c r="AE271">
        <f>MIN(AD271,MAX(0,$B271-((E$5&lt;AC$5)*F271+(K$5&lt;AC$5)*L271+(Q$5&lt;AC$5)*R271+(W$5&lt;AC$5)*X271+(AI$5&lt;AC$5)*AJ271+(AO$5&lt;AC$5)*AP271+(AU$5&lt;AC$5)*AV271)))</f>
        <v/>
      </c>
      <c r="AF271">
        <f>IF(AD271-AE271&lt;0.005,0,AD271-AE271)</f>
        <v/>
      </c>
      <c r="AG271">
        <f>AL270</f>
        <v/>
      </c>
      <c r="AH271">
        <f>AG271*Plan!D11/100/12</f>
        <v/>
      </c>
      <c r="AI271">
        <f>MIN(Plan!E11,AG271+AH271)</f>
        <v/>
      </c>
      <c r="AJ271">
        <f>AG271+AH271-AI271</f>
        <v/>
      </c>
      <c r="AK271">
        <f>MIN(AJ271,MAX(0,$B271-((E$5&lt;AI$5)*F271+(K$5&lt;AI$5)*L271+(Q$5&lt;AI$5)*R271+(W$5&lt;AI$5)*X271+(AC$5&lt;AI$5)*AD271+(AO$5&lt;AI$5)*AP271+(AU$5&lt;AI$5)*AV271)))</f>
        <v/>
      </c>
      <c r="AL271">
        <f>IF(AJ271-AK271&lt;0.005,0,AJ271-AK271)</f>
        <v/>
      </c>
      <c r="AM271">
        <f>AR270</f>
        <v/>
      </c>
      <c r="AN271">
        <f>AM271*Plan!D12/100/12</f>
        <v/>
      </c>
      <c r="AO271">
        <f>MIN(Plan!E12,AM271+AN271)</f>
        <v/>
      </c>
      <c r="AP271">
        <f>AM271+AN271-AO271</f>
        <v/>
      </c>
      <c r="AQ271">
        <f>MIN(AP271,MAX(0,$B271-((E$5&lt;AO$5)*F271+(K$5&lt;AO$5)*L271+(Q$5&lt;AO$5)*R271+(W$5&lt;AO$5)*X271+(AC$5&lt;AO$5)*AD271+(AI$5&lt;AO$5)*AJ271+(AU$5&lt;AO$5)*AV271)))</f>
        <v/>
      </c>
      <c r="AR271">
        <f>IF(AP271-AQ271&lt;0.005,0,AP271-AQ271)</f>
        <v/>
      </c>
      <c r="AS271">
        <f>AX270</f>
        <v/>
      </c>
      <c r="AT271">
        <f>AS271*Plan!D13/100/12</f>
        <v/>
      </c>
      <c r="AU271">
        <f>MIN(Plan!E13,AS271+AT271)</f>
        <v/>
      </c>
      <c r="AV271">
        <f>AS271+AT271-AU271</f>
        <v/>
      </c>
      <c r="AW271">
        <f>MIN(AV271,MAX(0,$B271-((E$5&lt;AU$5)*F271+(K$5&lt;AU$5)*L271+(Q$5&lt;AU$5)*R271+(W$5&lt;AU$5)*X271+(AC$5&lt;AU$5)*AD271+(AI$5&lt;AU$5)*AJ271+(AO$5&lt;AU$5)*AP271)))</f>
        <v/>
      </c>
      <c r="AX271">
        <f>IF(AV271-AW271&lt;0.005,0,AV271-AW271)</f>
        <v/>
      </c>
      <c r="BC271">
        <f>H271+N271+T271+Z271+AF271+AL271+AR271+AX271</f>
        <v/>
      </c>
    </row>
    <row r="272">
      <c r="A272" t="n">
        <v>266</v>
      </c>
      <c r="B272" s="19">
        <f>MAX(0,$B$3-(E272+K272+Q272+W272+AC272+AI272+AO272+AU272))</f>
        <v/>
      </c>
      <c r="C272">
        <f>H271</f>
        <v/>
      </c>
      <c r="D272">
        <f>C272*Plan!D6/100/12</f>
        <v/>
      </c>
      <c r="E272">
        <f>MIN(Plan!E6,C272+D272)</f>
        <v/>
      </c>
      <c r="F272">
        <f>C272+D272-E272</f>
        <v/>
      </c>
      <c r="G272">
        <f>MIN(F272,MAX(0,$B272-((K$5&lt;E$5)*L272+(Q$5&lt;E$5)*R272+(W$5&lt;E$5)*X272+(AC$5&lt;E$5)*AD272+(AI$5&lt;E$5)*AJ272+(AO$5&lt;E$5)*AP272+(AU$5&lt;E$5)*AV272)))</f>
        <v/>
      </c>
      <c r="H272">
        <f>IF(F272-G272&lt;0.005,0,F272-G272)</f>
        <v/>
      </c>
      <c r="I272">
        <f>N271</f>
        <v/>
      </c>
      <c r="J272">
        <f>I272*Plan!D7/100/12</f>
        <v/>
      </c>
      <c r="K272">
        <f>MIN(Plan!E7,I272+J272)</f>
        <v/>
      </c>
      <c r="L272">
        <f>I272+J272-K272</f>
        <v/>
      </c>
      <c r="M272">
        <f>MIN(L272,MAX(0,$B272-((E$5&lt;K$5)*F272+(Q$5&lt;K$5)*R272+(W$5&lt;K$5)*X272+(AC$5&lt;K$5)*AD272+(AI$5&lt;K$5)*AJ272+(AO$5&lt;K$5)*AP272+(AU$5&lt;K$5)*AV272)))</f>
        <v/>
      </c>
      <c r="N272">
        <f>IF(L272-M272&lt;0.005,0,L272-M272)</f>
        <v/>
      </c>
      <c r="O272">
        <f>T271</f>
        <v/>
      </c>
      <c r="P272">
        <f>O272*Plan!D8/100/12</f>
        <v/>
      </c>
      <c r="Q272">
        <f>MIN(Plan!E8,O272+P272)</f>
        <v/>
      </c>
      <c r="R272">
        <f>O272+P272-Q272</f>
        <v/>
      </c>
      <c r="S272">
        <f>MIN(R272,MAX(0,$B272-((E$5&lt;Q$5)*F272+(K$5&lt;Q$5)*L272+(W$5&lt;Q$5)*X272+(AC$5&lt;Q$5)*AD272+(AI$5&lt;Q$5)*AJ272+(AO$5&lt;Q$5)*AP272+(AU$5&lt;Q$5)*AV272)))</f>
        <v/>
      </c>
      <c r="T272">
        <f>IF(R272-S272&lt;0.005,0,R272-S272)</f>
        <v/>
      </c>
      <c r="U272">
        <f>Z271</f>
        <v/>
      </c>
      <c r="V272">
        <f>U272*Plan!D9/100/12</f>
        <v/>
      </c>
      <c r="W272">
        <f>MIN(Plan!E9,U272+V272)</f>
        <v/>
      </c>
      <c r="X272">
        <f>U272+V272-W272</f>
        <v/>
      </c>
      <c r="Y272">
        <f>MIN(X272,MAX(0,$B272-((E$5&lt;W$5)*F272+(K$5&lt;W$5)*L272+(Q$5&lt;W$5)*R272+(AC$5&lt;W$5)*AD272+(AI$5&lt;W$5)*AJ272+(AO$5&lt;W$5)*AP272+(AU$5&lt;W$5)*AV272)))</f>
        <v/>
      </c>
      <c r="Z272">
        <f>IF(X272-Y272&lt;0.005,0,X272-Y272)</f>
        <v/>
      </c>
      <c r="AA272">
        <f>AF271</f>
        <v/>
      </c>
      <c r="AB272">
        <f>AA272*Plan!D10/100/12</f>
        <v/>
      </c>
      <c r="AC272">
        <f>MIN(Plan!E10,AA272+AB272)</f>
        <v/>
      </c>
      <c r="AD272">
        <f>AA272+AB272-AC272</f>
        <v/>
      </c>
      <c r="AE272">
        <f>MIN(AD272,MAX(0,$B272-((E$5&lt;AC$5)*F272+(K$5&lt;AC$5)*L272+(Q$5&lt;AC$5)*R272+(W$5&lt;AC$5)*X272+(AI$5&lt;AC$5)*AJ272+(AO$5&lt;AC$5)*AP272+(AU$5&lt;AC$5)*AV272)))</f>
        <v/>
      </c>
      <c r="AF272">
        <f>IF(AD272-AE272&lt;0.005,0,AD272-AE272)</f>
        <v/>
      </c>
      <c r="AG272">
        <f>AL271</f>
        <v/>
      </c>
      <c r="AH272">
        <f>AG272*Plan!D11/100/12</f>
        <v/>
      </c>
      <c r="AI272">
        <f>MIN(Plan!E11,AG272+AH272)</f>
        <v/>
      </c>
      <c r="AJ272">
        <f>AG272+AH272-AI272</f>
        <v/>
      </c>
      <c r="AK272">
        <f>MIN(AJ272,MAX(0,$B272-((E$5&lt;AI$5)*F272+(K$5&lt;AI$5)*L272+(Q$5&lt;AI$5)*R272+(W$5&lt;AI$5)*X272+(AC$5&lt;AI$5)*AD272+(AO$5&lt;AI$5)*AP272+(AU$5&lt;AI$5)*AV272)))</f>
        <v/>
      </c>
      <c r="AL272">
        <f>IF(AJ272-AK272&lt;0.005,0,AJ272-AK272)</f>
        <v/>
      </c>
      <c r="AM272">
        <f>AR271</f>
        <v/>
      </c>
      <c r="AN272">
        <f>AM272*Plan!D12/100/12</f>
        <v/>
      </c>
      <c r="AO272">
        <f>MIN(Plan!E12,AM272+AN272)</f>
        <v/>
      </c>
      <c r="AP272">
        <f>AM272+AN272-AO272</f>
        <v/>
      </c>
      <c r="AQ272">
        <f>MIN(AP272,MAX(0,$B272-((E$5&lt;AO$5)*F272+(K$5&lt;AO$5)*L272+(Q$5&lt;AO$5)*R272+(W$5&lt;AO$5)*X272+(AC$5&lt;AO$5)*AD272+(AI$5&lt;AO$5)*AJ272+(AU$5&lt;AO$5)*AV272)))</f>
        <v/>
      </c>
      <c r="AR272">
        <f>IF(AP272-AQ272&lt;0.005,0,AP272-AQ272)</f>
        <v/>
      </c>
      <c r="AS272">
        <f>AX271</f>
        <v/>
      </c>
      <c r="AT272">
        <f>AS272*Plan!D13/100/12</f>
        <v/>
      </c>
      <c r="AU272">
        <f>MIN(Plan!E13,AS272+AT272)</f>
        <v/>
      </c>
      <c r="AV272">
        <f>AS272+AT272-AU272</f>
        <v/>
      </c>
      <c r="AW272">
        <f>MIN(AV272,MAX(0,$B272-((E$5&lt;AU$5)*F272+(K$5&lt;AU$5)*L272+(Q$5&lt;AU$5)*R272+(W$5&lt;AU$5)*X272+(AC$5&lt;AU$5)*AD272+(AI$5&lt;AU$5)*AJ272+(AO$5&lt;AU$5)*AP272)))</f>
        <v/>
      </c>
      <c r="AX272">
        <f>IF(AV272-AW272&lt;0.005,0,AV272-AW272)</f>
        <v/>
      </c>
      <c r="BC272">
        <f>H272+N272+T272+Z272+AF272+AL272+AR272+AX272</f>
        <v/>
      </c>
    </row>
    <row r="273">
      <c r="A273" t="n">
        <v>267</v>
      </c>
      <c r="B273" s="19">
        <f>MAX(0,$B$3-(E273+K273+Q273+W273+AC273+AI273+AO273+AU273))</f>
        <v/>
      </c>
      <c r="C273">
        <f>H272</f>
        <v/>
      </c>
      <c r="D273">
        <f>C273*Plan!D6/100/12</f>
        <v/>
      </c>
      <c r="E273">
        <f>MIN(Plan!E6,C273+D273)</f>
        <v/>
      </c>
      <c r="F273">
        <f>C273+D273-E273</f>
        <v/>
      </c>
      <c r="G273">
        <f>MIN(F273,MAX(0,$B273-((K$5&lt;E$5)*L273+(Q$5&lt;E$5)*R273+(W$5&lt;E$5)*X273+(AC$5&lt;E$5)*AD273+(AI$5&lt;E$5)*AJ273+(AO$5&lt;E$5)*AP273+(AU$5&lt;E$5)*AV273)))</f>
        <v/>
      </c>
      <c r="H273">
        <f>IF(F273-G273&lt;0.005,0,F273-G273)</f>
        <v/>
      </c>
      <c r="I273">
        <f>N272</f>
        <v/>
      </c>
      <c r="J273">
        <f>I273*Plan!D7/100/12</f>
        <v/>
      </c>
      <c r="K273">
        <f>MIN(Plan!E7,I273+J273)</f>
        <v/>
      </c>
      <c r="L273">
        <f>I273+J273-K273</f>
        <v/>
      </c>
      <c r="M273">
        <f>MIN(L273,MAX(0,$B273-((E$5&lt;K$5)*F273+(Q$5&lt;K$5)*R273+(W$5&lt;K$5)*X273+(AC$5&lt;K$5)*AD273+(AI$5&lt;K$5)*AJ273+(AO$5&lt;K$5)*AP273+(AU$5&lt;K$5)*AV273)))</f>
        <v/>
      </c>
      <c r="N273">
        <f>IF(L273-M273&lt;0.005,0,L273-M273)</f>
        <v/>
      </c>
      <c r="O273">
        <f>T272</f>
        <v/>
      </c>
      <c r="P273">
        <f>O273*Plan!D8/100/12</f>
        <v/>
      </c>
      <c r="Q273">
        <f>MIN(Plan!E8,O273+P273)</f>
        <v/>
      </c>
      <c r="R273">
        <f>O273+P273-Q273</f>
        <v/>
      </c>
      <c r="S273">
        <f>MIN(R273,MAX(0,$B273-((E$5&lt;Q$5)*F273+(K$5&lt;Q$5)*L273+(W$5&lt;Q$5)*X273+(AC$5&lt;Q$5)*AD273+(AI$5&lt;Q$5)*AJ273+(AO$5&lt;Q$5)*AP273+(AU$5&lt;Q$5)*AV273)))</f>
        <v/>
      </c>
      <c r="T273">
        <f>IF(R273-S273&lt;0.005,0,R273-S273)</f>
        <v/>
      </c>
      <c r="U273">
        <f>Z272</f>
        <v/>
      </c>
      <c r="V273">
        <f>U273*Plan!D9/100/12</f>
        <v/>
      </c>
      <c r="W273">
        <f>MIN(Plan!E9,U273+V273)</f>
        <v/>
      </c>
      <c r="X273">
        <f>U273+V273-W273</f>
        <v/>
      </c>
      <c r="Y273">
        <f>MIN(X273,MAX(0,$B273-((E$5&lt;W$5)*F273+(K$5&lt;W$5)*L273+(Q$5&lt;W$5)*R273+(AC$5&lt;W$5)*AD273+(AI$5&lt;W$5)*AJ273+(AO$5&lt;W$5)*AP273+(AU$5&lt;W$5)*AV273)))</f>
        <v/>
      </c>
      <c r="Z273">
        <f>IF(X273-Y273&lt;0.005,0,X273-Y273)</f>
        <v/>
      </c>
      <c r="AA273">
        <f>AF272</f>
        <v/>
      </c>
      <c r="AB273">
        <f>AA273*Plan!D10/100/12</f>
        <v/>
      </c>
      <c r="AC273">
        <f>MIN(Plan!E10,AA273+AB273)</f>
        <v/>
      </c>
      <c r="AD273">
        <f>AA273+AB273-AC273</f>
        <v/>
      </c>
      <c r="AE273">
        <f>MIN(AD273,MAX(0,$B273-((E$5&lt;AC$5)*F273+(K$5&lt;AC$5)*L273+(Q$5&lt;AC$5)*R273+(W$5&lt;AC$5)*X273+(AI$5&lt;AC$5)*AJ273+(AO$5&lt;AC$5)*AP273+(AU$5&lt;AC$5)*AV273)))</f>
        <v/>
      </c>
      <c r="AF273">
        <f>IF(AD273-AE273&lt;0.005,0,AD273-AE273)</f>
        <v/>
      </c>
      <c r="AG273">
        <f>AL272</f>
        <v/>
      </c>
      <c r="AH273">
        <f>AG273*Plan!D11/100/12</f>
        <v/>
      </c>
      <c r="AI273">
        <f>MIN(Plan!E11,AG273+AH273)</f>
        <v/>
      </c>
      <c r="AJ273">
        <f>AG273+AH273-AI273</f>
        <v/>
      </c>
      <c r="AK273">
        <f>MIN(AJ273,MAX(0,$B273-((E$5&lt;AI$5)*F273+(K$5&lt;AI$5)*L273+(Q$5&lt;AI$5)*R273+(W$5&lt;AI$5)*X273+(AC$5&lt;AI$5)*AD273+(AO$5&lt;AI$5)*AP273+(AU$5&lt;AI$5)*AV273)))</f>
        <v/>
      </c>
      <c r="AL273">
        <f>IF(AJ273-AK273&lt;0.005,0,AJ273-AK273)</f>
        <v/>
      </c>
      <c r="AM273">
        <f>AR272</f>
        <v/>
      </c>
      <c r="AN273">
        <f>AM273*Plan!D12/100/12</f>
        <v/>
      </c>
      <c r="AO273">
        <f>MIN(Plan!E12,AM273+AN273)</f>
        <v/>
      </c>
      <c r="AP273">
        <f>AM273+AN273-AO273</f>
        <v/>
      </c>
      <c r="AQ273">
        <f>MIN(AP273,MAX(0,$B273-((E$5&lt;AO$5)*F273+(K$5&lt;AO$5)*L273+(Q$5&lt;AO$5)*R273+(W$5&lt;AO$5)*X273+(AC$5&lt;AO$5)*AD273+(AI$5&lt;AO$5)*AJ273+(AU$5&lt;AO$5)*AV273)))</f>
        <v/>
      </c>
      <c r="AR273">
        <f>IF(AP273-AQ273&lt;0.005,0,AP273-AQ273)</f>
        <v/>
      </c>
      <c r="AS273">
        <f>AX272</f>
        <v/>
      </c>
      <c r="AT273">
        <f>AS273*Plan!D13/100/12</f>
        <v/>
      </c>
      <c r="AU273">
        <f>MIN(Plan!E13,AS273+AT273)</f>
        <v/>
      </c>
      <c r="AV273">
        <f>AS273+AT273-AU273</f>
        <v/>
      </c>
      <c r="AW273">
        <f>MIN(AV273,MAX(0,$B273-((E$5&lt;AU$5)*F273+(K$5&lt;AU$5)*L273+(Q$5&lt;AU$5)*R273+(W$5&lt;AU$5)*X273+(AC$5&lt;AU$5)*AD273+(AI$5&lt;AU$5)*AJ273+(AO$5&lt;AU$5)*AP273)))</f>
        <v/>
      </c>
      <c r="AX273">
        <f>IF(AV273-AW273&lt;0.005,0,AV273-AW273)</f>
        <v/>
      </c>
      <c r="BC273">
        <f>H273+N273+T273+Z273+AF273+AL273+AR273+AX273</f>
        <v/>
      </c>
    </row>
    <row r="274">
      <c r="A274" t="n">
        <v>268</v>
      </c>
      <c r="B274" s="19">
        <f>MAX(0,$B$3-(E274+K274+Q274+W274+AC274+AI274+AO274+AU274))</f>
        <v/>
      </c>
      <c r="C274">
        <f>H273</f>
        <v/>
      </c>
      <c r="D274">
        <f>C274*Plan!D6/100/12</f>
        <v/>
      </c>
      <c r="E274">
        <f>MIN(Plan!E6,C274+D274)</f>
        <v/>
      </c>
      <c r="F274">
        <f>C274+D274-E274</f>
        <v/>
      </c>
      <c r="G274">
        <f>MIN(F274,MAX(0,$B274-((K$5&lt;E$5)*L274+(Q$5&lt;E$5)*R274+(W$5&lt;E$5)*X274+(AC$5&lt;E$5)*AD274+(AI$5&lt;E$5)*AJ274+(AO$5&lt;E$5)*AP274+(AU$5&lt;E$5)*AV274)))</f>
        <v/>
      </c>
      <c r="H274">
        <f>IF(F274-G274&lt;0.005,0,F274-G274)</f>
        <v/>
      </c>
      <c r="I274">
        <f>N273</f>
        <v/>
      </c>
      <c r="J274">
        <f>I274*Plan!D7/100/12</f>
        <v/>
      </c>
      <c r="K274">
        <f>MIN(Plan!E7,I274+J274)</f>
        <v/>
      </c>
      <c r="L274">
        <f>I274+J274-K274</f>
        <v/>
      </c>
      <c r="M274">
        <f>MIN(L274,MAX(0,$B274-((E$5&lt;K$5)*F274+(Q$5&lt;K$5)*R274+(W$5&lt;K$5)*X274+(AC$5&lt;K$5)*AD274+(AI$5&lt;K$5)*AJ274+(AO$5&lt;K$5)*AP274+(AU$5&lt;K$5)*AV274)))</f>
        <v/>
      </c>
      <c r="N274">
        <f>IF(L274-M274&lt;0.005,0,L274-M274)</f>
        <v/>
      </c>
      <c r="O274">
        <f>T273</f>
        <v/>
      </c>
      <c r="P274">
        <f>O274*Plan!D8/100/12</f>
        <v/>
      </c>
      <c r="Q274">
        <f>MIN(Plan!E8,O274+P274)</f>
        <v/>
      </c>
      <c r="R274">
        <f>O274+P274-Q274</f>
        <v/>
      </c>
      <c r="S274">
        <f>MIN(R274,MAX(0,$B274-((E$5&lt;Q$5)*F274+(K$5&lt;Q$5)*L274+(W$5&lt;Q$5)*X274+(AC$5&lt;Q$5)*AD274+(AI$5&lt;Q$5)*AJ274+(AO$5&lt;Q$5)*AP274+(AU$5&lt;Q$5)*AV274)))</f>
        <v/>
      </c>
      <c r="T274">
        <f>IF(R274-S274&lt;0.005,0,R274-S274)</f>
        <v/>
      </c>
      <c r="U274">
        <f>Z273</f>
        <v/>
      </c>
      <c r="V274">
        <f>U274*Plan!D9/100/12</f>
        <v/>
      </c>
      <c r="W274">
        <f>MIN(Plan!E9,U274+V274)</f>
        <v/>
      </c>
      <c r="X274">
        <f>U274+V274-W274</f>
        <v/>
      </c>
      <c r="Y274">
        <f>MIN(X274,MAX(0,$B274-((E$5&lt;W$5)*F274+(K$5&lt;W$5)*L274+(Q$5&lt;W$5)*R274+(AC$5&lt;W$5)*AD274+(AI$5&lt;W$5)*AJ274+(AO$5&lt;W$5)*AP274+(AU$5&lt;W$5)*AV274)))</f>
        <v/>
      </c>
      <c r="Z274">
        <f>IF(X274-Y274&lt;0.005,0,X274-Y274)</f>
        <v/>
      </c>
      <c r="AA274">
        <f>AF273</f>
        <v/>
      </c>
      <c r="AB274">
        <f>AA274*Plan!D10/100/12</f>
        <v/>
      </c>
      <c r="AC274">
        <f>MIN(Plan!E10,AA274+AB274)</f>
        <v/>
      </c>
      <c r="AD274">
        <f>AA274+AB274-AC274</f>
        <v/>
      </c>
      <c r="AE274">
        <f>MIN(AD274,MAX(0,$B274-((E$5&lt;AC$5)*F274+(K$5&lt;AC$5)*L274+(Q$5&lt;AC$5)*R274+(W$5&lt;AC$5)*X274+(AI$5&lt;AC$5)*AJ274+(AO$5&lt;AC$5)*AP274+(AU$5&lt;AC$5)*AV274)))</f>
        <v/>
      </c>
      <c r="AF274">
        <f>IF(AD274-AE274&lt;0.005,0,AD274-AE274)</f>
        <v/>
      </c>
      <c r="AG274">
        <f>AL273</f>
        <v/>
      </c>
      <c r="AH274">
        <f>AG274*Plan!D11/100/12</f>
        <v/>
      </c>
      <c r="AI274">
        <f>MIN(Plan!E11,AG274+AH274)</f>
        <v/>
      </c>
      <c r="AJ274">
        <f>AG274+AH274-AI274</f>
        <v/>
      </c>
      <c r="AK274">
        <f>MIN(AJ274,MAX(0,$B274-((E$5&lt;AI$5)*F274+(K$5&lt;AI$5)*L274+(Q$5&lt;AI$5)*R274+(W$5&lt;AI$5)*X274+(AC$5&lt;AI$5)*AD274+(AO$5&lt;AI$5)*AP274+(AU$5&lt;AI$5)*AV274)))</f>
        <v/>
      </c>
      <c r="AL274">
        <f>IF(AJ274-AK274&lt;0.005,0,AJ274-AK274)</f>
        <v/>
      </c>
      <c r="AM274">
        <f>AR273</f>
        <v/>
      </c>
      <c r="AN274">
        <f>AM274*Plan!D12/100/12</f>
        <v/>
      </c>
      <c r="AO274">
        <f>MIN(Plan!E12,AM274+AN274)</f>
        <v/>
      </c>
      <c r="AP274">
        <f>AM274+AN274-AO274</f>
        <v/>
      </c>
      <c r="AQ274">
        <f>MIN(AP274,MAX(0,$B274-((E$5&lt;AO$5)*F274+(K$5&lt;AO$5)*L274+(Q$5&lt;AO$5)*R274+(W$5&lt;AO$5)*X274+(AC$5&lt;AO$5)*AD274+(AI$5&lt;AO$5)*AJ274+(AU$5&lt;AO$5)*AV274)))</f>
        <v/>
      </c>
      <c r="AR274">
        <f>IF(AP274-AQ274&lt;0.005,0,AP274-AQ274)</f>
        <v/>
      </c>
      <c r="AS274">
        <f>AX273</f>
        <v/>
      </c>
      <c r="AT274">
        <f>AS274*Plan!D13/100/12</f>
        <v/>
      </c>
      <c r="AU274">
        <f>MIN(Plan!E13,AS274+AT274)</f>
        <v/>
      </c>
      <c r="AV274">
        <f>AS274+AT274-AU274</f>
        <v/>
      </c>
      <c r="AW274">
        <f>MIN(AV274,MAX(0,$B274-((E$5&lt;AU$5)*F274+(K$5&lt;AU$5)*L274+(Q$5&lt;AU$5)*R274+(W$5&lt;AU$5)*X274+(AC$5&lt;AU$5)*AD274+(AI$5&lt;AU$5)*AJ274+(AO$5&lt;AU$5)*AP274)))</f>
        <v/>
      </c>
      <c r="AX274">
        <f>IF(AV274-AW274&lt;0.005,0,AV274-AW274)</f>
        <v/>
      </c>
      <c r="BC274">
        <f>H274+N274+T274+Z274+AF274+AL274+AR274+AX274</f>
        <v/>
      </c>
    </row>
    <row r="275">
      <c r="A275" t="n">
        <v>269</v>
      </c>
      <c r="B275" s="19">
        <f>MAX(0,$B$3-(E275+K275+Q275+W275+AC275+AI275+AO275+AU275))</f>
        <v/>
      </c>
      <c r="C275">
        <f>H274</f>
        <v/>
      </c>
      <c r="D275">
        <f>C275*Plan!D6/100/12</f>
        <v/>
      </c>
      <c r="E275">
        <f>MIN(Plan!E6,C275+D275)</f>
        <v/>
      </c>
      <c r="F275">
        <f>C275+D275-E275</f>
        <v/>
      </c>
      <c r="G275">
        <f>MIN(F275,MAX(0,$B275-((K$5&lt;E$5)*L275+(Q$5&lt;E$5)*R275+(W$5&lt;E$5)*X275+(AC$5&lt;E$5)*AD275+(AI$5&lt;E$5)*AJ275+(AO$5&lt;E$5)*AP275+(AU$5&lt;E$5)*AV275)))</f>
        <v/>
      </c>
      <c r="H275">
        <f>IF(F275-G275&lt;0.005,0,F275-G275)</f>
        <v/>
      </c>
      <c r="I275">
        <f>N274</f>
        <v/>
      </c>
      <c r="J275">
        <f>I275*Plan!D7/100/12</f>
        <v/>
      </c>
      <c r="K275">
        <f>MIN(Plan!E7,I275+J275)</f>
        <v/>
      </c>
      <c r="L275">
        <f>I275+J275-K275</f>
        <v/>
      </c>
      <c r="M275">
        <f>MIN(L275,MAX(0,$B275-((E$5&lt;K$5)*F275+(Q$5&lt;K$5)*R275+(W$5&lt;K$5)*X275+(AC$5&lt;K$5)*AD275+(AI$5&lt;K$5)*AJ275+(AO$5&lt;K$5)*AP275+(AU$5&lt;K$5)*AV275)))</f>
        <v/>
      </c>
      <c r="N275">
        <f>IF(L275-M275&lt;0.005,0,L275-M275)</f>
        <v/>
      </c>
      <c r="O275">
        <f>T274</f>
        <v/>
      </c>
      <c r="P275">
        <f>O275*Plan!D8/100/12</f>
        <v/>
      </c>
      <c r="Q275">
        <f>MIN(Plan!E8,O275+P275)</f>
        <v/>
      </c>
      <c r="R275">
        <f>O275+P275-Q275</f>
        <v/>
      </c>
      <c r="S275">
        <f>MIN(R275,MAX(0,$B275-((E$5&lt;Q$5)*F275+(K$5&lt;Q$5)*L275+(W$5&lt;Q$5)*X275+(AC$5&lt;Q$5)*AD275+(AI$5&lt;Q$5)*AJ275+(AO$5&lt;Q$5)*AP275+(AU$5&lt;Q$5)*AV275)))</f>
        <v/>
      </c>
      <c r="T275">
        <f>IF(R275-S275&lt;0.005,0,R275-S275)</f>
        <v/>
      </c>
      <c r="U275">
        <f>Z274</f>
        <v/>
      </c>
      <c r="V275">
        <f>U275*Plan!D9/100/12</f>
        <v/>
      </c>
      <c r="W275">
        <f>MIN(Plan!E9,U275+V275)</f>
        <v/>
      </c>
      <c r="X275">
        <f>U275+V275-W275</f>
        <v/>
      </c>
      <c r="Y275">
        <f>MIN(X275,MAX(0,$B275-((E$5&lt;W$5)*F275+(K$5&lt;W$5)*L275+(Q$5&lt;W$5)*R275+(AC$5&lt;W$5)*AD275+(AI$5&lt;W$5)*AJ275+(AO$5&lt;W$5)*AP275+(AU$5&lt;W$5)*AV275)))</f>
        <v/>
      </c>
      <c r="Z275">
        <f>IF(X275-Y275&lt;0.005,0,X275-Y275)</f>
        <v/>
      </c>
      <c r="AA275">
        <f>AF274</f>
        <v/>
      </c>
      <c r="AB275">
        <f>AA275*Plan!D10/100/12</f>
        <v/>
      </c>
      <c r="AC275">
        <f>MIN(Plan!E10,AA275+AB275)</f>
        <v/>
      </c>
      <c r="AD275">
        <f>AA275+AB275-AC275</f>
        <v/>
      </c>
      <c r="AE275">
        <f>MIN(AD275,MAX(0,$B275-((E$5&lt;AC$5)*F275+(K$5&lt;AC$5)*L275+(Q$5&lt;AC$5)*R275+(W$5&lt;AC$5)*X275+(AI$5&lt;AC$5)*AJ275+(AO$5&lt;AC$5)*AP275+(AU$5&lt;AC$5)*AV275)))</f>
        <v/>
      </c>
      <c r="AF275">
        <f>IF(AD275-AE275&lt;0.005,0,AD275-AE275)</f>
        <v/>
      </c>
      <c r="AG275">
        <f>AL274</f>
        <v/>
      </c>
      <c r="AH275">
        <f>AG275*Plan!D11/100/12</f>
        <v/>
      </c>
      <c r="AI275">
        <f>MIN(Plan!E11,AG275+AH275)</f>
        <v/>
      </c>
      <c r="AJ275">
        <f>AG275+AH275-AI275</f>
        <v/>
      </c>
      <c r="AK275">
        <f>MIN(AJ275,MAX(0,$B275-((E$5&lt;AI$5)*F275+(K$5&lt;AI$5)*L275+(Q$5&lt;AI$5)*R275+(W$5&lt;AI$5)*X275+(AC$5&lt;AI$5)*AD275+(AO$5&lt;AI$5)*AP275+(AU$5&lt;AI$5)*AV275)))</f>
        <v/>
      </c>
      <c r="AL275">
        <f>IF(AJ275-AK275&lt;0.005,0,AJ275-AK275)</f>
        <v/>
      </c>
      <c r="AM275">
        <f>AR274</f>
        <v/>
      </c>
      <c r="AN275">
        <f>AM275*Plan!D12/100/12</f>
        <v/>
      </c>
      <c r="AO275">
        <f>MIN(Plan!E12,AM275+AN275)</f>
        <v/>
      </c>
      <c r="AP275">
        <f>AM275+AN275-AO275</f>
        <v/>
      </c>
      <c r="AQ275">
        <f>MIN(AP275,MAX(0,$B275-((E$5&lt;AO$5)*F275+(K$5&lt;AO$5)*L275+(Q$5&lt;AO$5)*R275+(W$5&lt;AO$5)*X275+(AC$5&lt;AO$5)*AD275+(AI$5&lt;AO$5)*AJ275+(AU$5&lt;AO$5)*AV275)))</f>
        <v/>
      </c>
      <c r="AR275">
        <f>IF(AP275-AQ275&lt;0.005,0,AP275-AQ275)</f>
        <v/>
      </c>
      <c r="AS275">
        <f>AX274</f>
        <v/>
      </c>
      <c r="AT275">
        <f>AS275*Plan!D13/100/12</f>
        <v/>
      </c>
      <c r="AU275">
        <f>MIN(Plan!E13,AS275+AT275)</f>
        <v/>
      </c>
      <c r="AV275">
        <f>AS275+AT275-AU275</f>
        <v/>
      </c>
      <c r="AW275">
        <f>MIN(AV275,MAX(0,$B275-((E$5&lt;AU$5)*F275+(K$5&lt;AU$5)*L275+(Q$5&lt;AU$5)*R275+(W$5&lt;AU$5)*X275+(AC$5&lt;AU$5)*AD275+(AI$5&lt;AU$5)*AJ275+(AO$5&lt;AU$5)*AP275)))</f>
        <v/>
      </c>
      <c r="AX275">
        <f>IF(AV275-AW275&lt;0.005,0,AV275-AW275)</f>
        <v/>
      </c>
      <c r="BC275">
        <f>H275+N275+T275+Z275+AF275+AL275+AR275+AX275</f>
        <v/>
      </c>
    </row>
    <row r="276">
      <c r="A276" t="n">
        <v>270</v>
      </c>
      <c r="B276" s="19">
        <f>MAX(0,$B$3-(E276+K276+Q276+W276+AC276+AI276+AO276+AU276))</f>
        <v/>
      </c>
      <c r="C276">
        <f>H275</f>
        <v/>
      </c>
      <c r="D276">
        <f>C276*Plan!D6/100/12</f>
        <v/>
      </c>
      <c r="E276">
        <f>MIN(Plan!E6,C276+D276)</f>
        <v/>
      </c>
      <c r="F276">
        <f>C276+D276-E276</f>
        <v/>
      </c>
      <c r="G276">
        <f>MIN(F276,MAX(0,$B276-((K$5&lt;E$5)*L276+(Q$5&lt;E$5)*R276+(W$5&lt;E$5)*X276+(AC$5&lt;E$5)*AD276+(AI$5&lt;E$5)*AJ276+(AO$5&lt;E$5)*AP276+(AU$5&lt;E$5)*AV276)))</f>
        <v/>
      </c>
      <c r="H276">
        <f>IF(F276-G276&lt;0.005,0,F276-G276)</f>
        <v/>
      </c>
      <c r="I276">
        <f>N275</f>
        <v/>
      </c>
      <c r="J276">
        <f>I276*Plan!D7/100/12</f>
        <v/>
      </c>
      <c r="K276">
        <f>MIN(Plan!E7,I276+J276)</f>
        <v/>
      </c>
      <c r="L276">
        <f>I276+J276-K276</f>
        <v/>
      </c>
      <c r="M276">
        <f>MIN(L276,MAX(0,$B276-((E$5&lt;K$5)*F276+(Q$5&lt;K$5)*R276+(W$5&lt;K$5)*X276+(AC$5&lt;K$5)*AD276+(AI$5&lt;K$5)*AJ276+(AO$5&lt;K$5)*AP276+(AU$5&lt;K$5)*AV276)))</f>
        <v/>
      </c>
      <c r="N276">
        <f>IF(L276-M276&lt;0.005,0,L276-M276)</f>
        <v/>
      </c>
      <c r="O276">
        <f>T275</f>
        <v/>
      </c>
      <c r="P276">
        <f>O276*Plan!D8/100/12</f>
        <v/>
      </c>
      <c r="Q276">
        <f>MIN(Plan!E8,O276+P276)</f>
        <v/>
      </c>
      <c r="R276">
        <f>O276+P276-Q276</f>
        <v/>
      </c>
      <c r="S276">
        <f>MIN(R276,MAX(0,$B276-((E$5&lt;Q$5)*F276+(K$5&lt;Q$5)*L276+(W$5&lt;Q$5)*X276+(AC$5&lt;Q$5)*AD276+(AI$5&lt;Q$5)*AJ276+(AO$5&lt;Q$5)*AP276+(AU$5&lt;Q$5)*AV276)))</f>
        <v/>
      </c>
      <c r="T276">
        <f>IF(R276-S276&lt;0.005,0,R276-S276)</f>
        <v/>
      </c>
      <c r="U276">
        <f>Z275</f>
        <v/>
      </c>
      <c r="V276">
        <f>U276*Plan!D9/100/12</f>
        <v/>
      </c>
      <c r="W276">
        <f>MIN(Plan!E9,U276+V276)</f>
        <v/>
      </c>
      <c r="X276">
        <f>U276+V276-W276</f>
        <v/>
      </c>
      <c r="Y276">
        <f>MIN(X276,MAX(0,$B276-((E$5&lt;W$5)*F276+(K$5&lt;W$5)*L276+(Q$5&lt;W$5)*R276+(AC$5&lt;W$5)*AD276+(AI$5&lt;W$5)*AJ276+(AO$5&lt;W$5)*AP276+(AU$5&lt;W$5)*AV276)))</f>
        <v/>
      </c>
      <c r="Z276">
        <f>IF(X276-Y276&lt;0.005,0,X276-Y276)</f>
        <v/>
      </c>
      <c r="AA276">
        <f>AF275</f>
        <v/>
      </c>
      <c r="AB276">
        <f>AA276*Plan!D10/100/12</f>
        <v/>
      </c>
      <c r="AC276">
        <f>MIN(Plan!E10,AA276+AB276)</f>
        <v/>
      </c>
      <c r="AD276">
        <f>AA276+AB276-AC276</f>
        <v/>
      </c>
      <c r="AE276">
        <f>MIN(AD276,MAX(0,$B276-((E$5&lt;AC$5)*F276+(K$5&lt;AC$5)*L276+(Q$5&lt;AC$5)*R276+(W$5&lt;AC$5)*X276+(AI$5&lt;AC$5)*AJ276+(AO$5&lt;AC$5)*AP276+(AU$5&lt;AC$5)*AV276)))</f>
        <v/>
      </c>
      <c r="AF276">
        <f>IF(AD276-AE276&lt;0.005,0,AD276-AE276)</f>
        <v/>
      </c>
      <c r="AG276">
        <f>AL275</f>
        <v/>
      </c>
      <c r="AH276">
        <f>AG276*Plan!D11/100/12</f>
        <v/>
      </c>
      <c r="AI276">
        <f>MIN(Plan!E11,AG276+AH276)</f>
        <v/>
      </c>
      <c r="AJ276">
        <f>AG276+AH276-AI276</f>
        <v/>
      </c>
      <c r="AK276">
        <f>MIN(AJ276,MAX(0,$B276-((E$5&lt;AI$5)*F276+(K$5&lt;AI$5)*L276+(Q$5&lt;AI$5)*R276+(W$5&lt;AI$5)*X276+(AC$5&lt;AI$5)*AD276+(AO$5&lt;AI$5)*AP276+(AU$5&lt;AI$5)*AV276)))</f>
        <v/>
      </c>
      <c r="AL276">
        <f>IF(AJ276-AK276&lt;0.005,0,AJ276-AK276)</f>
        <v/>
      </c>
      <c r="AM276">
        <f>AR275</f>
        <v/>
      </c>
      <c r="AN276">
        <f>AM276*Plan!D12/100/12</f>
        <v/>
      </c>
      <c r="AO276">
        <f>MIN(Plan!E12,AM276+AN276)</f>
        <v/>
      </c>
      <c r="AP276">
        <f>AM276+AN276-AO276</f>
        <v/>
      </c>
      <c r="AQ276">
        <f>MIN(AP276,MAX(0,$B276-((E$5&lt;AO$5)*F276+(K$5&lt;AO$5)*L276+(Q$5&lt;AO$5)*R276+(W$5&lt;AO$5)*X276+(AC$5&lt;AO$5)*AD276+(AI$5&lt;AO$5)*AJ276+(AU$5&lt;AO$5)*AV276)))</f>
        <v/>
      </c>
      <c r="AR276">
        <f>IF(AP276-AQ276&lt;0.005,0,AP276-AQ276)</f>
        <v/>
      </c>
      <c r="AS276">
        <f>AX275</f>
        <v/>
      </c>
      <c r="AT276">
        <f>AS276*Plan!D13/100/12</f>
        <v/>
      </c>
      <c r="AU276">
        <f>MIN(Plan!E13,AS276+AT276)</f>
        <v/>
      </c>
      <c r="AV276">
        <f>AS276+AT276-AU276</f>
        <v/>
      </c>
      <c r="AW276">
        <f>MIN(AV276,MAX(0,$B276-((E$5&lt;AU$5)*F276+(K$5&lt;AU$5)*L276+(Q$5&lt;AU$5)*R276+(W$5&lt;AU$5)*X276+(AC$5&lt;AU$5)*AD276+(AI$5&lt;AU$5)*AJ276+(AO$5&lt;AU$5)*AP276)))</f>
        <v/>
      </c>
      <c r="AX276">
        <f>IF(AV276-AW276&lt;0.005,0,AV276-AW276)</f>
        <v/>
      </c>
      <c r="BC276">
        <f>H276+N276+T276+Z276+AF276+AL276+AR276+AX276</f>
        <v/>
      </c>
    </row>
    <row r="277">
      <c r="A277" t="n">
        <v>271</v>
      </c>
      <c r="B277" s="19">
        <f>MAX(0,$B$3-(E277+K277+Q277+W277+AC277+AI277+AO277+AU277))</f>
        <v/>
      </c>
      <c r="C277">
        <f>H276</f>
        <v/>
      </c>
      <c r="D277">
        <f>C277*Plan!D6/100/12</f>
        <v/>
      </c>
      <c r="E277">
        <f>MIN(Plan!E6,C277+D277)</f>
        <v/>
      </c>
      <c r="F277">
        <f>C277+D277-E277</f>
        <v/>
      </c>
      <c r="G277">
        <f>MIN(F277,MAX(0,$B277-((K$5&lt;E$5)*L277+(Q$5&lt;E$5)*R277+(W$5&lt;E$5)*X277+(AC$5&lt;E$5)*AD277+(AI$5&lt;E$5)*AJ277+(AO$5&lt;E$5)*AP277+(AU$5&lt;E$5)*AV277)))</f>
        <v/>
      </c>
      <c r="H277">
        <f>IF(F277-G277&lt;0.005,0,F277-G277)</f>
        <v/>
      </c>
      <c r="I277">
        <f>N276</f>
        <v/>
      </c>
      <c r="J277">
        <f>I277*Plan!D7/100/12</f>
        <v/>
      </c>
      <c r="K277">
        <f>MIN(Plan!E7,I277+J277)</f>
        <v/>
      </c>
      <c r="L277">
        <f>I277+J277-K277</f>
        <v/>
      </c>
      <c r="M277">
        <f>MIN(L277,MAX(0,$B277-((E$5&lt;K$5)*F277+(Q$5&lt;K$5)*R277+(W$5&lt;K$5)*X277+(AC$5&lt;K$5)*AD277+(AI$5&lt;K$5)*AJ277+(AO$5&lt;K$5)*AP277+(AU$5&lt;K$5)*AV277)))</f>
        <v/>
      </c>
      <c r="N277">
        <f>IF(L277-M277&lt;0.005,0,L277-M277)</f>
        <v/>
      </c>
      <c r="O277">
        <f>T276</f>
        <v/>
      </c>
      <c r="P277">
        <f>O277*Plan!D8/100/12</f>
        <v/>
      </c>
      <c r="Q277">
        <f>MIN(Plan!E8,O277+P277)</f>
        <v/>
      </c>
      <c r="R277">
        <f>O277+P277-Q277</f>
        <v/>
      </c>
      <c r="S277">
        <f>MIN(R277,MAX(0,$B277-((E$5&lt;Q$5)*F277+(K$5&lt;Q$5)*L277+(W$5&lt;Q$5)*X277+(AC$5&lt;Q$5)*AD277+(AI$5&lt;Q$5)*AJ277+(AO$5&lt;Q$5)*AP277+(AU$5&lt;Q$5)*AV277)))</f>
        <v/>
      </c>
      <c r="T277">
        <f>IF(R277-S277&lt;0.005,0,R277-S277)</f>
        <v/>
      </c>
      <c r="U277">
        <f>Z276</f>
        <v/>
      </c>
      <c r="V277">
        <f>U277*Plan!D9/100/12</f>
        <v/>
      </c>
      <c r="W277">
        <f>MIN(Plan!E9,U277+V277)</f>
        <v/>
      </c>
      <c r="X277">
        <f>U277+V277-W277</f>
        <v/>
      </c>
      <c r="Y277">
        <f>MIN(X277,MAX(0,$B277-((E$5&lt;W$5)*F277+(K$5&lt;W$5)*L277+(Q$5&lt;W$5)*R277+(AC$5&lt;W$5)*AD277+(AI$5&lt;W$5)*AJ277+(AO$5&lt;W$5)*AP277+(AU$5&lt;W$5)*AV277)))</f>
        <v/>
      </c>
      <c r="Z277">
        <f>IF(X277-Y277&lt;0.005,0,X277-Y277)</f>
        <v/>
      </c>
      <c r="AA277">
        <f>AF276</f>
        <v/>
      </c>
      <c r="AB277">
        <f>AA277*Plan!D10/100/12</f>
        <v/>
      </c>
      <c r="AC277">
        <f>MIN(Plan!E10,AA277+AB277)</f>
        <v/>
      </c>
      <c r="AD277">
        <f>AA277+AB277-AC277</f>
        <v/>
      </c>
      <c r="AE277">
        <f>MIN(AD277,MAX(0,$B277-((E$5&lt;AC$5)*F277+(K$5&lt;AC$5)*L277+(Q$5&lt;AC$5)*R277+(W$5&lt;AC$5)*X277+(AI$5&lt;AC$5)*AJ277+(AO$5&lt;AC$5)*AP277+(AU$5&lt;AC$5)*AV277)))</f>
        <v/>
      </c>
      <c r="AF277">
        <f>IF(AD277-AE277&lt;0.005,0,AD277-AE277)</f>
        <v/>
      </c>
      <c r="AG277">
        <f>AL276</f>
        <v/>
      </c>
      <c r="AH277">
        <f>AG277*Plan!D11/100/12</f>
        <v/>
      </c>
      <c r="AI277">
        <f>MIN(Plan!E11,AG277+AH277)</f>
        <v/>
      </c>
      <c r="AJ277">
        <f>AG277+AH277-AI277</f>
        <v/>
      </c>
      <c r="AK277">
        <f>MIN(AJ277,MAX(0,$B277-((E$5&lt;AI$5)*F277+(K$5&lt;AI$5)*L277+(Q$5&lt;AI$5)*R277+(W$5&lt;AI$5)*X277+(AC$5&lt;AI$5)*AD277+(AO$5&lt;AI$5)*AP277+(AU$5&lt;AI$5)*AV277)))</f>
        <v/>
      </c>
      <c r="AL277">
        <f>IF(AJ277-AK277&lt;0.005,0,AJ277-AK277)</f>
        <v/>
      </c>
      <c r="AM277">
        <f>AR276</f>
        <v/>
      </c>
      <c r="AN277">
        <f>AM277*Plan!D12/100/12</f>
        <v/>
      </c>
      <c r="AO277">
        <f>MIN(Plan!E12,AM277+AN277)</f>
        <v/>
      </c>
      <c r="AP277">
        <f>AM277+AN277-AO277</f>
        <v/>
      </c>
      <c r="AQ277">
        <f>MIN(AP277,MAX(0,$B277-((E$5&lt;AO$5)*F277+(K$5&lt;AO$5)*L277+(Q$5&lt;AO$5)*R277+(W$5&lt;AO$5)*X277+(AC$5&lt;AO$5)*AD277+(AI$5&lt;AO$5)*AJ277+(AU$5&lt;AO$5)*AV277)))</f>
        <v/>
      </c>
      <c r="AR277">
        <f>IF(AP277-AQ277&lt;0.005,0,AP277-AQ277)</f>
        <v/>
      </c>
      <c r="AS277">
        <f>AX276</f>
        <v/>
      </c>
      <c r="AT277">
        <f>AS277*Plan!D13/100/12</f>
        <v/>
      </c>
      <c r="AU277">
        <f>MIN(Plan!E13,AS277+AT277)</f>
        <v/>
      </c>
      <c r="AV277">
        <f>AS277+AT277-AU277</f>
        <v/>
      </c>
      <c r="AW277">
        <f>MIN(AV277,MAX(0,$B277-((E$5&lt;AU$5)*F277+(K$5&lt;AU$5)*L277+(Q$5&lt;AU$5)*R277+(W$5&lt;AU$5)*X277+(AC$5&lt;AU$5)*AD277+(AI$5&lt;AU$5)*AJ277+(AO$5&lt;AU$5)*AP277)))</f>
        <v/>
      </c>
      <c r="AX277">
        <f>IF(AV277-AW277&lt;0.005,0,AV277-AW277)</f>
        <v/>
      </c>
      <c r="BC277">
        <f>H277+N277+T277+Z277+AF277+AL277+AR277+AX277</f>
        <v/>
      </c>
    </row>
    <row r="278">
      <c r="A278" t="n">
        <v>272</v>
      </c>
      <c r="B278" s="19">
        <f>MAX(0,$B$3-(E278+K278+Q278+W278+AC278+AI278+AO278+AU278))</f>
        <v/>
      </c>
      <c r="C278">
        <f>H277</f>
        <v/>
      </c>
      <c r="D278">
        <f>C278*Plan!D6/100/12</f>
        <v/>
      </c>
      <c r="E278">
        <f>MIN(Plan!E6,C278+D278)</f>
        <v/>
      </c>
      <c r="F278">
        <f>C278+D278-E278</f>
        <v/>
      </c>
      <c r="G278">
        <f>MIN(F278,MAX(0,$B278-((K$5&lt;E$5)*L278+(Q$5&lt;E$5)*R278+(W$5&lt;E$5)*X278+(AC$5&lt;E$5)*AD278+(AI$5&lt;E$5)*AJ278+(AO$5&lt;E$5)*AP278+(AU$5&lt;E$5)*AV278)))</f>
        <v/>
      </c>
      <c r="H278">
        <f>IF(F278-G278&lt;0.005,0,F278-G278)</f>
        <v/>
      </c>
      <c r="I278">
        <f>N277</f>
        <v/>
      </c>
      <c r="J278">
        <f>I278*Plan!D7/100/12</f>
        <v/>
      </c>
      <c r="K278">
        <f>MIN(Plan!E7,I278+J278)</f>
        <v/>
      </c>
      <c r="L278">
        <f>I278+J278-K278</f>
        <v/>
      </c>
      <c r="M278">
        <f>MIN(L278,MAX(0,$B278-((E$5&lt;K$5)*F278+(Q$5&lt;K$5)*R278+(W$5&lt;K$5)*X278+(AC$5&lt;K$5)*AD278+(AI$5&lt;K$5)*AJ278+(AO$5&lt;K$5)*AP278+(AU$5&lt;K$5)*AV278)))</f>
        <v/>
      </c>
      <c r="N278">
        <f>IF(L278-M278&lt;0.005,0,L278-M278)</f>
        <v/>
      </c>
      <c r="O278">
        <f>T277</f>
        <v/>
      </c>
      <c r="P278">
        <f>O278*Plan!D8/100/12</f>
        <v/>
      </c>
      <c r="Q278">
        <f>MIN(Plan!E8,O278+P278)</f>
        <v/>
      </c>
      <c r="R278">
        <f>O278+P278-Q278</f>
        <v/>
      </c>
      <c r="S278">
        <f>MIN(R278,MAX(0,$B278-((E$5&lt;Q$5)*F278+(K$5&lt;Q$5)*L278+(W$5&lt;Q$5)*X278+(AC$5&lt;Q$5)*AD278+(AI$5&lt;Q$5)*AJ278+(AO$5&lt;Q$5)*AP278+(AU$5&lt;Q$5)*AV278)))</f>
        <v/>
      </c>
      <c r="T278">
        <f>IF(R278-S278&lt;0.005,0,R278-S278)</f>
        <v/>
      </c>
      <c r="U278">
        <f>Z277</f>
        <v/>
      </c>
      <c r="V278">
        <f>U278*Plan!D9/100/12</f>
        <v/>
      </c>
      <c r="W278">
        <f>MIN(Plan!E9,U278+V278)</f>
        <v/>
      </c>
      <c r="X278">
        <f>U278+V278-W278</f>
        <v/>
      </c>
      <c r="Y278">
        <f>MIN(X278,MAX(0,$B278-((E$5&lt;W$5)*F278+(K$5&lt;W$5)*L278+(Q$5&lt;W$5)*R278+(AC$5&lt;W$5)*AD278+(AI$5&lt;W$5)*AJ278+(AO$5&lt;W$5)*AP278+(AU$5&lt;W$5)*AV278)))</f>
        <v/>
      </c>
      <c r="Z278">
        <f>IF(X278-Y278&lt;0.005,0,X278-Y278)</f>
        <v/>
      </c>
      <c r="AA278">
        <f>AF277</f>
        <v/>
      </c>
      <c r="AB278">
        <f>AA278*Plan!D10/100/12</f>
        <v/>
      </c>
      <c r="AC278">
        <f>MIN(Plan!E10,AA278+AB278)</f>
        <v/>
      </c>
      <c r="AD278">
        <f>AA278+AB278-AC278</f>
        <v/>
      </c>
      <c r="AE278">
        <f>MIN(AD278,MAX(0,$B278-((E$5&lt;AC$5)*F278+(K$5&lt;AC$5)*L278+(Q$5&lt;AC$5)*R278+(W$5&lt;AC$5)*X278+(AI$5&lt;AC$5)*AJ278+(AO$5&lt;AC$5)*AP278+(AU$5&lt;AC$5)*AV278)))</f>
        <v/>
      </c>
      <c r="AF278">
        <f>IF(AD278-AE278&lt;0.005,0,AD278-AE278)</f>
        <v/>
      </c>
      <c r="AG278">
        <f>AL277</f>
        <v/>
      </c>
      <c r="AH278">
        <f>AG278*Plan!D11/100/12</f>
        <v/>
      </c>
      <c r="AI278">
        <f>MIN(Plan!E11,AG278+AH278)</f>
        <v/>
      </c>
      <c r="AJ278">
        <f>AG278+AH278-AI278</f>
        <v/>
      </c>
      <c r="AK278">
        <f>MIN(AJ278,MAX(0,$B278-((E$5&lt;AI$5)*F278+(K$5&lt;AI$5)*L278+(Q$5&lt;AI$5)*R278+(W$5&lt;AI$5)*X278+(AC$5&lt;AI$5)*AD278+(AO$5&lt;AI$5)*AP278+(AU$5&lt;AI$5)*AV278)))</f>
        <v/>
      </c>
      <c r="AL278">
        <f>IF(AJ278-AK278&lt;0.005,0,AJ278-AK278)</f>
        <v/>
      </c>
      <c r="AM278">
        <f>AR277</f>
        <v/>
      </c>
      <c r="AN278">
        <f>AM278*Plan!D12/100/12</f>
        <v/>
      </c>
      <c r="AO278">
        <f>MIN(Plan!E12,AM278+AN278)</f>
        <v/>
      </c>
      <c r="AP278">
        <f>AM278+AN278-AO278</f>
        <v/>
      </c>
      <c r="AQ278">
        <f>MIN(AP278,MAX(0,$B278-((E$5&lt;AO$5)*F278+(K$5&lt;AO$5)*L278+(Q$5&lt;AO$5)*R278+(W$5&lt;AO$5)*X278+(AC$5&lt;AO$5)*AD278+(AI$5&lt;AO$5)*AJ278+(AU$5&lt;AO$5)*AV278)))</f>
        <v/>
      </c>
      <c r="AR278">
        <f>IF(AP278-AQ278&lt;0.005,0,AP278-AQ278)</f>
        <v/>
      </c>
      <c r="AS278">
        <f>AX277</f>
        <v/>
      </c>
      <c r="AT278">
        <f>AS278*Plan!D13/100/12</f>
        <v/>
      </c>
      <c r="AU278">
        <f>MIN(Plan!E13,AS278+AT278)</f>
        <v/>
      </c>
      <c r="AV278">
        <f>AS278+AT278-AU278</f>
        <v/>
      </c>
      <c r="AW278">
        <f>MIN(AV278,MAX(0,$B278-((E$5&lt;AU$5)*F278+(K$5&lt;AU$5)*L278+(Q$5&lt;AU$5)*R278+(W$5&lt;AU$5)*X278+(AC$5&lt;AU$5)*AD278+(AI$5&lt;AU$5)*AJ278+(AO$5&lt;AU$5)*AP278)))</f>
        <v/>
      </c>
      <c r="AX278">
        <f>IF(AV278-AW278&lt;0.005,0,AV278-AW278)</f>
        <v/>
      </c>
      <c r="BC278">
        <f>H278+N278+T278+Z278+AF278+AL278+AR278+AX278</f>
        <v/>
      </c>
    </row>
    <row r="279">
      <c r="A279" t="n">
        <v>273</v>
      </c>
      <c r="B279" s="19">
        <f>MAX(0,$B$3-(E279+K279+Q279+W279+AC279+AI279+AO279+AU279))</f>
        <v/>
      </c>
      <c r="C279">
        <f>H278</f>
        <v/>
      </c>
      <c r="D279">
        <f>C279*Plan!D6/100/12</f>
        <v/>
      </c>
      <c r="E279">
        <f>MIN(Plan!E6,C279+D279)</f>
        <v/>
      </c>
      <c r="F279">
        <f>C279+D279-E279</f>
        <v/>
      </c>
      <c r="G279">
        <f>MIN(F279,MAX(0,$B279-((K$5&lt;E$5)*L279+(Q$5&lt;E$5)*R279+(W$5&lt;E$5)*X279+(AC$5&lt;E$5)*AD279+(AI$5&lt;E$5)*AJ279+(AO$5&lt;E$5)*AP279+(AU$5&lt;E$5)*AV279)))</f>
        <v/>
      </c>
      <c r="H279">
        <f>IF(F279-G279&lt;0.005,0,F279-G279)</f>
        <v/>
      </c>
      <c r="I279">
        <f>N278</f>
        <v/>
      </c>
      <c r="J279">
        <f>I279*Plan!D7/100/12</f>
        <v/>
      </c>
      <c r="K279">
        <f>MIN(Plan!E7,I279+J279)</f>
        <v/>
      </c>
      <c r="L279">
        <f>I279+J279-K279</f>
        <v/>
      </c>
      <c r="M279">
        <f>MIN(L279,MAX(0,$B279-((E$5&lt;K$5)*F279+(Q$5&lt;K$5)*R279+(W$5&lt;K$5)*X279+(AC$5&lt;K$5)*AD279+(AI$5&lt;K$5)*AJ279+(AO$5&lt;K$5)*AP279+(AU$5&lt;K$5)*AV279)))</f>
        <v/>
      </c>
      <c r="N279">
        <f>IF(L279-M279&lt;0.005,0,L279-M279)</f>
        <v/>
      </c>
      <c r="O279">
        <f>T278</f>
        <v/>
      </c>
      <c r="P279">
        <f>O279*Plan!D8/100/12</f>
        <v/>
      </c>
      <c r="Q279">
        <f>MIN(Plan!E8,O279+P279)</f>
        <v/>
      </c>
      <c r="R279">
        <f>O279+P279-Q279</f>
        <v/>
      </c>
      <c r="S279">
        <f>MIN(R279,MAX(0,$B279-((E$5&lt;Q$5)*F279+(K$5&lt;Q$5)*L279+(W$5&lt;Q$5)*X279+(AC$5&lt;Q$5)*AD279+(AI$5&lt;Q$5)*AJ279+(AO$5&lt;Q$5)*AP279+(AU$5&lt;Q$5)*AV279)))</f>
        <v/>
      </c>
      <c r="T279">
        <f>IF(R279-S279&lt;0.005,0,R279-S279)</f>
        <v/>
      </c>
      <c r="U279">
        <f>Z278</f>
        <v/>
      </c>
      <c r="V279">
        <f>U279*Plan!D9/100/12</f>
        <v/>
      </c>
      <c r="W279">
        <f>MIN(Plan!E9,U279+V279)</f>
        <v/>
      </c>
      <c r="X279">
        <f>U279+V279-W279</f>
        <v/>
      </c>
      <c r="Y279">
        <f>MIN(X279,MAX(0,$B279-((E$5&lt;W$5)*F279+(K$5&lt;W$5)*L279+(Q$5&lt;W$5)*R279+(AC$5&lt;W$5)*AD279+(AI$5&lt;W$5)*AJ279+(AO$5&lt;W$5)*AP279+(AU$5&lt;W$5)*AV279)))</f>
        <v/>
      </c>
      <c r="Z279">
        <f>IF(X279-Y279&lt;0.005,0,X279-Y279)</f>
        <v/>
      </c>
      <c r="AA279">
        <f>AF278</f>
        <v/>
      </c>
      <c r="AB279">
        <f>AA279*Plan!D10/100/12</f>
        <v/>
      </c>
      <c r="AC279">
        <f>MIN(Plan!E10,AA279+AB279)</f>
        <v/>
      </c>
      <c r="AD279">
        <f>AA279+AB279-AC279</f>
        <v/>
      </c>
      <c r="AE279">
        <f>MIN(AD279,MAX(0,$B279-((E$5&lt;AC$5)*F279+(K$5&lt;AC$5)*L279+(Q$5&lt;AC$5)*R279+(W$5&lt;AC$5)*X279+(AI$5&lt;AC$5)*AJ279+(AO$5&lt;AC$5)*AP279+(AU$5&lt;AC$5)*AV279)))</f>
        <v/>
      </c>
      <c r="AF279">
        <f>IF(AD279-AE279&lt;0.005,0,AD279-AE279)</f>
        <v/>
      </c>
      <c r="AG279">
        <f>AL278</f>
        <v/>
      </c>
      <c r="AH279">
        <f>AG279*Plan!D11/100/12</f>
        <v/>
      </c>
      <c r="AI279">
        <f>MIN(Plan!E11,AG279+AH279)</f>
        <v/>
      </c>
      <c r="AJ279">
        <f>AG279+AH279-AI279</f>
        <v/>
      </c>
      <c r="AK279">
        <f>MIN(AJ279,MAX(0,$B279-((E$5&lt;AI$5)*F279+(K$5&lt;AI$5)*L279+(Q$5&lt;AI$5)*R279+(W$5&lt;AI$5)*X279+(AC$5&lt;AI$5)*AD279+(AO$5&lt;AI$5)*AP279+(AU$5&lt;AI$5)*AV279)))</f>
        <v/>
      </c>
      <c r="AL279">
        <f>IF(AJ279-AK279&lt;0.005,0,AJ279-AK279)</f>
        <v/>
      </c>
      <c r="AM279">
        <f>AR278</f>
        <v/>
      </c>
      <c r="AN279">
        <f>AM279*Plan!D12/100/12</f>
        <v/>
      </c>
      <c r="AO279">
        <f>MIN(Plan!E12,AM279+AN279)</f>
        <v/>
      </c>
      <c r="AP279">
        <f>AM279+AN279-AO279</f>
        <v/>
      </c>
      <c r="AQ279">
        <f>MIN(AP279,MAX(0,$B279-((E$5&lt;AO$5)*F279+(K$5&lt;AO$5)*L279+(Q$5&lt;AO$5)*R279+(W$5&lt;AO$5)*X279+(AC$5&lt;AO$5)*AD279+(AI$5&lt;AO$5)*AJ279+(AU$5&lt;AO$5)*AV279)))</f>
        <v/>
      </c>
      <c r="AR279">
        <f>IF(AP279-AQ279&lt;0.005,0,AP279-AQ279)</f>
        <v/>
      </c>
      <c r="AS279">
        <f>AX278</f>
        <v/>
      </c>
      <c r="AT279">
        <f>AS279*Plan!D13/100/12</f>
        <v/>
      </c>
      <c r="AU279">
        <f>MIN(Plan!E13,AS279+AT279)</f>
        <v/>
      </c>
      <c r="AV279">
        <f>AS279+AT279-AU279</f>
        <v/>
      </c>
      <c r="AW279">
        <f>MIN(AV279,MAX(0,$B279-((E$5&lt;AU$5)*F279+(K$5&lt;AU$5)*L279+(Q$5&lt;AU$5)*R279+(W$5&lt;AU$5)*X279+(AC$5&lt;AU$5)*AD279+(AI$5&lt;AU$5)*AJ279+(AO$5&lt;AU$5)*AP279)))</f>
        <v/>
      </c>
      <c r="AX279">
        <f>IF(AV279-AW279&lt;0.005,0,AV279-AW279)</f>
        <v/>
      </c>
      <c r="BC279">
        <f>H279+N279+T279+Z279+AF279+AL279+AR279+AX279</f>
        <v/>
      </c>
    </row>
    <row r="280">
      <c r="A280" t="n">
        <v>274</v>
      </c>
      <c r="B280" s="19">
        <f>MAX(0,$B$3-(E280+K280+Q280+W280+AC280+AI280+AO280+AU280))</f>
        <v/>
      </c>
      <c r="C280">
        <f>H279</f>
        <v/>
      </c>
      <c r="D280">
        <f>C280*Plan!D6/100/12</f>
        <v/>
      </c>
      <c r="E280">
        <f>MIN(Plan!E6,C280+D280)</f>
        <v/>
      </c>
      <c r="F280">
        <f>C280+D280-E280</f>
        <v/>
      </c>
      <c r="G280">
        <f>MIN(F280,MAX(0,$B280-((K$5&lt;E$5)*L280+(Q$5&lt;E$5)*R280+(W$5&lt;E$5)*X280+(AC$5&lt;E$5)*AD280+(AI$5&lt;E$5)*AJ280+(AO$5&lt;E$5)*AP280+(AU$5&lt;E$5)*AV280)))</f>
        <v/>
      </c>
      <c r="H280">
        <f>IF(F280-G280&lt;0.005,0,F280-G280)</f>
        <v/>
      </c>
      <c r="I280">
        <f>N279</f>
        <v/>
      </c>
      <c r="J280">
        <f>I280*Plan!D7/100/12</f>
        <v/>
      </c>
      <c r="K280">
        <f>MIN(Plan!E7,I280+J280)</f>
        <v/>
      </c>
      <c r="L280">
        <f>I280+J280-K280</f>
        <v/>
      </c>
      <c r="M280">
        <f>MIN(L280,MAX(0,$B280-((E$5&lt;K$5)*F280+(Q$5&lt;K$5)*R280+(W$5&lt;K$5)*X280+(AC$5&lt;K$5)*AD280+(AI$5&lt;K$5)*AJ280+(AO$5&lt;K$5)*AP280+(AU$5&lt;K$5)*AV280)))</f>
        <v/>
      </c>
      <c r="N280">
        <f>IF(L280-M280&lt;0.005,0,L280-M280)</f>
        <v/>
      </c>
      <c r="O280">
        <f>T279</f>
        <v/>
      </c>
      <c r="P280">
        <f>O280*Plan!D8/100/12</f>
        <v/>
      </c>
      <c r="Q280">
        <f>MIN(Plan!E8,O280+P280)</f>
        <v/>
      </c>
      <c r="R280">
        <f>O280+P280-Q280</f>
        <v/>
      </c>
      <c r="S280">
        <f>MIN(R280,MAX(0,$B280-((E$5&lt;Q$5)*F280+(K$5&lt;Q$5)*L280+(W$5&lt;Q$5)*X280+(AC$5&lt;Q$5)*AD280+(AI$5&lt;Q$5)*AJ280+(AO$5&lt;Q$5)*AP280+(AU$5&lt;Q$5)*AV280)))</f>
        <v/>
      </c>
      <c r="T280">
        <f>IF(R280-S280&lt;0.005,0,R280-S280)</f>
        <v/>
      </c>
      <c r="U280">
        <f>Z279</f>
        <v/>
      </c>
      <c r="V280">
        <f>U280*Plan!D9/100/12</f>
        <v/>
      </c>
      <c r="W280">
        <f>MIN(Plan!E9,U280+V280)</f>
        <v/>
      </c>
      <c r="X280">
        <f>U280+V280-W280</f>
        <v/>
      </c>
      <c r="Y280">
        <f>MIN(X280,MAX(0,$B280-((E$5&lt;W$5)*F280+(K$5&lt;W$5)*L280+(Q$5&lt;W$5)*R280+(AC$5&lt;W$5)*AD280+(AI$5&lt;W$5)*AJ280+(AO$5&lt;W$5)*AP280+(AU$5&lt;W$5)*AV280)))</f>
        <v/>
      </c>
      <c r="Z280">
        <f>IF(X280-Y280&lt;0.005,0,X280-Y280)</f>
        <v/>
      </c>
      <c r="AA280">
        <f>AF279</f>
        <v/>
      </c>
      <c r="AB280">
        <f>AA280*Plan!D10/100/12</f>
        <v/>
      </c>
      <c r="AC280">
        <f>MIN(Plan!E10,AA280+AB280)</f>
        <v/>
      </c>
      <c r="AD280">
        <f>AA280+AB280-AC280</f>
        <v/>
      </c>
      <c r="AE280">
        <f>MIN(AD280,MAX(0,$B280-((E$5&lt;AC$5)*F280+(K$5&lt;AC$5)*L280+(Q$5&lt;AC$5)*R280+(W$5&lt;AC$5)*X280+(AI$5&lt;AC$5)*AJ280+(AO$5&lt;AC$5)*AP280+(AU$5&lt;AC$5)*AV280)))</f>
        <v/>
      </c>
      <c r="AF280">
        <f>IF(AD280-AE280&lt;0.005,0,AD280-AE280)</f>
        <v/>
      </c>
      <c r="AG280">
        <f>AL279</f>
        <v/>
      </c>
      <c r="AH280">
        <f>AG280*Plan!D11/100/12</f>
        <v/>
      </c>
      <c r="AI280">
        <f>MIN(Plan!E11,AG280+AH280)</f>
        <v/>
      </c>
      <c r="AJ280">
        <f>AG280+AH280-AI280</f>
        <v/>
      </c>
      <c r="AK280">
        <f>MIN(AJ280,MAX(0,$B280-((E$5&lt;AI$5)*F280+(K$5&lt;AI$5)*L280+(Q$5&lt;AI$5)*R280+(W$5&lt;AI$5)*X280+(AC$5&lt;AI$5)*AD280+(AO$5&lt;AI$5)*AP280+(AU$5&lt;AI$5)*AV280)))</f>
        <v/>
      </c>
      <c r="AL280">
        <f>IF(AJ280-AK280&lt;0.005,0,AJ280-AK280)</f>
        <v/>
      </c>
      <c r="AM280">
        <f>AR279</f>
        <v/>
      </c>
      <c r="AN280">
        <f>AM280*Plan!D12/100/12</f>
        <v/>
      </c>
      <c r="AO280">
        <f>MIN(Plan!E12,AM280+AN280)</f>
        <v/>
      </c>
      <c r="AP280">
        <f>AM280+AN280-AO280</f>
        <v/>
      </c>
      <c r="AQ280">
        <f>MIN(AP280,MAX(0,$B280-((E$5&lt;AO$5)*F280+(K$5&lt;AO$5)*L280+(Q$5&lt;AO$5)*R280+(W$5&lt;AO$5)*X280+(AC$5&lt;AO$5)*AD280+(AI$5&lt;AO$5)*AJ280+(AU$5&lt;AO$5)*AV280)))</f>
        <v/>
      </c>
      <c r="AR280">
        <f>IF(AP280-AQ280&lt;0.005,0,AP280-AQ280)</f>
        <v/>
      </c>
      <c r="AS280">
        <f>AX279</f>
        <v/>
      </c>
      <c r="AT280">
        <f>AS280*Plan!D13/100/12</f>
        <v/>
      </c>
      <c r="AU280">
        <f>MIN(Plan!E13,AS280+AT280)</f>
        <v/>
      </c>
      <c r="AV280">
        <f>AS280+AT280-AU280</f>
        <v/>
      </c>
      <c r="AW280">
        <f>MIN(AV280,MAX(0,$B280-((E$5&lt;AU$5)*F280+(K$5&lt;AU$5)*L280+(Q$5&lt;AU$5)*R280+(W$5&lt;AU$5)*X280+(AC$5&lt;AU$5)*AD280+(AI$5&lt;AU$5)*AJ280+(AO$5&lt;AU$5)*AP280)))</f>
        <v/>
      </c>
      <c r="AX280">
        <f>IF(AV280-AW280&lt;0.005,0,AV280-AW280)</f>
        <v/>
      </c>
      <c r="BC280">
        <f>H280+N280+T280+Z280+AF280+AL280+AR280+AX280</f>
        <v/>
      </c>
    </row>
    <row r="281">
      <c r="A281" t="n">
        <v>275</v>
      </c>
      <c r="B281" s="19">
        <f>MAX(0,$B$3-(E281+K281+Q281+W281+AC281+AI281+AO281+AU281))</f>
        <v/>
      </c>
      <c r="C281">
        <f>H280</f>
        <v/>
      </c>
      <c r="D281">
        <f>C281*Plan!D6/100/12</f>
        <v/>
      </c>
      <c r="E281">
        <f>MIN(Plan!E6,C281+D281)</f>
        <v/>
      </c>
      <c r="F281">
        <f>C281+D281-E281</f>
        <v/>
      </c>
      <c r="G281">
        <f>MIN(F281,MAX(0,$B281-((K$5&lt;E$5)*L281+(Q$5&lt;E$5)*R281+(W$5&lt;E$5)*X281+(AC$5&lt;E$5)*AD281+(AI$5&lt;E$5)*AJ281+(AO$5&lt;E$5)*AP281+(AU$5&lt;E$5)*AV281)))</f>
        <v/>
      </c>
      <c r="H281">
        <f>IF(F281-G281&lt;0.005,0,F281-G281)</f>
        <v/>
      </c>
      <c r="I281">
        <f>N280</f>
        <v/>
      </c>
      <c r="J281">
        <f>I281*Plan!D7/100/12</f>
        <v/>
      </c>
      <c r="K281">
        <f>MIN(Plan!E7,I281+J281)</f>
        <v/>
      </c>
      <c r="L281">
        <f>I281+J281-K281</f>
        <v/>
      </c>
      <c r="M281">
        <f>MIN(L281,MAX(0,$B281-((E$5&lt;K$5)*F281+(Q$5&lt;K$5)*R281+(W$5&lt;K$5)*X281+(AC$5&lt;K$5)*AD281+(AI$5&lt;K$5)*AJ281+(AO$5&lt;K$5)*AP281+(AU$5&lt;K$5)*AV281)))</f>
        <v/>
      </c>
      <c r="N281">
        <f>IF(L281-M281&lt;0.005,0,L281-M281)</f>
        <v/>
      </c>
      <c r="O281">
        <f>T280</f>
        <v/>
      </c>
      <c r="P281">
        <f>O281*Plan!D8/100/12</f>
        <v/>
      </c>
      <c r="Q281">
        <f>MIN(Plan!E8,O281+P281)</f>
        <v/>
      </c>
      <c r="R281">
        <f>O281+P281-Q281</f>
        <v/>
      </c>
      <c r="S281">
        <f>MIN(R281,MAX(0,$B281-((E$5&lt;Q$5)*F281+(K$5&lt;Q$5)*L281+(W$5&lt;Q$5)*X281+(AC$5&lt;Q$5)*AD281+(AI$5&lt;Q$5)*AJ281+(AO$5&lt;Q$5)*AP281+(AU$5&lt;Q$5)*AV281)))</f>
        <v/>
      </c>
      <c r="T281">
        <f>IF(R281-S281&lt;0.005,0,R281-S281)</f>
        <v/>
      </c>
      <c r="U281">
        <f>Z280</f>
        <v/>
      </c>
      <c r="V281">
        <f>U281*Plan!D9/100/12</f>
        <v/>
      </c>
      <c r="W281">
        <f>MIN(Plan!E9,U281+V281)</f>
        <v/>
      </c>
      <c r="X281">
        <f>U281+V281-W281</f>
        <v/>
      </c>
      <c r="Y281">
        <f>MIN(X281,MAX(0,$B281-((E$5&lt;W$5)*F281+(K$5&lt;W$5)*L281+(Q$5&lt;W$5)*R281+(AC$5&lt;W$5)*AD281+(AI$5&lt;W$5)*AJ281+(AO$5&lt;W$5)*AP281+(AU$5&lt;W$5)*AV281)))</f>
        <v/>
      </c>
      <c r="Z281">
        <f>IF(X281-Y281&lt;0.005,0,X281-Y281)</f>
        <v/>
      </c>
      <c r="AA281">
        <f>AF280</f>
        <v/>
      </c>
      <c r="AB281">
        <f>AA281*Plan!D10/100/12</f>
        <v/>
      </c>
      <c r="AC281">
        <f>MIN(Plan!E10,AA281+AB281)</f>
        <v/>
      </c>
      <c r="AD281">
        <f>AA281+AB281-AC281</f>
        <v/>
      </c>
      <c r="AE281">
        <f>MIN(AD281,MAX(0,$B281-((E$5&lt;AC$5)*F281+(K$5&lt;AC$5)*L281+(Q$5&lt;AC$5)*R281+(W$5&lt;AC$5)*X281+(AI$5&lt;AC$5)*AJ281+(AO$5&lt;AC$5)*AP281+(AU$5&lt;AC$5)*AV281)))</f>
        <v/>
      </c>
      <c r="AF281">
        <f>IF(AD281-AE281&lt;0.005,0,AD281-AE281)</f>
        <v/>
      </c>
      <c r="AG281">
        <f>AL280</f>
        <v/>
      </c>
      <c r="AH281">
        <f>AG281*Plan!D11/100/12</f>
        <v/>
      </c>
      <c r="AI281">
        <f>MIN(Plan!E11,AG281+AH281)</f>
        <v/>
      </c>
      <c r="AJ281">
        <f>AG281+AH281-AI281</f>
        <v/>
      </c>
      <c r="AK281">
        <f>MIN(AJ281,MAX(0,$B281-((E$5&lt;AI$5)*F281+(K$5&lt;AI$5)*L281+(Q$5&lt;AI$5)*R281+(W$5&lt;AI$5)*X281+(AC$5&lt;AI$5)*AD281+(AO$5&lt;AI$5)*AP281+(AU$5&lt;AI$5)*AV281)))</f>
        <v/>
      </c>
      <c r="AL281">
        <f>IF(AJ281-AK281&lt;0.005,0,AJ281-AK281)</f>
        <v/>
      </c>
      <c r="AM281">
        <f>AR280</f>
        <v/>
      </c>
      <c r="AN281">
        <f>AM281*Plan!D12/100/12</f>
        <v/>
      </c>
      <c r="AO281">
        <f>MIN(Plan!E12,AM281+AN281)</f>
        <v/>
      </c>
      <c r="AP281">
        <f>AM281+AN281-AO281</f>
        <v/>
      </c>
      <c r="AQ281">
        <f>MIN(AP281,MAX(0,$B281-((E$5&lt;AO$5)*F281+(K$5&lt;AO$5)*L281+(Q$5&lt;AO$5)*R281+(W$5&lt;AO$5)*X281+(AC$5&lt;AO$5)*AD281+(AI$5&lt;AO$5)*AJ281+(AU$5&lt;AO$5)*AV281)))</f>
        <v/>
      </c>
      <c r="AR281">
        <f>IF(AP281-AQ281&lt;0.005,0,AP281-AQ281)</f>
        <v/>
      </c>
      <c r="AS281">
        <f>AX280</f>
        <v/>
      </c>
      <c r="AT281">
        <f>AS281*Plan!D13/100/12</f>
        <v/>
      </c>
      <c r="AU281">
        <f>MIN(Plan!E13,AS281+AT281)</f>
        <v/>
      </c>
      <c r="AV281">
        <f>AS281+AT281-AU281</f>
        <v/>
      </c>
      <c r="AW281">
        <f>MIN(AV281,MAX(0,$B281-((E$5&lt;AU$5)*F281+(K$5&lt;AU$5)*L281+(Q$5&lt;AU$5)*R281+(W$5&lt;AU$5)*X281+(AC$5&lt;AU$5)*AD281+(AI$5&lt;AU$5)*AJ281+(AO$5&lt;AU$5)*AP281)))</f>
        <v/>
      </c>
      <c r="AX281">
        <f>IF(AV281-AW281&lt;0.005,0,AV281-AW281)</f>
        <v/>
      </c>
      <c r="BC281">
        <f>H281+N281+T281+Z281+AF281+AL281+AR281+AX281</f>
        <v/>
      </c>
    </row>
    <row r="282">
      <c r="A282" t="n">
        <v>276</v>
      </c>
      <c r="B282" s="19">
        <f>MAX(0,$B$3-(E282+K282+Q282+W282+AC282+AI282+AO282+AU282))</f>
        <v/>
      </c>
      <c r="C282">
        <f>H281</f>
        <v/>
      </c>
      <c r="D282">
        <f>C282*Plan!D6/100/12</f>
        <v/>
      </c>
      <c r="E282">
        <f>MIN(Plan!E6,C282+D282)</f>
        <v/>
      </c>
      <c r="F282">
        <f>C282+D282-E282</f>
        <v/>
      </c>
      <c r="G282">
        <f>MIN(F282,MAX(0,$B282-((K$5&lt;E$5)*L282+(Q$5&lt;E$5)*R282+(W$5&lt;E$5)*X282+(AC$5&lt;E$5)*AD282+(AI$5&lt;E$5)*AJ282+(AO$5&lt;E$5)*AP282+(AU$5&lt;E$5)*AV282)))</f>
        <v/>
      </c>
      <c r="H282">
        <f>IF(F282-G282&lt;0.005,0,F282-G282)</f>
        <v/>
      </c>
      <c r="I282">
        <f>N281</f>
        <v/>
      </c>
      <c r="J282">
        <f>I282*Plan!D7/100/12</f>
        <v/>
      </c>
      <c r="K282">
        <f>MIN(Plan!E7,I282+J282)</f>
        <v/>
      </c>
      <c r="L282">
        <f>I282+J282-K282</f>
        <v/>
      </c>
      <c r="M282">
        <f>MIN(L282,MAX(0,$B282-((E$5&lt;K$5)*F282+(Q$5&lt;K$5)*R282+(W$5&lt;K$5)*X282+(AC$5&lt;K$5)*AD282+(AI$5&lt;K$5)*AJ282+(AO$5&lt;K$5)*AP282+(AU$5&lt;K$5)*AV282)))</f>
        <v/>
      </c>
      <c r="N282">
        <f>IF(L282-M282&lt;0.005,0,L282-M282)</f>
        <v/>
      </c>
      <c r="O282">
        <f>T281</f>
        <v/>
      </c>
      <c r="P282">
        <f>O282*Plan!D8/100/12</f>
        <v/>
      </c>
      <c r="Q282">
        <f>MIN(Plan!E8,O282+P282)</f>
        <v/>
      </c>
      <c r="R282">
        <f>O282+P282-Q282</f>
        <v/>
      </c>
      <c r="S282">
        <f>MIN(R282,MAX(0,$B282-((E$5&lt;Q$5)*F282+(K$5&lt;Q$5)*L282+(W$5&lt;Q$5)*X282+(AC$5&lt;Q$5)*AD282+(AI$5&lt;Q$5)*AJ282+(AO$5&lt;Q$5)*AP282+(AU$5&lt;Q$5)*AV282)))</f>
        <v/>
      </c>
      <c r="T282">
        <f>IF(R282-S282&lt;0.005,0,R282-S282)</f>
        <v/>
      </c>
      <c r="U282">
        <f>Z281</f>
        <v/>
      </c>
      <c r="V282">
        <f>U282*Plan!D9/100/12</f>
        <v/>
      </c>
      <c r="W282">
        <f>MIN(Plan!E9,U282+V282)</f>
        <v/>
      </c>
      <c r="X282">
        <f>U282+V282-W282</f>
        <v/>
      </c>
      <c r="Y282">
        <f>MIN(X282,MAX(0,$B282-((E$5&lt;W$5)*F282+(K$5&lt;W$5)*L282+(Q$5&lt;W$5)*R282+(AC$5&lt;W$5)*AD282+(AI$5&lt;W$5)*AJ282+(AO$5&lt;W$5)*AP282+(AU$5&lt;W$5)*AV282)))</f>
        <v/>
      </c>
      <c r="Z282">
        <f>IF(X282-Y282&lt;0.005,0,X282-Y282)</f>
        <v/>
      </c>
      <c r="AA282">
        <f>AF281</f>
        <v/>
      </c>
      <c r="AB282">
        <f>AA282*Plan!D10/100/12</f>
        <v/>
      </c>
      <c r="AC282">
        <f>MIN(Plan!E10,AA282+AB282)</f>
        <v/>
      </c>
      <c r="AD282">
        <f>AA282+AB282-AC282</f>
        <v/>
      </c>
      <c r="AE282">
        <f>MIN(AD282,MAX(0,$B282-((E$5&lt;AC$5)*F282+(K$5&lt;AC$5)*L282+(Q$5&lt;AC$5)*R282+(W$5&lt;AC$5)*X282+(AI$5&lt;AC$5)*AJ282+(AO$5&lt;AC$5)*AP282+(AU$5&lt;AC$5)*AV282)))</f>
        <v/>
      </c>
      <c r="AF282">
        <f>IF(AD282-AE282&lt;0.005,0,AD282-AE282)</f>
        <v/>
      </c>
      <c r="AG282">
        <f>AL281</f>
        <v/>
      </c>
      <c r="AH282">
        <f>AG282*Plan!D11/100/12</f>
        <v/>
      </c>
      <c r="AI282">
        <f>MIN(Plan!E11,AG282+AH282)</f>
        <v/>
      </c>
      <c r="AJ282">
        <f>AG282+AH282-AI282</f>
        <v/>
      </c>
      <c r="AK282">
        <f>MIN(AJ282,MAX(0,$B282-((E$5&lt;AI$5)*F282+(K$5&lt;AI$5)*L282+(Q$5&lt;AI$5)*R282+(W$5&lt;AI$5)*X282+(AC$5&lt;AI$5)*AD282+(AO$5&lt;AI$5)*AP282+(AU$5&lt;AI$5)*AV282)))</f>
        <v/>
      </c>
      <c r="AL282">
        <f>IF(AJ282-AK282&lt;0.005,0,AJ282-AK282)</f>
        <v/>
      </c>
      <c r="AM282">
        <f>AR281</f>
        <v/>
      </c>
      <c r="AN282">
        <f>AM282*Plan!D12/100/12</f>
        <v/>
      </c>
      <c r="AO282">
        <f>MIN(Plan!E12,AM282+AN282)</f>
        <v/>
      </c>
      <c r="AP282">
        <f>AM282+AN282-AO282</f>
        <v/>
      </c>
      <c r="AQ282">
        <f>MIN(AP282,MAX(0,$B282-((E$5&lt;AO$5)*F282+(K$5&lt;AO$5)*L282+(Q$5&lt;AO$5)*R282+(W$5&lt;AO$5)*X282+(AC$5&lt;AO$5)*AD282+(AI$5&lt;AO$5)*AJ282+(AU$5&lt;AO$5)*AV282)))</f>
        <v/>
      </c>
      <c r="AR282">
        <f>IF(AP282-AQ282&lt;0.005,0,AP282-AQ282)</f>
        <v/>
      </c>
      <c r="AS282">
        <f>AX281</f>
        <v/>
      </c>
      <c r="AT282">
        <f>AS282*Plan!D13/100/12</f>
        <v/>
      </c>
      <c r="AU282">
        <f>MIN(Plan!E13,AS282+AT282)</f>
        <v/>
      </c>
      <c r="AV282">
        <f>AS282+AT282-AU282</f>
        <v/>
      </c>
      <c r="AW282">
        <f>MIN(AV282,MAX(0,$B282-((E$5&lt;AU$5)*F282+(K$5&lt;AU$5)*L282+(Q$5&lt;AU$5)*R282+(W$5&lt;AU$5)*X282+(AC$5&lt;AU$5)*AD282+(AI$5&lt;AU$5)*AJ282+(AO$5&lt;AU$5)*AP282)))</f>
        <v/>
      </c>
      <c r="AX282">
        <f>IF(AV282-AW282&lt;0.005,0,AV282-AW282)</f>
        <v/>
      </c>
      <c r="BC282">
        <f>H282+N282+T282+Z282+AF282+AL282+AR282+AX282</f>
        <v/>
      </c>
    </row>
    <row r="283">
      <c r="A283" t="n">
        <v>277</v>
      </c>
      <c r="B283" s="19">
        <f>MAX(0,$B$3-(E283+K283+Q283+W283+AC283+AI283+AO283+AU283))</f>
        <v/>
      </c>
      <c r="C283">
        <f>H282</f>
        <v/>
      </c>
      <c r="D283">
        <f>C283*Plan!D6/100/12</f>
        <v/>
      </c>
      <c r="E283">
        <f>MIN(Plan!E6,C283+D283)</f>
        <v/>
      </c>
      <c r="F283">
        <f>C283+D283-E283</f>
        <v/>
      </c>
      <c r="G283">
        <f>MIN(F283,MAX(0,$B283-((K$5&lt;E$5)*L283+(Q$5&lt;E$5)*R283+(W$5&lt;E$5)*X283+(AC$5&lt;E$5)*AD283+(AI$5&lt;E$5)*AJ283+(AO$5&lt;E$5)*AP283+(AU$5&lt;E$5)*AV283)))</f>
        <v/>
      </c>
      <c r="H283">
        <f>IF(F283-G283&lt;0.005,0,F283-G283)</f>
        <v/>
      </c>
      <c r="I283">
        <f>N282</f>
        <v/>
      </c>
      <c r="J283">
        <f>I283*Plan!D7/100/12</f>
        <v/>
      </c>
      <c r="K283">
        <f>MIN(Plan!E7,I283+J283)</f>
        <v/>
      </c>
      <c r="L283">
        <f>I283+J283-K283</f>
        <v/>
      </c>
      <c r="M283">
        <f>MIN(L283,MAX(0,$B283-((E$5&lt;K$5)*F283+(Q$5&lt;K$5)*R283+(W$5&lt;K$5)*X283+(AC$5&lt;K$5)*AD283+(AI$5&lt;K$5)*AJ283+(AO$5&lt;K$5)*AP283+(AU$5&lt;K$5)*AV283)))</f>
        <v/>
      </c>
      <c r="N283">
        <f>IF(L283-M283&lt;0.005,0,L283-M283)</f>
        <v/>
      </c>
      <c r="O283">
        <f>T282</f>
        <v/>
      </c>
      <c r="P283">
        <f>O283*Plan!D8/100/12</f>
        <v/>
      </c>
      <c r="Q283">
        <f>MIN(Plan!E8,O283+P283)</f>
        <v/>
      </c>
      <c r="R283">
        <f>O283+P283-Q283</f>
        <v/>
      </c>
      <c r="S283">
        <f>MIN(R283,MAX(0,$B283-((E$5&lt;Q$5)*F283+(K$5&lt;Q$5)*L283+(W$5&lt;Q$5)*X283+(AC$5&lt;Q$5)*AD283+(AI$5&lt;Q$5)*AJ283+(AO$5&lt;Q$5)*AP283+(AU$5&lt;Q$5)*AV283)))</f>
        <v/>
      </c>
      <c r="T283">
        <f>IF(R283-S283&lt;0.005,0,R283-S283)</f>
        <v/>
      </c>
      <c r="U283">
        <f>Z282</f>
        <v/>
      </c>
      <c r="V283">
        <f>U283*Plan!D9/100/12</f>
        <v/>
      </c>
      <c r="W283">
        <f>MIN(Plan!E9,U283+V283)</f>
        <v/>
      </c>
      <c r="X283">
        <f>U283+V283-W283</f>
        <v/>
      </c>
      <c r="Y283">
        <f>MIN(X283,MAX(0,$B283-((E$5&lt;W$5)*F283+(K$5&lt;W$5)*L283+(Q$5&lt;W$5)*R283+(AC$5&lt;W$5)*AD283+(AI$5&lt;W$5)*AJ283+(AO$5&lt;W$5)*AP283+(AU$5&lt;W$5)*AV283)))</f>
        <v/>
      </c>
      <c r="Z283">
        <f>IF(X283-Y283&lt;0.005,0,X283-Y283)</f>
        <v/>
      </c>
      <c r="AA283">
        <f>AF282</f>
        <v/>
      </c>
      <c r="AB283">
        <f>AA283*Plan!D10/100/12</f>
        <v/>
      </c>
      <c r="AC283">
        <f>MIN(Plan!E10,AA283+AB283)</f>
        <v/>
      </c>
      <c r="AD283">
        <f>AA283+AB283-AC283</f>
        <v/>
      </c>
      <c r="AE283">
        <f>MIN(AD283,MAX(0,$B283-((E$5&lt;AC$5)*F283+(K$5&lt;AC$5)*L283+(Q$5&lt;AC$5)*R283+(W$5&lt;AC$5)*X283+(AI$5&lt;AC$5)*AJ283+(AO$5&lt;AC$5)*AP283+(AU$5&lt;AC$5)*AV283)))</f>
        <v/>
      </c>
      <c r="AF283">
        <f>IF(AD283-AE283&lt;0.005,0,AD283-AE283)</f>
        <v/>
      </c>
      <c r="AG283">
        <f>AL282</f>
        <v/>
      </c>
      <c r="AH283">
        <f>AG283*Plan!D11/100/12</f>
        <v/>
      </c>
      <c r="AI283">
        <f>MIN(Plan!E11,AG283+AH283)</f>
        <v/>
      </c>
      <c r="AJ283">
        <f>AG283+AH283-AI283</f>
        <v/>
      </c>
      <c r="AK283">
        <f>MIN(AJ283,MAX(0,$B283-((E$5&lt;AI$5)*F283+(K$5&lt;AI$5)*L283+(Q$5&lt;AI$5)*R283+(W$5&lt;AI$5)*X283+(AC$5&lt;AI$5)*AD283+(AO$5&lt;AI$5)*AP283+(AU$5&lt;AI$5)*AV283)))</f>
        <v/>
      </c>
      <c r="AL283">
        <f>IF(AJ283-AK283&lt;0.005,0,AJ283-AK283)</f>
        <v/>
      </c>
      <c r="AM283">
        <f>AR282</f>
        <v/>
      </c>
      <c r="AN283">
        <f>AM283*Plan!D12/100/12</f>
        <v/>
      </c>
      <c r="AO283">
        <f>MIN(Plan!E12,AM283+AN283)</f>
        <v/>
      </c>
      <c r="AP283">
        <f>AM283+AN283-AO283</f>
        <v/>
      </c>
      <c r="AQ283">
        <f>MIN(AP283,MAX(0,$B283-((E$5&lt;AO$5)*F283+(K$5&lt;AO$5)*L283+(Q$5&lt;AO$5)*R283+(W$5&lt;AO$5)*X283+(AC$5&lt;AO$5)*AD283+(AI$5&lt;AO$5)*AJ283+(AU$5&lt;AO$5)*AV283)))</f>
        <v/>
      </c>
      <c r="AR283">
        <f>IF(AP283-AQ283&lt;0.005,0,AP283-AQ283)</f>
        <v/>
      </c>
      <c r="AS283">
        <f>AX282</f>
        <v/>
      </c>
      <c r="AT283">
        <f>AS283*Plan!D13/100/12</f>
        <v/>
      </c>
      <c r="AU283">
        <f>MIN(Plan!E13,AS283+AT283)</f>
        <v/>
      </c>
      <c r="AV283">
        <f>AS283+AT283-AU283</f>
        <v/>
      </c>
      <c r="AW283">
        <f>MIN(AV283,MAX(0,$B283-((E$5&lt;AU$5)*F283+(K$5&lt;AU$5)*L283+(Q$5&lt;AU$5)*R283+(W$5&lt;AU$5)*X283+(AC$5&lt;AU$5)*AD283+(AI$5&lt;AU$5)*AJ283+(AO$5&lt;AU$5)*AP283)))</f>
        <v/>
      </c>
      <c r="AX283">
        <f>IF(AV283-AW283&lt;0.005,0,AV283-AW283)</f>
        <v/>
      </c>
      <c r="BC283">
        <f>H283+N283+T283+Z283+AF283+AL283+AR283+AX283</f>
        <v/>
      </c>
    </row>
    <row r="284">
      <c r="A284" t="n">
        <v>278</v>
      </c>
      <c r="B284" s="19">
        <f>MAX(0,$B$3-(E284+K284+Q284+W284+AC284+AI284+AO284+AU284))</f>
        <v/>
      </c>
      <c r="C284">
        <f>H283</f>
        <v/>
      </c>
      <c r="D284">
        <f>C284*Plan!D6/100/12</f>
        <v/>
      </c>
      <c r="E284">
        <f>MIN(Plan!E6,C284+D284)</f>
        <v/>
      </c>
      <c r="F284">
        <f>C284+D284-E284</f>
        <v/>
      </c>
      <c r="G284">
        <f>MIN(F284,MAX(0,$B284-((K$5&lt;E$5)*L284+(Q$5&lt;E$5)*R284+(W$5&lt;E$5)*X284+(AC$5&lt;E$5)*AD284+(AI$5&lt;E$5)*AJ284+(AO$5&lt;E$5)*AP284+(AU$5&lt;E$5)*AV284)))</f>
        <v/>
      </c>
      <c r="H284">
        <f>IF(F284-G284&lt;0.005,0,F284-G284)</f>
        <v/>
      </c>
      <c r="I284">
        <f>N283</f>
        <v/>
      </c>
      <c r="J284">
        <f>I284*Plan!D7/100/12</f>
        <v/>
      </c>
      <c r="K284">
        <f>MIN(Plan!E7,I284+J284)</f>
        <v/>
      </c>
      <c r="L284">
        <f>I284+J284-K284</f>
        <v/>
      </c>
      <c r="M284">
        <f>MIN(L284,MAX(0,$B284-((E$5&lt;K$5)*F284+(Q$5&lt;K$5)*R284+(W$5&lt;K$5)*X284+(AC$5&lt;K$5)*AD284+(AI$5&lt;K$5)*AJ284+(AO$5&lt;K$5)*AP284+(AU$5&lt;K$5)*AV284)))</f>
        <v/>
      </c>
      <c r="N284">
        <f>IF(L284-M284&lt;0.005,0,L284-M284)</f>
        <v/>
      </c>
      <c r="O284">
        <f>T283</f>
        <v/>
      </c>
      <c r="P284">
        <f>O284*Plan!D8/100/12</f>
        <v/>
      </c>
      <c r="Q284">
        <f>MIN(Plan!E8,O284+P284)</f>
        <v/>
      </c>
      <c r="R284">
        <f>O284+P284-Q284</f>
        <v/>
      </c>
      <c r="S284">
        <f>MIN(R284,MAX(0,$B284-((E$5&lt;Q$5)*F284+(K$5&lt;Q$5)*L284+(W$5&lt;Q$5)*X284+(AC$5&lt;Q$5)*AD284+(AI$5&lt;Q$5)*AJ284+(AO$5&lt;Q$5)*AP284+(AU$5&lt;Q$5)*AV284)))</f>
        <v/>
      </c>
      <c r="T284">
        <f>IF(R284-S284&lt;0.005,0,R284-S284)</f>
        <v/>
      </c>
      <c r="U284">
        <f>Z283</f>
        <v/>
      </c>
      <c r="V284">
        <f>U284*Plan!D9/100/12</f>
        <v/>
      </c>
      <c r="W284">
        <f>MIN(Plan!E9,U284+V284)</f>
        <v/>
      </c>
      <c r="X284">
        <f>U284+V284-W284</f>
        <v/>
      </c>
      <c r="Y284">
        <f>MIN(X284,MAX(0,$B284-((E$5&lt;W$5)*F284+(K$5&lt;W$5)*L284+(Q$5&lt;W$5)*R284+(AC$5&lt;W$5)*AD284+(AI$5&lt;W$5)*AJ284+(AO$5&lt;W$5)*AP284+(AU$5&lt;W$5)*AV284)))</f>
        <v/>
      </c>
      <c r="Z284">
        <f>IF(X284-Y284&lt;0.005,0,X284-Y284)</f>
        <v/>
      </c>
      <c r="AA284">
        <f>AF283</f>
        <v/>
      </c>
      <c r="AB284">
        <f>AA284*Plan!D10/100/12</f>
        <v/>
      </c>
      <c r="AC284">
        <f>MIN(Plan!E10,AA284+AB284)</f>
        <v/>
      </c>
      <c r="AD284">
        <f>AA284+AB284-AC284</f>
        <v/>
      </c>
      <c r="AE284">
        <f>MIN(AD284,MAX(0,$B284-((E$5&lt;AC$5)*F284+(K$5&lt;AC$5)*L284+(Q$5&lt;AC$5)*R284+(W$5&lt;AC$5)*X284+(AI$5&lt;AC$5)*AJ284+(AO$5&lt;AC$5)*AP284+(AU$5&lt;AC$5)*AV284)))</f>
        <v/>
      </c>
      <c r="AF284">
        <f>IF(AD284-AE284&lt;0.005,0,AD284-AE284)</f>
        <v/>
      </c>
      <c r="AG284">
        <f>AL283</f>
        <v/>
      </c>
      <c r="AH284">
        <f>AG284*Plan!D11/100/12</f>
        <v/>
      </c>
      <c r="AI284">
        <f>MIN(Plan!E11,AG284+AH284)</f>
        <v/>
      </c>
      <c r="AJ284">
        <f>AG284+AH284-AI284</f>
        <v/>
      </c>
      <c r="AK284">
        <f>MIN(AJ284,MAX(0,$B284-((E$5&lt;AI$5)*F284+(K$5&lt;AI$5)*L284+(Q$5&lt;AI$5)*R284+(W$5&lt;AI$5)*X284+(AC$5&lt;AI$5)*AD284+(AO$5&lt;AI$5)*AP284+(AU$5&lt;AI$5)*AV284)))</f>
        <v/>
      </c>
      <c r="AL284">
        <f>IF(AJ284-AK284&lt;0.005,0,AJ284-AK284)</f>
        <v/>
      </c>
      <c r="AM284">
        <f>AR283</f>
        <v/>
      </c>
      <c r="AN284">
        <f>AM284*Plan!D12/100/12</f>
        <v/>
      </c>
      <c r="AO284">
        <f>MIN(Plan!E12,AM284+AN284)</f>
        <v/>
      </c>
      <c r="AP284">
        <f>AM284+AN284-AO284</f>
        <v/>
      </c>
      <c r="AQ284">
        <f>MIN(AP284,MAX(0,$B284-((E$5&lt;AO$5)*F284+(K$5&lt;AO$5)*L284+(Q$5&lt;AO$5)*R284+(W$5&lt;AO$5)*X284+(AC$5&lt;AO$5)*AD284+(AI$5&lt;AO$5)*AJ284+(AU$5&lt;AO$5)*AV284)))</f>
        <v/>
      </c>
      <c r="AR284">
        <f>IF(AP284-AQ284&lt;0.005,0,AP284-AQ284)</f>
        <v/>
      </c>
      <c r="AS284">
        <f>AX283</f>
        <v/>
      </c>
      <c r="AT284">
        <f>AS284*Plan!D13/100/12</f>
        <v/>
      </c>
      <c r="AU284">
        <f>MIN(Plan!E13,AS284+AT284)</f>
        <v/>
      </c>
      <c r="AV284">
        <f>AS284+AT284-AU284</f>
        <v/>
      </c>
      <c r="AW284">
        <f>MIN(AV284,MAX(0,$B284-((E$5&lt;AU$5)*F284+(K$5&lt;AU$5)*L284+(Q$5&lt;AU$5)*R284+(W$5&lt;AU$5)*X284+(AC$5&lt;AU$5)*AD284+(AI$5&lt;AU$5)*AJ284+(AO$5&lt;AU$5)*AP284)))</f>
        <v/>
      </c>
      <c r="AX284">
        <f>IF(AV284-AW284&lt;0.005,0,AV284-AW284)</f>
        <v/>
      </c>
      <c r="BC284">
        <f>H284+N284+T284+Z284+AF284+AL284+AR284+AX284</f>
        <v/>
      </c>
    </row>
    <row r="285">
      <c r="A285" t="n">
        <v>279</v>
      </c>
      <c r="B285" s="19">
        <f>MAX(0,$B$3-(E285+K285+Q285+W285+AC285+AI285+AO285+AU285))</f>
        <v/>
      </c>
      <c r="C285">
        <f>H284</f>
        <v/>
      </c>
      <c r="D285">
        <f>C285*Plan!D6/100/12</f>
        <v/>
      </c>
      <c r="E285">
        <f>MIN(Plan!E6,C285+D285)</f>
        <v/>
      </c>
      <c r="F285">
        <f>C285+D285-E285</f>
        <v/>
      </c>
      <c r="G285">
        <f>MIN(F285,MAX(0,$B285-((K$5&lt;E$5)*L285+(Q$5&lt;E$5)*R285+(W$5&lt;E$5)*X285+(AC$5&lt;E$5)*AD285+(AI$5&lt;E$5)*AJ285+(AO$5&lt;E$5)*AP285+(AU$5&lt;E$5)*AV285)))</f>
        <v/>
      </c>
      <c r="H285">
        <f>IF(F285-G285&lt;0.005,0,F285-G285)</f>
        <v/>
      </c>
      <c r="I285">
        <f>N284</f>
        <v/>
      </c>
      <c r="J285">
        <f>I285*Plan!D7/100/12</f>
        <v/>
      </c>
      <c r="K285">
        <f>MIN(Plan!E7,I285+J285)</f>
        <v/>
      </c>
      <c r="L285">
        <f>I285+J285-K285</f>
        <v/>
      </c>
      <c r="M285">
        <f>MIN(L285,MAX(0,$B285-((E$5&lt;K$5)*F285+(Q$5&lt;K$5)*R285+(W$5&lt;K$5)*X285+(AC$5&lt;K$5)*AD285+(AI$5&lt;K$5)*AJ285+(AO$5&lt;K$5)*AP285+(AU$5&lt;K$5)*AV285)))</f>
        <v/>
      </c>
      <c r="N285">
        <f>IF(L285-M285&lt;0.005,0,L285-M285)</f>
        <v/>
      </c>
      <c r="O285">
        <f>T284</f>
        <v/>
      </c>
      <c r="P285">
        <f>O285*Plan!D8/100/12</f>
        <v/>
      </c>
      <c r="Q285">
        <f>MIN(Plan!E8,O285+P285)</f>
        <v/>
      </c>
      <c r="R285">
        <f>O285+P285-Q285</f>
        <v/>
      </c>
      <c r="S285">
        <f>MIN(R285,MAX(0,$B285-((E$5&lt;Q$5)*F285+(K$5&lt;Q$5)*L285+(W$5&lt;Q$5)*X285+(AC$5&lt;Q$5)*AD285+(AI$5&lt;Q$5)*AJ285+(AO$5&lt;Q$5)*AP285+(AU$5&lt;Q$5)*AV285)))</f>
        <v/>
      </c>
      <c r="T285">
        <f>IF(R285-S285&lt;0.005,0,R285-S285)</f>
        <v/>
      </c>
      <c r="U285">
        <f>Z284</f>
        <v/>
      </c>
      <c r="V285">
        <f>U285*Plan!D9/100/12</f>
        <v/>
      </c>
      <c r="W285">
        <f>MIN(Plan!E9,U285+V285)</f>
        <v/>
      </c>
      <c r="X285">
        <f>U285+V285-W285</f>
        <v/>
      </c>
      <c r="Y285">
        <f>MIN(X285,MAX(0,$B285-((E$5&lt;W$5)*F285+(K$5&lt;W$5)*L285+(Q$5&lt;W$5)*R285+(AC$5&lt;W$5)*AD285+(AI$5&lt;W$5)*AJ285+(AO$5&lt;W$5)*AP285+(AU$5&lt;W$5)*AV285)))</f>
        <v/>
      </c>
      <c r="Z285">
        <f>IF(X285-Y285&lt;0.005,0,X285-Y285)</f>
        <v/>
      </c>
      <c r="AA285">
        <f>AF284</f>
        <v/>
      </c>
      <c r="AB285">
        <f>AA285*Plan!D10/100/12</f>
        <v/>
      </c>
      <c r="AC285">
        <f>MIN(Plan!E10,AA285+AB285)</f>
        <v/>
      </c>
      <c r="AD285">
        <f>AA285+AB285-AC285</f>
        <v/>
      </c>
      <c r="AE285">
        <f>MIN(AD285,MAX(0,$B285-((E$5&lt;AC$5)*F285+(K$5&lt;AC$5)*L285+(Q$5&lt;AC$5)*R285+(W$5&lt;AC$5)*X285+(AI$5&lt;AC$5)*AJ285+(AO$5&lt;AC$5)*AP285+(AU$5&lt;AC$5)*AV285)))</f>
        <v/>
      </c>
      <c r="AF285">
        <f>IF(AD285-AE285&lt;0.005,0,AD285-AE285)</f>
        <v/>
      </c>
      <c r="AG285">
        <f>AL284</f>
        <v/>
      </c>
      <c r="AH285">
        <f>AG285*Plan!D11/100/12</f>
        <v/>
      </c>
      <c r="AI285">
        <f>MIN(Plan!E11,AG285+AH285)</f>
        <v/>
      </c>
      <c r="AJ285">
        <f>AG285+AH285-AI285</f>
        <v/>
      </c>
      <c r="AK285">
        <f>MIN(AJ285,MAX(0,$B285-((E$5&lt;AI$5)*F285+(K$5&lt;AI$5)*L285+(Q$5&lt;AI$5)*R285+(W$5&lt;AI$5)*X285+(AC$5&lt;AI$5)*AD285+(AO$5&lt;AI$5)*AP285+(AU$5&lt;AI$5)*AV285)))</f>
        <v/>
      </c>
      <c r="AL285">
        <f>IF(AJ285-AK285&lt;0.005,0,AJ285-AK285)</f>
        <v/>
      </c>
      <c r="AM285">
        <f>AR284</f>
        <v/>
      </c>
      <c r="AN285">
        <f>AM285*Plan!D12/100/12</f>
        <v/>
      </c>
      <c r="AO285">
        <f>MIN(Plan!E12,AM285+AN285)</f>
        <v/>
      </c>
      <c r="AP285">
        <f>AM285+AN285-AO285</f>
        <v/>
      </c>
      <c r="AQ285">
        <f>MIN(AP285,MAX(0,$B285-((E$5&lt;AO$5)*F285+(K$5&lt;AO$5)*L285+(Q$5&lt;AO$5)*R285+(W$5&lt;AO$5)*X285+(AC$5&lt;AO$5)*AD285+(AI$5&lt;AO$5)*AJ285+(AU$5&lt;AO$5)*AV285)))</f>
        <v/>
      </c>
      <c r="AR285">
        <f>IF(AP285-AQ285&lt;0.005,0,AP285-AQ285)</f>
        <v/>
      </c>
      <c r="AS285">
        <f>AX284</f>
        <v/>
      </c>
      <c r="AT285">
        <f>AS285*Plan!D13/100/12</f>
        <v/>
      </c>
      <c r="AU285">
        <f>MIN(Plan!E13,AS285+AT285)</f>
        <v/>
      </c>
      <c r="AV285">
        <f>AS285+AT285-AU285</f>
        <v/>
      </c>
      <c r="AW285">
        <f>MIN(AV285,MAX(0,$B285-((E$5&lt;AU$5)*F285+(K$5&lt;AU$5)*L285+(Q$5&lt;AU$5)*R285+(W$5&lt;AU$5)*X285+(AC$5&lt;AU$5)*AD285+(AI$5&lt;AU$5)*AJ285+(AO$5&lt;AU$5)*AP285)))</f>
        <v/>
      </c>
      <c r="AX285">
        <f>IF(AV285-AW285&lt;0.005,0,AV285-AW285)</f>
        <v/>
      </c>
      <c r="BC285">
        <f>H285+N285+T285+Z285+AF285+AL285+AR285+AX285</f>
        <v/>
      </c>
    </row>
    <row r="286">
      <c r="A286" t="n">
        <v>280</v>
      </c>
      <c r="B286" s="19">
        <f>MAX(0,$B$3-(E286+K286+Q286+W286+AC286+AI286+AO286+AU286))</f>
        <v/>
      </c>
      <c r="C286">
        <f>H285</f>
        <v/>
      </c>
      <c r="D286">
        <f>C286*Plan!D6/100/12</f>
        <v/>
      </c>
      <c r="E286">
        <f>MIN(Plan!E6,C286+D286)</f>
        <v/>
      </c>
      <c r="F286">
        <f>C286+D286-E286</f>
        <v/>
      </c>
      <c r="G286">
        <f>MIN(F286,MAX(0,$B286-((K$5&lt;E$5)*L286+(Q$5&lt;E$5)*R286+(W$5&lt;E$5)*X286+(AC$5&lt;E$5)*AD286+(AI$5&lt;E$5)*AJ286+(AO$5&lt;E$5)*AP286+(AU$5&lt;E$5)*AV286)))</f>
        <v/>
      </c>
      <c r="H286">
        <f>IF(F286-G286&lt;0.005,0,F286-G286)</f>
        <v/>
      </c>
      <c r="I286">
        <f>N285</f>
        <v/>
      </c>
      <c r="J286">
        <f>I286*Plan!D7/100/12</f>
        <v/>
      </c>
      <c r="K286">
        <f>MIN(Plan!E7,I286+J286)</f>
        <v/>
      </c>
      <c r="L286">
        <f>I286+J286-K286</f>
        <v/>
      </c>
      <c r="M286">
        <f>MIN(L286,MAX(0,$B286-((E$5&lt;K$5)*F286+(Q$5&lt;K$5)*R286+(W$5&lt;K$5)*X286+(AC$5&lt;K$5)*AD286+(AI$5&lt;K$5)*AJ286+(AO$5&lt;K$5)*AP286+(AU$5&lt;K$5)*AV286)))</f>
        <v/>
      </c>
      <c r="N286">
        <f>IF(L286-M286&lt;0.005,0,L286-M286)</f>
        <v/>
      </c>
      <c r="O286">
        <f>T285</f>
        <v/>
      </c>
      <c r="P286">
        <f>O286*Plan!D8/100/12</f>
        <v/>
      </c>
      <c r="Q286">
        <f>MIN(Plan!E8,O286+P286)</f>
        <v/>
      </c>
      <c r="R286">
        <f>O286+P286-Q286</f>
        <v/>
      </c>
      <c r="S286">
        <f>MIN(R286,MAX(0,$B286-((E$5&lt;Q$5)*F286+(K$5&lt;Q$5)*L286+(W$5&lt;Q$5)*X286+(AC$5&lt;Q$5)*AD286+(AI$5&lt;Q$5)*AJ286+(AO$5&lt;Q$5)*AP286+(AU$5&lt;Q$5)*AV286)))</f>
        <v/>
      </c>
      <c r="T286">
        <f>IF(R286-S286&lt;0.005,0,R286-S286)</f>
        <v/>
      </c>
      <c r="U286">
        <f>Z285</f>
        <v/>
      </c>
      <c r="V286">
        <f>U286*Plan!D9/100/12</f>
        <v/>
      </c>
      <c r="W286">
        <f>MIN(Plan!E9,U286+V286)</f>
        <v/>
      </c>
      <c r="X286">
        <f>U286+V286-W286</f>
        <v/>
      </c>
      <c r="Y286">
        <f>MIN(X286,MAX(0,$B286-((E$5&lt;W$5)*F286+(K$5&lt;W$5)*L286+(Q$5&lt;W$5)*R286+(AC$5&lt;W$5)*AD286+(AI$5&lt;W$5)*AJ286+(AO$5&lt;W$5)*AP286+(AU$5&lt;W$5)*AV286)))</f>
        <v/>
      </c>
      <c r="Z286">
        <f>IF(X286-Y286&lt;0.005,0,X286-Y286)</f>
        <v/>
      </c>
      <c r="AA286">
        <f>AF285</f>
        <v/>
      </c>
      <c r="AB286">
        <f>AA286*Plan!D10/100/12</f>
        <v/>
      </c>
      <c r="AC286">
        <f>MIN(Plan!E10,AA286+AB286)</f>
        <v/>
      </c>
      <c r="AD286">
        <f>AA286+AB286-AC286</f>
        <v/>
      </c>
      <c r="AE286">
        <f>MIN(AD286,MAX(0,$B286-((E$5&lt;AC$5)*F286+(K$5&lt;AC$5)*L286+(Q$5&lt;AC$5)*R286+(W$5&lt;AC$5)*X286+(AI$5&lt;AC$5)*AJ286+(AO$5&lt;AC$5)*AP286+(AU$5&lt;AC$5)*AV286)))</f>
        <v/>
      </c>
      <c r="AF286">
        <f>IF(AD286-AE286&lt;0.005,0,AD286-AE286)</f>
        <v/>
      </c>
      <c r="AG286">
        <f>AL285</f>
        <v/>
      </c>
      <c r="AH286">
        <f>AG286*Plan!D11/100/12</f>
        <v/>
      </c>
      <c r="AI286">
        <f>MIN(Plan!E11,AG286+AH286)</f>
        <v/>
      </c>
      <c r="AJ286">
        <f>AG286+AH286-AI286</f>
        <v/>
      </c>
      <c r="AK286">
        <f>MIN(AJ286,MAX(0,$B286-((E$5&lt;AI$5)*F286+(K$5&lt;AI$5)*L286+(Q$5&lt;AI$5)*R286+(W$5&lt;AI$5)*X286+(AC$5&lt;AI$5)*AD286+(AO$5&lt;AI$5)*AP286+(AU$5&lt;AI$5)*AV286)))</f>
        <v/>
      </c>
      <c r="AL286">
        <f>IF(AJ286-AK286&lt;0.005,0,AJ286-AK286)</f>
        <v/>
      </c>
      <c r="AM286">
        <f>AR285</f>
        <v/>
      </c>
      <c r="AN286">
        <f>AM286*Plan!D12/100/12</f>
        <v/>
      </c>
      <c r="AO286">
        <f>MIN(Plan!E12,AM286+AN286)</f>
        <v/>
      </c>
      <c r="AP286">
        <f>AM286+AN286-AO286</f>
        <v/>
      </c>
      <c r="AQ286">
        <f>MIN(AP286,MAX(0,$B286-((E$5&lt;AO$5)*F286+(K$5&lt;AO$5)*L286+(Q$5&lt;AO$5)*R286+(W$5&lt;AO$5)*X286+(AC$5&lt;AO$5)*AD286+(AI$5&lt;AO$5)*AJ286+(AU$5&lt;AO$5)*AV286)))</f>
        <v/>
      </c>
      <c r="AR286">
        <f>IF(AP286-AQ286&lt;0.005,0,AP286-AQ286)</f>
        <v/>
      </c>
      <c r="AS286">
        <f>AX285</f>
        <v/>
      </c>
      <c r="AT286">
        <f>AS286*Plan!D13/100/12</f>
        <v/>
      </c>
      <c r="AU286">
        <f>MIN(Plan!E13,AS286+AT286)</f>
        <v/>
      </c>
      <c r="AV286">
        <f>AS286+AT286-AU286</f>
        <v/>
      </c>
      <c r="AW286">
        <f>MIN(AV286,MAX(0,$B286-((E$5&lt;AU$5)*F286+(K$5&lt;AU$5)*L286+(Q$5&lt;AU$5)*R286+(W$5&lt;AU$5)*X286+(AC$5&lt;AU$5)*AD286+(AI$5&lt;AU$5)*AJ286+(AO$5&lt;AU$5)*AP286)))</f>
        <v/>
      </c>
      <c r="AX286">
        <f>IF(AV286-AW286&lt;0.005,0,AV286-AW286)</f>
        <v/>
      </c>
      <c r="BC286">
        <f>H286+N286+T286+Z286+AF286+AL286+AR286+AX286</f>
        <v/>
      </c>
    </row>
    <row r="287">
      <c r="A287" t="n">
        <v>281</v>
      </c>
      <c r="B287" s="19">
        <f>MAX(0,$B$3-(E287+K287+Q287+W287+AC287+AI287+AO287+AU287))</f>
        <v/>
      </c>
      <c r="C287">
        <f>H286</f>
        <v/>
      </c>
      <c r="D287">
        <f>C287*Plan!D6/100/12</f>
        <v/>
      </c>
      <c r="E287">
        <f>MIN(Plan!E6,C287+D287)</f>
        <v/>
      </c>
      <c r="F287">
        <f>C287+D287-E287</f>
        <v/>
      </c>
      <c r="G287">
        <f>MIN(F287,MAX(0,$B287-((K$5&lt;E$5)*L287+(Q$5&lt;E$5)*R287+(W$5&lt;E$5)*X287+(AC$5&lt;E$5)*AD287+(AI$5&lt;E$5)*AJ287+(AO$5&lt;E$5)*AP287+(AU$5&lt;E$5)*AV287)))</f>
        <v/>
      </c>
      <c r="H287">
        <f>IF(F287-G287&lt;0.005,0,F287-G287)</f>
        <v/>
      </c>
      <c r="I287">
        <f>N286</f>
        <v/>
      </c>
      <c r="J287">
        <f>I287*Plan!D7/100/12</f>
        <v/>
      </c>
      <c r="K287">
        <f>MIN(Plan!E7,I287+J287)</f>
        <v/>
      </c>
      <c r="L287">
        <f>I287+J287-K287</f>
        <v/>
      </c>
      <c r="M287">
        <f>MIN(L287,MAX(0,$B287-((E$5&lt;K$5)*F287+(Q$5&lt;K$5)*R287+(W$5&lt;K$5)*X287+(AC$5&lt;K$5)*AD287+(AI$5&lt;K$5)*AJ287+(AO$5&lt;K$5)*AP287+(AU$5&lt;K$5)*AV287)))</f>
        <v/>
      </c>
      <c r="N287">
        <f>IF(L287-M287&lt;0.005,0,L287-M287)</f>
        <v/>
      </c>
      <c r="O287">
        <f>T286</f>
        <v/>
      </c>
      <c r="P287">
        <f>O287*Plan!D8/100/12</f>
        <v/>
      </c>
      <c r="Q287">
        <f>MIN(Plan!E8,O287+P287)</f>
        <v/>
      </c>
      <c r="R287">
        <f>O287+P287-Q287</f>
        <v/>
      </c>
      <c r="S287">
        <f>MIN(R287,MAX(0,$B287-((E$5&lt;Q$5)*F287+(K$5&lt;Q$5)*L287+(W$5&lt;Q$5)*X287+(AC$5&lt;Q$5)*AD287+(AI$5&lt;Q$5)*AJ287+(AO$5&lt;Q$5)*AP287+(AU$5&lt;Q$5)*AV287)))</f>
        <v/>
      </c>
      <c r="T287">
        <f>IF(R287-S287&lt;0.005,0,R287-S287)</f>
        <v/>
      </c>
      <c r="U287">
        <f>Z286</f>
        <v/>
      </c>
      <c r="V287">
        <f>U287*Plan!D9/100/12</f>
        <v/>
      </c>
      <c r="W287">
        <f>MIN(Plan!E9,U287+V287)</f>
        <v/>
      </c>
      <c r="X287">
        <f>U287+V287-W287</f>
        <v/>
      </c>
      <c r="Y287">
        <f>MIN(X287,MAX(0,$B287-((E$5&lt;W$5)*F287+(K$5&lt;W$5)*L287+(Q$5&lt;W$5)*R287+(AC$5&lt;W$5)*AD287+(AI$5&lt;W$5)*AJ287+(AO$5&lt;W$5)*AP287+(AU$5&lt;W$5)*AV287)))</f>
        <v/>
      </c>
      <c r="Z287">
        <f>IF(X287-Y287&lt;0.005,0,X287-Y287)</f>
        <v/>
      </c>
      <c r="AA287">
        <f>AF286</f>
        <v/>
      </c>
      <c r="AB287">
        <f>AA287*Plan!D10/100/12</f>
        <v/>
      </c>
      <c r="AC287">
        <f>MIN(Plan!E10,AA287+AB287)</f>
        <v/>
      </c>
      <c r="AD287">
        <f>AA287+AB287-AC287</f>
        <v/>
      </c>
      <c r="AE287">
        <f>MIN(AD287,MAX(0,$B287-((E$5&lt;AC$5)*F287+(K$5&lt;AC$5)*L287+(Q$5&lt;AC$5)*R287+(W$5&lt;AC$5)*X287+(AI$5&lt;AC$5)*AJ287+(AO$5&lt;AC$5)*AP287+(AU$5&lt;AC$5)*AV287)))</f>
        <v/>
      </c>
      <c r="AF287">
        <f>IF(AD287-AE287&lt;0.005,0,AD287-AE287)</f>
        <v/>
      </c>
      <c r="AG287">
        <f>AL286</f>
        <v/>
      </c>
      <c r="AH287">
        <f>AG287*Plan!D11/100/12</f>
        <v/>
      </c>
      <c r="AI287">
        <f>MIN(Plan!E11,AG287+AH287)</f>
        <v/>
      </c>
      <c r="AJ287">
        <f>AG287+AH287-AI287</f>
        <v/>
      </c>
      <c r="AK287">
        <f>MIN(AJ287,MAX(0,$B287-((E$5&lt;AI$5)*F287+(K$5&lt;AI$5)*L287+(Q$5&lt;AI$5)*R287+(W$5&lt;AI$5)*X287+(AC$5&lt;AI$5)*AD287+(AO$5&lt;AI$5)*AP287+(AU$5&lt;AI$5)*AV287)))</f>
        <v/>
      </c>
      <c r="AL287">
        <f>IF(AJ287-AK287&lt;0.005,0,AJ287-AK287)</f>
        <v/>
      </c>
      <c r="AM287">
        <f>AR286</f>
        <v/>
      </c>
      <c r="AN287">
        <f>AM287*Plan!D12/100/12</f>
        <v/>
      </c>
      <c r="AO287">
        <f>MIN(Plan!E12,AM287+AN287)</f>
        <v/>
      </c>
      <c r="AP287">
        <f>AM287+AN287-AO287</f>
        <v/>
      </c>
      <c r="AQ287">
        <f>MIN(AP287,MAX(0,$B287-((E$5&lt;AO$5)*F287+(K$5&lt;AO$5)*L287+(Q$5&lt;AO$5)*R287+(W$5&lt;AO$5)*X287+(AC$5&lt;AO$5)*AD287+(AI$5&lt;AO$5)*AJ287+(AU$5&lt;AO$5)*AV287)))</f>
        <v/>
      </c>
      <c r="AR287">
        <f>IF(AP287-AQ287&lt;0.005,0,AP287-AQ287)</f>
        <v/>
      </c>
      <c r="AS287">
        <f>AX286</f>
        <v/>
      </c>
      <c r="AT287">
        <f>AS287*Plan!D13/100/12</f>
        <v/>
      </c>
      <c r="AU287">
        <f>MIN(Plan!E13,AS287+AT287)</f>
        <v/>
      </c>
      <c r="AV287">
        <f>AS287+AT287-AU287</f>
        <v/>
      </c>
      <c r="AW287">
        <f>MIN(AV287,MAX(0,$B287-((E$5&lt;AU$5)*F287+(K$5&lt;AU$5)*L287+(Q$5&lt;AU$5)*R287+(W$5&lt;AU$5)*X287+(AC$5&lt;AU$5)*AD287+(AI$5&lt;AU$5)*AJ287+(AO$5&lt;AU$5)*AP287)))</f>
        <v/>
      </c>
      <c r="AX287">
        <f>IF(AV287-AW287&lt;0.005,0,AV287-AW287)</f>
        <v/>
      </c>
      <c r="BC287">
        <f>H287+N287+T287+Z287+AF287+AL287+AR287+AX287</f>
        <v/>
      </c>
    </row>
    <row r="288">
      <c r="A288" t="n">
        <v>282</v>
      </c>
      <c r="B288" s="19">
        <f>MAX(0,$B$3-(E288+K288+Q288+W288+AC288+AI288+AO288+AU288))</f>
        <v/>
      </c>
      <c r="C288">
        <f>H287</f>
        <v/>
      </c>
      <c r="D288">
        <f>C288*Plan!D6/100/12</f>
        <v/>
      </c>
      <c r="E288">
        <f>MIN(Plan!E6,C288+D288)</f>
        <v/>
      </c>
      <c r="F288">
        <f>C288+D288-E288</f>
        <v/>
      </c>
      <c r="G288">
        <f>MIN(F288,MAX(0,$B288-((K$5&lt;E$5)*L288+(Q$5&lt;E$5)*R288+(W$5&lt;E$5)*X288+(AC$5&lt;E$5)*AD288+(AI$5&lt;E$5)*AJ288+(AO$5&lt;E$5)*AP288+(AU$5&lt;E$5)*AV288)))</f>
        <v/>
      </c>
      <c r="H288">
        <f>IF(F288-G288&lt;0.005,0,F288-G288)</f>
        <v/>
      </c>
      <c r="I288">
        <f>N287</f>
        <v/>
      </c>
      <c r="J288">
        <f>I288*Plan!D7/100/12</f>
        <v/>
      </c>
      <c r="K288">
        <f>MIN(Plan!E7,I288+J288)</f>
        <v/>
      </c>
      <c r="L288">
        <f>I288+J288-K288</f>
        <v/>
      </c>
      <c r="M288">
        <f>MIN(L288,MAX(0,$B288-((E$5&lt;K$5)*F288+(Q$5&lt;K$5)*R288+(W$5&lt;K$5)*X288+(AC$5&lt;K$5)*AD288+(AI$5&lt;K$5)*AJ288+(AO$5&lt;K$5)*AP288+(AU$5&lt;K$5)*AV288)))</f>
        <v/>
      </c>
      <c r="N288">
        <f>IF(L288-M288&lt;0.005,0,L288-M288)</f>
        <v/>
      </c>
      <c r="O288">
        <f>T287</f>
        <v/>
      </c>
      <c r="P288">
        <f>O288*Plan!D8/100/12</f>
        <v/>
      </c>
      <c r="Q288">
        <f>MIN(Plan!E8,O288+P288)</f>
        <v/>
      </c>
      <c r="R288">
        <f>O288+P288-Q288</f>
        <v/>
      </c>
      <c r="S288">
        <f>MIN(R288,MAX(0,$B288-((E$5&lt;Q$5)*F288+(K$5&lt;Q$5)*L288+(W$5&lt;Q$5)*X288+(AC$5&lt;Q$5)*AD288+(AI$5&lt;Q$5)*AJ288+(AO$5&lt;Q$5)*AP288+(AU$5&lt;Q$5)*AV288)))</f>
        <v/>
      </c>
      <c r="T288">
        <f>IF(R288-S288&lt;0.005,0,R288-S288)</f>
        <v/>
      </c>
      <c r="U288">
        <f>Z287</f>
        <v/>
      </c>
      <c r="V288">
        <f>U288*Plan!D9/100/12</f>
        <v/>
      </c>
      <c r="W288">
        <f>MIN(Plan!E9,U288+V288)</f>
        <v/>
      </c>
      <c r="X288">
        <f>U288+V288-W288</f>
        <v/>
      </c>
      <c r="Y288">
        <f>MIN(X288,MAX(0,$B288-((E$5&lt;W$5)*F288+(K$5&lt;W$5)*L288+(Q$5&lt;W$5)*R288+(AC$5&lt;W$5)*AD288+(AI$5&lt;W$5)*AJ288+(AO$5&lt;W$5)*AP288+(AU$5&lt;W$5)*AV288)))</f>
        <v/>
      </c>
      <c r="Z288">
        <f>IF(X288-Y288&lt;0.005,0,X288-Y288)</f>
        <v/>
      </c>
      <c r="AA288">
        <f>AF287</f>
        <v/>
      </c>
      <c r="AB288">
        <f>AA288*Plan!D10/100/12</f>
        <v/>
      </c>
      <c r="AC288">
        <f>MIN(Plan!E10,AA288+AB288)</f>
        <v/>
      </c>
      <c r="AD288">
        <f>AA288+AB288-AC288</f>
        <v/>
      </c>
      <c r="AE288">
        <f>MIN(AD288,MAX(0,$B288-((E$5&lt;AC$5)*F288+(K$5&lt;AC$5)*L288+(Q$5&lt;AC$5)*R288+(W$5&lt;AC$5)*X288+(AI$5&lt;AC$5)*AJ288+(AO$5&lt;AC$5)*AP288+(AU$5&lt;AC$5)*AV288)))</f>
        <v/>
      </c>
      <c r="AF288">
        <f>IF(AD288-AE288&lt;0.005,0,AD288-AE288)</f>
        <v/>
      </c>
      <c r="AG288">
        <f>AL287</f>
        <v/>
      </c>
      <c r="AH288">
        <f>AG288*Plan!D11/100/12</f>
        <v/>
      </c>
      <c r="AI288">
        <f>MIN(Plan!E11,AG288+AH288)</f>
        <v/>
      </c>
      <c r="AJ288">
        <f>AG288+AH288-AI288</f>
        <v/>
      </c>
      <c r="AK288">
        <f>MIN(AJ288,MAX(0,$B288-((E$5&lt;AI$5)*F288+(K$5&lt;AI$5)*L288+(Q$5&lt;AI$5)*R288+(W$5&lt;AI$5)*X288+(AC$5&lt;AI$5)*AD288+(AO$5&lt;AI$5)*AP288+(AU$5&lt;AI$5)*AV288)))</f>
        <v/>
      </c>
      <c r="AL288">
        <f>IF(AJ288-AK288&lt;0.005,0,AJ288-AK288)</f>
        <v/>
      </c>
      <c r="AM288">
        <f>AR287</f>
        <v/>
      </c>
      <c r="AN288">
        <f>AM288*Plan!D12/100/12</f>
        <v/>
      </c>
      <c r="AO288">
        <f>MIN(Plan!E12,AM288+AN288)</f>
        <v/>
      </c>
      <c r="AP288">
        <f>AM288+AN288-AO288</f>
        <v/>
      </c>
      <c r="AQ288">
        <f>MIN(AP288,MAX(0,$B288-((E$5&lt;AO$5)*F288+(K$5&lt;AO$5)*L288+(Q$5&lt;AO$5)*R288+(W$5&lt;AO$5)*X288+(AC$5&lt;AO$5)*AD288+(AI$5&lt;AO$5)*AJ288+(AU$5&lt;AO$5)*AV288)))</f>
        <v/>
      </c>
      <c r="AR288">
        <f>IF(AP288-AQ288&lt;0.005,0,AP288-AQ288)</f>
        <v/>
      </c>
      <c r="AS288">
        <f>AX287</f>
        <v/>
      </c>
      <c r="AT288">
        <f>AS288*Plan!D13/100/12</f>
        <v/>
      </c>
      <c r="AU288">
        <f>MIN(Plan!E13,AS288+AT288)</f>
        <v/>
      </c>
      <c r="AV288">
        <f>AS288+AT288-AU288</f>
        <v/>
      </c>
      <c r="AW288">
        <f>MIN(AV288,MAX(0,$B288-((E$5&lt;AU$5)*F288+(K$5&lt;AU$5)*L288+(Q$5&lt;AU$5)*R288+(W$5&lt;AU$5)*X288+(AC$5&lt;AU$5)*AD288+(AI$5&lt;AU$5)*AJ288+(AO$5&lt;AU$5)*AP288)))</f>
        <v/>
      </c>
      <c r="AX288">
        <f>IF(AV288-AW288&lt;0.005,0,AV288-AW288)</f>
        <v/>
      </c>
      <c r="BC288">
        <f>H288+N288+T288+Z288+AF288+AL288+AR288+AX288</f>
        <v/>
      </c>
    </row>
    <row r="289">
      <c r="A289" t="n">
        <v>283</v>
      </c>
      <c r="B289" s="19">
        <f>MAX(0,$B$3-(E289+K289+Q289+W289+AC289+AI289+AO289+AU289))</f>
        <v/>
      </c>
      <c r="C289">
        <f>H288</f>
        <v/>
      </c>
      <c r="D289">
        <f>C289*Plan!D6/100/12</f>
        <v/>
      </c>
      <c r="E289">
        <f>MIN(Plan!E6,C289+D289)</f>
        <v/>
      </c>
      <c r="F289">
        <f>C289+D289-E289</f>
        <v/>
      </c>
      <c r="G289">
        <f>MIN(F289,MAX(0,$B289-((K$5&lt;E$5)*L289+(Q$5&lt;E$5)*R289+(W$5&lt;E$5)*X289+(AC$5&lt;E$5)*AD289+(AI$5&lt;E$5)*AJ289+(AO$5&lt;E$5)*AP289+(AU$5&lt;E$5)*AV289)))</f>
        <v/>
      </c>
      <c r="H289">
        <f>IF(F289-G289&lt;0.005,0,F289-G289)</f>
        <v/>
      </c>
      <c r="I289">
        <f>N288</f>
        <v/>
      </c>
      <c r="J289">
        <f>I289*Plan!D7/100/12</f>
        <v/>
      </c>
      <c r="K289">
        <f>MIN(Plan!E7,I289+J289)</f>
        <v/>
      </c>
      <c r="L289">
        <f>I289+J289-K289</f>
        <v/>
      </c>
      <c r="M289">
        <f>MIN(L289,MAX(0,$B289-((E$5&lt;K$5)*F289+(Q$5&lt;K$5)*R289+(W$5&lt;K$5)*X289+(AC$5&lt;K$5)*AD289+(AI$5&lt;K$5)*AJ289+(AO$5&lt;K$5)*AP289+(AU$5&lt;K$5)*AV289)))</f>
        <v/>
      </c>
      <c r="N289">
        <f>IF(L289-M289&lt;0.005,0,L289-M289)</f>
        <v/>
      </c>
      <c r="O289">
        <f>T288</f>
        <v/>
      </c>
      <c r="P289">
        <f>O289*Plan!D8/100/12</f>
        <v/>
      </c>
      <c r="Q289">
        <f>MIN(Plan!E8,O289+P289)</f>
        <v/>
      </c>
      <c r="R289">
        <f>O289+P289-Q289</f>
        <v/>
      </c>
      <c r="S289">
        <f>MIN(R289,MAX(0,$B289-((E$5&lt;Q$5)*F289+(K$5&lt;Q$5)*L289+(W$5&lt;Q$5)*X289+(AC$5&lt;Q$5)*AD289+(AI$5&lt;Q$5)*AJ289+(AO$5&lt;Q$5)*AP289+(AU$5&lt;Q$5)*AV289)))</f>
        <v/>
      </c>
      <c r="T289">
        <f>IF(R289-S289&lt;0.005,0,R289-S289)</f>
        <v/>
      </c>
      <c r="U289">
        <f>Z288</f>
        <v/>
      </c>
      <c r="V289">
        <f>U289*Plan!D9/100/12</f>
        <v/>
      </c>
      <c r="W289">
        <f>MIN(Plan!E9,U289+V289)</f>
        <v/>
      </c>
      <c r="X289">
        <f>U289+V289-W289</f>
        <v/>
      </c>
      <c r="Y289">
        <f>MIN(X289,MAX(0,$B289-((E$5&lt;W$5)*F289+(K$5&lt;W$5)*L289+(Q$5&lt;W$5)*R289+(AC$5&lt;W$5)*AD289+(AI$5&lt;W$5)*AJ289+(AO$5&lt;W$5)*AP289+(AU$5&lt;W$5)*AV289)))</f>
        <v/>
      </c>
      <c r="Z289">
        <f>IF(X289-Y289&lt;0.005,0,X289-Y289)</f>
        <v/>
      </c>
      <c r="AA289">
        <f>AF288</f>
        <v/>
      </c>
      <c r="AB289">
        <f>AA289*Plan!D10/100/12</f>
        <v/>
      </c>
      <c r="AC289">
        <f>MIN(Plan!E10,AA289+AB289)</f>
        <v/>
      </c>
      <c r="AD289">
        <f>AA289+AB289-AC289</f>
        <v/>
      </c>
      <c r="AE289">
        <f>MIN(AD289,MAX(0,$B289-((E$5&lt;AC$5)*F289+(K$5&lt;AC$5)*L289+(Q$5&lt;AC$5)*R289+(W$5&lt;AC$5)*X289+(AI$5&lt;AC$5)*AJ289+(AO$5&lt;AC$5)*AP289+(AU$5&lt;AC$5)*AV289)))</f>
        <v/>
      </c>
      <c r="AF289">
        <f>IF(AD289-AE289&lt;0.005,0,AD289-AE289)</f>
        <v/>
      </c>
      <c r="AG289">
        <f>AL288</f>
        <v/>
      </c>
      <c r="AH289">
        <f>AG289*Plan!D11/100/12</f>
        <v/>
      </c>
      <c r="AI289">
        <f>MIN(Plan!E11,AG289+AH289)</f>
        <v/>
      </c>
      <c r="AJ289">
        <f>AG289+AH289-AI289</f>
        <v/>
      </c>
      <c r="AK289">
        <f>MIN(AJ289,MAX(0,$B289-((E$5&lt;AI$5)*F289+(K$5&lt;AI$5)*L289+(Q$5&lt;AI$5)*R289+(W$5&lt;AI$5)*X289+(AC$5&lt;AI$5)*AD289+(AO$5&lt;AI$5)*AP289+(AU$5&lt;AI$5)*AV289)))</f>
        <v/>
      </c>
      <c r="AL289">
        <f>IF(AJ289-AK289&lt;0.005,0,AJ289-AK289)</f>
        <v/>
      </c>
      <c r="AM289">
        <f>AR288</f>
        <v/>
      </c>
      <c r="AN289">
        <f>AM289*Plan!D12/100/12</f>
        <v/>
      </c>
      <c r="AO289">
        <f>MIN(Plan!E12,AM289+AN289)</f>
        <v/>
      </c>
      <c r="AP289">
        <f>AM289+AN289-AO289</f>
        <v/>
      </c>
      <c r="AQ289">
        <f>MIN(AP289,MAX(0,$B289-((E$5&lt;AO$5)*F289+(K$5&lt;AO$5)*L289+(Q$5&lt;AO$5)*R289+(W$5&lt;AO$5)*X289+(AC$5&lt;AO$5)*AD289+(AI$5&lt;AO$5)*AJ289+(AU$5&lt;AO$5)*AV289)))</f>
        <v/>
      </c>
      <c r="AR289">
        <f>IF(AP289-AQ289&lt;0.005,0,AP289-AQ289)</f>
        <v/>
      </c>
      <c r="AS289">
        <f>AX288</f>
        <v/>
      </c>
      <c r="AT289">
        <f>AS289*Plan!D13/100/12</f>
        <v/>
      </c>
      <c r="AU289">
        <f>MIN(Plan!E13,AS289+AT289)</f>
        <v/>
      </c>
      <c r="AV289">
        <f>AS289+AT289-AU289</f>
        <v/>
      </c>
      <c r="AW289">
        <f>MIN(AV289,MAX(0,$B289-((E$5&lt;AU$5)*F289+(K$5&lt;AU$5)*L289+(Q$5&lt;AU$5)*R289+(W$5&lt;AU$5)*X289+(AC$5&lt;AU$5)*AD289+(AI$5&lt;AU$5)*AJ289+(AO$5&lt;AU$5)*AP289)))</f>
        <v/>
      </c>
      <c r="AX289">
        <f>IF(AV289-AW289&lt;0.005,0,AV289-AW289)</f>
        <v/>
      </c>
      <c r="BC289">
        <f>H289+N289+T289+Z289+AF289+AL289+AR289+AX289</f>
        <v/>
      </c>
    </row>
    <row r="290">
      <c r="A290" t="n">
        <v>284</v>
      </c>
      <c r="B290" s="19">
        <f>MAX(0,$B$3-(E290+K290+Q290+W290+AC290+AI290+AO290+AU290))</f>
        <v/>
      </c>
      <c r="C290">
        <f>H289</f>
        <v/>
      </c>
      <c r="D290">
        <f>C290*Plan!D6/100/12</f>
        <v/>
      </c>
      <c r="E290">
        <f>MIN(Plan!E6,C290+D290)</f>
        <v/>
      </c>
      <c r="F290">
        <f>C290+D290-E290</f>
        <v/>
      </c>
      <c r="G290">
        <f>MIN(F290,MAX(0,$B290-((K$5&lt;E$5)*L290+(Q$5&lt;E$5)*R290+(W$5&lt;E$5)*X290+(AC$5&lt;E$5)*AD290+(AI$5&lt;E$5)*AJ290+(AO$5&lt;E$5)*AP290+(AU$5&lt;E$5)*AV290)))</f>
        <v/>
      </c>
      <c r="H290">
        <f>IF(F290-G290&lt;0.005,0,F290-G290)</f>
        <v/>
      </c>
      <c r="I290">
        <f>N289</f>
        <v/>
      </c>
      <c r="J290">
        <f>I290*Plan!D7/100/12</f>
        <v/>
      </c>
      <c r="K290">
        <f>MIN(Plan!E7,I290+J290)</f>
        <v/>
      </c>
      <c r="L290">
        <f>I290+J290-K290</f>
        <v/>
      </c>
      <c r="M290">
        <f>MIN(L290,MAX(0,$B290-((E$5&lt;K$5)*F290+(Q$5&lt;K$5)*R290+(W$5&lt;K$5)*X290+(AC$5&lt;K$5)*AD290+(AI$5&lt;K$5)*AJ290+(AO$5&lt;K$5)*AP290+(AU$5&lt;K$5)*AV290)))</f>
        <v/>
      </c>
      <c r="N290">
        <f>IF(L290-M290&lt;0.005,0,L290-M290)</f>
        <v/>
      </c>
      <c r="O290">
        <f>T289</f>
        <v/>
      </c>
      <c r="P290">
        <f>O290*Plan!D8/100/12</f>
        <v/>
      </c>
      <c r="Q290">
        <f>MIN(Plan!E8,O290+P290)</f>
        <v/>
      </c>
      <c r="R290">
        <f>O290+P290-Q290</f>
        <v/>
      </c>
      <c r="S290">
        <f>MIN(R290,MAX(0,$B290-((E$5&lt;Q$5)*F290+(K$5&lt;Q$5)*L290+(W$5&lt;Q$5)*X290+(AC$5&lt;Q$5)*AD290+(AI$5&lt;Q$5)*AJ290+(AO$5&lt;Q$5)*AP290+(AU$5&lt;Q$5)*AV290)))</f>
        <v/>
      </c>
      <c r="T290">
        <f>IF(R290-S290&lt;0.005,0,R290-S290)</f>
        <v/>
      </c>
      <c r="U290">
        <f>Z289</f>
        <v/>
      </c>
      <c r="V290">
        <f>U290*Plan!D9/100/12</f>
        <v/>
      </c>
      <c r="W290">
        <f>MIN(Plan!E9,U290+V290)</f>
        <v/>
      </c>
      <c r="X290">
        <f>U290+V290-W290</f>
        <v/>
      </c>
      <c r="Y290">
        <f>MIN(X290,MAX(0,$B290-((E$5&lt;W$5)*F290+(K$5&lt;W$5)*L290+(Q$5&lt;W$5)*R290+(AC$5&lt;W$5)*AD290+(AI$5&lt;W$5)*AJ290+(AO$5&lt;W$5)*AP290+(AU$5&lt;W$5)*AV290)))</f>
        <v/>
      </c>
      <c r="Z290">
        <f>IF(X290-Y290&lt;0.005,0,X290-Y290)</f>
        <v/>
      </c>
      <c r="AA290">
        <f>AF289</f>
        <v/>
      </c>
      <c r="AB290">
        <f>AA290*Plan!D10/100/12</f>
        <v/>
      </c>
      <c r="AC290">
        <f>MIN(Plan!E10,AA290+AB290)</f>
        <v/>
      </c>
      <c r="AD290">
        <f>AA290+AB290-AC290</f>
        <v/>
      </c>
      <c r="AE290">
        <f>MIN(AD290,MAX(0,$B290-((E$5&lt;AC$5)*F290+(K$5&lt;AC$5)*L290+(Q$5&lt;AC$5)*R290+(W$5&lt;AC$5)*X290+(AI$5&lt;AC$5)*AJ290+(AO$5&lt;AC$5)*AP290+(AU$5&lt;AC$5)*AV290)))</f>
        <v/>
      </c>
      <c r="AF290">
        <f>IF(AD290-AE290&lt;0.005,0,AD290-AE290)</f>
        <v/>
      </c>
      <c r="AG290">
        <f>AL289</f>
        <v/>
      </c>
      <c r="AH290">
        <f>AG290*Plan!D11/100/12</f>
        <v/>
      </c>
      <c r="AI290">
        <f>MIN(Plan!E11,AG290+AH290)</f>
        <v/>
      </c>
      <c r="AJ290">
        <f>AG290+AH290-AI290</f>
        <v/>
      </c>
      <c r="AK290">
        <f>MIN(AJ290,MAX(0,$B290-((E$5&lt;AI$5)*F290+(K$5&lt;AI$5)*L290+(Q$5&lt;AI$5)*R290+(W$5&lt;AI$5)*X290+(AC$5&lt;AI$5)*AD290+(AO$5&lt;AI$5)*AP290+(AU$5&lt;AI$5)*AV290)))</f>
        <v/>
      </c>
      <c r="AL290">
        <f>IF(AJ290-AK290&lt;0.005,0,AJ290-AK290)</f>
        <v/>
      </c>
      <c r="AM290">
        <f>AR289</f>
        <v/>
      </c>
      <c r="AN290">
        <f>AM290*Plan!D12/100/12</f>
        <v/>
      </c>
      <c r="AO290">
        <f>MIN(Plan!E12,AM290+AN290)</f>
        <v/>
      </c>
      <c r="AP290">
        <f>AM290+AN290-AO290</f>
        <v/>
      </c>
      <c r="AQ290">
        <f>MIN(AP290,MAX(0,$B290-((E$5&lt;AO$5)*F290+(K$5&lt;AO$5)*L290+(Q$5&lt;AO$5)*R290+(W$5&lt;AO$5)*X290+(AC$5&lt;AO$5)*AD290+(AI$5&lt;AO$5)*AJ290+(AU$5&lt;AO$5)*AV290)))</f>
        <v/>
      </c>
      <c r="AR290">
        <f>IF(AP290-AQ290&lt;0.005,0,AP290-AQ290)</f>
        <v/>
      </c>
      <c r="AS290">
        <f>AX289</f>
        <v/>
      </c>
      <c r="AT290">
        <f>AS290*Plan!D13/100/12</f>
        <v/>
      </c>
      <c r="AU290">
        <f>MIN(Plan!E13,AS290+AT290)</f>
        <v/>
      </c>
      <c r="AV290">
        <f>AS290+AT290-AU290</f>
        <v/>
      </c>
      <c r="AW290">
        <f>MIN(AV290,MAX(0,$B290-((E$5&lt;AU$5)*F290+(K$5&lt;AU$5)*L290+(Q$5&lt;AU$5)*R290+(W$5&lt;AU$5)*X290+(AC$5&lt;AU$5)*AD290+(AI$5&lt;AU$5)*AJ290+(AO$5&lt;AU$5)*AP290)))</f>
        <v/>
      </c>
      <c r="AX290">
        <f>IF(AV290-AW290&lt;0.005,0,AV290-AW290)</f>
        <v/>
      </c>
      <c r="BC290">
        <f>H290+N290+T290+Z290+AF290+AL290+AR290+AX290</f>
        <v/>
      </c>
    </row>
    <row r="291">
      <c r="A291" t="n">
        <v>285</v>
      </c>
      <c r="B291" s="19">
        <f>MAX(0,$B$3-(E291+K291+Q291+W291+AC291+AI291+AO291+AU291))</f>
        <v/>
      </c>
      <c r="C291">
        <f>H290</f>
        <v/>
      </c>
      <c r="D291">
        <f>C291*Plan!D6/100/12</f>
        <v/>
      </c>
      <c r="E291">
        <f>MIN(Plan!E6,C291+D291)</f>
        <v/>
      </c>
      <c r="F291">
        <f>C291+D291-E291</f>
        <v/>
      </c>
      <c r="G291">
        <f>MIN(F291,MAX(0,$B291-((K$5&lt;E$5)*L291+(Q$5&lt;E$5)*R291+(W$5&lt;E$5)*X291+(AC$5&lt;E$5)*AD291+(AI$5&lt;E$5)*AJ291+(AO$5&lt;E$5)*AP291+(AU$5&lt;E$5)*AV291)))</f>
        <v/>
      </c>
      <c r="H291">
        <f>IF(F291-G291&lt;0.005,0,F291-G291)</f>
        <v/>
      </c>
      <c r="I291">
        <f>N290</f>
        <v/>
      </c>
      <c r="J291">
        <f>I291*Plan!D7/100/12</f>
        <v/>
      </c>
      <c r="K291">
        <f>MIN(Plan!E7,I291+J291)</f>
        <v/>
      </c>
      <c r="L291">
        <f>I291+J291-K291</f>
        <v/>
      </c>
      <c r="M291">
        <f>MIN(L291,MAX(0,$B291-((E$5&lt;K$5)*F291+(Q$5&lt;K$5)*R291+(W$5&lt;K$5)*X291+(AC$5&lt;K$5)*AD291+(AI$5&lt;K$5)*AJ291+(AO$5&lt;K$5)*AP291+(AU$5&lt;K$5)*AV291)))</f>
        <v/>
      </c>
      <c r="N291">
        <f>IF(L291-M291&lt;0.005,0,L291-M291)</f>
        <v/>
      </c>
      <c r="O291">
        <f>T290</f>
        <v/>
      </c>
      <c r="P291">
        <f>O291*Plan!D8/100/12</f>
        <v/>
      </c>
      <c r="Q291">
        <f>MIN(Plan!E8,O291+P291)</f>
        <v/>
      </c>
      <c r="R291">
        <f>O291+P291-Q291</f>
        <v/>
      </c>
      <c r="S291">
        <f>MIN(R291,MAX(0,$B291-((E$5&lt;Q$5)*F291+(K$5&lt;Q$5)*L291+(W$5&lt;Q$5)*X291+(AC$5&lt;Q$5)*AD291+(AI$5&lt;Q$5)*AJ291+(AO$5&lt;Q$5)*AP291+(AU$5&lt;Q$5)*AV291)))</f>
        <v/>
      </c>
      <c r="T291">
        <f>IF(R291-S291&lt;0.005,0,R291-S291)</f>
        <v/>
      </c>
      <c r="U291">
        <f>Z290</f>
        <v/>
      </c>
      <c r="V291">
        <f>U291*Plan!D9/100/12</f>
        <v/>
      </c>
      <c r="W291">
        <f>MIN(Plan!E9,U291+V291)</f>
        <v/>
      </c>
      <c r="X291">
        <f>U291+V291-W291</f>
        <v/>
      </c>
      <c r="Y291">
        <f>MIN(X291,MAX(0,$B291-((E$5&lt;W$5)*F291+(K$5&lt;W$5)*L291+(Q$5&lt;W$5)*R291+(AC$5&lt;W$5)*AD291+(AI$5&lt;W$5)*AJ291+(AO$5&lt;W$5)*AP291+(AU$5&lt;W$5)*AV291)))</f>
        <v/>
      </c>
      <c r="Z291">
        <f>IF(X291-Y291&lt;0.005,0,X291-Y291)</f>
        <v/>
      </c>
      <c r="AA291">
        <f>AF290</f>
        <v/>
      </c>
      <c r="AB291">
        <f>AA291*Plan!D10/100/12</f>
        <v/>
      </c>
      <c r="AC291">
        <f>MIN(Plan!E10,AA291+AB291)</f>
        <v/>
      </c>
      <c r="AD291">
        <f>AA291+AB291-AC291</f>
        <v/>
      </c>
      <c r="AE291">
        <f>MIN(AD291,MAX(0,$B291-((E$5&lt;AC$5)*F291+(K$5&lt;AC$5)*L291+(Q$5&lt;AC$5)*R291+(W$5&lt;AC$5)*X291+(AI$5&lt;AC$5)*AJ291+(AO$5&lt;AC$5)*AP291+(AU$5&lt;AC$5)*AV291)))</f>
        <v/>
      </c>
      <c r="AF291">
        <f>IF(AD291-AE291&lt;0.005,0,AD291-AE291)</f>
        <v/>
      </c>
      <c r="AG291">
        <f>AL290</f>
        <v/>
      </c>
      <c r="AH291">
        <f>AG291*Plan!D11/100/12</f>
        <v/>
      </c>
      <c r="AI291">
        <f>MIN(Plan!E11,AG291+AH291)</f>
        <v/>
      </c>
      <c r="AJ291">
        <f>AG291+AH291-AI291</f>
        <v/>
      </c>
      <c r="AK291">
        <f>MIN(AJ291,MAX(0,$B291-((E$5&lt;AI$5)*F291+(K$5&lt;AI$5)*L291+(Q$5&lt;AI$5)*R291+(W$5&lt;AI$5)*X291+(AC$5&lt;AI$5)*AD291+(AO$5&lt;AI$5)*AP291+(AU$5&lt;AI$5)*AV291)))</f>
        <v/>
      </c>
      <c r="AL291">
        <f>IF(AJ291-AK291&lt;0.005,0,AJ291-AK291)</f>
        <v/>
      </c>
      <c r="AM291">
        <f>AR290</f>
        <v/>
      </c>
      <c r="AN291">
        <f>AM291*Plan!D12/100/12</f>
        <v/>
      </c>
      <c r="AO291">
        <f>MIN(Plan!E12,AM291+AN291)</f>
        <v/>
      </c>
      <c r="AP291">
        <f>AM291+AN291-AO291</f>
        <v/>
      </c>
      <c r="AQ291">
        <f>MIN(AP291,MAX(0,$B291-((E$5&lt;AO$5)*F291+(K$5&lt;AO$5)*L291+(Q$5&lt;AO$5)*R291+(W$5&lt;AO$5)*X291+(AC$5&lt;AO$5)*AD291+(AI$5&lt;AO$5)*AJ291+(AU$5&lt;AO$5)*AV291)))</f>
        <v/>
      </c>
      <c r="AR291">
        <f>IF(AP291-AQ291&lt;0.005,0,AP291-AQ291)</f>
        <v/>
      </c>
      <c r="AS291">
        <f>AX290</f>
        <v/>
      </c>
      <c r="AT291">
        <f>AS291*Plan!D13/100/12</f>
        <v/>
      </c>
      <c r="AU291">
        <f>MIN(Plan!E13,AS291+AT291)</f>
        <v/>
      </c>
      <c r="AV291">
        <f>AS291+AT291-AU291</f>
        <v/>
      </c>
      <c r="AW291">
        <f>MIN(AV291,MAX(0,$B291-((E$5&lt;AU$5)*F291+(K$5&lt;AU$5)*L291+(Q$5&lt;AU$5)*R291+(W$5&lt;AU$5)*X291+(AC$5&lt;AU$5)*AD291+(AI$5&lt;AU$5)*AJ291+(AO$5&lt;AU$5)*AP291)))</f>
        <v/>
      </c>
      <c r="AX291">
        <f>IF(AV291-AW291&lt;0.005,0,AV291-AW291)</f>
        <v/>
      </c>
      <c r="BC291">
        <f>H291+N291+T291+Z291+AF291+AL291+AR291+AX291</f>
        <v/>
      </c>
    </row>
    <row r="292">
      <c r="A292" t="n">
        <v>286</v>
      </c>
      <c r="B292" s="19">
        <f>MAX(0,$B$3-(E292+K292+Q292+W292+AC292+AI292+AO292+AU292))</f>
        <v/>
      </c>
      <c r="C292">
        <f>H291</f>
        <v/>
      </c>
      <c r="D292">
        <f>C292*Plan!D6/100/12</f>
        <v/>
      </c>
      <c r="E292">
        <f>MIN(Plan!E6,C292+D292)</f>
        <v/>
      </c>
      <c r="F292">
        <f>C292+D292-E292</f>
        <v/>
      </c>
      <c r="G292">
        <f>MIN(F292,MAX(0,$B292-((K$5&lt;E$5)*L292+(Q$5&lt;E$5)*R292+(W$5&lt;E$5)*X292+(AC$5&lt;E$5)*AD292+(AI$5&lt;E$5)*AJ292+(AO$5&lt;E$5)*AP292+(AU$5&lt;E$5)*AV292)))</f>
        <v/>
      </c>
      <c r="H292">
        <f>IF(F292-G292&lt;0.005,0,F292-G292)</f>
        <v/>
      </c>
      <c r="I292">
        <f>N291</f>
        <v/>
      </c>
      <c r="J292">
        <f>I292*Plan!D7/100/12</f>
        <v/>
      </c>
      <c r="K292">
        <f>MIN(Plan!E7,I292+J292)</f>
        <v/>
      </c>
      <c r="L292">
        <f>I292+J292-K292</f>
        <v/>
      </c>
      <c r="M292">
        <f>MIN(L292,MAX(0,$B292-((E$5&lt;K$5)*F292+(Q$5&lt;K$5)*R292+(W$5&lt;K$5)*X292+(AC$5&lt;K$5)*AD292+(AI$5&lt;K$5)*AJ292+(AO$5&lt;K$5)*AP292+(AU$5&lt;K$5)*AV292)))</f>
        <v/>
      </c>
      <c r="N292">
        <f>IF(L292-M292&lt;0.005,0,L292-M292)</f>
        <v/>
      </c>
      <c r="O292">
        <f>T291</f>
        <v/>
      </c>
      <c r="P292">
        <f>O292*Plan!D8/100/12</f>
        <v/>
      </c>
      <c r="Q292">
        <f>MIN(Plan!E8,O292+P292)</f>
        <v/>
      </c>
      <c r="R292">
        <f>O292+P292-Q292</f>
        <v/>
      </c>
      <c r="S292">
        <f>MIN(R292,MAX(0,$B292-((E$5&lt;Q$5)*F292+(K$5&lt;Q$5)*L292+(W$5&lt;Q$5)*X292+(AC$5&lt;Q$5)*AD292+(AI$5&lt;Q$5)*AJ292+(AO$5&lt;Q$5)*AP292+(AU$5&lt;Q$5)*AV292)))</f>
        <v/>
      </c>
      <c r="T292">
        <f>IF(R292-S292&lt;0.005,0,R292-S292)</f>
        <v/>
      </c>
      <c r="U292">
        <f>Z291</f>
        <v/>
      </c>
      <c r="V292">
        <f>U292*Plan!D9/100/12</f>
        <v/>
      </c>
      <c r="W292">
        <f>MIN(Plan!E9,U292+V292)</f>
        <v/>
      </c>
      <c r="X292">
        <f>U292+V292-W292</f>
        <v/>
      </c>
      <c r="Y292">
        <f>MIN(X292,MAX(0,$B292-((E$5&lt;W$5)*F292+(K$5&lt;W$5)*L292+(Q$5&lt;W$5)*R292+(AC$5&lt;W$5)*AD292+(AI$5&lt;W$5)*AJ292+(AO$5&lt;W$5)*AP292+(AU$5&lt;W$5)*AV292)))</f>
        <v/>
      </c>
      <c r="Z292">
        <f>IF(X292-Y292&lt;0.005,0,X292-Y292)</f>
        <v/>
      </c>
      <c r="AA292">
        <f>AF291</f>
        <v/>
      </c>
      <c r="AB292">
        <f>AA292*Plan!D10/100/12</f>
        <v/>
      </c>
      <c r="AC292">
        <f>MIN(Plan!E10,AA292+AB292)</f>
        <v/>
      </c>
      <c r="AD292">
        <f>AA292+AB292-AC292</f>
        <v/>
      </c>
      <c r="AE292">
        <f>MIN(AD292,MAX(0,$B292-((E$5&lt;AC$5)*F292+(K$5&lt;AC$5)*L292+(Q$5&lt;AC$5)*R292+(W$5&lt;AC$5)*X292+(AI$5&lt;AC$5)*AJ292+(AO$5&lt;AC$5)*AP292+(AU$5&lt;AC$5)*AV292)))</f>
        <v/>
      </c>
      <c r="AF292">
        <f>IF(AD292-AE292&lt;0.005,0,AD292-AE292)</f>
        <v/>
      </c>
      <c r="AG292">
        <f>AL291</f>
        <v/>
      </c>
      <c r="AH292">
        <f>AG292*Plan!D11/100/12</f>
        <v/>
      </c>
      <c r="AI292">
        <f>MIN(Plan!E11,AG292+AH292)</f>
        <v/>
      </c>
      <c r="AJ292">
        <f>AG292+AH292-AI292</f>
        <v/>
      </c>
      <c r="AK292">
        <f>MIN(AJ292,MAX(0,$B292-((E$5&lt;AI$5)*F292+(K$5&lt;AI$5)*L292+(Q$5&lt;AI$5)*R292+(W$5&lt;AI$5)*X292+(AC$5&lt;AI$5)*AD292+(AO$5&lt;AI$5)*AP292+(AU$5&lt;AI$5)*AV292)))</f>
        <v/>
      </c>
      <c r="AL292">
        <f>IF(AJ292-AK292&lt;0.005,0,AJ292-AK292)</f>
        <v/>
      </c>
      <c r="AM292">
        <f>AR291</f>
        <v/>
      </c>
      <c r="AN292">
        <f>AM292*Plan!D12/100/12</f>
        <v/>
      </c>
      <c r="AO292">
        <f>MIN(Plan!E12,AM292+AN292)</f>
        <v/>
      </c>
      <c r="AP292">
        <f>AM292+AN292-AO292</f>
        <v/>
      </c>
      <c r="AQ292">
        <f>MIN(AP292,MAX(0,$B292-((E$5&lt;AO$5)*F292+(K$5&lt;AO$5)*L292+(Q$5&lt;AO$5)*R292+(W$5&lt;AO$5)*X292+(AC$5&lt;AO$5)*AD292+(AI$5&lt;AO$5)*AJ292+(AU$5&lt;AO$5)*AV292)))</f>
        <v/>
      </c>
      <c r="AR292">
        <f>IF(AP292-AQ292&lt;0.005,0,AP292-AQ292)</f>
        <v/>
      </c>
      <c r="AS292">
        <f>AX291</f>
        <v/>
      </c>
      <c r="AT292">
        <f>AS292*Plan!D13/100/12</f>
        <v/>
      </c>
      <c r="AU292">
        <f>MIN(Plan!E13,AS292+AT292)</f>
        <v/>
      </c>
      <c r="AV292">
        <f>AS292+AT292-AU292</f>
        <v/>
      </c>
      <c r="AW292">
        <f>MIN(AV292,MAX(0,$B292-((E$5&lt;AU$5)*F292+(K$5&lt;AU$5)*L292+(Q$5&lt;AU$5)*R292+(W$5&lt;AU$5)*X292+(AC$5&lt;AU$5)*AD292+(AI$5&lt;AU$5)*AJ292+(AO$5&lt;AU$5)*AP292)))</f>
        <v/>
      </c>
      <c r="AX292">
        <f>IF(AV292-AW292&lt;0.005,0,AV292-AW292)</f>
        <v/>
      </c>
      <c r="BC292">
        <f>H292+N292+T292+Z292+AF292+AL292+AR292+AX292</f>
        <v/>
      </c>
    </row>
    <row r="293">
      <c r="A293" t="n">
        <v>287</v>
      </c>
      <c r="B293" s="19">
        <f>MAX(0,$B$3-(E293+K293+Q293+W293+AC293+AI293+AO293+AU293))</f>
        <v/>
      </c>
      <c r="C293">
        <f>H292</f>
        <v/>
      </c>
      <c r="D293">
        <f>C293*Plan!D6/100/12</f>
        <v/>
      </c>
      <c r="E293">
        <f>MIN(Plan!E6,C293+D293)</f>
        <v/>
      </c>
      <c r="F293">
        <f>C293+D293-E293</f>
        <v/>
      </c>
      <c r="G293">
        <f>MIN(F293,MAX(0,$B293-((K$5&lt;E$5)*L293+(Q$5&lt;E$5)*R293+(W$5&lt;E$5)*X293+(AC$5&lt;E$5)*AD293+(AI$5&lt;E$5)*AJ293+(AO$5&lt;E$5)*AP293+(AU$5&lt;E$5)*AV293)))</f>
        <v/>
      </c>
      <c r="H293">
        <f>IF(F293-G293&lt;0.005,0,F293-G293)</f>
        <v/>
      </c>
      <c r="I293">
        <f>N292</f>
        <v/>
      </c>
      <c r="J293">
        <f>I293*Plan!D7/100/12</f>
        <v/>
      </c>
      <c r="K293">
        <f>MIN(Plan!E7,I293+J293)</f>
        <v/>
      </c>
      <c r="L293">
        <f>I293+J293-K293</f>
        <v/>
      </c>
      <c r="M293">
        <f>MIN(L293,MAX(0,$B293-((E$5&lt;K$5)*F293+(Q$5&lt;K$5)*R293+(W$5&lt;K$5)*X293+(AC$5&lt;K$5)*AD293+(AI$5&lt;K$5)*AJ293+(AO$5&lt;K$5)*AP293+(AU$5&lt;K$5)*AV293)))</f>
        <v/>
      </c>
      <c r="N293">
        <f>IF(L293-M293&lt;0.005,0,L293-M293)</f>
        <v/>
      </c>
      <c r="O293">
        <f>T292</f>
        <v/>
      </c>
      <c r="P293">
        <f>O293*Plan!D8/100/12</f>
        <v/>
      </c>
      <c r="Q293">
        <f>MIN(Plan!E8,O293+P293)</f>
        <v/>
      </c>
      <c r="R293">
        <f>O293+P293-Q293</f>
        <v/>
      </c>
      <c r="S293">
        <f>MIN(R293,MAX(0,$B293-((E$5&lt;Q$5)*F293+(K$5&lt;Q$5)*L293+(W$5&lt;Q$5)*X293+(AC$5&lt;Q$5)*AD293+(AI$5&lt;Q$5)*AJ293+(AO$5&lt;Q$5)*AP293+(AU$5&lt;Q$5)*AV293)))</f>
        <v/>
      </c>
      <c r="T293">
        <f>IF(R293-S293&lt;0.005,0,R293-S293)</f>
        <v/>
      </c>
      <c r="U293">
        <f>Z292</f>
        <v/>
      </c>
      <c r="V293">
        <f>U293*Plan!D9/100/12</f>
        <v/>
      </c>
      <c r="W293">
        <f>MIN(Plan!E9,U293+V293)</f>
        <v/>
      </c>
      <c r="X293">
        <f>U293+V293-W293</f>
        <v/>
      </c>
      <c r="Y293">
        <f>MIN(X293,MAX(0,$B293-((E$5&lt;W$5)*F293+(K$5&lt;W$5)*L293+(Q$5&lt;W$5)*R293+(AC$5&lt;W$5)*AD293+(AI$5&lt;W$5)*AJ293+(AO$5&lt;W$5)*AP293+(AU$5&lt;W$5)*AV293)))</f>
        <v/>
      </c>
      <c r="Z293">
        <f>IF(X293-Y293&lt;0.005,0,X293-Y293)</f>
        <v/>
      </c>
      <c r="AA293">
        <f>AF292</f>
        <v/>
      </c>
      <c r="AB293">
        <f>AA293*Plan!D10/100/12</f>
        <v/>
      </c>
      <c r="AC293">
        <f>MIN(Plan!E10,AA293+AB293)</f>
        <v/>
      </c>
      <c r="AD293">
        <f>AA293+AB293-AC293</f>
        <v/>
      </c>
      <c r="AE293">
        <f>MIN(AD293,MAX(0,$B293-((E$5&lt;AC$5)*F293+(K$5&lt;AC$5)*L293+(Q$5&lt;AC$5)*R293+(W$5&lt;AC$5)*X293+(AI$5&lt;AC$5)*AJ293+(AO$5&lt;AC$5)*AP293+(AU$5&lt;AC$5)*AV293)))</f>
        <v/>
      </c>
      <c r="AF293">
        <f>IF(AD293-AE293&lt;0.005,0,AD293-AE293)</f>
        <v/>
      </c>
      <c r="AG293">
        <f>AL292</f>
        <v/>
      </c>
      <c r="AH293">
        <f>AG293*Plan!D11/100/12</f>
        <v/>
      </c>
      <c r="AI293">
        <f>MIN(Plan!E11,AG293+AH293)</f>
        <v/>
      </c>
      <c r="AJ293">
        <f>AG293+AH293-AI293</f>
        <v/>
      </c>
      <c r="AK293">
        <f>MIN(AJ293,MAX(0,$B293-((E$5&lt;AI$5)*F293+(K$5&lt;AI$5)*L293+(Q$5&lt;AI$5)*R293+(W$5&lt;AI$5)*X293+(AC$5&lt;AI$5)*AD293+(AO$5&lt;AI$5)*AP293+(AU$5&lt;AI$5)*AV293)))</f>
        <v/>
      </c>
      <c r="AL293">
        <f>IF(AJ293-AK293&lt;0.005,0,AJ293-AK293)</f>
        <v/>
      </c>
      <c r="AM293">
        <f>AR292</f>
        <v/>
      </c>
      <c r="AN293">
        <f>AM293*Plan!D12/100/12</f>
        <v/>
      </c>
      <c r="AO293">
        <f>MIN(Plan!E12,AM293+AN293)</f>
        <v/>
      </c>
      <c r="AP293">
        <f>AM293+AN293-AO293</f>
        <v/>
      </c>
      <c r="AQ293">
        <f>MIN(AP293,MAX(0,$B293-((E$5&lt;AO$5)*F293+(K$5&lt;AO$5)*L293+(Q$5&lt;AO$5)*R293+(W$5&lt;AO$5)*X293+(AC$5&lt;AO$5)*AD293+(AI$5&lt;AO$5)*AJ293+(AU$5&lt;AO$5)*AV293)))</f>
        <v/>
      </c>
      <c r="AR293">
        <f>IF(AP293-AQ293&lt;0.005,0,AP293-AQ293)</f>
        <v/>
      </c>
      <c r="AS293">
        <f>AX292</f>
        <v/>
      </c>
      <c r="AT293">
        <f>AS293*Plan!D13/100/12</f>
        <v/>
      </c>
      <c r="AU293">
        <f>MIN(Plan!E13,AS293+AT293)</f>
        <v/>
      </c>
      <c r="AV293">
        <f>AS293+AT293-AU293</f>
        <v/>
      </c>
      <c r="AW293">
        <f>MIN(AV293,MAX(0,$B293-((E$5&lt;AU$5)*F293+(K$5&lt;AU$5)*L293+(Q$5&lt;AU$5)*R293+(W$5&lt;AU$5)*X293+(AC$5&lt;AU$5)*AD293+(AI$5&lt;AU$5)*AJ293+(AO$5&lt;AU$5)*AP293)))</f>
        <v/>
      </c>
      <c r="AX293">
        <f>IF(AV293-AW293&lt;0.005,0,AV293-AW293)</f>
        <v/>
      </c>
      <c r="BC293">
        <f>H293+N293+T293+Z293+AF293+AL293+AR293+AX293</f>
        <v/>
      </c>
    </row>
    <row r="294">
      <c r="A294" t="n">
        <v>288</v>
      </c>
      <c r="B294" s="19">
        <f>MAX(0,$B$3-(E294+K294+Q294+W294+AC294+AI294+AO294+AU294))</f>
        <v/>
      </c>
      <c r="C294">
        <f>H293</f>
        <v/>
      </c>
      <c r="D294">
        <f>C294*Plan!D6/100/12</f>
        <v/>
      </c>
      <c r="E294">
        <f>MIN(Plan!E6,C294+D294)</f>
        <v/>
      </c>
      <c r="F294">
        <f>C294+D294-E294</f>
        <v/>
      </c>
      <c r="G294">
        <f>MIN(F294,MAX(0,$B294-((K$5&lt;E$5)*L294+(Q$5&lt;E$5)*R294+(W$5&lt;E$5)*X294+(AC$5&lt;E$5)*AD294+(AI$5&lt;E$5)*AJ294+(AO$5&lt;E$5)*AP294+(AU$5&lt;E$5)*AV294)))</f>
        <v/>
      </c>
      <c r="H294">
        <f>IF(F294-G294&lt;0.005,0,F294-G294)</f>
        <v/>
      </c>
      <c r="I294">
        <f>N293</f>
        <v/>
      </c>
      <c r="J294">
        <f>I294*Plan!D7/100/12</f>
        <v/>
      </c>
      <c r="K294">
        <f>MIN(Plan!E7,I294+J294)</f>
        <v/>
      </c>
      <c r="L294">
        <f>I294+J294-K294</f>
        <v/>
      </c>
      <c r="M294">
        <f>MIN(L294,MAX(0,$B294-((E$5&lt;K$5)*F294+(Q$5&lt;K$5)*R294+(W$5&lt;K$5)*X294+(AC$5&lt;K$5)*AD294+(AI$5&lt;K$5)*AJ294+(AO$5&lt;K$5)*AP294+(AU$5&lt;K$5)*AV294)))</f>
        <v/>
      </c>
      <c r="N294">
        <f>IF(L294-M294&lt;0.005,0,L294-M294)</f>
        <v/>
      </c>
      <c r="O294">
        <f>T293</f>
        <v/>
      </c>
      <c r="P294">
        <f>O294*Plan!D8/100/12</f>
        <v/>
      </c>
      <c r="Q294">
        <f>MIN(Plan!E8,O294+P294)</f>
        <v/>
      </c>
      <c r="R294">
        <f>O294+P294-Q294</f>
        <v/>
      </c>
      <c r="S294">
        <f>MIN(R294,MAX(0,$B294-((E$5&lt;Q$5)*F294+(K$5&lt;Q$5)*L294+(W$5&lt;Q$5)*X294+(AC$5&lt;Q$5)*AD294+(AI$5&lt;Q$5)*AJ294+(AO$5&lt;Q$5)*AP294+(AU$5&lt;Q$5)*AV294)))</f>
        <v/>
      </c>
      <c r="T294">
        <f>IF(R294-S294&lt;0.005,0,R294-S294)</f>
        <v/>
      </c>
      <c r="U294">
        <f>Z293</f>
        <v/>
      </c>
      <c r="V294">
        <f>U294*Plan!D9/100/12</f>
        <v/>
      </c>
      <c r="W294">
        <f>MIN(Plan!E9,U294+V294)</f>
        <v/>
      </c>
      <c r="X294">
        <f>U294+V294-W294</f>
        <v/>
      </c>
      <c r="Y294">
        <f>MIN(X294,MAX(0,$B294-((E$5&lt;W$5)*F294+(K$5&lt;W$5)*L294+(Q$5&lt;W$5)*R294+(AC$5&lt;W$5)*AD294+(AI$5&lt;W$5)*AJ294+(AO$5&lt;W$5)*AP294+(AU$5&lt;W$5)*AV294)))</f>
        <v/>
      </c>
      <c r="Z294">
        <f>IF(X294-Y294&lt;0.005,0,X294-Y294)</f>
        <v/>
      </c>
      <c r="AA294">
        <f>AF293</f>
        <v/>
      </c>
      <c r="AB294">
        <f>AA294*Plan!D10/100/12</f>
        <v/>
      </c>
      <c r="AC294">
        <f>MIN(Plan!E10,AA294+AB294)</f>
        <v/>
      </c>
      <c r="AD294">
        <f>AA294+AB294-AC294</f>
        <v/>
      </c>
      <c r="AE294">
        <f>MIN(AD294,MAX(0,$B294-((E$5&lt;AC$5)*F294+(K$5&lt;AC$5)*L294+(Q$5&lt;AC$5)*R294+(W$5&lt;AC$5)*X294+(AI$5&lt;AC$5)*AJ294+(AO$5&lt;AC$5)*AP294+(AU$5&lt;AC$5)*AV294)))</f>
        <v/>
      </c>
      <c r="AF294">
        <f>IF(AD294-AE294&lt;0.005,0,AD294-AE294)</f>
        <v/>
      </c>
      <c r="AG294">
        <f>AL293</f>
        <v/>
      </c>
      <c r="AH294">
        <f>AG294*Plan!D11/100/12</f>
        <v/>
      </c>
      <c r="AI294">
        <f>MIN(Plan!E11,AG294+AH294)</f>
        <v/>
      </c>
      <c r="AJ294">
        <f>AG294+AH294-AI294</f>
        <v/>
      </c>
      <c r="AK294">
        <f>MIN(AJ294,MAX(0,$B294-((E$5&lt;AI$5)*F294+(K$5&lt;AI$5)*L294+(Q$5&lt;AI$5)*R294+(W$5&lt;AI$5)*X294+(AC$5&lt;AI$5)*AD294+(AO$5&lt;AI$5)*AP294+(AU$5&lt;AI$5)*AV294)))</f>
        <v/>
      </c>
      <c r="AL294">
        <f>IF(AJ294-AK294&lt;0.005,0,AJ294-AK294)</f>
        <v/>
      </c>
      <c r="AM294">
        <f>AR293</f>
        <v/>
      </c>
      <c r="AN294">
        <f>AM294*Plan!D12/100/12</f>
        <v/>
      </c>
      <c r="AO294">
        <f>MIN(Plan!E12,AM294+AN294)</f>
        <v/>
      </c>
      <c r="AP294">
        <f>AM294+AN294-AO294</f>
        <v/>
      </c>
      <c r="AQ294">
        <f>MIN(AP294,MAX(0,$B294-((E$5&lt;AO$5)*F294+(K$5&lt;AO$5)*L294+(Q$5&lt;AO$5)*R294+(W$5&lt;AO$5)*X294+(AC$5&lt;AO$5)*AD294+(AI$5&lt;AO$5)*AJ294+(AU$5&lt;AO$5)*AV294)))</f>
        <v/>
      </c>
      <c r="AR294">
        <f>IF(AP294-AQ294&lt;0.005,0,AP294-AQ294)</f>
        <v/>
      </c>
      <c r="AS294">
        <f>AX293</f>
        <v/>
      </c>
      <c r="AT294">
        <f>AS294*Plan!D13/100/12</f>
        <v/>
      </c>
      <c r="AU294">
        <f>MIN(Plan!E13,AS294+AT294)</f>
        <v/>
      </c>
      <c r="AV294">
        <f>AS294+AT294-AU294</f>
        <v/>
      </c>
      <c r="AW294">
        <f>MIN(AV294,MAX(0,$B294-((E$5&lt;AU$5)*F294+(K$5&lt;AU$5)*L294+(Q$5&lt;AU$5)*R294+(W$5&lt;AU$5)*X294+(AC$5&lt;AU$5)*AD294+(AI$5&lt;AU$5)*AJ294+(AO$5&lt;AU$5)*AP294)))</f>
        <v/>
      </c>
      <c r="AX294">
        <f>IF(AV294-AW294&lt;0.005,0,AV294-AW294)</f>
        <v/>
      </c>
      <c r="BC294">
        <f>H294+N294+T294+Z294+AF294+AL294+AR294+AX294</f>
        <v/>
      </c>
    </row>
    <row r="295">
      <c r="A295" t="n">
        <v>289</v>
      </c>
      <c r="B295" s="19">
        <f>MAX(0,$B$3-(E295+K295+Q295+W295+AC295+AI295+AO295+AU295))</f>
        <v/>
      </c>
      <c r="C295">
        <f>H294</f>
        <v/>
      </c>
      <c r="D295">
        <f>C295*Plan!D6/100/12</f>
        <v/>
      </c>
      <c r="E295">
        <f>MIN(Plan!E6,C295+D295)</f>
        <v/>
      </c>
      <c r="F295">
        <f>C295+D295-E295</f>
        <v/>
      </c>
      <c r="G295">
        <f>MIN(F295,MAX(0,$B295-((K$5&lt;E$5)*L295+(Q$5&lt;E$5)*R295+(W$5&lt;E$5)*X295+(AC$5&lt;E$5)*AD295+(AI$5&lt;E$5)*AJ295+(AO$5&lt;E$5)*AP295+(AU$5&lt;E$5)*AV295)))</f>
        <v/>
      </c>
      <c r="H295">
        <f>IF(F295-G295&lt;0.005,0,F295-G295)</f>
        <v/>
      </c>
      <c r="I295">
        <f>N294</f>
        <v/>
      </c>
      <c r="J295">
        <f>I295*Plan!D7/100/12</f>
        <v/>
      </c>
      <c r="K295">
        <f>MIN(Plan!E7,I295+J295)</f>
        <v/>
      </c>
      <c r="L295">
        <f>I295+J295-K295</f>
        <v/>
      </c>
      <c r="M295">
        <f>MIN(L295,MAX(0,$B295-((E$5&lt;K$5)*F295+(Q$5&lt;K$5)*R295+(W$5&lt;K$5)*X295+(AC$5&lt;K$5)*AD295+(AI$5&lt;K$5)*AJ295+(AO$5&lt;K$5)*AP295+(AU$5&lt;K$5)*AV295)))</f>
        <v/>
      </c>
      <c r="N295">
        <f>IF(L295-M295&lt;0.005,0,L295-M295)</f>
        <v/>
      </c>
      <c r="O295">
        <f>T294</f>
        <v/>
      </c>
      <c r="P295">
        <f>O295*Plan!D8/100/12</f>
        <v/>
      </c>
      <c r="Q295">
        <f>MIN(Plan!E8,O295+P295)</f>
        <v/>
      </c>
      <c r="R295">
        <f>O295+P295-Q295</f>
        <v/>
      </c>
      <c r="S295">
        <f>MIN(R295,MAX(0,$B295-((E$5&lt;Q$5)*F295+(K$5&lt;Q$5)*L295+(W$5&lt;Q$5)*X295+(AC$5&lt;Q$5)*AD295+(AI$5&lt;Q$5)*AJ295+(AO$5&lt;Q$5)*AP295+(AU$5&lt;Q$5)*AV295)))</f>
        <v/>
      </c>
      <c r="T295">
        <f>IF(R295-S295&lt;0.005,0,R295-S295)</f>
        <v/>
      </c>
      <c r="U295">
        <f>Z294</f>
        <v/>
      </c>
      <c r="V295">
        <f>U295*Plan!D9/100/12</f>
        <v/>
      </c>
      <c r="W295">
        <f>MIN(Plan!E9,U295+V295)</f>
        <v/>
      </c>
      <c r="X295">
        <f>U295+V295-W295</f>
        <v/>
      </c>
      <c r="Y295">
        <f>MIN(X295,MAX(0,$B295-((E$5&lt;W$5)*F295+(K$5&lt;W$5)*L295+(Q$5&lt;W$5)*R295+(AC$5&lt;W$5)*AD295+(AI$5&lt;W$5)*AJ295+(AO$5&lt;W$5)*AP295+(AU$5&lt;W$5)*AV295)))</f>
        <v/>
      </c>
      <c r="Z295">
        <f>IF(X295-Y295&lt;0.005,0,X295-Y295)</f>
        <v/>
      </c>
      <c r="AA295">
        <f>AF294</f>
        <v/>
      </c>
      <c r="AB295">
        <f>AA295*Plan!D10/100/12</f>
        <v/>
      </c>
      <c r="AC295">
        <f>MIN(Plan!E10,AA295+AB295)</f>
        <v/>
      </c>
      <c r="AD295">
        <f>AA295+AB295-AC295</f>
        <v/>
      </c>
      <c r="AE295">
        <f>MIN(AD295,MAX(0,$B295-((E$5&lt;AC$5)*F295+(K$5&lt;AC$5)*L295+(Q$5&lt;AC$5)*R295+(W$5&lt;AC$5)*X295+(AI$5&lt;AC$5)*AJ295+(AO$5&lt;AC$5)*AP295+(AU$5&lt;AC$5)*AV295)))</f>
        <v/>
      </c>
      <c r="AF295">
        <f>IF(AD295-AE295&lt;0.005,0,AD295-AE295)</f>
        <v/>
      </c>
      <c r="AG295">
        <f>AL294</f>
        <v/>
      </c>
      <c r="AH295">
        <f>AG295*Plan!D11/100/12</f>
        <v/>
      </c>
      <c r="AI295">
        <f>MIN(Plan!E11,AG295+AH295)</f>
        <v/>
      </c>
      <c r="AJ295">
        <f>AG295+AH295-AI295</f>
        <v/>
      </c>
      <c r="AK295">
        <f>MIN(AJ295,MAX(0,$B295-((E$5&lt;AI$5)*F295+(K$5&lt;AI$5)*L295+(Q$5&lt;AI$5)*R295+(W$5&lt;AI$5)*X295+(AC$5&lt;AI$5)*AD295+(AO$5&lt;AI$5)*AP295+(AU$5&lt;AI$5)*AV295)))</f>
        <v/>
      </c>
      <c r="AL295">
        <f>IF(AJ295-AK295&lt;0.005,0,AJ295-AK295)</f>
        <v/>
      </c>
      <c r="AM295">
        <f>AR294</f>
        <v/>
      </c>
      <c r="AN295">
        <f>AM295*Plan!D12/100/12</f>
        <v/>
      </c>
      <c r="AO295">
        <f>MIN(Plan!E12,AM295+AN295)</f>
        <v/>
      </c>
      <c r="AP295">
        <f>AM295+AN295-AO295</f>
        <v/>
      </c>
      <c r="AQ295">
        <f>MIN(AP295,MAX(0,$B295-((E$5&lt;AO$5)*F295+(K$5&lt;AO$5)*L295+(Q$5&lt;AO$5)*R295+(W$5&lt;AO$5)*X295+(AC$5&lt;AO$5)*AD295+(AI$5&lt;AO$5)*AJ295+(AU$5&lt;AO$5)*AV295)))</f>
        <v/>
      </c>
      <c r="AR295">
        <f>IF(AP295-AQ295&lt;0.005,0,AP295-AQ295)</f>
        <v/>
      </c>
      <c r="AS295">
        <f>AX294</f>
        <v/>
      </c>
      <c r="AT295">
        <f>AS295*Plan!D13/100/12</f>
        <v/>
      </c>
      <c r="AU295">
        <f>MIN(Plan!E13,AS295+AT295)</f>
        <v/>
      </c>
      <c r="AV295">
        <f>AS295+AT295-AU295</f>
        <v/>
      </c>
      <c r="AW295">
        <f>MIN(AV295,MAX(0,$B295-((E$5&lt;AU$5)*F295+(K$5&lt;AU$5)*L295+(Q$5&lt;AU$5)*R295+(W$5&lt;AU$5)*X295+(AC$5&lt;AU$5)*AD295+(AI$5&lt;AU$5)*AJ295+(AO$5&lt;AU$5)*AP295)))</f>
        <v/>
      </c>
      <c r="AX295">
        <f>IF(AV295-AW295&lt;0.005,0,AV295-AW295)</f>
        <v/>
      </c>
      <c r="BC295">
        <f>H295+N295+T295+Z295+AF295+AL295+AR295+AX295</f>
        <v/>
      </c>
    </row>
    <row r="296">
      <c r="A296" t="n">
        <v>290</v>
      </c>
      <c r="B296" s="19">
        <f>MAX(0,$B$3-(E296+K296+Q296+W296+AC296+AI296+AO296+AU296))</f>
        <v/>
      </c>
      <c r="C296">
        <f>H295</f>
        <v/>
      </c>
      <c r="D296">
        <f>C296*Plan!D6/100/12</f>
        <v/>
      </c>
      <c r="E296">
        <f>MIN(Plan!E6,C296+D296)</f>
        <v/>
      </c>
      <c r="F296">
        <f>C296+D296-E296</f>
        <v/>
      </c>
      <c r="G296">
        <f>MIN(F296,MAX(0,$B296-((K$5&lt;E$5)*L296+(Q$5&lt;E$5)*R296+(W$5&lt;E$5)*X296+(AC$5&lt;E$5)*AD296+(AI$5&lt;E$5)*AJ296+(AO$5&lt;E$5)*AP296+(AU$5&lt;E$5)*AV296)))</f>
        <v/>
      </c>
      <c r="H296">
        <f>IF(F296-G296&lt;0.005,0,F296-G296)</f>
        <v/>
      </c>
      <c r="I296">
        <f>N295</f>
        <v/>
      </c>
      <c r="J296">
        <f>I296*Plan!D7/100/12</f>
        <v/>
      </c>
      <c r="K296">
        <f>MIN(Plan!E7,I296+J296)</f>
        <v/>
      </c>
      <c r="L296">
        <f>I296+J296-K296</f>
        <v/>
      </c>
      <c r="M296">
        <f>MIN(L296,MAX(0,$B296-((E$5&lt;K$5)*F296+(Q$5&lt;K$5)*R296+(W$5&lt;K$5)*X296+(AC$5&lt;K$5)*AD296+(AI$5&lt;K$5)*AJ296+(AO$5&lt;K$5)*AP296+(AU$5&lt;K$5)*AV296)))</f>
        <v/>
      </c>
      <c r="N296">
        <f>IF(L296-M296&lt;0.005,0,L296-M296)</f>
        <v/>
      </c>
      <c r="O296">
        <f>T295</f>
        <v/>
      </c>
      <c r="P296">
        <f>O296*Plan!D8/100/12</f>
        <v/>
      </c>
      <c r="Q296">
        <f>MIN(Plan!E8,O296+P296)</f>
        <v/>
      </c>
      <c r="R296">
        <f>O296+P296-Q296</f>
        <v/>
      </c>
      <c r="S296">
        <f>MIN(R296,MAX(0,$B296-((E$5&lt;Q$5)*F296+(K$5&lt;Q$5)*L296+(W$5&lt;Q$5)*X296+(AC$5&lt;Q$5)*AD296+(AI$5&lt;Q$5)*AJ296+(AO$5&lt;Q$5)*AP296+(AU$5&lt;Q$5)*AV296)))</f>
        <v/>
      </c>
      <c r="T296">
        <f>IF(R296-S296&lt;0.005,0,R296-S296)</f>
        <v/>
      </c>
      <c r="U296">
        <f>Z295</f>
        <v/>
      </c>
      <c r="V296">
        <f>U296*Plan!D9/100/12</f>
        <v/>
      </c>
      <c r="W296">
        <f>MIN(Plan!E9,U296+V296)</f>
        <v/>
      </c>
      <c r="X296">
        <f>U296+V296-W296</f>
        <v/>
      </c>
      <c r="Y296">
        <f>MIN(X296,MAX(0,$B296-((E$5&lt;W$5)*F296+(K$5&lt;W$5)*L296+(Q$5&lt;W$5)*R296+(AC$5&lt;W$5)*AD296+(AI$5&lt;W$5)*AJ296+(AO$5&lt;W$5)*AP296+(AU$5&lt;W$5)*AV296)))</f>
        <v/>
      </c>
      <c r="Z296">
        <f>IF(X296-Y296&lt;0.005,0,X296-Y296)</f>
        <v/>
      </c>
      <c r="AA296">
        <f>AF295</f>
        <v/>
      </c>
      <c r="AB296">
        <f>AA296*Plan!D10/100/12</f>
        <v/>
      </c>
      <c r="AC296">
        <f>MIN(Plan!E10,AA296+AB296)</f>
        <v/>
      </c>
      <c r="AD296">
        <f>AA296+AB296-AC296</f>
        <v/>
      </c>
      <c r="AE296">
        <f>MIN(AD296,MAX(0,$B296-((E$5&lt;AC$5)*F296+(K$5&lt;AC$5)*L296+(Q$5&lt;AC$5)*R296+(W$5&lt;AC$5)*X296+(AI$5&lt;AC$5)*AJ296+(AO$5&lt;AC$5)*AP296+(AU$5&lt;AC$5)*AV296)))</f>
        <v/>
      </c>
      <c r="AF296">
        <f>IF(AD296-AE296&lt;0.005,0,AD296-AE296)</f>
        <v/>
      </c>
      <c r="AG296">
        <f>AL295</f>
        <v/>
      </c>
      <c r="AH296">
        <f>AG296*Plan!D11/100/12</f>
        <v/>
      </c>
      <c r="AI296">
        <f>MIN(Plan!E11,AG296+AH296)</f>
        <v/>
      </c>
      <c r="AJ296">
        <f>AG296+AH296-AI296</f>
        <v/>
      </c>
      <c r="AK296">
        <f>MIN(AJ296,MAX(0,$B296-((E$5&lt;AI$5)*F296+(K$5&lt;AI$5)*L296+(Q$5&lt;AI$5)*R296+(W$5&lt;AI$5)*X296+(AC$5&lt;AI$5)*AD296+(AO$5&lt;AI$5)*AP296+(AU$5&lt;AI$5)*AV296)))</f>
        <v/>
      </c>
      <c r="AL296">
        <f>IF(AJ296-AK296&lt;0.005,0,AJ296-AK296)</f>
        <v/>
      </c>
      <c r="AM296">
        <f>AR295</f>
        <v/>
      </c>
      <c r="AN296">
        <f>AM296*Plan!D12/100/12</f>
        <v/>
      </c>
      <c r="AO296">
        <f>MIN(Plan!E12,AM296+AN296)</f>
        <v/>
      </c>
      <c r="AP296">
        <f>AM296+AN296-AO296</f>
        <v/>
      </c>
      <c r="AQ296">
        <f>MIN(AP296,MAX(0,$B296-((E$5&lt;AO$5)*F296+(K$5&lt;AO$5)*L296+(Q$5&lt;AO$5)*R296+(W$5&lt;AO$5)*X296+(AC$5&lt;AO$5)*AD296+(AI$5&lt;AO$5)*AJ296+(AU$5&lt;AO$5)*AV296)))</f>
        <v/>
      </c>
      <c r="AR296">
        <f>IF(AP296-AQ296&lt;0.005,0,AP296-AQ296)</f>
        <v/>
      </c>
      <c r="AS296">
        <f>AX295</f>
        <v/>
      </c>
      <c r="AT296">
        <f>AS296*Plan!D13/100/12</f>
        <v/>
      </c>
      <c r="AU296">
        <f>MIN(Plan!E13,AS296+AT296)</f>
        <v/>
      </c>
      <c r="AV296">
        <f>AS296+AT296-AU296</f>
        <v/>
      </c>
      <c r="AW296">
        <f>MIN(AV296,MAX(0,$B296-((E$5&lt;AU$5)*F296+(K$5&lt;AU$5)*L296+(Q$5&lt;AU$5)*R296+(W$5&lt;AU$5)*X296+(AC$5&lt;AU$5)*AD296+(AI$5&lt;AU$5)*AJ296+(AO$5&lt;AU$5)*AP296)))</f>
        <v/>
      </c>
      <c r="AX296">
        <f>IF(AV296-AW296&lt;0.005,0,AV296-AW296)</f>
        <v/>
      </c>
      <c r="BC296">
        <f>H296+N296+T296+Z296+AF296+AL296+AR296+AX296</f>
        <v/>
      </c>
    </row>
    <row r="297">
      <c r="A297" t="n">
        <v>291</v>
      </c>
      <c r="B297" s="19">
        <f>MAX(0,$B$3-(E297+K297+Q297+W297+AC297+AI297+AO297+AU297))</f>
        <v/>
      </c>
      <c r="C297">
        <f>H296</f>
        <v/>
      </c>
      <c r="D297">
        <f>C297*Plan!D6/100/12</f>
        <v/>
      </c>
      <c r="E297">
        <f>MIN(Plan!E6,C297+D297)</f>
        <v/>
      </c>
      <c r="F297">
        <f>C297+D297-E297</f>
        <v/>
      </c>
      <c r="G297">
        <f>MIN(F297,MAX(0,$B297-((K$5&lt;E$5)*L297+(Q$5&lt;E$5)*R297+(W$5&lt;E$5)*X297+(AC$5&lt;E$5)*AD297+(AI$5&lt;E$5)*AJ297+(AO$5&lt;E$5)*AP297+(AU$5&lt;E$5)*AV297)))</f>
        <v/>
      </c>
      <c r="H297">
        <f>IF(F297-G297&lt;0.005,0,F297-G297)</f>
        <v/>
      </c>
      <c r="I297">
        <f>N296</f>
        <v/>
      </c>
      <c r="J297">
        <f>I297*Plan!D7/100/12</f>
        <v/>
      </c>
      <c r="K297">
        <f>MIN(Plan!E7,I297+J297)</f>
        <v/>
      </c>
      <c r="L297">
        <f>I297+J297-K297</f>
        <v/>
      </c>
      <c r="M297">
        <f>MIN(L297,MAX(0,$B297-((E$5&lt;K$5)*F297+(Q$5&lt;K$5)*R297+(W$5&lt;K$5)*X297+(AC$5&lt;K$5)*AD297+(AI$5&lt;K$5)*AJ297+(AO$5&lt;K$5)*AP297+(AU$5&lt;K$5)*AV297)))</f>
        <v/>
      </c>
      <c r="N297">
        <f>IF(L297-M297&lt;0.005,0,L297-M297)</f>
        <v/>
      </c>
      <c r="O297">
        <f>T296</f>
        <v/>
      </c>
      <c r="P297">
        <f>O297*Plan!D8/100/12</f>
        <v/>
      </c>
      <c r="Q297">
        <f>MIN(Plan!E8,O297+P297)</f>
        <v/>
      </c>
      <c r="R297">
        <f>O297+P297-Q297</f>
        <v/>
      </c>
      <c r="S297">
        <f>MIN(R297,MAX(0,$B297-((E$5&lt;Q$5)*F297+(K$5&lt;Q$5)*L297+(W$5&lt;Q$5)*X297+(AC$5&lt;Q$5)*AD297+(AI$5&lt;Q$5)*AJ297+(AO$5&lt;Q$5)*AP297+(AU$5&lt;Q$5)*AV297)))</f>
        <v/>
      </c>
      <c r="T297">
        <f>IF(R297-S297&lt;0.005,0,R297-S297)</f>
        <v/>
      </c>
      <c r="U297">
        <f>Z296</f>
        <v/>
      </c>
      <c r="V297">
        <f>U297*Plan!D9/100/12</f>
        <v/>
      </c>
      <c r="W297">
        <f>MIN(Plan!E9,U297+V297)</f>
        <v/>
      </c>
      <c r="X297">
        <f>U297+V297-W297</f>
        <v/>
      </c>
      <c r="Y297">
        <f>MIN(X297,MAX(0,$B297-((E$5&lt;W$5)*F297+(K$5&lt;W$5)*L297+(Q$5&lt;W$5)*R297+(AC$5&lt;W$5)*AD297+(AI$5&lt;W$5)*AJ297+(AO$5&lt;W$5)*AP297+(AU$5&lt;W$5)*AV297)))</f>
        <v/>
      </c>
      <c r="Z297">
        <f>IF(X297-Y297&lt;0.005,0,X297-Y297)</f>
        <v/>
      </c>
      <c r="AA297">
        <f>AF296</f>
        <v/>
      </c>
      <c r="AB297">
        <f>AA297*Plan!D10/100/12</f>
        <v/>
      </c>
      <c r="AC297">
        <f>MIN(Plan!E10,AA297+AB297)</f>
        <v/>
      </c>
      <c r="AD297">
        <f>AA297+AB297-AC297</f>
        <v/>
      </c>
      <c r="AE297">
        <f>MIN(AD297,MAX(0,$B297-((E$5&lt;AC$5)*F297+(K$5&lt;AC$5)*L297+(Q$5&lt;AC$5)*R297+(W$5&lt;AC$5)*X297+(AI$5&lt;AC$5)*AJ297+(AO$5&lt;AC$5)*AP297+(AU$5&lt;AC$5)*AV297)))</f>
        <v/>
      </c>
      <c r="AF297">
        <f>IF(AD297-AE297&lt;0.005,0,AD297-AE297)</f>
        <v/>
      </c>
      <c r="AG297">
        <f>AL296</f>
        <v/>
      </c>
      <c r="AH297">
        <f>AG297*Plan!D11/100/12</f>
        <v/>
      </c>
      <c r="AI297">
        <f>MIN(Plan!E11,AG297+AH297)</f>
        <v/>
      </c>
      <c r="AJ297">
        <f>AG297+AH297-AI297</f>
        <v/>
      </c>
      <c r="AK297">
        <f>MIN(AJ297,MAX(0,$B297-((E$5&lt;AI$5)*F297+(K$5&lt;AI$5)*L297+(Q$5&lt;AI$5)*R297+(W$5&lt;AI$5)*X297+(AC$5&lt;AI$5)*AD297+(AO$5&lt;AI$5)*AP297+(AU$5&lt;AI$5)*AV297)))</f>
        <v/>
      </c>
      <c r="AL297">
        <f>IF(AJ297-AK297&lt;0.005,0,AJ297-AK297)</f>
        <v/>
      </c>
      <c r="AM297">
        <f>AR296</f>
        <v/>
      </c>
      <c r="AN297">
        <f>AM297*Plan!D12/100/12</f>
        <v/>
      </c>
      <c r="AO297">
        <f>MIN(Plan!E12,AM297+AN297)</f>
        <v/>
      </c>
      <c r="AP297">
        <f>AM297+AN297-AO297</f>
        <v/>
      </c>
      <c r="AQ297">
        <f>MIN(AP297,MAX(0,$B297-((E$5&lt;AO$5)*F297+(K$5&lt;AO$5)*L297+(Q$5&lt;AO$5)*R297+(W$5&lt;AO$5)*X297+(AC$5&lt;AO$5)*AD297+(AI$5&lt;AO$5)*AJ297+(AU$5&lt;AO$5)*AV297)))</f>
        <v/>
      </c>
      <c r="AR297">
        <f>IF(AP297-AQ297&lt;0.005,0,AP297-AQ297)</f>
        <v/>
      </c>
      <c r="AS297">
        <f>AX296</f>
        <v/>
      </c>
      <c r="AT297">
        <f>AS297*Plan!D13/100/12</f>
        <v/>
      </c>
      <c r="AU297">
        <f>MIN(Plan!E13,AS297+AT297)</f>
        <v/>
      </c>
      <c r="AV297">
        <f>AS297+AT297-AU297</f>
        <v/>
      </c>
      <c r="AW297">
        <f>MIN(AV297,MAX(0,$B297-((E$5&lt;AU$5)*F297+(K$5&lt;AU$5)*L297+(Q$5&lt;AU$5)*R297+(W$5&lt;AU$5)*X297+(AC$5&lt;AU$5)*AD297+(AI$5&lt;AU$5)*AJ297+(AO$5&lt;AU$5)*AP297)))</f>
        <v/>
      </c>
      <c r="AX297">
        <f>IF(AV297-AW297&lt;0.005,0,AV297-AW297)</f>
        <v/>
      </c>
      <c r="BC297">
        <f>H297+N297+T297+Z297+AF297+AL297+AR297+AX297</f>
        <v/>
      </c>
    </row>
    <row r="298">
      <c r="A298" t="n">
        <v>292</v>
      </c>
      <c r="B298" s="19">
        <f>MAX(0,$B$3-(E298+K298+Q298+W298+AC298+AI298+AO298+AU298))</f>
        <v/>
      </c>
      <c r="C298">
        <f>H297</f>
        <v/>
      </c>
      <c r="D298">
        <f>C298*Plan!D6/100/12</f>
        <v/>
      </c>
      <c r="E298">
        <f>MIN(Plan!E6,C298+D298)</f>
        <v/>
      </c>
      <c r="F298">
        <f>C298+D298-E298</f>
        <v/>
      </c>
      <c r="G298">
        <f>MIN(F298,MAX(0,$B298-((K$5&lt;E$5)*L298+(Q$5&lt;E$5)*R298+(W$5&lt;E$5)*X298+(AC$5&lt;E$5)*AD298+(AI$5&lt;E$5)*AJ298+(AO$5&lt;E$5)*AP298+(AU$5&lt;E$5)*AV298)))</f>
        <v/>
      </c>
      <c r="H298">
        <f>IF(F298-G298&lt;0.005,0,F298-G298)</f>
        <v/>
      </c>
      <c r="I298">
        <f>N297</f>
        <v/>
      </c>
      <c r="J298">
        <f>I298*Plan!D7/100/12</f>
        <v/>
      </c>
      <c r="K298">
        <f>MIN(Plan!E7,I298+J298)</f>
        <v/>
      </c>
      <c r="L298">
        <f>I298+J298-K298</f>
        <v/>
      </c>
      <c r="M298">
        <f>MIN(L298,MAX(0,$B298-((E$5&lt;K$5)*F298+(Q$5&lt;K$5)*R298+(W$5&lt;K$5)*X298+(AC$5&lt;K$5)*AD298+(AI$5&lt;K$5)*AJ298+(AO$5&lt;K$5)*AP298+(AU$5&lt;K$5)*AV298)))</f>
        <v/>
      </c>
      <c r="N298">
        <f>IF(L298-M298&lt;0.005,0,L298-M298)</f>
        <v/>
      </c>
      <c r="O298">
        <f>T297</f>
        <v/>
      </c>
      <c r="P298">
        <f>O298*Plan!D8/100/12</f>
        <v/>
      </c>
      <c r="Q298">
        <f>MIN(Plan!E8,O298+P298)</f>
        <v/>
      </c>
      <c r="R298">
        <f>O298+P298-Q298</f>
        <v/>
      </c>
      <c r="S298">
        <f>MIN(R298,MAX(0,$B298-((E$5&lt;Q$5)*F298+(K$5&lt;Q$5)*L298+(W$5&lt;Q$5)*X298+(AC$5&lt;Q$5)*AD298+(AI$5&lt;Q$5)*AJ298+(AO$5&lt;Q$5)*AP298+(AU$5&lt;Q$5)*AV298)))</f>
        <v/>
      </c>
      <c r="T298">
        <f>IF(R298-S298&lt;0.005,0,R298-S298)</f>
        <v/>
      </c>
      <c r="U298">
        <f>Z297</f>
        <v/>
      </c>
      <c r="V298">
        <f>U298*Plan!D9/100/12</f>
        <v/>
      </c>
      <c r="W298">
        <f>MIN(Plan!E9,U298+V298)</f>
        <v/>
      </c>
      <c r="X298">
        <f>U298+V298-W298</f>
        <v/>
      </c>
      <c r="Y298">
        <f>MIN(X298,MAX(0,$B298-((E$5&lt;W$5)*F298+(K$5&lt;W$5)*L298+(Q$5&lt;W$5)*R298+(AC$5&lt;W$5)*AD298+(AI$5&lt;W$5)*AJ298+(AO$5&lt;W$5)*AP298+(AU$5&lt;W$5)*AV298)))</f>
        <v/>
      </c>
      <c r="Z298">
        <f>IF(X298-Y298&lt;0.005,0,X298-Y298)</f>
        <v/>
      </c>
      <c r="AA298">
        <f>AF297</f>
        <v/>
      </c>
      <c r="AB298">
        <f>AA298*Plan!D10/100/12</f>
        <v/>
      </c>
      <c r="AC298">
        <f>MIN(Plan!E10,AA298+AB298)</f>
        <v/>
      </c>
      <c r="AD298">
        <f>AA298+AB298-AC298</f>
        <v/>
      </c>
      <c r="AE298">
        <f>MIN(AD298,MAX(0,$B298-((E$5&lt;AC$5)*F298+(K$5&lt;AC$5)*L298+(Q$5&lt;AC$5)*R298+(W$5&lt;AC$5)*X298+(AI$5&lt;AC$5)*AJ298+(AO$5&lt;AC$5)*AP298+(AU$5&lt;AC$5)*AV298)))</f>
        <v/>
      </c>
      <c r="AF298">
        <f>IF(AD298-AE298&lt;0.005,0,AD298-AE298)</f>
        <v/>
      </c>
      <c r="AG298">
        <f>AL297</f>
        <v/>
      </c>
      <c r="AH298">
        <f>AG298*Plan!D11/100/12</f>
        <v/>
      </c>
      <c r="AI298">
        <f>MIN(Plan!E11,AG298+AH298)</f>
        <v/>
      </c>
      <c r="AJ298">
        <f>AG298+AH298-AI298</f>
        <v/>
      </c>
      <c r="AK298">
        <f>MIN(AJ298,MAX(0,$B298-((E$5&lt;AI$5)*F298+(K$5&lt;AI$5)*L298+(Q$5&lt;AI$5)*R298+(W$5&lt;AI$5)*X298+(AC$5&lt;AI$5)*AD298+(AO$5&lt;AI$5)*AP298+(AU$5&lt;AI$5)*AV298)))</f>
        <v/>
      </c>
      <c r="AL298">
        <f>IF(AJ298-AK298&lt;0.005,0,AJ298-AK298)</f>
        <v/>
      </c>
      <c r="AM298">
        <f>AR297</f>
        <v/>
      </c>
      <c r="AN298">
        <f>AM298*Plan!D12/100/12</f>
        <v/>
      </c>
      <c r="AO298">
        <f>MIN(Plan!E12,AM298+AN298)</f>
        <v/>
      </c>
      <c r="AP298">
        <f>AM298+AN298-AO298</f>
        <v/>
      </c>
      <c r="AQ298">
        <f>MIN(AP298,MAX(0,$B298-((E$5&lt;AO$5)*F298+(K$5&lt;AO$5)*L298+(Q$5&lt;AO$5)*R298+(W$5&lt;AO$5)*X298+(AC$5&lt;AO$5)*AD298+(AI$5&lt;AO$5)*AJ298+(AU$5&lt;AO$5)*AV298)))</f>
        <v/>
      </c>
      <c r="AR298">
        <f>IF(AP298-AQ298&lt;0.005,0,AP298-AQ298)</f>
        <v/>
      </c>
      <c r="AS298">
        <f>AX297</f>
        <v/>
      </c>
      <c r="AT298">
        <f>AS298*Plan!D13/100/12</f>
        <v/>
      </c>
      <c r="AU298">
        <f>MIN(Plan!E13,AS298+AT298)</f>
        <v/>
      </c>
      <c r="AV298">
        <f>AS298+AT298-AU298</f>
        <v/>
      </c>
      <c r="AW298">
        <f>MIN(AV298,MAX(0,$B298-((E$5&lt;AU$5)*F298+(K$5&lt;AU$5)*L298+(Q$5&lt;AU$5)*R298+(W$5&lt;AU$5)*X298+(AC$5&lt;AU$5)*AD298+(AI$5&lt;AU$5)*AJ298+(AO$5&lt;AU$5)*AP298)))</f>
        <v/>
      </c>
      <c r="AX298">
        <f>IF(AV298-AW298&lt;0.005,0,AV298-AW298)</f>
        <v/>
      </c>
      <c r="BC298">
        <f>H298+N298+T298+Z298+AF298+AL298+AR298+AX298</f>
        <v/>
      </c>
    </row>
    <row r="299">
      <c r="A299" t="n">
        <v>293</v>
      </c>
      <c r="B299" s="19">
        <f>MAX(0,$B$3-(E299+K299+Q299+W299+AC299+AI299+AO299+AU299))</f>
        <v/>
      </c>
      <c r="C299">
        <f>H298</f>
        <v/>
      </c>
      <c r="D299">
        <f>C299*Plan!D6/100/12</f>
        <v/>
      </c>
      <c r="E299">
        <f>MIN(Plan!E6,C299+D299)</f>
        <v/>
      </c>
      <c r="F299">
        <f>C299+D299-E299</f>
        <v/>
      </c>
      <c r="G299">
        <f>MIN(F299,MAX(0,$B299-((K$5&lt;E$5)*L299+(Q$5&lt;E$5)*R299+(W$5&lt;E$5)*X299+(AC$5&lt;E$5)*AD299+(AI$5&lt;E$5)*AJ299+(AO$5&lt;E$5)*AP299+(AU$5&lt;E$5)*AV299)))</f>
        <v/>
      </c>
      <c r="H299">
        <f>IF(F299-G299&lt;0.005,0,F299-G299)</f>
        <v/>
      </c>
      <c r="I299">
        <f>N298</f>
        <v/>
      </c>
      <c r="J299">
        <f>I299*Plan!D7/100/12</f>
        <v/>
      </c>
      <c r="K299">
        <f>MIN(Plan!E7,I299+J299)</f>
        <v/>
      </c>
      <c r="L299">
        <f>I299+J299-K299</f>
        <v/>
      </c>
      <c r="M299">
        <f>MIN(L299,MAX(0,$B299-((E$5&lt;K$5)*F299+(Q$5&lt;K$5)*R299+(W$5&lt;K$5)*X299+(AC$5&lt;K$5)*AD299+(AI$5&lt;K$5)*AJ299+(AO$5&lt;K$5)*AP299+(AU$5&lt;K$5)*AV299)))</f>
        <v/>
      </c>
      <c r="N299">
        <f>IF(L299-M299&lt;0.005,0,L299-M299)</f>
        <v/>
      </c>
      <c r="O299">
        <f>T298</f>
        <v/>
      </c>
      <c r="P299">
        <f>O299*Plan!D8/100/12</f>
        <v/>
      </c>
      <c r="Q299">
        <f>MIN(Plan!E8,O299+P299)</f>
        <v/>
      </c>
      <c r="R299">
        <f>O299+P299-Q299</f>
        <v/>
      </c>
      <c r="S299">
        <f>MIN(R299,MAX(0,$B299-((E$5&lt;Q$5)*F299+(K$5&lt;Q$5)*L299+(W$5&lt;Q$5)*X299+(AC$5&lt;Q$5)*AD299+(AI$5&lt;Q$5)*AJ299+(AO$5&lt;Q$5)*AP299+(AU$5&lt;Q$5)*AV299)))</f>
        <v/>
      </c>
      <c r="T299">
        <f>IF(R299-S299&lt;0.005,0,R299-S299)</f>
        <v/>
      </c>
      <c r="U299">
        <f>Z298</f>
        <v/>
      </c>
      <c r="V299">
        <f>U299*Plan!D9/100/12</f>
        <v/>
      </c>
      <c r="W299">
        <f>MIN(Plan!E9,U299+V299)</f>
        <v/>
      </c>
      <c r="X299">
        <f>U299+V299-W299</f>
        <v/>
      </c>
      <c r="Y299">
        <f>MIN(X299,MAX(0,$B299-((E$5&lt;W$5)*F299+(K$5&lt;W$5)*L299+(Q$5&lt;W$5)*R299+(AC$5&lt;W$5)*AD299+(AI$5&lt;W$5)*AJ299+(AO$5&lt;W$5)*AP299+(AU$5&lt;W$5)*AV299)))</f>
        <v/>
      </c>
      <c r="Z299">
        <f>IF(X299-Y299&lt;0.005,0,X299-Y299)</f>
        <v/>
      </c>
      <c r="AA299">
        <f>AF298</f>
        <v/>
      </c>
      <c r="AB299">
        <f>AA299*Plan!D10/100/12</f>
        <v/>
      </c>
      <c r="AC299">
        <f>MIN(Plan!E10,AA299+AB299)</f>
        <v/>
      </c>
      <c r="AD299">
        <f>AA299+AB299-AC299</f>
        <v/>
      </c>
      <c r="AE299">
        <f>MIN(AD299,MAX(0,$B299-((E$5&lt;AC$5)*F299+(K$5&lt;AC$5)*L299+(Q$5&lt;AC$5)*R299+(W$5&lt;AC$5)*X299+(AI$5&lt;AC$5)*AJ299+(AO$5&lt;AC$5)*AP299+(AU$5&lt;AC$5)*AV299)))</f>
        <v/>
      </c>
      <c r="AF299">
        <f>IF(AD299-AE299&lt;0.005,0,AD299-AE299)</f>
        <v/>
      </c>
      <c r="AG299">
        <f>AL298</f>
        <v/>
      </c>
      <c r="AH299">
        <f>AG299*Plan!D11/100/12</f>
        <v/>
      </c>
      <c r="AI299">
        <f>MIN(Plan!E11,AG299+AH299)</f>
        <v/>
      </c>
      <c r="AJ299">
        <f>AG299+AH299-AI299</f>
        <v/>
      </c>
      <c r="AK299">
        <f>MIN(AJ299,MAX(0,$B299-((E$5&lt;AI$5)*F299+(K$5&lt;AI$5)*L299+(Q$5&lt;AI$5)*R299+(W$5&lt;AI$5)*X299+(AC$5&lt;AI$5)*AD299+(AO$5&lt;AI$5)*AP299+(AU$5&lt;AI$5)*AV299)))</f>
        <v/>
      </c>
      <c r="AL299">
        <f>IF(AJ299-AK299&lt;0.005,0,AJ299-AK299)</f>
        <v/>
      </c>
      <c r="AM299">
        <f>AR298</f>
        <v/>
      </c>
      <c r="AN299">
        <f>AM299*Plan!D12/100/12</f>
        <v/>
      </c>
      <c r="AO299">
        <f>MIN(Plan!E12,AM299+AN299)</f>
        <v/>
      </c>
      <c r="AP299">
        <f>AM299+AN299-AO299</f>
        <v/>
      </c>
      <c r="AQ299">
        <f>MIN(AP299,MAX(0,$B299-((E$5&lt;AO$5)*F299+(K$5&lt;AO$5)*L299+(Q$5&lt;AO$5)*R299+(W$5&lt;AO$5)*X299+(AC$5&lt;AO$5)*AD299+(AI$5&lt;AO$5)*AJ299+(AU$5&lt;AO$5)*AV299)))</f>
        <v/>
      </c>
      <c r="AR299">
        <f>IF(AP299-AQ299&lt;0.005,0,AP299-AQ299)</f>
        <v/>
      </c>
      <c r="AS299">
        <f>AX298</f>
        <v/>
      </c>
      <c r="AT299">
        <f>AS299*Plan!D13/100/12</f>
        <v/>
      </c>
      <c r="AU299">
        <f>MIN(Plan!E13,AS299+AT299)</f>
        <v/>
      </c>
      <c r="AV299">
        <f>AS299+AT299-AU299</f>
        <v/>
      </c>
      <c r="AW299">
        <f>MIN(AV299,MAX(0,$B299-((E$5&lt;AU$5)*F299+(K$5&lt;AU$5)*L299+(Q$5&lt;AU$5)*R299+(W$5&lt;AU$5)*X299+(AC$5&lt;AU$5)*AD299+(AI$5&lt;AU$5)*AJ299+(AO$5&lt;AU$5)*AP299)))</f>
        <v/>
      </c>
      <c r="AX299">
        <f>IF(AV299-AW299&lt;0.005,0,AV299-AW299)</f>
        <v/>
      </c>
      <c r="BC299">
        <f>H299+N299+T299+Z299+AF299+AL299+AR299+AX299</f>
        <v/>
      </c>
    </row>
    <row r="300">
      <c r="A300" t="n">
        <v>294</v>
      </c>
      <c r="B300" s="19">
        <f>MAX(0,$B$3-(E300+K300+Q300+W300+AC300+AI300+AO300+AU300))</f>
        <v/>
      </c>
      <c r="C300">
        <f>H299</f>
        <v/>
      </c>
      <c r="D300">
        <f>C300*Plan!D6/100/12</f>
        <v/>
      </c>
      <c r="E300">
        <f>MIN(Plan!E6,C300+D300)</f>
        <v/>
      </c>
      <c r="F300">
        <f>C300+D300-E300</f>
        <v/>
      </c>
      <c r="G300">
        <f>MIN(F300,MAX(0,$B300-((K$5&lt;E$5)*L300+(Q$5&lt;E$5)*R300+(W$5&lt;E$5)*X300+(AC$5&lt;E$5)*AD300+(AI$5&lt;E$5)*AJ300+(AO$5&lt;E$5)*AP300+(AU$5&lt;E$5)*AV300)))</f>
        <v/>
      </c>
      <c r="H300">
        <f>IF(F300-G300&lt;0.005,0,F300-G300)</f>
        <v/>
      </c>
      <c r="I300">
        <f>N299</f>
        <v/>
      </c>
      <c r="J300">
        <f>I300*Plan!D7/100/12</f>
        <v/>
      </c>
      <c r="K300">
        <f>MIN(Plan!E7,I300+J300)</f>
        <v/>
      </c>
      <c r="L300">
        <f>I300+J300-K300</f>
        <v/>
      </c>
      <c r="M300">
        <f>MIN(L300,MAX(0,$B300-((E$5&lt;K$5)*F300+(Q$5&lt;K$5)*R300+(W$5&lt;K$5)*X300+(AC$5&lt;K$5)*AD300+(AI$5&lt;K$5)*AJ300+(AO$5&lt;K$5)*AP300+(AU$5&lt;K$5)*AV300)))</f>
        <v/>
      </c>
      <c r="N300">
        <f>IF(L300-M300&lt;0.005,0,L300-M300)</f>
        <v/>
      </c>
      <c r="O300">
        <f>T299</f>
        <v/>
      </c>
      <c r="P300">
        <f>O300*Plan!D8/100/12</f>
        <v/>
      </c>
      <c r="Q300">
        <f>MIN(Plan!E8,O300+P300)</f>
        <v/>
      </c>
      <c r="R300">
        <f>O300+P300-Q300</f>
        <v/>
      </c>
      <c r="S300">
        <f>MIN(R300,MAX(0,$B300-((E$5&lt;Q$5)*F300+(K$5&lt;Q$5)*L300+(W$5&lt;Q$5)*X300+(AC$5&lt;Q$5)*AD300+(AI$5&lt;Q$5)*AJ300+(AO$5&lt;Q$5)*AP300+(AU$5&lt;Q$5)*AV300)))</f>
        <v/>
      </c>
      <c r="T300">
        <f>IF(R300-S300&lt;0.005,0,R300-S300)</f>
        <v/>
      </c>
      <c r="U300">
        <f>Z299</f>
        <v/>
      </c>
      <c r="V300">
        <f>U300*Plan!D9/100/12</f>
        <v/>
      </c>
      <c r="W300">
        <f>MIN(Plan!E9,U300+V300)</f>
        <v/>
      </c>
      <c r="X300">
        <f>U300+V300-W300</f>
        <v/>
      </c>
      <c r="Y300">
        <f>MIN(X300,MAX(0,$B300-((E$5&lt;W$5)*F300+(K$5&lt;W$5)*L300+(Q$5&lt;W$5)*R300+(AC$5&lt;W$5)*AD300+(AI$5&lt;W$5)*AJ300+(AO$5&lt;W$5)*AP300+(AU$5&lt;W$5)*AV300)))</f>
        <v/>
      </c>
      <c r="Z300">
        <f>IF(X300-Y300&lt;0.005,0,X300-Y300)</f>
        <v/>
      </c>
      <c r="AA300">
        <f>AF299</f>
        <v/>
      </c>
      <c r="AB300">
        <f>AA300*Plan!D10/100/12</f>
        <v/>
      </c>
      <c r="AC300">
        <f>MIN(Plan!E10,AA300+AB300)</f>
        <v/>
      </c>
      <c r="AD300">
        <f>AA300+AB300-AC300</f>
        <v/>
      </c>
      <c r="AE300">
        <f>MIN(AD300,MAX(0,$B300-((E$5&lt;AC$5)*F300+(K$5&lt;AC$5)*L300+(Q$5&lt;AC$5)*R300+(W$5&lt;AC$5)*X300+(AI$5&lt;AC$5)*AJ300+(AO$5&lt;AC$5)*AP300+(AU$5&lt;AC$5)*AV300)))</f>
        <v/>
      </c>
      <c r="AF300">
        <f>IF(AD300-AE300&lt;0.005,0,AD300-AE300)</f>
        <v/>
      </c>
      <c r="AG300">
        <f>AL299</f>
        <v/>
      </c>
      <c r="AH300">
        <f>AG300*Plan!D11/100/12</f>
        <v/>
      </c>
      <c r="AI300">
        <f>MIN(Plan!E11,AG300+AH300)</f>
        <v/>
      </c>
      <c r="AJ300">
        <f>AG300+AH300-AI300</f>
        <v/>
      </c>
      <c r="AK300">
        <f>MIN(AJ300,MAX(0,$B300-((E$5&lt;AI$5)*F300+(K$5&lt;AI$5)*L300+(Q$5&lt;AI$5)*R300+(W$5&lt;AI$5)*X300+(AC$5&lt;AI$5)*AD300+(AO$5&lt;AI$5)*AP300+(AU$5&lt;AI$5)*AV300)))</f>
        <v/>
      </c>
      <c r="AL300">
        <f>IF(AJ300-AK300&lt;0.005,0,AJ300-AK300)</f>
        <v/>
      </c>
      <c r="AM300">
        <f>AR299</f>
        <v/>
      </c>
      <c r="AN300">
        <f>AM300*Plan!D12/100/12</f>
        <v/>
      </c>
      <c r="AO300">
        <f>MIN(Plan!E12,AM300+AN300)</f>
        <v/>
      </c>
      <c r="AP300">
        <f>AM300+AN300-AO300</f>
        <v/>
      </c>
      <c r="AQ300">
        <f>MIN(AP300,MAX(0,$B300-((E$5&lt;AO$5)*F300+(K$5&lt;AO$5)*L300+(Q$5&lt;AO$5)*R300+(W$5&lt;AO$5)*X300+(AC$5&lt;AO$5)*AD300+(AI$5&lt;AO$5)*AJ300+(AU$5&lt;AO$5)*AV300)))</f>
        <v/>
      </c>
      <c r="AR300">
        <f>IF(AP300-AQ300&lt;0.005,0,AP300-AQ300)</f>
        <v/>
      </c>
      <c r="AS300">
        <f>AX299</f>
        <v/>
      </c>
      <c r="AT300">
        <f>AS300*Plan!D13/100/12</f>
        <v/>
      </c>
      <c r="AU300">
        <f>MIN(Plan!E13,AS300+AT300)</f>
        <v/>
      </c>
      <c r="AV300">
        <f>AS300+AT300-AU300</f>
        <v/>
      </c>
      <c r="AW300">
        <f>MIN(AV300,MAX(0,$B300-((E$5&lt;AU$5)*F300+(K$5&lt;AU$5)*L300+(Q$5&lt;AU$5)*R300+(W$5&lt;AU$5)*X300+(AC$5&lt;AU$5)*AD300+(AI$5&lt;AU$5)*AJ300+(AO$5&lt;AU$5)*AP300)))</f>
        <v/>
      </c>
      <c r="AX300">
        <f>IF(AV300-AW300&lt;0.005,0,AV300-AW300)</f>
        <v/>
      </c>
      <c r="BC300">
        <f>H300+N300+T300+Z300+AF300+AL300+AR300+AX300</f>
        <v/>
      </c>
    </row>
    <row r="301">
      <c r="A301" t="n">
        <v>295</v>
      </c>
      <c r="B301" s="19">
        <f>MAX(0,$B$3-(E301+K301+Q301+W301+AC301+AI301+AO301+AU301))</f>
        <v/>
      </c>
      <c r="C301">
        <f>H300</f>
        <v/>
      </c>
      <c r="D301">
        <f>C301*Plan!D6/100/12</f>
        <v/>
      </c>
      <c r="E301">
        <f>MIN(Plan!E6,C301+D301)</f>
        <v/>
      </c>
      <c r="F301">
        <f>C301+D301-E301</f>
        <v/>
      </c>
      <c r="G301">
        <f>MIN(F301,MAX(0,$B301-((K$5&lt;E$5)*L301+(Q$5&lt;E$5)*R301+(W$5&lt;E$5)*X301+(AC$5&lt;E$5)*AD301+(AI$5&lt;E$5)*AJ301+(AO$5&lt;E$5)*AP301+(AU$5&lt;E$5)*AV301)))</f>
        <v/>
      </c>
      <c r="H301">
        <f>IF(F301-G301&lt;0.005,0,F301-G301)</f>
        <v/>
      </c>
      <c r="I301">
        <f>N300</f>
        <v/>
      </c>
      <c r="J301">
        <f>I301*Plan!D7/100/12</f>
        <v/>
      </c>
      <c r="K301">
        <f>MIN(Plan!E7,I301+J301)</f>
        <v/>
      </c>
      <c r="L301">
        <f>I301+J301-K301</f>
        <v/>
      </c>
      <c r="M301">
        <f>MIN(L301,MAX(0,$B301-((E$5&lt;K$5)*F301+(Q$5&lt;K$5)*R301+(W$5&lt;K$5)*X301+(AC$5&lt;K$5)*AD301+(AI$5&lt;K$5)*AJ301+(AO$5&lt;K$5)*AP301+(AU$5&lt;K$5)*AV301)))</f>
        <v/>
      </c>
      <c r="N301">
        <f>IF(L301-M301&lt;0.005,0,L301-M301)</f>
        <v/>
      </c>
      <c r="O301">
        <f>T300</f>
        <v/>
      </c>
      <c r="P301">
        <f>O301*Plan!D8/100/12</f>
        <v/>
      </c>
      <c r="Q301">
        <f>MIN(Plan!E8,O301+P301)</f>
        <v/>
      </c>
      <c r="R301">
        <f>O301+P301-Q301</f>
        <v/>
      </c>
      <c r="S301">
        <f>MIN(R301,MAX(0,$B301-((E$5&lt;Q$5)*F301+(K$5&lt;Q$5)*L301+(W$5&lt;Q$5)*X301+(AC$5&lt;Q$5)*AD301+(AI$5&lt;Q$5)*AJ301+(AO$5&lt;Q$5)*AP301+(AU$5&lt;Q$5)*AV301)))</f>
        <v/>
      </c>
      <c r="T301">
        <f>IF(R301-S301&lt;0.005,0,R301-S301)</f>
        <v/>
      </c>
      <c r="U301">
        <f>Z300</f>
        <v/>
      </c>
      <c r="V301">
        <f>U301*Plan!D9/100/12</f>
        <v/>
      </c>
      <c r="W301">
        <f>MIN(Plan!E9,U301+V301)</f>
        <v/>
      </c>
      <c r="X301">
        <f>U301+V301-W301</f>
        <v/>
      </c>
      <c r="Y301">
        <f>MIN(X301,MAX(0,$B301-((E$5&lt;W$5)*F301+(K$5&lt;W$5)*L301+(Q$5&lt;W$5)*R301+(AC$5&lt;W$5)*AD301+(AI$5&lt;W$5)*AJ301+(AO$5&lt;W$5)*AP301+(AU$5&lt;W$5)*AV301)))</f>
        <v/>
      </c>
      <c r="Z301">
        <f>IF(X301-Y301&lt;0.005,0,X301-Y301)</f>
        <v/>
      </c>
      <c r="AA301">
        <f>AF300</f>
        <v/>
      </c>
      <c r="AB301">
        <f>AA301*Plan!D10/100/12</f>
        <v/>
      </c>
      <c r="AC301">
        <f>MIN(Plan!E10,AA301+AB301)</f>
        <v/>
      </c>
      <c r="AD301">
        <f>AA301+AB301-AC301</f>
        <v/>
      </c>
      <c r="AE301">
        <f>MIN(AD301,MAX(0,$B301-((E$5&lt;AC$5)*F301+(K$5&lt;AC$5)*L301+(Q$5&lt;AC$5)*R301+(W$5&lt;AC$5)*X301+(AI$5&lt;AC$5)*AJ301+(AO$5&lt;AC$5)*AP301+(AU$5&lt;AC$5)*AV301)))</f>
        <v/>
      </c>
      <c r="AF301">
        <f>IF(AD301-AE301&lt;0.005,0,AD301-AE301)</f>
        <v/>
      </c>
      <c r="AG301">
        <f>AL300</f>
        <v/>
      </c>
      <c r="AH301">
        <f>AG301*Plan!D11/100/12</f>
        <v/>
      </c>
      <c r="AI301">
        <f>MIN(Plan!E11,AG301+AH301)</f>
        <v/>
      </c>
      <c r="AJ301">
        <f>AG301+AH301-AI301</f>
        <v/>
      </c>
      <c r="AK301">
        <f>MIN(AJ301,MAX(0,$B301-((E$5&lt;AI$5)*F301+(K$5&lt;AI$5)*L301+(Q$5&lt;AI$5)*R301+(W$5&lt;AI$5)*X301+(AC$5&lt;AI$5)*AD301+(AO$5&lt;AI$5)*AP301+(AU$5&lt;AI$5)*AV301)))</f>
        <v/>
      </c>
      <c r="AL301">
        <f>IF(AJ301-AK301&lt;0.005,0,AJ301-AK301)</f>
        <v/>
      </c>
      <c r="AM301">
        <f>AR300</f>
        <v/>
      </c>
      <c r="AN301">
        <f>AM301*Plan!D12/100/12</f>
        <v/>
      </c>
      <c r="AO301">
        <f>MIN(Plan!E12,AM301+AN301)</f>
        <v/>
      </c>
      <c r="AP301">
        <f>AM301+AN301-AO301</f>
        <v/>
      </c>
      <c r="AQ301">
        <f>MIN(AP301,MAX(0,$B301-((E$5&lt;AO$5)*F301+(K$5&lt;AO$5)*L301+(Q$5&lt;AO$5)*R301+(W$5&lt;AO$5)*X301+(AC$5&lt;AO$5)*AD301+(AI$5&lt;AO$5)*AJ301+(AU$5&lt;AO$5)*AV301)))</f>
        <v/>
      </c>
      <c r="AR301">
        <f>IF(AP301-AQ301&lt;0.005,0,AP301-AQ301)</f>
        <v/>
      </c>
      <c r="AS301">
        <f>AX300</f>
        <v/>
      </c>
      <c r="AT301">
        <f>AS301*Plan!D13/100/12</f>
        <v/>
      </c>
      <c r="AU301">
        <f>MIN(Plan!E13,AS301+AT301)</f>
        <v/>
      </c>
      <c r="AV301">
        <f>AS301+AT301-AU301</f>
        <v/>
      </c>
      <c r="AW301">
        <f>MIN(AV301,MAX(0,$B301-((E$5&lt;AU$5)*F301+(K$5&lt;AU$5)*L301+(Q$5&lt;AU$5)*R301+(W$5&lt;AU$5)*X301+(AC$5&lt;AU$5)*AD301+(AI$5&lt;AU$5)*AJ301+(AO$5&lt;AU$5)*AP301)))</f>
        <v/>
      </c>
      <c r="AX301">
        <f>IF(AV301-AW301&lt;0.005,0,AV301-AW301)</f>
        <v/>
      </c>
      <c r="BC301">
        <f>H301+N301+T301+Z301+AF301+AL301+AR301+AX301</f>
        <v/>
      </c>
    </row>
    <row r="302">
      <c r="A302" t="n">
        <v>296</v>
      </c>
      <c r="B302" s="19">
        <f>MAX(0,$B$3-(E302+K302+Q302+W302+AC302+AI302+AO302+AU302))</f>
        <v/>
      </c>
      <c r="C302">
        <f>H301</f>
        <v/>
      </c>
      <c r="D302">
        <f>C302*Plan!D6/100/12</f>
        <v/>
      </c>
      <c r="E302">
        <f>MIN(Plan!E6,C302+D302)</f>
        <v/>
      </c>
      <c r="F302">
        <f>C302+D302-E302</f>
        <v/>
      </c>
      <c r="G302">
        <f>MIN(F302,MAX(0,$B302-((K$5&lt;E$5)*L302+(Q$5&lt;E$5)*R302+(W$5&lt;E$5)*X302+(AC$5&lt;E$5)*AD302+(AI$5&lt;E$5)*AJ302+(AO$5&lt;E$5)*AP302+(AU$5&lt;E$5)*AV302)))</f>
        <v/>
      </c>
      <c r="H302">
        <f>IF(F302-G302&lt;0.005,0,F302-G302)</f>
        <v/>
      </c>
      <c r="I302">
        <f>N301</f>
        <v/>
      </c>
      <c r="J302">
        <f>I302*Plan!D7/100/12</f>
        <v/>
      </c>
      <c r="K302">
        <f>MIN(Plan!E7,I302+J302)</f>
        <v/>
      </c>
      <c r="L302">
        <f>I302+J302-K302</f>
        <v/>
      </c>
      <c r="M302">
        <f>MIN(L302,MAX(0,$B302-((E$5&lt;K$5)*F302+(Q$5&lt;K$5)*R302+(W$5&lt;K$5)*X302+(AC$5&lt;K$5)*AD302+(AI$5&lt;K$5)*AJ302+(AO$5&lt;K$5)*AP302+(AU$5&lt;K$5)*AV302)))</f>
        <v/>
      </c>
      <c r="N302">
        <f>IF(L302-M302&lt;0.005,0,L302-M302)</f>
        <v/>
      </c>
      <c r="O302">
        <f>T301</f>
        <v/>
      </c>
      <c r="P302">
        <f>O302*Plan!D8/100/12</f>
        <v/>
      </c>
      <c r="Q302">
        <f>MIN(Plan!E8,O302+P302)</f>
        <v/>
      </c>
      <c r="R302">
        <f>O302+P302-Q302</f>
        <v/>
      </c>
      <c r="S302">
        <f>MIN(R302,MAX(0,$B302-((E$5&lt;Q$5)*F302+(K$5&lt;Q$5)*L302+(W$5&lt;Q$5)*X302+(AC$5&lt;Q$5)*AD302+(AI$5&lt;Q$5)*AJ302+(AO$5&lt;Q$5)*AP302+(AU$5&lt;Q$5)*AV302)))</f>
        <v/>
      </c>
      <c r="T302">
        <f>IF(R302-S302&lt;0.005,0,R302-S302)</f>
        <v/>
      </c>
      <c r="U302">
        <f>Z301</f>
        <v/>
      </c>
      <c r="V302">
        <f>U302*Plan!D9/100/12</f>
        <v/>
      </c>
      <c r="W302">
        <f>MIN(Plan!E9,U302+V302)</f>
        <v/>
      </c>
      <c r="X302">
        <f>U302+V302-W302</f>
        <v/>
      </c>
      <c r="Y302">
        <f>MIN(X302,MAX(0,$B302-((E$5&lt;W$5)*F302+(K$5&lt;W$5)*L302+(Q$5&lt;W$5)*R302+(AC$5&lt;W$5)*AD302+(AI$5&lt;W$5)*AJ302+(AO$5&lt;W$5)*AP302+(AU$5&lt;W$5)*AV302)))</f>
        <v/>
      </c>
      <c r="Z302">
        <f>IF(X302-Y302&lt;0.005,0,X302-Y302)</f>
        <v/>
      </c>
      <c r="AA302">
        <f>AF301</f>
        <v/>
      </c>
      <c r="AB302">
        <f>AA302*Plan!D10/100/12</f>
        <v/>
      </c>
      <c r="AC302">
        <f>MIN(Plan!E10,AA302+AB302)</f>
        <v/>
      </c>
      <c r="AD302">
        <f>AA302+AB302-AC302</f>
        <v/>
      </c>
      <c r="AE302">
        <f>MIN(AD302,MAX(0,$B302-((E$5&lt;AC$5)*F302+(K$5&lt;AC$5)*L302+(Q$5&lt;AC$5)*R302+(W$5&lt;AC$5)*X302+(AI$5&lt;AC$5)*AJ302+(AO$5&lt;AC$5)*AP302+(AU$5&lt;AC$5)*AV302)))</f>
        <v/>
      </c>
      <c r="AF302">
        <f>IF(AD302-AE302&lt;0.005,0,AD302-AE302)</f>
        <v/>
      </c>
      <c r="AG302">
        <f>AL301</f>
        <v/>
      </c>
      <c r="AH302">
        <f>AG302*Plan!D11/100/12</f>
        <v/>
      </c>
      <c r="AI302">
        <f>MIN(Plan!E11,AG302+AH302)</f>
        <v/>
      </c>
      <c r="AJ302">
        <f>AG302+AH302-AI302</f>
        <v/>
      </c>
      <c r="AK302">
        <f>MIN(AJ302,MAX(0,$B302-((E$5&lt;AI$5)*F302+(K$5&lt;AI$5)*L302+(Q$5&lt;AI$5)*R302+(W$5&lt;AI$5)*X302+(AC$5&lt;AI$5)*AD302+(AO$5&lt;AI$5)*AP302+(AU$5&lt;AI$5)*AV302)))</f>
        <v/>
      </c>
      <c r="AL302">
        <f>IF(AJ302-AK302&lt;0.005,0,AJ302-AK302)</f>
        <v/>
      </c>
      <c r="AM302">
        <f>AR301</f>
        <v/>
      </c>
      <c r="AN302">
        <f>AM302*Plan!D12/100/12</f>
        <v/>
      </c>
      <c r="AO302">
        <f>MIN(Plan!E12,AM302+AN302)</f>
        <v/>
      </c>
      <c r="AP302">
        <f>AM302+AN302-AO302</f>
        <v/>
      </c>
      <c r="AQ302">
        <f>MIN(AP302,MAX(0,$B302-((E$5&lt;AO$5)*F302+(K$5&lt;AO$5)*L302+(Q$5&lt;AO$5)*R302+(W$5&lt;AO$5)*X302+(AC$5&lt;AO$5)*AD302+(AI$5&lt;AO$5)*AJ302+(AU$5&lt;AO$5)*AV302)))</f>
        <v/>
      </c>
      <c r="AR302">
        <f>IF(AP302-AQ302&lt;0.005,0,AP302-AQ302)</f>
        <v/>
      </c>
      <c r="AS302">
        <f>AX301</f>
        <v/>
      </c>
      <c r="AT302">
        <f>AS302*Plan!D13/100/12</f>
        <v/>
      </c>
      <c r="AU302">
        <f>MIN(Plan!E13,AS302+AT302)</f>
        <v/>
      </c>
      <c r="AV302">
        <f>AS302+AT302-AU302</f>
        <v/>
      </c>
      <c r="AW302">
        <f>MIN(AV302,MAX(0,$B302-((E$5&lt;AU$5)*F302+(K$5&lt;AU$5)*L302+(Q$5&lt;AU$5)*R302+(W$5&lt;AU$5)*X302+(AC$5&lt;AU$5)*AD302+(AI$5&lt;AU$5)*AJ302+(AO$5&lt;AU$5)*AP302)))</f>
        <v/>
      </c>
      <c r="AX302">
        <f>IF(AV302-AW302&lt;0.005,0,AV302-AW302)</f>
        <v/>
      </c>
      <c r="BC302">
        <f>H302+N302+T302+Z302+AF302+AL302+AR302+AX302</f>
        <v/>
      </c>
    </row>
    <row r="303">
      <c r="A303" t="n">
        <v>297</v>
      </c>
      <c r="B303" s="19">
        <f>MAX(0,$B$3-(E303+K303+Q303+W303+AC303+AI303+AO303+AU303))</f>
        <v/>
      </c>
      <c r="C303">
        <f>H302</f>
        <v/>
      </c>
      <c r="D303">
        <f>C303*Plan!D6/100/12</f>
        <v/>
      </c>
      <c r="E303">
        <f>MIN(Plan!E6,C303+D303)</f>
        <v/>
      </c>
      <c r="F303">
        <f>C303+D303-E303</f>
        <v/>
      </c>
      <c r="G303">
        <f>MIN(F303,MAX(0,$B303-((K$5&lt;E$5)*L303+(Q$5&lt;E$5)*R303+(W$5&lt;E$5)*X303+(AC$5&lt;E$5)*AD303+(AI$5&lt;E$5)*AJ303+(AO$5&lt;E$5)*AP303+(AU$5&lt;E$5)*AV303)))</f>
        <v/>
      </c>
      <c r="H303">
        <f>IF(F303-G303&lt;0.005,0,F303-G303)</f>
        <v/>
      </c>
      <c r="I303">
        <f>N302</f>
        <v/>
      </c>
      <c r="J303">
        <f>I303*Plan!D7/100/12</f>
        <v/>
      </c>
      <c r="K303">
        <f>MIN(Plan!E7,I303+J303)</f>
        <v/>
      </c>
      <c r="L303">
        <f>I303+J303-K303</f>
        <v/>
      </c>
      <c r="M303">
        <f>MIN(L303,MAX(0,$B303-((E$5&lt;K$5)*F303+(Q$5&lt;K$5)*R303+(W$5&lt;K$5)*X303+(AC$5&lt;K$5)*AD303+(AI$5&lt;K$5)*AJ303+(AO$5&lt;K$5)*AP303+(AU$5&lt;K$5)*AV303)))</f>
        <v/>
      </c>
      <c r="N303">
        <f>IF(L303-M303&lt;0.005,0,L303-M303)</f>
        <v/>
      </c>
      <c r="O303">
        <f>T302</f>
        <v/>
      </c>
      <c r="P303">
        <f>O303*Plan!D8/100/12</f>
        <v/>
      </c>
      <c r="Q303">
        <f>MIN(Plan!E8,O303+P303)</f>
        <v/>
      </c>
      <c r="R303">
        <f>O303+P303-Q303</f>
        <v/>
      </c>
      <c r="S303">
        <f>MIN(R303,MAX(0,$B303-((E$5&lt;Q$5)*F303+(K$5&lt;Q$5)*L303+(W$5&lt;Q$5)*X303+(AC$5&lt;Q$5)*AD303+(AI$5&lt;Q$5)*AJ303+(AO$5&lt;Q$5)*AP303+(AU$5&lt;Q$5)*AV303)))</f>
        <v/>
      </c>
      <c r="T303">
        <f>IF(R303-S303&lt;0.005,0,R303-S303)</f>
        <v/>
      </c>
      <c r="U303">
        <f>Z302</f>
        <v/>
      </c>
      <c r="V303">
        <f>U303*Plan!D9/100/12</f>
        <v/>
      </c>
      <c r="W303">
        <f>MIN(Plan!E9,U303+V303)</f>
        <v/>
      </c>
      <c r="X303">
        <f>U303+V303-W303</f>
        <v/>
      </c>
      <c r="Y303">
        <f>MIN(X303,MAX(0,$B303-((E$5&lt;W$5)*F303+(K$5&lt;W$5)*L303+(Q$5&lt;W$5)*R303+(AC$5&lt;W$5)*AD303+(AI$5&lt;W$5)*AJ303+(AO$5&lt;W$5)*AP303+(AU$5&lt;W$5)*AV303)))</f>
        <v/>
      </c>
      <c r="Z303">
        <f>IF(X303-Y303&lt;0.005,0,X303-Y303)</f>
        <v/>
      </c>
      <c r="AA303">
        <f>AF302</f>
        <v/>
      </c>
      <c r="AB303">
        <f>AA303*Plan!D10/100/12</f>
        <v/>
      </c>
      <c r="AC303">
        <f>MIN(Plan!E10,AA303+AB303)</f>
        <v/>
      </c>
      <c r="AD303">
        <f>AA303+AB303-AC303</f>
        <v/>
      </c>
      <c r="AE303">
        <f>MIN(AD303,MAX(0,$B303-((E$5&lt;AC$5)*F303+(K$5&lt;AC$5)*L303+(Q$5&lt;AC$5)*R303+(W$5&lt;AC$5)*X303+(AI$5&lt;AC$5)*AJ303+(AO$5&lt;AC$5)*AP303+(AU$5&lt;AC$5)*AV303)))</f>
        <v/>
      </c>
      <c r="AF303">
        <f>IF(AD303-AE303&lt;0.005,0,AD303-AE303)</f>
        <v/>
      </c>
      <c r="AG303">
        <f>AL302</f>
        <v/>
      </c>
      <c r="AH303">
        <f>AG303*Plan!D11/100/12</f>
        <v/>
      </c>
      <c r="AI303">
        <f>MIN(Plan!E11,AG303+AH303)</f>
        <v/>
      </c>
      <c r="AJ303">
        <f>AG303+AH303-AI303</f>
        <v/>
      </c>
      <c r="AK303">
        <f>MIN(AJ303,MAX(0,$B303-((E$5&lt;AI$5)*F303+(K$5&lt;AI$5)*L303+(Q$5&lt;AI$5)*R303+(W$5&lt;AI$5)*X303+(AC$5&lt;AI$5)*AD303+(AO$5&lt;AI$5)*AP303+(AU$5&lt;AI$5)*AV303)))</f>
        <v/>
      </c>
      <c r="AL303">
        <f>IF(AJ303-AK303&lt;0.005,0,AJ303-AK303)</f>
        <v/>
      </c>
      <c r="AM303">
        <f>AR302</f>
        <v/>
      </c>
      <c r="AN303">
        <f>AM303*Plan!D12/100/12</f>
        <v/>
      </c>
      <c r="AO303">
        <f>MIN(Plan!E12,AM303+AN303)</f>
        <v/>
      </c>
      <c r="AP303">
        <f>AM303+AN303-AO303</f>
        <v/>
      </c>
      <c r="AQ303">
        <f>MIN(AP303,MAX(0,$B303-((E$5&lt;AO$5)*F303+(K$5&lt;AO$5)*L303+(Q$5&lt;AO$5)*R303+(W$5&lt;AO$5)*X303+(AC$5&lt;AO$5)*AD303+(AI$5&lt;AO$5)*AJ303+(AU$5&lt;AO$5)*AV303)))</f>
        <v/>
      </c>
      <c r="AR303">
        <f>IF(AP303-AQ303&lt;0.005,0,AP303-AQ303)</f>
        <v/>
      </c>
      <c r="AS303">
        <f>AX302</f>
        <v/>
      </c>
      <c r="AT303">
        <f>AS303*Plan!D13/100/12</f>
        <v/>
      </c>
      <c r="AU303">
        <f>MIN(Plan!E13,AS303+AT303)</f>
        <v/>
      </c>
      <c r="AV303">
        <f>AS303+AT303-AU303</f>
        <v/>
      </c>
      <c r="AW303">
        <f>MIN(AV303,MAX(0,$B303-((E$5&lt;AU$5)*F303+(K$5&lt;AU$5)*L303+(Q$5&lt;AU$5)*R303+(W$5&lt;AU$5)*X303+(AC$5&lt;AU$5)*AD303+(AI$5&lt;AU$5)*AJ303+(AO$5&lt;AU$5)*AP303)))</f>
        <v/>
      </c>
      <c r="AX303">
        <f>IF(AV303-AW303&lt;0.005,0,AV303-AW303)</f>
        <v/>
      </c>
      <c r="BC303">
        <f>H303+N303+T303+Z303+AF303+AL303+AR303+AX303</f>
        <v/>
      </c>
    </row>
    <row r="304">
      <c r="A304" t="n">
        <v>298</v>
      </c>
      <c r="B304" s="19">
        <f>MAX(0,$B$3-(E304+K304+Q304+W304+AC304+AI304+AO304+AU304))</f>
        <v/>
      </c>
      <c r="C304">
        <f>H303</f>
        <v/>
      </c>
      <c r="D304">
        <f>C304*Plan!D6/100/12</f>
        <v/>
      </c>
      <c r="E304">
        <f>MIN(Plan!E6,C304+D304)</f>
        <v/>
      </c>
      <c r="F304">
        <f>C304+D304-E304</f>
        <v/>
      </c>
      <c r="G304">
        <f>MIN(F304,MAX(0,$B304-((K$5&lt;E$5)*L304+(Q$5&lt;E$5)*R304+(W$5&lt;E$5)*X304+(AC$5&lt;E$5)*AD304+(AI$5&lt;E$5)*AJ304+(AO$5&lt;E$5)*AP304+(AU$5&lt;E$5)*AV304)))</f>
        <v/>
      </c>
      <c r="H304">
        <f>IF(F304-G304&lt;0.005,0,F304-G304)</f>
        <v/>
      </c>
      <c r="I304">
        <f>N303</f>
        <v/>
      </c>
      <c r="J304">
        <f>I304*Plan!D7/100/12</f>
        <v/>
      </c>
      <c r="K304">
        <f>MIN(Plan!E7,I304+J304)</f>
        <v/>
      </c>
      <c r="L304">
        <f>I304+J304-K304</f>
        <v/>
      </c>
      <c r="M304">
        <f>MIN(L304,MAX(0,$B304-((E$5&lt;K$5)*F304+(Q$5&lt;K$5)*R304+(W$5&lt;K$5)*X304+(AC$5&lt;K$5)*AD304+(AI$5&lt;K$5)*AJ304+(AO$5&lt;K$5)*AP304+(AU$5&lt;K$5)*AV304)))</f>
        <v/>
      </c>
      <c r="N304">
        <f>IF(L304-M304&lt;0.005,0,L304-M304)</f>
        <v/>
      </c>
      <c r="O304">
        <f>T303</f>
        <v/>
      </c>
      <c r="P304">
        <f>O304*Plan!D8/100/12</f>
        <v/>
      </c>
      <c r="Q304">
        <f>MIN(Plan!E8,O304+P304)</f>
        <v/>
      </c>
      <c r="R304">
        <f>O304+P304-Q304</f>
        <v/>
      </c>
      <c r="S304">
        <f>MIN(R304,MAX(0,$B304-((E$5&lt;Q$5)*F304+(K$5&lt;Q$5)*L304+(W$5&lt;Q$5)*X304+(AC$5&lt;Q$5)*AD304+(AI$5&lt;Q$5)*AJ304+(AO$5&lt;Q$5)*AP304+(AU$5&lt;Q$5)*AV304)))</f>
        <v/>
      </c>
      <c r="T304">
        <f>IF(R304-S304&lt;0.005,0,R304-S304)</f>
        <v/>
      </c>
      <c r="U304">
        <f>Z303</f>
        <v/>
      </c>
      <c r="V304">
        <f>U304*Plan!D9/100/12</f>
        <v/>
      </c>
      <c r="W304">
        <f>MIN(Plan!E9,U304+V304)</f>
        <v/>
      </c>
      <c r="X304">
        <f>U304+V304-W304</f>
        <v/>
      </c>
      <c r="Y304">
        <f>MIN(X304,MAX(0,$B304-((E$5&lt;W$5)*F304+(K$5&lt;W$5)*L304+(Q$5&lt;W$5)*R304+(AC$5&lt;W$5)*AD304+(AI$5&lt;W$5)*AJ304+(AO$5&lt;W$5)*AP304+(AU$5&lt;W$5)*AV304)))</f>
        <v/>
      </c>
      <c r="Z304">
        <f>IF(X304-Y304&lt;0.005,0,X304-Y304)</f>
        <v/>
      </c>
      <c r="AA304">
        <f>AF303</f>
        <v/>
      </c>
      <c r="AB304">
        <f>AA304*Plan!D10/100/12</f>
        <v/>
      </c>
      <c r="AC304">
        <f>MIN(Plan!E10,AA304+AB304)</f>
        <v/>
      </c>
      <c r="AD304">
        <f>AA304+AB304-AC304</f>
        <v/>
      </c>
      <c r="AE304">
        <f>MIN(AD304,MAX(0,$B304-((E$5&lt;AC$5)*F304+(K$5&lt;AC$5)*L304+(Q$5&lt;AC$5)*R304+(W$5&lt;AC$5)*X304+(AI$5&lt;AC$5)*AJ304+(AO$5&lt;AC$5)*AP304+(AU$5&lt;AC$5)*AV304)))</f>
        <v/>
      </c>
      <c r="AF304">
        <f>IF(AD304-AE304&lt;0.005,0,AD304-AE304)</f>
        <v/>
      </c>
      <c r="AG304">
        <f>AL303</f>
        <v/>
      </c>
      <c r="AH304">
        <f>AG304*Plan!D11/100/12</f>
        <v/>
      </c>
      <c r="AI304">
        <f>MIN(Plan!E11,AG304+AH304)</f>
        <v/>
      </c>
      <c r="AJ304">
        <f>AG304+AH304-AI304</f>
        <v/>
      </c>
      <c r="AK304">
        <f>MIN(AJ304,MAX(0,$B304-((E$5&lt;AI$5)*F304+(K$5&lt;AI$5)*L304+(Q$5&lt;AI$5)*R304+(W$5&lt;AI$5)*X304+(AC$5&lt;AI$5)*AD304+(AO$5&lt;AI$5)*AP304+(AU$5&lt;AI$5)*AV304)))</f>
        <v/>
      </c>
      <c r="AL304">
        <f>IF(AJ304-AK304&lt;0.005,0,AJ304-AK304)</f>
        <v/>
      </c>
      <c r="AM304">
        <f>AR303</f>
        <v/>
      </c>
      <c r="AN304">
        <f>AM304*Plan!D12/100/12</f>
        <v/>
      </c>
      <c r="AO304">
        <f>MIN(Plan!E12,AM304+AN304)</f>
        <v/>
      </c>
      <c r="AP304">
        <f>AM304+AN304-AO304</f>
        <v/>
      </c>
      <c r="AQ304">
        <f>MIN(AP304,MAX(0,$B304-((E$5&lt;AO$5)*F304+(K$5&lt;AO$5)*L304+(Q$5&lt;AO$5)*R304+(W$5&lt;AO$5)*X304+(AC$5&lt;AO$5)*AD304+(AI$5&lt;AO$5)*AJ304+(AU$5&lt;AO$5)*AV304)))</f>
        <v/>
      </c>
      <c r="AR304">
        <f>IF(AP304-AQ304&lt;0.005,0,AP304-AQ304)</f>
        <v/>
      </c>
      <c r="AS304">
        <f>AX303</f>
        <v/>
      </c>
      <c r="AT304">
        <f>AS304*Plan!D13/100/12</f>
        <v/>
      </c>
      <c r="AU304">
        <f>MIN(Plan!E13,AS304+AT304)</f>
        <v/>
      </c>
      <c r="AV304">
        <f>AS304+AT304-AU304</f>
        <v/>
      </c>
      <c r="AW304">
        <f>MIN(AV304,MAX(0,$B304-((E$5&lt;AU$5)*F304+(K$5&lt;AU$5)*L304+(Q$5&lt;AU$5)*R304+(W$5&lt;AU$5)*X304+(AC$5&lt;AU$5)*AD304+(AI$5&lt;AU$5)*AJ304+(AO$5&lt;AU$5)*AP304)))</f>
        <v/>
      </c>
      <c r="AX304">
        <f>IF(AV304-AW304&lt;0.005,0,AV304-AW304)</f>
        <v/>
      </c>
      <c r="BC304">
        <f>H304+N304+T304+Z304+AF304+AL304+AR304+AX304</f>
        <v/>
      </c>
    </row>
    <row r="305">
      <c r="A305" t="n">
        <v>299</v>
      </c>
      <c r="B305" s="19">
        <f>MAX(0,$B$3-(E305+K305+Q305+W305+AC305+AI305+AO305+AU305))</f>
        <v/>
      </c>
      <c r="C305">
        <f>H304</f>
        <v/>
      </c>
      <c r="D305">
        <f>C305*Plan!D6/100/12</f>
        <v/>
      </c>
      <c r="E305">
        <f>MIN(Plan!E6,C305+D305)</f>
        <v/>
      </c>
      <c r="F305">
        <f>C305+D305-E305</f>
        <v/>
      </c>
      <c r="G305">
        <f>MIN(F305,MAX(0,$B305-((K$5&lt;E$5)*L305+(Q$5&lt;E$5)*R305+(W$5&lt;E$5)*X305+(AC$5&lt;E$5)*AD305+(AI$5&lt;E$5)*AJ305+(AO$5&lt;E$5)*AP305+(AU$5&lt;E$5)*AV305)))</f>
        <v/>
      </c>
      <c r="H305">
        <f>IF(F305-G305&lt;0.005,0,F305-G305)</f>
        <v/>
      </c>
      <c r="I305">
        <f>N304</f>
        <v/>
      </c>
      <c r="J305">
        <f>I305*Plan!D7/100/12</f>
        <v/>
      </c>
      <c r="K305">
        <f>MIN(Plan!E7,I305+J305)</f>
        <v/>
      </c>
      <c r="L305">
        <f>I305+J305-K305</f>
        <v/>
      </c>
      <c r="M305">
        <f>MIN(L305,MAX(0,$B305-((E$5&lt;K$5)*F305+(Q$5&lt;K$5)*R305+(W$5&lt;K$5)*X305+(AC$5&lt;K$5)*AD305+(AI$5&lt;K$5)*AJ305+(AO$5&lt;K$5)*AP305+(AU$5&lt;K$5)*AV305)))</f>
        <v/>
      </c>
      <c r="N305">
        <f>IF(L305-M305&lt;0.005,0,L305-M305)</f>
        <v/>
      </c>
      <c r="O305">
        <f>T304</f>
        <v/>
      </c>
      <c r="P305">
        <f>O305*Plan!D8/100/12</f>
        <v/>
      </c>
      <c r="Q305">
        <f>MIN(Plan!E8,O305+P305)</f>
        <v/>
      </c>
      <c r="R305">
        <f>O305+P305-Q305</f>
        <v/>
      </c>
      <c r="S305">
        <f>MIN(R305,MAX(0,$B305-((E$5&lt;Q$5)*F305+(K$5&lt;Q$5)*L305+(W$5&lt;Q$5)*X305+(AC$5&lt;Q$5)*AD305+(AI$5&lt;Q$5)*AJ305+(AO$5&lt;Q$5)*AP305+(AU$5&lt;Q$5)*AV305)))</f>
        <v/>
      </c>
      <c r="T305">
        <f>IF(R305-S305&lt;0.005,0,R305-S305)</f>
        <v/>
      </c>
      <c r="U305">
        <f>Z304</f>
        <v/>
      </c>
      <c r="V305">
        <f>U305*Plan!D9/100/12</f>
        <v/>
      </c>
      <c r="W305">
        <f>MIN(Plan!E9,U305+V305)</f>
        <v/>
      </c>
      <c r="X305">
        <f>U305+V305-W305</f>
        <v/>
      </c>
      <c r="Y305">
        <f>MIN(X305,MAX(0,$B305-((E$5&lt;W$5)*F305+(K$5&lt;W$5)*L305+(Q$5&lt;W$5)*R305+(AC$5&lt;W$5)*AD305+(AI$5&lt;W$5)*AJ305+(AO$5&lt;W$5)*AP305+(AU$5&lt;W$5)*AV305)))</f>
        <v/>
      </c>
      <c r="Z305">
        <f>IF(X305-Y305&lt;0.005,0,X305-Y305)</f>
        <v/>
      </c>
      <c r="AA305">
        <f>AF304</f>
        <v/>
      </c>
      <c r="AB305">
        <f>AA305*Plan!D10/100/12</f>
        <v/>
      </c>
      <c r="AC305">
        <f>MIN(Plan!E10,AA305+AB305)</f>
        <v/>
      </c>
      <c r="AD305">
        <f>AA305+AB305-AC305</f>
        <v/>
      </c>
      <c r="AE305">
        <f>MIN(AD305,MAX(0,$B305-((E$5&lt;AC$5)*F305+(K$5&lt;AC$5)*L305+(Q$5&lt;AC$5)*R305+(W$5&lt;AC$5)*X305+(AI$5&lt;AC$5)*AJ305+(AO$5&lt;AC$5)*AP305+(AU$5&lt;AC$5)*AV305)))</f>
        <v/>
      </c>
      <c r="AF305">
        <f>IF(AD305-AE305&lt;0.005,0,AD305-AE305)</f>
        <v/>
      </c>
      <c r="AG305">
        <f>AL304</f>
        <v/>
      </c>
      <c r="AH305">
        <f>AG305*Plan!D11/100/12</f>
        <v/>
      </c>
      <c r="AI305">
        <f>MIN(Plan!E11,AG305+AH305)</f>
        <v/>
      </c>
      <c r="AJ305">
        <f>AG305+AH305-AI305</f>
        <v/>
      </c>
      <c r="AK305">
        <f>MIN(AJ305,MAX(0,$B305-((E$5&lt;AI$5)*F305+(K$5&lt;AI$5)*L305+(Q$5&lt;AI$5)*R305+(W$5&lt;AI$5)*X305+(AC$5&lt;AI$5)*AD305+(AO$5&lt;AI$5)*AP305+(AU$5&lt;AI$5)*AV305)))</f>
        <v/>
      </c>
      <c r="AL305">
        <f>IF(AJ305-AK305&lt;0.005,0,AJ305-AK305)</f>
        <v/>
      </c>
      <c r="AM305">
        <f>AR304</f>
        <v/>
      </c>
      <c r="AN305">
        <f>AM305*Plan!D12/100/12</f>
        <v/>
      </c>
      <c r="AO305">
        <f>MIN(Plan!E12,AM305+AN305)</f>
        <v/>
      </c>
      <c r="AP305">
        <f>AM305+AN305-AO305</f>
        <v/>
      </c>
      <c r="AQ305">
        <f>MIN(AP305,MAX(0,$B305-((E$5&lt;AO$5)*F305+(K$5&lt;AO$5)*L305+(Q$5&lt;AO$5)*R305+(W$5&lt;AO$5)*X305+(AC$5&lt;AO$5)*AD305+(AI$5&lt;AO$5)*AJ305+(AU$5&lt;AO$5)*AV305)))</f>
        <v/>
      </c>
      <c r="AR305">
        <f>IF(AP305-AQ305&lt;0.005,0,AP305-AQ305)</f>
        <v/>
      </c>
      <c r="AS305">
        <f>AX304</f>
        <v/>
      </c>
      <c r="AT305">
        <f>AS305*Plan!D13/100/12</f>
        <v/>
      </c>
      <c r="AU305">
        <f>MIN(Plan!E13,AS305+AT305)</f>
        <v/>
      </c>
      <c r="AV305">
        <f>AS305+AT305-AU305</f>
        <v/>
      </c>
      <c r="AW305">
        <f>MIN(AV305,MAX(0,$B305-((E$5&lt;AU$5)*F305+(K$5&lt;AU$5)*L305+(Q$5&lt;AU$5)*R305+(W$5&lt;AU$5)*X305+(AC$5&lt;AU$5)*AD305+(AI$5&lt;AU$5)*AJ305+(AO$5&lt;AU$5)*AP305)))</f>
        <v/>
      </c>
      <c r="AX305">
        <f>IF(AV305-AW305&lt;0.005,0,AV305-AW305)</f>
        <v/>
      </c>
      <c r="BC305">
        <f>H305+N305+T305+Z305+AF305+AL305+AR305+AX305</f>
        <v/>
      </c>
    </row>
    <row r="306">
      <c r="A306" t="n">
        <v>300</v>
      </c>
      <c r="B306" s="19">
        <f>MAX(0,$B$3-(E306+K306+Q306+W306+AC306+AI306+AO306+AU306))</f>
        <v/>
      </c>
      <c r="C306">
        <f>H305</f>
        <v/>
      </c>
      <c r="D306">
        <f>C306*Plan!D6/100/12</f>
        <v/>
      </c>
      <c r="E306">
        <f>MIN(Plan!E6,C306+D306)</f>
        <v/>
      </c>
      <c r="F306">
        <f>C306+D306-E306</f>
        <v/>
      </c>
      <c r="G306">
        <f>MIN(F306,MAX(0,$B306-((K$5&lt;E$5)*L306+(Q$5&lt;E$5)*R306+(W$5&lt;E$5)*X306+(AC$5&lt;E$5)*AD306+(AI$5&lt;E$5)*AJ306+(AO$5&lt;E$5)*AP306+(AU$5&lt;E$5)*AV306)))</f>
        <v/>
      </c>
      <c r="H306">
        <f>IF(F306-G306&lt;0.005,0,F306-G306)</f>
        <v/>
      </c>
      <c r="I306">
        <f>N305</f>
        <v/>
      </c>
      <c r="J306">
        <f>I306*Plan!D7/100/12</f>
        <v/>
      </c>
      <c r="K306">
        <f>MIN(Plan!E7,I306+J306)</f>
        <v/>
      </c>
      <c r="L306">
        <f>I306+J306-K306</f>
        <v/>
      </c>
      <c r="M306">
        <f>MIN(L306,MAX(0,$B306-((E$5&lt;K$5)*F306+(Q$5&lt;K$5)*R306+(W$5&lt;K$5)*X306+(AC$5&lt;K$5)*AD306+(AI$5&lt;K$5)*AJ306+(AO$5&lt;K$5)*AP306+(AU$5&lt;K$5)*AV306)))</f>
        <v/>
      </c>
      <c r="N306">
        <f>IF(L306-M306&lt;0.005,0,L306-M306)</f>
        <v/>
      </c>
      <c r="O306">
        <f>T305</f>
        <v/>
      </c>
      <c r="P306">
        <f>O306*Plan!D8/100/12</f>
        <v/>
      </c>
      <c r="Q306">
        <f>MIN(Plan!E8,O306+P306)</f>
        <v/>
      </c>
      <c r="R306">
        <f>O306+P306-Q306</f>
        <v/>
      </c>
      <c r="S306">
        <f>MIN(R306,MAX(0,$B306-((E$5&lt;Q$5)*F306+(K$5&lt;Q$5)*L306+(W$5&lt;Q$5)*X306+(AC$5&lt;Q$5)*AD306+(AI$5&lt;Q$5)*AJ306+(AO$5&lt;Q$5)*AP306+(AU$5&lt;Q$5)*AV306)))</f>
        <v/>
      </c>
      <c r="T306">
        <f>IF(R306-S306&lt;0.005,0,R306-S306)</f>
        <v/>
      </c>
      <c r="U306">
        <f>Z305</f>
        <v/>
      </c>
      <c r="V306">
        <f>U306*Plan!D9/100/12</f>
        <v/>
      </c>
      <c r="W306">
        <f>MIN(Plan!E9,U306+V306)</f>
        <v/>
      </c>
      <c r="X306">
        <f>U306+V306-W306</f>
        <v/>
      </c>
      <c r="Y306">
        <f>MIN(X306,MAX(0,$B306-((E$5&lt;W$5)*F306+(K$5&lt;W$5)*L306+(Q$5&lt;W$5)*R306+(AC$5&lt;W$5)*AD306+(AI$5&lt;W$5)*AJ306+(AO$5&lt;W$5)*AP306+(AU$5&lt;W$5)*AV306)))</f>
        <v/>
      </c>
      <c r="Z306">
        <f>IF(X306-Y306&lt;0.005,0,X306-Y306)</f>
        <v/>
      </c>
      <c r="AA306">
        <f>AF305</f>
        <v/>
      </c>
      <c r="AB306">
        <f>AA306*Plan!D10/100/12</f>
        <v/>
      </c>
      <c r="AC306">
        <f>MIN(Plan!E10,AA306+AB306)</f>
        <v/>
      </c>
      <c r="AD306">
        <f>AA306+AB306-AC306</f>
        <v/>
      </c>
      <c r="AE306">
        <f>MIN(AD306,MAX(0,$B306-((E$5&lt;AC$5)*F306+(K$5&lt;AC$5)*L306+(Q$5&lt;AC$5)*R306+(W$5&lt;AC$5)*X306+(AI$5&lt;AC$5)*AJ306+(AO$5&lt;AC$5)*AP306+(AU$5&lt;AC$5)*AV306)))</f>
        <v/>
      </c>
      <c r="AF306">
        <f>IF(AD306-AE306&lt;0.005,0,AD306-AE306)</f>
        <v/>
      </c>
      <c r="AG306">
        <f>AL305</f>
        <v/>
      </c>
      <c r="AH306">
        <f>AG306*Plan!D11/100/12</f>
        <v/>
      </c>
      <c r="AI306">
        <f>MIN(Plan!E11,AG306+AH306)</f>
        <v/>
      </c>
      <c r="AJ306">
        <f>AG306+AH306-AI306</f>
        <v/>
      </c>
      <c r="AK306">
        <f>MIN(AJ306,MAX(0,$B306-((E$5&lt;AI$5)*F306+(K$5&lt;AI$5)*L306+(Q$5&lt;AI$5)*R306+(W$5&lt;AI$5)*X306+(AC$5&lt;AI$5)*AD306+(AO$5&lt;AI$5)*AP306+(AU$5&lt;AI$5)*AV306)))</f>
        <v/>
      </c>
      <c r="AL306">
        <f>IF(AJ306-AK306&lt;0.005,0,AJ306-AK306)</f>
        <v/>
      </c>
      <c r="AM306">
        <f>AR305</f>
        <v/>
      </c>
      <c r="AN306">
        <f>AM306*Plan!D12/100/12</f>
        <v/>
      </c>
      <c r="AO306">
        <f>MIN(Plan!E12,AM306+AN306)</f>
        <v/>
      </c>
      <c r="AP306">
        <f>AM306+AN306-AO306</f>
        <v/>
      </c>
      <c r="AQ306">
        <f>MIN(AP306,MAX(0,$B306-((E$5&lt;AO$5)*F306+(K$5&lt;AO$5)*L306+(Q$5&lt;AO$5)*R306+(W$5&lt;AO$5)*X306+(AC$5&lt;AO$5)*AD306+(AI$5&lt;AO$5)*AJ306+(AU$5&lt;AO$5)*AV306)))</f>
        <v/>
      </c>
      <c r="AR306">
        <f>IF(AP306-AQ306&lt;0.005,0,AP306-AQ306)</f>
        <v/>
      </c>
      <c r="AS306">
        <f>AX305</f>
        <v/>
      </c>
      <c r="AT306">
        <f>AS306*Plan!D13/100/12</f>
        <v/>
      </c>
      <c r="AU306">
        <f>MIN(Plan!E13,AS306+AT306)</f>
        <v/>
      </c>
      <c r="AV306">
        <f>AS306+AT306-AU306</f>
        <v/>
      </c>
      <c r="AW306">
        <f>MIN(AV306,MAX(0,$B306-((E$5&lt;AU$5)*F306+(K$5&lt;AU$5)*L306+(Q$5&lt;AU$5)*R306+(W$5&lt;AU$5)*X306+(AC$5&lt;AU$5)*AD306+(AI$5&lt;AU$5)*AJ306+(AO$5&lt;AU$5)*AP306)))</f>
        <v/>
      </c>
      <c r="AX306">
        <f>IF(AV306-AW306&lt;0.005,0,AV306-AW306)</f>
        <v/>
      </c>
      <c r="BC306">
        <f>H306+N306+T306+Z306+AF306+AL306+AR306+AX306</f>
        <v/>
      </c>
    </row>
    <row r="307">
      <c r="A307" t="n">
        <v>301</v>
      </c>
      <c r="B307" s="19">
        <f>MAX(0,$B$3-(E307+K307+Q307+W307+AC307+AI307+AO307+AU307))</f>
        <v/>
      </c>
      <c r="C307">
        <f>H306</f>
        <v/>
      </c>
      <c r="D307">
        <f>C307*Plan!D6/100/12</f>
        <v/>
      </c>
      <c r="E307">
        <f>MIN(Plan!E6,C307+D307)</f>
        <v/>
      </c>
      <c r="F307">
        <f>C307+D307-E307</f>
        <v/>
      </c>
      <c r="G307">
        <f>MIN(F307,MAX(0,$B307-((K$5&lt;E$5)*L307+(Q$5&lt;E$5)*R307+(W$5&lt;E$5)*X307+(AC$5&lt;E$5)*AD307+(AI$5&lt;E$5)*AJ307+(AO$5&lt;E$5)*AP307+(AU$5&lt;E$5)*AV307)))</f>
        <v/>
      </c>
      <c r="H307">
        <f>IF(F307-G307&lt;0.005,0,F307-G307)</f>
        <v/>
      </c>
      <c r="I307">
        <f>N306</f>
        <v/>
      </c>
      <c r="J307">
        <f>I307*Plan!D7/100/12</f>
        <v/>
      </c>
      <c r="K307">
        <f>MIN(Plan!E7,I307+J307)</f>
        <v/>
      </c>
      <c r="L307">
        <f>I307+J307-K307</f>
        <v/>
      </c>
      <c r="M307">
        <f>MIN(L307,MAX(0,$B307-((E$5&lt;K$5)*F307+(Q$5&lt;K$5)*R307+(W$5&lt;K$5)*X307+(AC$5&lt;K$5)*AD307+(AI$5&lt;K$5)*AJ307+(AO$5&lt;K$5)*AP307+(AU$5&lt;K$5)*AV307)))</f>
        <v/>
      </c>
      <c r="N307">
        <f>IF(L307-M307&lt;0.005,0,L307-M307)</f>
        <v/>
      </c>
      <c r="O307">
        <f>T306</f>
        <v/>
      </c>
      <c r="P307">
        <f>O307*Plan!D8/100/12</f>
        <v/>
      </c>
      <c r="Q307">
        <f>MIN(Plan!E8,O307+P307)</f>
        <v/>
      </c>
      <c r="R307">
        <f>O307+P307-Q307</f>
        <v/>
      </c>
      <c r="S307">
        <f>MIN(R307,MAX(0,$B307-((E$5&lt;Q$5)*F307+(K$5&lt;Q$5)*L307+(W$5&lt;Q$5)*X307+(AC$5&lt;Q$5)*AD307+(AI$5&lt;Q$5)*AJ307+(AO$5&lt;Q$5)*AP307+(AU$5&lt;Q$5)*AV307)))</f>
        <v/>
      </c>
      <c r="T307">
        <f>IF(R307-S307&lt;0.005,0,R307-S307)</f>
        <v/>
      </c>
      <c r="U307">
        <f>Z306</f>
        <v/>
      </c>
      <c r="V307">
        <f>U307*Plan!D9/100/12</f>
        <v/>
      </c>
      <c r="W307">
        <f>MIN(Plan!E9,U307+V307)</f>
        <v/>
      </c>
      <c r="X307">
        <f>U307+V307-W307</f>
        <v/>
      </c>
      <c r="Y307">
        <f>MIN(X307,MAX(0,$B307-((E$5&lt;W$5)*F307+(K$5&lt;W$5)*L307+(Q$5&lt;W$5)*R307+(AC$5&lt;W$5)*AD307+(AI$5&lt;W$5)*AJ307+(AO$5&lt;W$5)*AP307+(AU$5&lt;W$5)*AV307)))</f>
        <v/>
      </c>
      <c r="Z307">
        <f>IF(X307-Y307&lt;0.005,0,X307-Y307)</f>
        <v/>
      </c>
      <c r="AA307">
        <f>AF306</f>
        <v/>
      </c>
      <c r="AB307">
        <f>AA307*Plan!D10/100/12</f>
        <v/>
      </c>
      <c r="AC307">
        <f>MIN(Plan!E10,AA307+AB307)</f>
        <v/>
      </c>
      <c r="AD307">
        <f>AA307+AB307-AC307</f>
        <v/>
      </c>
      <c r="AE307">
        <f>MIN(AD307,MAX(0,$B307-((E$5&lt;AC$5)*F307+(K$5&lt;AC$5)*L307+(Q$5&lt;AC$5)*R307+(W$5&lt;AC$5)*X307+(AI$5&lt;AC$5)*AJ307+(AO$5&lt;AC$5)*AP307+(AU$5&lt;AC$5)*AV307)))</f>
        <v/>
      </c>
      <c r="AF307">
        <f>IF(AD307-AE307&lt;0.005,0,AD307-AE307)</f>
        <v/>
      </c>
      <c r="AG307">
        <f>AL306</f>
        <v/>
      </c>
      <c r="AH307">
        <f>AG307*Plan!D11/100/12</f>
        <v/>
      </c>
      <c r="AI307">
        <f>MIN(Plan!E11,AG307+AH307)</f>
        <v/>
      </c>
      <c r="AJ307">
        <f>AG307+AH307-AI307</f>
        <v/>
      </c>
      <c r="AK307">
        <f>MIN(AJ307,MAX(0,$B307-((E$5&lt;AI$5)*F307+(K$5&lt;AI$5)*L307+(Q$5&lt;AI$5)*R307+(W$5&lt;AI$5)*X307+(AC$5&lt;AI$5)*AD307+(AO$5&lt;AI$5)*AP307+(AU$5&lt;AI$5)*AV307)))</f>
        <v/>
      </c>
      <c r="AL307">
        <f>IF(AJ307-AK307&lt;0.005,0,AJ307-AK307)</f>
        <v/>
      </c>
      <c r="AM307">
        <f>AR306</f>
        <v/>
      </c>
      <c r="AN307">
        <f>AM307*Plan!D12/100/12</f>
        <v/>
      </c>
      <c r="AO307">
        <f>MIN(Plan!E12,AM307+AN307)</f>
        <v/>
      </c>
      <c r="AP307">
        <f>AM307+AN307-AO307</f>
        <v/>
      </c>
      <c r="AQ307">
        <f>MIN(AP307,MAX(0,$B307-((E$5&lt;AO$5)*F307+(K$5&lt;AO$5)*L307+(Q$5&lt;AO$5)*R307+(W$5&lt;AO$5)*X307+(AC$5&lt;AO$5)*AD307+(AI$5&lt;AO$5)*AJ307+(AU$5&lt;AO$5)*AV307)))</f>
        <v/>
      </c>
      <c r="AR307">
        <f>IF(AP307-AQ307&lt;0.005,0,AP307-AQ307)</f>
        <v/>
      </c>
      <c r="AS307">
        <f>AX306</f>
        <v/>
      </c>
      <c r="AT307">
        <f>AS307*Plan!D13/100/12</f>
        <v/>
      </c>
      <c r="AU307">
        <f>MIN(Plan!E13,AS307+AT307)</f>
        <v/>
      </c>
      <c r="AV307">
        <f>AS307+AT307-AU307</f>
        <v/>
      </c>
      <c r="AW307">
        <f>MIN(AV307,MAX(0,$B307-((E$5&lt;AU$5)*F307+(K$5&lt;AU$5)*L307+(Q$5&lt;AU$5)*R307+(W$5&lt;AU$5)*X307+(AC$5&lt;AU$5)*AD307+(AI$5&lt;AU$5)*AJ307+(AO$5&lt;AU$5)*AP307)))</f>
        <v/>
      </c>
      <c r="AX307">
        <f>IF(AV307-AW307&lt;0.005,0,AV307-AW307)</f>
        <v/>
      </c>
      <c r="BC307">
        <f>H307+N307+T307+Z307+AF307+AL307+AR307+AX307</f>
        <v/>
      </c>
    </row>
    <row r="308">
      <c r="A308" t="n">
        <v>302</v>
      </c>
      <c r="B308" s="19">
        <f>MAX(0,$B$3-(E308+K308+Q308+W308+AC308+AI308+AO308+AU308))</f>
        <v/>
      </c>
      <c r="C308">
        <f>H307</f>
        <v/>
      </c>
      <c r="D308">
        <f>C308*Plan!D6/100/12</f>
        <v/>
      </c>
      <c r="E308">
        <f>MIN(Plan!E6,C308+D308)</f>
        <v/>
      </c>
      <c r="F308">
        <f>C308+D308-E308</f>
        <v/>
      </c>
      <c r="G308">
        <f>MIN(F308,MAX(0,$B308-((K$5&lt;E$5)*L308+(Q$5&lt;E$5)*R308+(W$5&lt;E$5)*X308+(AC$5&lt;E$5)*AD308+(AI$5&lt;E$5)*AJ308+(AO$5&lt;E$5)*AP308+(AU$5&lt;E$5)*AV308)))</f>
        <v/>
      </c>
      <c r="H308">
        <f>IF(F308-G308&lt;0.005,0,F308-G308)</f>
        <v/>
      </c>
      <c r="I308">
        <f>N307</f>
        <v/>
      </c>
      <c r="J308">
        <f>I308*Plan!D7/100/12</f>
        <v/>
      </c>
      <c r="K308">
        <f>MIN(Plan!E7,I308+J308)</f>
        <v/>
      </c>
      <c r="L308">
        <f>I308+J308-K308</f>
        <v/>
      </c>
      <c r="M308">
        <f>MIN(L308,MAX(0,$B308-((E$5&lt;K$5)*F308+(Q$5&lt;K$5)*R308+(W$5&lt;K$5)*X308+(AC$5&lt;K$5)*AD308+(AI$5&lt;K$5)*AJ308+(AO$5&lt;K$5)*AP308+(AU$5&lt;K$5)*AV308)))</f>
        <v/>
      </c>
      <c r="N308">
        <f>IF(L308-M308&lt;0.005,0,L308-M308)</f>
        <v/>
      </c>
      <c r="O308">
        <f>T307</f>
        <v/>
      </c>
      <c r="P308">
        <f>O308*Plan!D8/100/12</f>
        <v/>
      </c>
      <c r="Q308">
        <f>MIN(Plan!E8,O308+P308)</f>
        <v/>
      </c>
      <c r="R308">
        <f>O308+P308-Q308</f>
        <v/>
      </c>
      <c r="S308">
        <f>MIN(R308,MAX(0,$B308-((E$5&lt;Q$5)*F308+(K$5&lt;Q$5)*L308+(W$5&lt;Q$5)*X308+(AC$5&lt;Q$5)*AD308+(AI$5&lt;Q$5)*AJ308+(AO$5&lt;Q$5)*AP308+(AU$5&lt;Q$5)*AV308)))</f>
        <v/>
      </c>
      <c r="T308">
        <f>IF(R308-S308&lt;0.005,0,R308-S308)</f>
        <v/>
      </c>
      <c r="U308">
        <f>Z307</f>
        <v/>
      </c>
      <c r="V308">
        <f>U308*Plan!D9/100/12</f>
        <v/>
      </c>
      <c r="W308">
        <f>MIN(Plan!E9,U308+V308)</f>
        <v/>
      </c>
      <c r="X308">
        <f>U308+V308-W308</f>
        <v/>
      </c>
      <c r="Y308">
        <f>MIN(X308,MAX(0,$B308-((E$5&lt;W$5)*F308+(K$5&lt;W$5)*L308+(Q$5&lt;W$5)*R308+(AC$5&lt;W$5)*AD308+(AI$5&lt;W$5)*AJ308+(AO$5&lt;W$5)*AP308+(AU$5&lt;W$5)*AV308)))</f>
        <v/>
      </c>
      <c r="Z308">
        <f>IF(X308-Y308&lt;0.005,0,X308-Y308)</f>
        <v/>
      </c>
      <c r="AA308">
        <f>AF307</f>
        <v/>
      </c>
      <c r="AB308">
        <f>AA308*Plan!D10/100/12</f>
        <v/>
      </c>
      <c r="AC308">
        <f>MIN(Plan!E10,AA308+AB308)</f>
        <v/>
      </c>
      <c r="AD308">
        <f>AA308+AB308-AC308</f>
        <v/>
      </c>
      <c r="AE308">
        <f>MIN(AD308,MAX(0,$B308-((E$5&lt;AC$5)*F308+(K$5&lt;AC$5)*L308+(Q$5&lt;AC$5)*R308+(W$5&lt;AC$5)*X308+(AI$5&lt;AC$5)*AJ308+(AO$5&lt;AC$5)*AP308+(AU$5&lt;AC$5)*AV308)))</f>
        <v/>
      </c>
      <c r="AF308">
        <f>IF(AD308-AE308&lt;0.005,0,AD308-AE308)</f>
        <v/>
      </c>
      <c r="AG308">
        <f>AL307</f>
        <v/>
      </c>
      <c r="AH308">
        <f>AG308*Plan!D11/100/12</f>
        <v/>
      </c>
      <c r="AI308">
        <f>MIN(Plan!E11,AG308+AH308)</f>
        <v/>
      </c>
      <c r="AJ308">
        <f>AG308+AH308-AI308</f>
        <v/>
      </c>
      <c r="AK308">
        <f>MIN(AJ308,MAX(0,$B308-((E$5&lt;AI$5)*F308+(K$5&lt;AI$5)*L308+(Q$5&lt;AI$5)*R308+(W$5&lt;AI$5)*X308+(AC$5&lt;AI$5)*AD308+(AO$5&lt;AI$5)*AP308+(AU$5&lt;AI$5)*AV308)))</f>
        <v/>
      </c>
      <c r="AL308">
        <f>IF(AJ308-AK308&lt;0.005,0,AJ308-AK308)</f>
        <v/>
      </c>
      <c r="AM308">
        <f>AR307</f>
        <v/>
      </c>
      <c r="AN308">
        <f>AM308*Plan!D12/100/12</f>
        <v/>
      </c>
      <c r="AO308">
        <f>MIN(Plan!E12,AM308+AN308)</f>
        <v/>
      </c>
      <c r="AP308">
        <f>AM308+AN308-AO308</f>
        <v/>
      </c>
      <c r="AQ308">
        <f>MIN(AP308,MAX(0,$B308-((E$5&lt;AO$5)*F308+(K$5&lt;AO$5)*L308+(Q$5&lt;AO$5)*R308+(W$5&lt;AO$5)*X308+(AC$5&lt;AO$5)*AD308+(AI$5&lt;AO$5)*AJ308+(AU$5&lt;AO$5)*AV308)))</f>
        <v/>
      </c>
      <c r="AR308">
        <f>IF(AP308-AQ308&lt;0.005,0,AP308-AQ308)</f>
        <v/>
      </c>
      <c r="AS308">
        <f>AX307</f>
        <v/>
      </c>
      <c r="AT308">
        <f>AS308*Plan!D13/100/12</f>
        <v/>
      </c>
      <c r="AU308">
        <f>MIN(Plan!E13,AS308+AT308)</f>
        <v/>
      </c>
      <c r="AV308">
        <f>AS308+AT308-AU308</f>
        <v/>
      </c>
      <c r="AW308">
        <f>MIN(AV308,MAX(0,$B308-((E$5&lt;AU$5)*F308+(K$5&lt;AU$5)*L308+(Q$5&lt;AU$5)*R308+(W$5&lt;AU$5)*X308+(AC$5&lt;AU$5)*AD308+(AI$5&lt;AU$5)*AJ308+(AO$5&lt;AU$5)*AP308)))</f>
        <v/>
      </c>
      <c r="AX308">
        <f>IF(AV308-AW308&lt;0.005,0,AV308-AW308)</f>
        <v/>
      </c>
      <c r="BC308">
        <f>H308+N308+T308+Z308+AF308+AL308+AR308+AX308</f>
        <v/>
      </c>
    </row>
    <row r="309">
      <c r="A309" t="n">
        <v>303</v>
      </c>
      <c r="B309" s="19">
        <f>MAX(0,$B$3-(E309+K309+Q309+W309+AC309+AI309+AO309+AU309))</f>
        <v/>
      </c>
      <c r="C309">
        <f>H308</f>
        <v/>
      </c>
      <c r="D309">
        <f>C309*Plan!D6/100/12</f>
        <v/>
      </c>
      <c r="E309">
        <f>MIN(Plan!E6,C309+D309)</f>
        <v/>
      </c>
      <c r="F309">
        <f>C309+D309-E309</f>
        <v/>
      </c>
      <c r="G309">
        <f>MIN(F309,MAX(0,$B309-((K$5&lt;E$5)*L309+(Q$5&lt;E$5)*R309+(W$5&lt;E$5)*X309+(AC$5&lt;E$5)*AD309+(AI$5&lt;E$5)*AJ309+(AO$5&lt;E$5)*AP309+(AU$5&lt;E$5)*AV309)))</f>
        <v/>
      </c>
      <c r="H309">
        <f>IF(F309-G309&lt;0.005,0,F309-G309)</f>
        <v/>
      </c>
      <c r="I309">
        <f>N308</f>
        <v/>
      </c>
      <c r="J309">
        <f>I309*Plan!D7/100/12</f>
        <v/>
      </c>
      <c r="K309">
        <f>MIN(Plan!E7,I309+J309)</f>
        <v/>
      </c>
      <c r="L309">
        <f>I309+J309-K309</f>
        <v/>
      </c>
      <c r="M309">
        <f>MIN(L309,MAX(0,$B309-((E$5&lt;K$5)*F309+(Q$5&lt;K$5)*R309+(W$5&lt;K$5)*X309+(AC$5&lt;K$5)*AD309+(AI$5&lt;K$5)*AJ309+(AO$5&lt;K$5)*AP309+(AU$5&lt;K$5)*AV309)))</f>
        <v/>
      </c>
      <c r="N309">
        <f>IF(L309-M309&lt;0.005,0,L309-M309)</f>
        <v/>
      </c>
      <c r="O309">
        <f>T308</f>
        <v/>
      </c>
      <c r="P309">
        <f>O309*Plan!D8/100/12</f>
        <v/>
      </c>
      <c r="Q309">
        <f>MIN(Plan!E8,O309+P309)</f>
        <v/>
      </c>
      <c r="R309">
        <f>O309+P309-Q309</f>
        <v/>
      </c>
      <c r="S309">
        <f>MIN(R309,MAX(0,$B309-((E$5&lt;Q$5)*F309+(K$5&lt;Q$5)*L309+(W$5&lt;Q$5)*X309+(AC$5&lt;Q$5)*AD309+(AI$5&lt;Q$5)*AJ309+(AO$5&lt;Q$5)*AP309+(AU$5&lt;Q$5)*AV309)))</f>
        <v/>
      </c>
      <c r="T309">
        <f>IF(R309-S309&lt;0.005,0,R309-S309)</f>
        <v/>
      </c>
      <c r="U309">
        <f>Z308</f>
        <v/>
      </c>
      <c r="V309">
        <f>U309*Plan!D9/100/12</f>
        <v/>
      </c>
      <c r="W309">
        <f>MIN(Plan!E9,U309+V309)</f>
        <v/>
      </c>
      <c r="X309">
        <f>U309+V309-W309</f>
        <v/>
      </c>
      <c r="Y309">
        <f>MIN(X309,MAX(0,$B309-((E$5&lt;W$5)*F309+(K$5&lt;W$5)*L309+(Q$5&lt;W$5)*R309+(AC$5&lt;W$5)*AD309+(AI$5&lt;W$5)*AJ309+(AO$5&lt;W$5)*AP309+(AU$5&lt;W$5)*AV309)))</f>
        <v/>
      </c>
      <c r="Z309">
        <f>IF(X309-Y309&lt;0.005,0,X309-Y309)</f>
        <v/>
      </c>
      <c r="AA309">
        <f>AF308</f>
        <v/>
      </c>
      <c r="AB309">
        <f>AA309*Plan!D10/100/12</f>
        <v/>
      </c>
      <c r="AC309">
        <f>MIN(Plan!E10,AA309+AB309)</f>
        <v/>
      </c>
      <c r="AD309">
        <f>AA309+AB309-AC309</f>
        <v/>
      </c>
      <c r="AE309">
        <f>MIN(AD309,MAX(0,$B309-((E$5&lt;AC$5)*F309+(K$5&lt;AC$5)*L309+(Q$5&lt;AC$5)*R309+(W$5&lt;AC$5)*X309+(AI$5&lt;AC$5)*AJ309+(AO$5&lt;AC$5)*AP309+(AU$5&lt;AC$5)*AV309)))</f>
        <v/>
      </c>
      <c r="AF309">
        <f>IF(AD309-AE309&lt;0.005,0,AD309-AE309)</f>
        <v/>
      </c>
      <c r="AG309">
        <f>AL308</f>
        <v/>
      </c>
      <c r="AH309">
        <f>AG309*Plan!D11/100/12</f>
        <v/>
      </c>
      <c r="AI309">
        <f>MIN(Plan!E11,AG309+AH309)</f>
        <v/>
      </c>
      <c r="AJ309">
        <f>AG309+AH309-AI309</f>
        <v/>
      </c>
      <c r="AK309">
        <f>MIN(AJ309,MAX(0,$B309-((E$5&lt;AI$5)*F309+(K$5&lt;AI$5)*L309+(Q$5&lt;AI$5)*R309+(W$5&lt;AI$5)*X309+(AC$5&lt;AI$5)*AD309+(AO$5&lt;AI$5)*AP309+(AU$5&lt;AI$5)*AV309)))</f>
        <v/>
      </c>
      <c r="AL309">
        <f>IF(AJ309-AK309&lt;0.005,0,AJ309-AK309)</f>
        <v/>
      </c>
      <c r="AM309">
        <f>AR308</f>
        <v/>
      </c>
      <c r="AN309">
        <f>AM309*Plan!D12/100/12</f>
        <v/>
      </c>
      <c r="AO309">
        <f>MIN(Plan!E12,AM309+AN309)</f>
        <v/>
      </c>
      <c r="AP309">
        <f>AM309+AN309-AO309</f>
        <v/>
      </c>
      <c r="AQ309">
        <f>MIN(AP309,MAX(0,$B309-((E$5&lt;AO$5)*F309+(K$5&lt;AO$5)*L309+(Q$5&lt;AO$5)*R309+(W$5&lt;AO$5)*X309+(AC$5&lt;AO$5)*AD309+(AI$5&lt;AO$5)*AJ309+(AU$5&lt;AO$5)*AV309)))</f>
        <v/>
      </c>
      <c r="AR309">
        <f>IF(AP309-AQ309&lt;0.005,0,AP309-AQ309)</f>
        <v/>
      </c>
      <c r="AS309">
        <f>AX308</f>
        <v/>
      </c>
      <c r="AT309">
        <f>AS309*Plan!D13/100/12</f>
        <v/>
      </c>
      <c r="AU309">
        <f>MIN(Plan!E13,AS309+AT309)</f>
        <v/>
      </c>
      <c r="AV309">
        <f>AS309+AT309-AU309</f>
        <v/>
      </c>
      <c r="AW309">
        <f>MIN(AV309,MAX(0,$B309-((E$5&lt;AU$5)*F309+(K$5&lt;AU$5)*L309+(Q$5&lt;AU$5)*R309+(W$5&lt;AU$5)*X309+(AC$5&lt;AU$5)*AD309+(AI$5&lt;AU$5)*AJ309+(AO$5&lt;AU$5)*AP309)))</f>
        <v/>
      </c>
      <c r="AX309">
        <f>IF(AV309-AW309&lt;0.005,0,AV309-AW309)</f>
        <v/>
      </c>
      <c r="BC309">
        <f>H309+N309+T309+Z309+AF309+AL309+AR309+AX309</f>
        <v/>
      </c>
    </row>
    <row r="310">
      <c r="A310" t="n">
        <v>304</v>
      </c>
      <c r="B310" s="19">
        <f>MAX(0,$B$3-(E310+K310+Q310+W310+AC310+AI310+AO310+AU310))</f>
        <v/>
      </c>
      <c r="C310">
        <f>H309</f>
        <v/>
      </c>
      <c r="D310">
        <f>C310*Plan!D6/100/12</f>
        <v/>
      </c>
      <c r="E310">
        <f>MIN(Plan!E6,C310+D310)</f>
        <v/>
      </c>
      <c r="F310">
        <f>C310+D310-E310</f>
        <v/>
      </c>
      <c r="G310">
        <f>MIN(F310,MAX(0,$B310-((K$5&lt;E$5)*L310+(Q$5&lt;E$5)*R310+(W$5&lt;E$5)*X310+(AC$5&lt;E$5)*AD310+(AI$5&lt;E$5)*AJ310+(AO$5&lt;E$5)*AP310+(AU$5&lt;E$5)*AV310)))</f>
        <v/>
      </c>
      <c r="H310">
        <f>IF(F310-G310&lt;0.005,0,F310-G310)</f>
        <v/>
      </c>
      <c r="I310">
        <f>N309</f>
        <v/>
      </c>
      <c r="J310">
        <f>I310*Plan!D7/100/12</f>
        <v/>
      </c>
      <c r="K310">
        <f>MIN(Plan!E7,I310+J310)</f>
        <v/>
      </c>
      <c r="L310">
        <f>I310+J310-K310</f>
        <v/>
      </c>
      <c r="M310">
        <f>MIN(L310,MAX(0,$B310-((E$5&lt;K$5)*F310+(Q$5&lt;K$5)*R310+(W$5&lt;K$5)*X310+(AC$5&lt;K$5)*AD310+(AI$5&lt;K$5)*AJ310+(AO$5&lt;K$5)*AP310+(AU$5&lt;K$5)*AV310)))</f>
        <v/>
      </c>
      <c r="N310">
        <f>IF(L310-M310&lt;0.005,0,L310-M310)</f>
        <v/>
      </c>
      <c r="O310">
        <f>T309</f>
        <v/>
      </c>
      <c r="P310">
        <f>O310*Plan!D8/100/12</f>
        <v/>
      </c>
      <c r="Q310">
        <f>MIN(Plan!E8,O310+P310)</f>
        <v/>
      </c>
      <c r="R310">
        <f>O310+P310-Q310</f>
        <v/>
      </c>
      <c r="S310">
        <f>MIN(R310,MAX(0,$B310-((E$5&lt;Q$5)*F310+(K$5&lt;Q$5)*L310+(W$5&lt;Q$5)*X310+(AC$5&lt;Q$5)*AD310+(AI$5&lt;Q$5)*AJ310+(AO$5&lt;Q$5)*AP310+(AU$5&lt;Q$5)*AV310)))</f>
        <v/>
      </c>
      <c r="T310">
        <f>IF(R310-S310&lt;0.005,0,R310-S310)</f>
        <v/>
      </c>
      <c r="U310">
        <f>Z309</f>
        <v/>
      </c>
      <c r="V310">
        <f>U310*Plan!D9/100/12</f>
        <v/>
      </c>
      <c r="W310">
        <f>MIN(Plan!E9,U310+V310)</f>
        <v/>
      </c>
      <c r="X310">
        <f>U310+V310-W310</f>
        <v/>
      </c>
      <c r="Y310">
        <f>MIN(X310,MAX(0,$B310-((E$5&lt;W$5)*F310+(K$5&lt;W$5)*L310+(Q$5&lt;W$5)*R310+(AC$5&lt;W$5)*AD310+(AI$5&lt;W$5)*AJ310+(AO$5&lt;W$5)*AP310+(AU$5&lt;W$5)*AV310)))</f>
        <v/>
      </c>
      <c r="Z310">
        <f>IF(X310-Y310&lt;0.005,0,X310-Y310)</f>
        <v/>
      </c>
      <c r="AA310">
        <f>AF309</f>
        <v/>
      </c>
      <c r="AB310">
        <f>AA310*Plan!D10/100/12</f>
        <v/>
      </c>
      <c r="AC310">
        <f>MIN(Plan!E10,AA310+AB310)</f>
        <v/>
      </c>
      <c r="AD310">
        <f>AA310+AB310-AC310</f>
        <v/>
      </c>
      <c r="AE310">
        <f>MIN(AD310,MAX(0,$B310-((E$5&lt;AC$5)*F310+(K$5&lt;AC$5)*L310+(Q$5&lt;AC$5)*R310+(W$5&lt;AC$5)*X310+(AI$5&lt;AC$5)*AJ310+(AO$5&lt;AC$5)*AP310+(AU$5&lt;AC$5)*AV310)))</f>
        <v/>
      </c>
      <c r="AF310">
        <f>IF(AD310-AE310&lt;0.005,0,AD310-AE310)</f>
        <v/>
      </c>
      <c r="AG310">
        <f>AL309</f>
        <v/>
      </c>
      <c r="AH310">
        <f>AG310*Plan!D11/100/12</f>
        <v/>
      </c>
      <c r="AI310">
        <f>MIN(Plan!E11,AG310+AH310)</f>
        <v/>
      </c>
      <c r="AJ310">
        <f>AG310+AH310-AI310</f>
        <v/>
      </c>
      <c r="AK310">
        <f>MIN(AJ310,MAX(0,$B310-((E$5&lt;AI$5)*F310+(K$5&lt;AI$5)*L310+(Q$5&lt;AI$5)*R310+(W$5&lt;AI$5)*X310+(AC$5&lt;AI$5)*AD310+(AO$5&lt;AI$5)*AP310+(AU$5&lt;AI$5)*AV310)))</f>
        <v/>
      </c>
      <c r="AL310">
        <f>IF(AJ310-AK310&lt;0.005,0,AJ310-AK310)</f>
        <v/>
      </c>
      <c r="AM310">
        <f>AR309</f>
        <v/>
      </c>
      <c r="AN310">
        <f>AM310*Plan!D12/100/12</f>
        <v/>
      </c>
      <c r="AO310">
        <f>MIN(Plan!E12,AM310+AN310)</f>
        <v/>
      </c>
      <c r="AP310">
        <f>AM310+AN310-AO310</f>
        <v/>
      </c>
      <c r="AQ310">
        <f>MIN(AP310,MAX(0,$B310-((E$5&lt;AO$5)*F310+(K$5&lt;AO$5)*L310+(Q$5&lt;AO$5)*R310+(W$5&lt;AO$5)*X310+(AC$5&lt;AO$5)*AD310+(AI$5&lt;AO$5)*AJ310+(AU$5&lt;AO$5)*AV310)))</f>
        <v/>
      </c>
      <c r="AR310">
        <f>IF(AP310-AQ310&lt;0.005,0,AP310-AQ310)</f>
        <v/>
      </c>
      <c r="AS310">
        <f>AX309</f>
        <v/>
      </c>
      <c r="AT310">
        <f>AS310*Plan!D13/100/12</f>
        <v/>
      </c>
      <c r="AU310">
        <f>MIN(Plan!E13,AS310+AT310)</f>
        <v/>
      </c>
      <c r="AV310">
        <f>AS310+AT310-AU310</f>
        <v/>
      </c>
      <c r="AW310">
        <f>MIN(AV310,MAX(0,$B310-((E$5&lt;AU$5)*F310+(K$5&lt;AU$5)*L310+(Q$5&lt;AU$5)*R310+(W$5&lt;AU$5)*X310+(AC$5&lt;AU$5)*AD310+(AI$5&lt;AU$5)*AJ310+(AO$5&lt;AU$5)*AP310)))</f>
        <v/>
      </c>
      <c r="AX310">
        <f>IF(AV310-AW310&lt;0.005,0,AV310-AW310)</f>
        <v/>
      </c>
      <c r="BC310">
        <f>H310+N310+T310+Z310+AF310+AL310+AR310+AX310</f>
        <v/>
      </c>
    </row>
    <row r="311">
      <c r="A311" t="n">
        <v>305</v>
      </c>
      <c r="B311" s="19">
        <f>MAX(0,$B$3-(E311+K311+Q311+W311+AC311+AI311+AO311+AU311))</f>
        <v/>
      </c>
      <c r="C311">
        <f>H310</f>
        <v/>
      </c>
      <c r="D311">
        <f>C311*Plan!D6/100/12</f>
        <v/>
      </c>
      <c r="E311">
        <f>MIN(Plan!E6,C311+D311)</f>
        <v/>
      </c>
      <c r="F311">
        <f>C311+D311-E311</f>
        <v/>
      </c>
      <c r="G311">
        <f>MIN(F311,MAX(0,$B311-((K$5&lt;E$5)*L311+(Q$5&lt;E$5)*R311+(W$5&lt;E$5)*X311+(AC$5&lt;E$5)*AD311+(AI$5&lt;E$5)*AJ311+(AO$5&lt;E$5)*AP311+(AU$5&lt;E$5)*AV311)))</f>
        <v/>
      </c>
      <c r="H311">
        <f>IF(F311-G311&lt;0.005,0,F311-G311)</f>
        <v/>
      </c>
      <c r="I311">
        <f>N310</f>
        <v/>
      </c>
      <c r="J311">
        <f>I311*Plan!D7/100/12</f>
        <v/>
      </c>
      <c r="K311">
        <f>MIN(Plan!E7,I311+J311)</f>
        <v/>
      </c>
      <c r="L311">
        <f>I311+J311-K311</f>
        <v/>
      </c>
      <c r="M311">
        <f>MIN(L311,MAX(0,$B311-((E$5&lt;K$5)*F311+(Q$5&lt;K$5)*R311+(W$5&lt;K$5)*X311+(AC$5&lt;K$5)*AD311+(AI$5&lt;K$5)*AJ311+(AO$5&lt;K$5)*AP311+(AU$5&lt;K$5)*AV311)))</f>
        <v/>
      </c>
      <c r="N311">
        <f>IF(L311-M311&lt;0.005,0,L311-M311)</f>
        <v/>
      </c>
      <c r="O311">
        <f>T310</f>
        <v/>
      </c>
      <c r="P311">
        <f>O311*Plan!D8/100/12</f>
        <v/>
      </c>
      <c r="Q311">
        <f>MIN(Plan!E8,O311+P311)</f>
        <v/>
      </c>
      <c r="R311">
        <f>O311+P311-Q311</f>
        <v/>
      </c>
      <c r="S311">
        <f>MIN(R311,MAX(0,$B311-((E$5&lt;Q$5)*F311+(K$5&lt;Q$5)*L311+(W$5&lt;Q$5)*X311+(AC$5&lt;Q$5)*AD311+(AI$5&lt;Q$5)*AJ311+(AO$5&lt;Q$5)*AP311+(AU$5&lt;Q$5)*AV311)))</f>
        <v/>
      </c>
      <c r="T311">
        <f>IF(R311-S311&lt;0.005,0,R311-S311)</f>
        <v/>
      </c>
      <c r="U311">
        <f>Z310</f>
        <v/>
      </c>
      <c r="V311">
        <f>U311*Plan!D9/100/12</f>
        <v/>
      </c>
      <c r="W311">
        <f>MIN(Plan!E9,U311+V311)</f>
        <v/>
      </c>
      <c r="X311">
        <f>U311+V311-W311</f>
        <v/>
      </c>
      <c r="Y311">
        <f>MIN(X311,MAX(0,$B311-((E$5&lt;W$5)*F311+(K$5&lt;W$5)*L311+(Q$5&lt;W$5)*R311+(AC$5&lt;W$5)*AD311+(AI$5&lt;W$5)*AJ311+(AO$5&lt;W$5)*AP311+(AU$5&lt;W$5)*AV311)))</f>
        <v/>
      </c>
      <c r="Z311">
        <f>IF(X311-Y311&lt;0.005,0,X311-Y311)</f>
        <v/>
      </c>
      <c r="AA311">
        <f>AF310</f>
        <v/>
      </c>
      <c r="AB311">
        <f>AA311*Plan!D10/100/12</f>
        <v/>
      </c>
      <c r="AC311">
        <f>MIN(Plan!E10,AA311+AB311)</f>
        <v/>
      </c>
      <c r="AD311">
        <f>AA311+AB311-AC311</f>
        <v/>
      </c>
      <c r="AE311">
        <f>MIN(AD311,MAX(0,$B311-((E$5&lt;AC$5)*F311+(K$5&lt;AC$5)*L311+(Q$5&lt;AC$5)*R311+(W$5&lt;AC$5)*X311+(AI$5&lt;AC$5)*AJ311+(AO$5&lt;AC$5)*AP311+(AU$5&lt;AC$5)*AV311)))</f>
        <v/>
      </c>
      <c r="AF311">
        <f>IF(AD311-AE311&lt;0.005,0,AD311-AE311)</f>
        <v/>
      </c>
      <c r="AG311">
        <f>AL310</f>
        <v/>
      </c>
      <c r="AH311">
        <f>AG311*Plan!D11/100/12</f>
        <v/>
      </c>
      <c r="AI311">
        <f>MIN(Plan!E11,AG311+AH311)</f>
        <v/>
      </c>
      <c r="AJ311">
        <f>AG311+AH311-AI311</f>
        <v/>
      </c>
      <c r="AK311">
        <f>MIN(AJ311,MAX(0,$B311-((E$5&lt;AI$5)*F311+(K$5&lt;AI$5)*L311+(Q$5&lt;AI$5)*R311+(W$5&lt;AI$5)*X311+(AC$5&lt;AI$5)*AD311+(AO$5&lt;AI$5)*AP311+(AU$5&lt;AI$5)*AV311)))</f>
        <v/>
      </c>
      <c r="AL311">
        <f>IF(AJ311-AK311&lt;0.005,0,AJ311-AK311)</f>
        <v/>
      </c>
      <c r="AM311">
        <f>AR310</f>
        <v/>
      </c>
      <c r="AN311">
        <f>AM311*Plan!D12/100/12</f>
        <v/>
      </c>
      <c r="AO311">
        <f>MIN(Plan!E12,AM311+AN311)</f>
        <v/>
      </c>
      <c r="AP311">
        <f>AM311+AN311-AO311</f>
        <v/>
      </c>
      <c r="AQ311">
        <f>MIN(AP311,MAX(0,$B311-((E$5&lt;AO$5)*F311+(K$5&lt;AO$5)*L311+(Q$5&lt;AO$5)*R311+(W$5&lt;AO$5)*X311+(AC$5&lt;AO$5)*AD311+(AI$5&lt;AO$5)*AJ311+(AU$5&lt;AO$5)*AV311)))</f>
        <v/>
      </c>
      <c r="AR311">
        <f>IF(AP311-AQ311&lt;0.005,0,AP311-AQ311)</f>
        <v/>
      </c>
      <c r="AS311">
        <f>AX310</f>
        <v/>
      </c>
      <c r="AT311">
        <f>AS311*Plan!D13/100/12</f>
        <v/>
      </c>
      <c r="AU311">
        <f>MIN(Plan!E13,AS311+AT311)</f>
        <v/>
      </c>
      <c r="AV311">
        <f>AS311+AT311-AU311</f>
        <v/>
      </c>
      <c r="AW311">
        <f>MIN(AV311,MAX(0,$B311-((E$5&lt;AU$5)*F311+(K$5&lt;AU$5)*L311+(Q$5&lt;AU$5)*R311+(W$5&lt;AU$5)*X311+(AC$5&lt;AU$5)*AD311+(AI$5&lt;AU$5)*AJ311+(AO$5&lt;AU$5)*AP311)))</f>
        <v/>
      </c>
      <c r="AX311">
        <f>IF(AV311-AW311&lt;0.005,0,AV311-AW311)</f>
        <v/>
      </c>
      <c r="BC311">
        <f>H311+N311+T311+Z311+AF311+AL311+AR311+AX311</f>
        <v/>
      </c>
    </row>
    <row r="312">
      <c r="A312" t="n">
        <v>306</v>
      </c>
      <c r="B312" s="19">
        <f>MAX(0,$B$3-(E312+K312+Q312+W312+AC312+AI312+AO312+AU312))</f>
        <v/>
      </c>
      <c r="C312">
        <f>H311</f>
        <v/>
      </c>
      <c r="D312">
        <f>C312*Plan!D6/100/12</f>
        <v/>
      </c>
      <c r="E312">
        <f>MIN(Plan!E6,C312+D312)</f>
        <v/>
      </c>
      <c r="F312">
        <f>C312+D312-E312</f>
        <v/>
      </c>
      <c r="G312">
        <f>MIN(F312,MAX(0,$B312-((K$5&lt;E$5)*L312+(Q$5&lt;E$5)*R312+(W$5&lt;E$5)*X312+(AC$5&lt;E$5)*AD312+(AI$5&lt;E$5)*AJ312+(AO$5&lt;E$5)*AP312+(AU$5&lt;E$5)*AV312)))</f>
        <v/>
      </c>
      <c r="H312">
        <f>IF(F312-G312&lt;0.005,0,F312-G312)</f>
        <v/>
      </c>
      <c r="I312">
        <f>N311</f>
        <v/>
      </c>
      <c r="J312">
        <f>I312*Plan!D7/100/12</f>
        <v/>
      </c>
      <c r="K312">
        <f>MIN(Plan!E7,I312+J312)</f>
        <v/>
      </c>
      <c r="L312">
        <f>I312+J312-K312</f>
        <v/>
      </c>
      <c r="M312">
        <f>MIN(L312,MAX(0,$B312-((E$5&lt;K$5)*F312+(Q$5&lt;K$5)*R312+(W$5&lt;K$5)*X312+(AC$5&lt;K$5)*AD312+(AI$5&lt;K$5)*AJ312+(AO$5&lt;K$5)*AP312+(AU$5&lt;K$5)*AV312)))</f>
        <v/>
      </c>
      <c r="N312">
        <f>IF(L312-M312&lt;0.005,0,L312-M312)</f>
        <v/>
      </c>
      <c r="O312">
        <f>T311</f>
        <v/>
      </c>
      <c r="P312">
        <f>O312*Plan!D8/100/12</f>
        <v/>
      </c>
      <c r="Q312">
        <f>MIN(Plan!E8,O312+P312)</f>
        <v/>
      </c>
      <c r="R312">
        <f>O312+P312-Q312</f>
        <v/>
      </c>
      <c r="S312">
        <f>MIN(R312,MAX(0,$B312-((E$5&lt;Q$5)*F312+(K$5&lt;Q$5)*L312+(W$5&lt;Q$5)*X312+(AC$5&lt;Q$5)*AD312+(AI$5&lt;Q$5)*AJ312+(AO$5&lt;Q$5)*AP312+(AU$5&lt;Q$5)*AV312)))</f>
        <v/>
      </c>
      <c r="T312">
        <f>IF(R312-S312&lt;0.005,0,R312-S312)</f>
        <v/>
      </c>
      <c r="U312">
        <f>Z311</f>
        <v/>
      </c>
      <c r="V312">
        <f>U312*Plan!D9/100/12</f>
        <v/>
      </c>
      <c r="W312">
        <f>MIN(Plan!E9,U312+V312)</f>
        <v/>
      </c>
      <c r="X312">
        <f>U312+V312-W312</f>
        <v/>
      </c>
      <c r="Y312">
        <f>MIN(X312,MAX(0,$B312-((E$5&lt;W$5)*F312+(K$5&lt;W$5)*L312+(Q$5&lt;W$5)*R312+(AC$5&lt;W$5)*AD312+(AI$5&lt;W$5)*AJ312+(AO$5&lt;W$5)*AP312+(AU$5&lt;W$5)*AV312)))</f>
        <v/>
      </c>
      <c r="Z312">
        <f>IF(X312-Y312&lt;0.005,0,X312-Y312)</f>
        <v/>
      </c>
      <c r="AA312">
        <f>AF311</f>
        <v/>
      </c>
      <c r="AB312">
        <f>AA312*Plan!D10/100/12</f>
        <v/>
      </c>
      <c r="AC312">
        <f>MIN(Plan!E10,AA312+AB312)</f>
        <v/>
      </c>
      <c r="AD312">
        <f>AA312+AB312-AC312</f>
        <v/>
      </c>
      <c r="AE312">
        <f>MIN(AD312,MAX(0,$B312-((E$5&lt;AC$5)*F312+(K$5&lt;AC$5)*L312+(Q$5&lt;AC$5)*R312+(W$5&lt;AC$5)*X312+(AI$5&lt;AC$5)*AJ312+(AO$5&lt;AC$5)*AP312+(AU$5&lt;AC$5)*AV312)))</f>
        <v/>
      </c>
      <c r="AF312">
        <f>IF(AD312-AE312&lt;0.005,0,AD312-AE312)</f>
        <v/>
      </c>
      <c r="AG312">
        <f>AL311</f>
        <v/>
      </c>
      <c r="AH312">
        <f>AG312*Plan!D11/100/12</f>
        <v/>
      </c>
      <c r="AI312">
        <f>MIN(Plan!E11,AG312+AH312)</f>
        <v/>
      </c>
      <c r="AJ312">
        <f>AG312+AH312-AI312</f>
        <v/>
      </c>
      <c r="AK312">
        <f>MIN(AJ312,MAX(0,$B312-((E$5&lt;AI$5)*F312+(K$5&lt;AI$5)*L312+(Q$5&lt;AI$5)*R312+(W$5&lt;AI$5)*X312+(AC$5&lt;AI$5)*AD312+(AO$5&lt;AI$5)*AP312+(AU$5&lt;AI$5)*AV312)))</f>
        <v/>
      </c>
      <c r="AL312">
        <f>IF(AJ312-AK312&lt;0.005,0,AJ312-AK312)</f>
        <v/>
      </c>
      <c r="AM312">
        <f>AR311</f>
        <v/>
      </c>
      <c r="AN312">
        <f>AM312*Plan!D12/100/12</f>
        <v/>
      </c>
      <c r="AO312">
        <f>MIN(Plan!E12,AM312+AN312)</f>
        <v/>
      </c>
      <c r="AP312">
        <f>AM312+AN312-AO312</f>
        <v/>
      </c>
      <c r="AQ312">
        <f>MIN(AP312,MAX(0,$B312-((E$5&lt;AO$5)*F312+(K$5&lt;AO$5)*L312+(Q$5&lt;AO$5)*R312+(W$5&lt;AO$5)*X312+(AC$5&lt;AO$5)*AD312+(AI$5&lt;AO$5)*AJ312+(AU$5&lt;AO$5)*AV312)))</f>
        <v/>
      </c>
      <c r="AR312">
        <f>IF(AP312-AQ312&lt;0.005,0,AP312-AQ312)</f>
        <v/>
      </c>
      <c r="AS312">
        <f>AX311</f>
        <v/>
      </c>
      <c r="AT312">
        <f>AS312*Plan!D13/100/12</f>
        <v/>
      </c>
      <c r="AU312">
        <f>MIN(Plan!E13,AS312+AT312)</f>
        <v/>
      </c>
      <c r="AV312">
        <f>AS312+AT312-AU312</f>
        <v/>
      </c>
      <c r="AW312">
        <f>MIN(AV312,MAX(0,$B312-((E$5&lt;AU$5)*F312+(K$5&lt;AU$5)*L312+(Q$5&lt;AU$5)*R312+(W$5&lt;AU$5)*X312+(AC$5&lt;AU$5)*AD312+(AI$5&lt;AU$5)*AJ312+(AO$5&lt;AU$5)*AP312)))</f>
        <v/>
      </c>
      <c r="AX312">
        <f>IF(AV312-AW312&lt;0.005,0,AV312-AW312)</f>
        <v/>
      </c>
      <c r="BC312">
        <f>H312+N312+T312+Z312+AF312+AL312+AR312+AX312</f>
        <v/>
      </c>
    </row>
    <row r="313">
      <c r="A313" t="n">
        <v>307</v>
      </c>
      <c r="B313" s="19">
        <f>MAX(0,$B$3-(E313+K313+Q313+W313+AC313+AI313+AO313+AU313))</f>
        <v/>
      </c>
      <c r="C313">
        <f>H312</f>
        <v/>
      </c>
      <c r="D313">
        <f>C313*Plan!D6/100/12</f>
        <v/>
      </c>
      <c r="E313">
        <f>MIN(Plan!E6,C313+D313)</f>
        <v/>
      </c>
      <c r="F313">
        <f>C313+D313-E313</f>
        <v/>
      </c>
      <c r="G313">
        <f>MIN(F313,MAX(0,$B313-((K$5&lt;E$5)*L313+(Q$5&lt;E$5)*R313+(W$5&lt;E$5)*X313+(AC$5&lt;E$5)*AD313+(AI$5&lt;E$5)*AJ313+(AO$5&lt;E$5)*AP313+(AU$5&lt;E$5)*AV313)))</f>
        <v/>
      </c>
      <c r="H313">
        <f>IF(F313-G313&lt;0.005,0,F313-G313)</f>
        <v/>
      </c>
      <c r="I313">
        <f>N312</f>
        <v/>
      </c>
      <c r="J313">
        <f>I313*Plan!D7/100/12</f>
        <v/>
      </c>
      <c r="K313">
        <f>MIN(Plan!E7,I313+J313)</f>
        <v/>
      </c>
      <c r="L313">
        <f>I313+J313-K313</f>
        <v/>
      </c>
      <c r="M313">
        <f>MIN(L313,MAX(0,$B313-((E$5&lt;K$5)*F313+(Q$5&lt;K$5)*R313+(W$5&lt;K$5)*X313+(AC$5&lt;K$5)*AD313+(AI$5&lt;K$5)*AJ313+(AO$5&lt;K$5)*AP313+(AU$5&lt;K$5)*AV313)))</f>
        <v/>
      </c>
      <c r="N313">
        <f>IF(L313-M313&lt;0.005,0,L313-M313)</f>
        <v/>
      </c>
      <c r="O313">
        <f>T312</f>
        <v/>
      </c>
      <c r="P313">
        <f>O313*Plan!D8/100/12</f>
        <v/>
      </c>
      <c r="Q313">
        <f>MIN(Plan!E8,O313+P313)</f>
        <v/>
      </c>
      <c r="R313">
        <f>O313+P313-Q313</f>
        <v/>
      </c>
      <c r="S313">
        <f>MIN(R313,MAX(0,$B313-((E$5&lt;Q$5)*F313+(K$5&lt;Q$5)*L313+(W$5&lt;Q$5)*X313+(AC$5&lt;Q$5)*AD313+(AI$5&lt;Q$5)*AJ313+(AO$5&lt;Q$5)*AP313+(AU$5&lt;Q$5)*AV313)))</f>
        <v/>
      </c>
      <c r="T313">
        <f>IF(R313-S313&lt;0.005,0,R313-S313)</f>
        <v/>
      </c>
      <c r="U313">
        <f>Z312</f>
        <v/>
      </c>
      <c r="V313">
        <f>U313*Plan!D9/100/12</f>
        <v/>
      </c>
      <c r="W313">
        <f>MIN(Plan!E9,U313+V313)</f>
        <v/>
      </c>
      <c r="X313">
        <f>U313+V313-W313</f>
        <v/>
      </c>
      <c r="Y313">
        <f>MIN(X313,MAX(0,$B313-((E$5&lt;W$5)*F313+(K$5&lt;W$5)*L313+(Q$5&lt;W$5)*R313+(AC$5&lt;W$5)*AD313+(AI$5&lt;W$5)*AJ313+(AO$5&lt;W$5)*AP313+(AU$5&lt;W$5)*AV313)))</f>
        <v/>
      </c>
      <c r="Z313">
        <f>IF(X313-Y313&lt;0.005,0,X313-Y313)</f>
        <v/>
      </c>
      <c r="AA313">
        <f>AF312</f>
        <v/>
      </c>
      <c r="AB313">
        <f>AA313*Plan!D10/100/12</f>
        <v/>
      </c>
      <c r="AC313">
        <f>MIN(Plan!E10,AA313+AB313)</f>
        <v/>
      </c>
      <c r="AD313">
        <f>AA313+AB313-AC313</f>
        <v/>
      </c>
      <c r="AE313">
        <f>MIN(AD313,MAX(0,$B313-((E$5&lt;AC$5)*F313+(K$5&lt;AC$5)*L313+(Q$5&lt;AC$5)*R313+(W$5&lt;AC$5)*X313+(AI$5&lt;AC$5)*AJ313+(AO$5&lt;AC$5)*AP313+(AU$5&lt;AC$5)*AV313)))</f>
        <v/>
      </c>
      <c r="AF313">
        <f>IF(AD313-AE313&lt;0.005,0,AD313-AE313)</f>
        <v/>
      </c>
      <c r="AG313">
        <f>AL312</f>
        <v/>
      </c>
      <c r="AH313">
        <f>AG313*Plan!D11/100/12</f>
        <v/>
      </c>
      <c r="AI313">
        <f>MIN(Plan!E11,AG313+AH313)</f>
        <v/>
      </c>
      <c r="AJ313">
        <f>AG313+AH313-AI313</f>
        <v/>
      </c>
      <c r="AK313">
        <f>MIN(AJ313,MAX(0,$B313-((E$5&lt;AI$5)*F313+(K$5&lt;AI$5)*L313+(Q$5&lt;AI$5)*R313+(W$5&lt;AI$5)*X313+(AC$5&lt;AI$5)*AD313+(AO$5&lt;AI$5)*AP313+(AU$5&lt;AI$5)*AV313)))</f>
        <v/>
      </c>
      <c r="AL313">
        <f>IF(AJ313-AK313&lt;0.005,0,AJ313-AK313)</f>
        <v/>
      </c>
      <c r="AM313">
        <f>AR312</f>
        <v/>
      </c>
      <c r="AN313">
        <f>AM313*Plan!D12/100/12</f>
        <v/>
      </c>
      <c r="AO313">
        <f>MIN(Plan!E12,AM313+AN313)</f>
        <v/>
      </c>
      <c r="AP313">
        <f>AM313+AN313-AO313</f>
        <v/>
      </c>
      <c r="AQ313">
        <f>MIN(AP313,MAX(0,$B313-((E$5&lt;AO$5)*F313+(K$5&lt;AO$5)*L313+(Q$5&lt;AO$5)*R313+(W$5&lt;AO$5)*X313+(AC$5&lt;AO$5)*AD313+(AI$5&lt;AO$5)*AJ313+(AU$5&lt;AO$5)*AV313)))</f>
        <v/>
      </c>
      <c r="AR313">
        <f>IF(AP313-AQ313&lt;0.005,0,AP313-AQ313)</f>
        <v/>
      </c>
      <c r="AS313">
        <f>AX312</f>
        <v/>
      </c>
      <c r="AT313">
        <f>AS313*Plan!D13/100/12</f>
        <v/>
      </c>
      <c r="AU313">
        <f>MIN(Plan!E13,AS313+AT313)</f>
        <v/>
      </c>
      <c r="AV313">
        <f>AS313+AT313-AU313</f>
        <v/>
      </c>
      <c r="AW313">
        <f>MIN(AV313,MAX(0,$B313-((E$5&lt;AU$5)*F313+(K$5&lt;AU$5)*L313+(Q$5&lt;AU$5)*R313+(W$5&lt;AU$5)*X313+(AC$5&lt;AU$5)*AD313+(AI$5&lt;AU$5)*AJ313+(AO$5&lt;AU$5)*AP313)))</f>
        <v/>
      </c>
      <c r="AX313">
        <f>IF(AV313-AW313&lt;0.005,0,AV313-AW313)</f>
        <v/>
      </c>
      <c r="BC313">
        <f>H313+N313+T313+Z313+AF313+AL313+AR313+AX313</f>
        <v/>
      </c>
    </row>
    <row r="314">
      <c r="A314" t="n">
        <v>308</v>
      </c>
      <c r="B314" s="19">
        <f>MAX(0,$B$3-(E314+K314+Q314+W314+AC314+AI314+AO314+AU314))</f>
        <v/>
      </c>
      <c r="C314">
        <f>H313</f>
        <v/>
      </c>
      <c r="D314">
        <f>C314*Plan!D6/100/12</f>
        <v/>
      </c>
      <c r="E314">
        <f>MIN(Plan!E6,C314+D314)</f>
        <v/>
      </c>
      <c r="F314">
        <f>C314+D314-E314</f>
        <v/>
      </c>
      <c r="G314">
        <f>MIN(F314,MAX(0,$B314-((K$5&lt;E$5)*L314+(Q$5&lt;E$5)*R314+(W$5&lt;E$5)*X314+(AC$5&lt;E$5)*AD314+(AI$5&lt;E$5)*AJ314+(AO$5&lt;E$5)*AP314+(AU$5&lt;E$5)*AV314)))</f>
        <v/>
      </c>
      <c r="H314">
        <f>IF(F314-G314&lt;0.005,0,F314-G314)</f>
        <v/>
      </c>
      <c r="I314">
        <f>N313</f>
        <v/>
      </c>
      <c r="J314">
        <f>I314*Plan!D7/100/12</f>
        <v/>
      </c>
      <c r="K314">
        <f>MIN(Plan!E7,I314+J314)</f>
        <v/>
      </c>
      <c r="L314">
        <f>I314+J314-K314</f>
        <v/>
      </c>
      <c r="M314">
        <f>MIN(L314,MAX(0,$B314-((E$5&lt;K$5)*F314+(Q$5&lt;K$5)*R314+(W$5&lt;K$5)*X314+(AC$5&lt;K$5)*AD314+(AI$5&lt;K$5)*AJ314+(AO$5&lt;K$5)*AP314+(AU$5&lt;K$5)*AV314)))</f>
        <v/>
      </c>
      <c r="N314">
        <f>IF(L314-M314&lt;0.005,0,L314-M314)</f>
        <v/>
      </c>
      <c r="O314">
        <f>T313</f>
        <v/>
      </c>
      <c r="P314">
        <f>O314*Plan!D8/100/12</f>
        <v/>
      </c>
      <c r="Q314">
        <f>MIN(Plan!E8,O314+P314)</f>
        <v/>
      </c>
      <c r="R314">
        <f>O314+P314-Q314</f>
        <v/>
      </c>
      <c r="S314">
        <f>MIN(R314,MAX(0,$B314-((E$5&lt;Q$5)*F314+(K$5&lt;Q$5)*L314+(W$5&lt;Q$5)*X314+(AC$5&lt;Q$5)*AD314+(AI$5&lt;Q$5)*AJ314+(AO$5&lt;Q$5)*AP314+(AU$5&lt;Q$5)*AV314)))</f>
        <v/>
      </c>
      <c r="T314">
        <f>IF(R314-S314&lt;0.005,0,R314-S314)</f>
        <v/>
      </c>
      <c r="U314">
        <f>Z313</f>
        <v/>
      </c>
      <c r="V314">
        <f>U314*Plan!D9/100/12</f>
        <v/>
      </c>
      <c r="W314">
        <f>MIN(Plan!E9,U314+V314)</f>
        <v/>
      </c>
      <c r="X314">
        <f>U314+V314-W314</f>
        <v/>
      </c>
      <c r="Y314">
        <f>MIN(X314,MAX(0,$B314-((E$5&lt;W$5)*F314+(K$5&lt;W$5)*L314+(Q$5&lt;W$5)*R314+(AC$5&lt;W$5)*AD314+(AI$5&lt;W$5)*AJ314+(AO$5&lt;W$5)*AP314+(AU$5&lt;W$5)*AV314)))</f>
        <v/>
      </c>
      <c r="Z314">
        <f>IF(X314-Y314&lt;0.005,0,X314-Y314)</f>
        <v/>
      </c>
      <c r="AA314">
        <f>AF313</f>
        <v/>
      </c>
      <c r="AB314">
        <f>AA314*Plan!D10/100/12</f>
        <v/>
      </c>
      <c r="AC314">
        <f>MIN(Plan!E10,AA314+AB314)</f>
        <v/>
      </c>
      <c r="AD314">
        <f>AA314+AB314-AC314</f>
        <v/>
      </c>
      <c r="AE314">
        <f>MIN(AD314,MAX(0,$B314-((E$5&lt;AC$5)*F314+(K$5&lt;AC$5)*L314+(Q$5&lt;AC$5)*R314+(W$5&lt;AC$5)*X314+(AI$5&lt;AC$5)*AJ314+(AO$5&lt;AC$5)*AP314+(AU$5&lt;AC$5)*AV314)))</f>
        <v/>
      </c>
      <c r="AF314">
        <f>IF(AD314-AE314&lt;0.005,0,AD314-AE314)</f>
        <v/>
      </c>
      <c r="AG314">
        <f>AL313</f>
        <v/>
      </c>
      <c r="AH314">
        <f>AG314*Plan!D11/100/12</f>
        <v/>
      </c>
      <c r="AI314">
        <f>MIN(Plan!E11,AG314+AH314)</f>
        <v/>
      </c>
      <c r="AJ314">
        <f>AG314+AH314-AI314</f>
        <v/>
      </c>
      <c r="AK314">
        <f>MIN(AJ314,MAX(0,$B314-((E$5&lt;AI$5)*F314+(K$5&lt;AI$5)*L314+(Q$5&lt;AI$5)*R314+(W$5&lt;AI$5)*X314+(AC$5&lt;AI$5)*AD314+(AO$5&lt;AI$5)*AP314+(AU$5&lt;AI$5)*AV314)))</f>
        <v/>
      </c>
      <c r="AL314">
        <f>IF(AJ314-AK314&lt;0.005,0,AJ314-AK314)</f>
        <v/>
      </c>
      <c r="AM314">
        <f>AR313</f>
        <v/>
      </c>
      <c r="AN314">
        <f>AM314*Plan!D12/100/12</f>
        <v/>
      </c>
      <c r="AO314">
        <f>MIN(Plan!E12,AM314+AN314)</f>
        <v/>
      </c>
      <c r="AP314">
        <f>AM314+AN314-AO314</f>
        <v/>
      </c>
      <c r="AQ314">
        <f>MIN(AP314,MAX(0,$B314-((E$5&lt;AO$5)*F314+(K$5&lt;AO$5)*L314+(Q$5&lt;AO$5)*R314+(W$5&lt;AO$5)*X314+(AC$5&lt;AO$5)*AD314+(AI$5&lt;AO$5)*AJ314+(AU$5&lt;AO$5)*AV314)))</f>
        <v/>
      </c>
      <c r="AR314">
        <f>IF(AP314-AQ314&lt;0.005,0,AP314-AQ314)</f>
        <v/>
      </c>
      <c r="AS314">
        <f>AX313</f>
        <v/>
      </c>
      <c r="AT314">
        <f>AS314*Plan!D13/100/12</f>
        <v/>
      </c>
      <c r="AU314">
        <f>MIN(Plan!E13,AS314+AT314)</f>
        <v/>
      </c>
      <c r="AV314">
        <f>AS314+AT314-AU314</f>
        <v/>
      </c>
      <c r="AW314">
        <f>MIN(AV314,MAX(0,$B314-((E$5&lt;AU$5)*F314+(K$5&lt;AU$5)*L314+(Q$5&lt;AU$5)*R314+(W$5&lt;AU$5)*X314+(AC$5&lt;AU$5)*AD314+(AI$5&lt;AU$5)*AJ314+(AO$5&lt;AU$5)*AP314)))</f>
        <v/>
      </c>
      <c r="AX314">
        <f>IF(AV314-AW314&lt;0.005,0,AV314-AW314)</f>
        <v/>
      </c>
      <c r="BC314">
        <f>H314+N314+T314+Z314+AF314+AL314+AR314+AX314</f>
        <v/>
      </c>
    </row>
    <row r="315">
      <c r="A315" t="n">
        <v>309</v>
      </c>
      <c r="B315" s="19">
        <f>MAX(0,$B$3-(E315+K315+Q315+W315+AC315+AI315+AO315+AU315))</f>
        <v/>
      </c>
      <c r="C315">
        <f>H314</f>
        <v/>
      </c>
      <c r="D315">
        <f>C315*Plan!D6/100/12</f>
        <v/>
      </c>
      <c r="E315">
        <f>MIN(Plan!E6,C315+D315)</f>
        <v/>
      </c>
      <c r="F315">
        <f>C315+D315-E315</f>
        <v/>
      </c>
      <c r="G315">
        <f>MIN(F315,MAX(0,$B315-((K$5&lt;E$5)*L315+(Q$5&lt;E$5)*R315+(W$5&lt;E$5)*X315+(AC$5&lt;E$5)*AD315+(AI$5&lt;E$5)*AJ315+(AO$5&lt;E$5)*AP315+(AU$5&lt;E$5)*AV315)))</f>
        <v/>
      </c>
      <c r="H315">
        <f>IF(F315-G315&lt;0.005,0,F315-G315)</f>
        <v/>
      </c>
      <c r="I315">
        <f>N314</f>
        <v/>
      </c>
      <c r="J315">
        <f>I315*Plan!D7/100/12</f>
        <v/>
      </c>
      <c r="K315">
        <f>MIN(Plan!E7,I315+J315)</f>
        <v/>
      </c>
      <c r="L315">
        <f>I315+J315-K315</f>
        <v/>
      </c>
      <c r="M315">
        <f>MIN(L315,MAX(0,$B315-((E$5&lt;K$5)*F315+(Q$5&lt;K$5)*R315+(W$5&lt;K$5)*X315+(AC$5&lt;K$5)*AD315+(AI$5&lt;K$5)*AJ315+(AO$5&lt;K$5)*AP315+(AU$5&lt;K$5)*AV315)))</f>
        <v/>
      </c>
      <c r="N315">
        <f>IF(L315-M315&lt;0.005,0,L315-M315)</f>
        <v/>
      </c>
      <c r="O315">
        <f>T314</f>
        <v/>
      </c>
      <c r="P315">
        <f>O315*Plan!D8/100/12</f>
        <v/>
      </c>
      <c r="Q315">
        <f>MIN(Plan!E8,O315+P315)</f>
        <v/>
      </c>
      <c r="R315">
        <f>O315+P315-Q315</f>
        <v/>
      </c>
      <c r="S315">
        <f>MIN(R315,MAX(0,$B315-((E$5&lt;Q$5)*F315+(K$5&lt;Q$5)*L315+(W$5&lt;Q$5)*X315+(AC$5&lt;Q$5)*AD315+(AI$5&lt;Q$5)*AJ315+(AO$5&lt;Q$5)*AP315+(AU$5&lt;Q$5)*AV315)))</f>
        <v/>
      </c>
      <c r="T315">
        <f>IF(R315-S315&lt;0.005,0,R315-S315)</f>
        <v/>
      </c>
      <c r="U315">
        <f>Z314</f>
        <v/>
      </c>
      <c r="V315">
        <f>U315*Plan!D9/100/12</f>
        <v/>
      </c>
      <c r="W315">
        <f>MIN(Plan!E9,U315+V315)</f>
        <v/>
      </c>
      <c r="X315">
        <f>U315+V315-W315</f>
        <v/>
      </c>
      <c r="Y315">
        <f>MIN(X315,MAX(0,$B315-((E$5&lt;W$5)*F315+(K$5&lt;W$5)*L315+(Q$5&lt;W$5)*R315+(AC$5&lt;W$5)*AD315+(AI$5&lt;W$5)*AJ315+(AO$5&lt;W$5)*AP315+(AU$5&lt;W$5)*AV315)))</f>
        <v/>
      </c>
      <c r="Z315">
        <f>IF(X315-Y315&lt;0.005,0,X315-Y315)</f>
        <v/>
      </c>
      <c r="AA315">
        <f>AF314</f>
        <v/>
      </c>
      <c r="AB315">
        <f>AA315*Plan!D10/100/12</f>
        <v/>
      </c>
      <c r="AC315">
        <f>MIN(Plan!E10,AA315+AB315)</f>
        <v/>
      </c>
      <c r="AD315">
        <f>AA315+AB315-AC315</f>
        <v/>
      </c>
      <c r="AE315">
        <f>MIN(AD315,MAX(0,$B315-((E$5&lt;AC$5)*F315+(K$5&lt;AC$5)*L315+(Q$5&lt;AC$5)*R315+(W$5&lt;AC$5)*X315+(AI$5&lt;AC$5)*AJ315+(AO$5&lt;AC$5)*AP315+(AU$5&lt;AC$5)*AV315)))</f>
        <v/>
      </c>
      <c r="AF315">
        <f>IF(AD315-AE315&lt;0.005,0,AD315-AE315)</f>
        <v/>
      </c>
      <c r="AG315">
        <f>AL314</f>
        <v/>
      </c>
      <c r="AH315">
        <f>AG315*Plan!D11/100/12</f>
        <v/>
      </c>
      <c r="AI315">
        <f>MIN(Plan!E11,AG315+AH315)</f>
        <v/>
      </c>
      <c r="AJ315">
        <f>AG315+AH315-AI315</f>
        <v/>
      </c>
      <c r="AK315">
        <f>MIN(AJ315,MAX(0,$B315-((E$5&lt;AI$5)*F315+(K$5&lt;AI$5)*L315+(Q$5&lt;AI$5)*R315+(W$5&lt;AI$5)*X315+(AC$5&lt;AI$5)*AD315+(AO$5&lt;AI$5)*AP315+(AU$5&lt;AI$5)*AV315)))</f>
        <v/>
      </c>
      <c r="AL315">
        <f>IF(AJ315-AK315&lt;0.005,0,AJ315-AK315)</f>
        <v/>
      </c>
      <c r="AM315">
        <f>AR314</f>
        <v/>
      </c>
      <c r="AN315">
        <f>AM315*Plan!D12/100/12</f>
        <v/>
      </c>
      <c r="AO315">
        <f>MIN(Plan!E12,AM315+AN315)</f>
        <v/>
      </c>
      <c r="AP315">
        <f>AM315+AN315-AO315</f>
        <v/>
      </c>
      <c r="AQ315">
        <f>MIN(AP315,MAX(0,$B315-((E$5&lt;AO$5)*F315+(K$5&lt;AO$5)*L315+(Q$5&lt;AO$5)*R315+(W$5&lt;AO$5)*X315+(AC$5&lt;AO$5)*AD315+(AI$5&lt;AO$5)*AJ315+(AU$5&lt;AO$5)*AV315)))</f>
        <v/>
      </c>
      <c r="AR315">
        <f>IF(AP315-AQ315&lt;0.005,0,AP315-AQ315)</f>
        <v/>
      </c>
      <c r="AS315">
        <f>AX314</f>
        <v/>
      </c>
      <c r="AT315">
        <f>AS315*Plan!D13/100/12</f>
        <v/>
      </c>
      <c r="AU315">
        <f>MIN(Plan!E13,AS315+AT315)</f>
        <v/>
      </c>
      <c r="AV315">
        <f>AS315+AT315-AU315</f>
        <v/>
      </c>
      <c r="AW315">
        <f>MIN(AV315,MAX(0,$B315-((E$5&lt;AU$5)*F315+(K$5&lt;AU$5)*L315+(Q$5&lt;AU$5)*R315+(W$5&lt;AU$5)*X315+(AC$5&lt;AU$5)*AD315+(AI$5&lt;AU$5)*AJ315+(AO$5&lt;AU$5)*AP315)))</f>
        <v/>
      </c>
      <c r="AX315">
        <f>IF(AV315-AW315&lt;0.005,0,AV315-AW315)</f>
        <v/>
      </c>
      <c r="BC315">
        <f>H315+N315+T315+Z315+AF315+AL315+AR315+AX315</f>
        <v/>
      </c>
    </row>
    <row r="316">
      <c r="A316" t="n">
        <v>310</v>
      </c>
      <c r="B316" s="19">
        <f>MAX(0,$B$3-(E316+K316+Q316+W316+AC316+AI316+AO316+AU316))</f>
        <v/>
      </c>
      <c r="C316">
        <f>H315</f>
        <v/>
      </c>
      <c r="D316">
        <f>C316*Plan!D6/100/12</f>
        <v/>
      </c>
      <c r="E316">
        <f>MIN(Plan!E6,C316+D316)</f>
        <v/>
      </c>
      <c r="F316">
        <f>C316+D316-E316</f>
        <v/>
      </c>
      <c r="G316">
        <f>MIN(F316,MAX(0,$B316-((K$5&lt;E$5)*L316+(Q$5&lt;E$5)*R316+(W$5&lt;E$5)*X316+(AC$5&lt;E$5)*AD316+(AI$5&lt;E$5)*AJ316+(AO$5&lt;E$5)*AP316+(AU$5&lt;E$5)*AV316)))</f>
        <v/>
      </c>
      <c r="H316">
        <f>IF(F316-G316&lt;0.005,0,F316-G316)</f>
        <v/>
      </c>
      <c r="I316">
        <f>N315</f>
        <v/>
      </c>
      <c r="J316">
        <f>I316*Plan!D7/100/12</f>
        <v/>
      </c>
      <c r="K316">
        <f>MIN(Plan!E7,I316+J316)</f>
        <v/>
      </c>
      <c r="L316">
        <f>I316+J316-K316</f>
        <v/>
      </c>
      <c r="M316">
        <f>MIN(L316,MAX(0,$B316-((E$5&lt;K$5)*F316+(Q$5&lt;K$5)*R316+(W$5&lt;K$5)*X316+(AC$5&lt;K$5)*AD316+(AI$5&lt;K$5)*AJ316+(AO$5&lt;K$5)*AP316+(AU$5&lt;K$5)*AV316)))</f>
        <v/>
      </c>
      <c r="N316">
        <f>IF(L316-M316&lt;0.005,0,L316-M316)</f>
        <v/>
      </c>
      <c r="O316">
        <f>T315</f>
        <v/>
      </c>
      <c r="P316">
        <f>O316*Plan!D8/100/12</f>
        <v/>
      </c>
      <c r="Q316">
        <f>MIN(Plan!E8,O316+P316)</f>
        <v/>
      </c>
      <c r="R316">
        <f>O316+P316-Q316</f>
        <v/>
      </c>
      <c r="S316">
        <f>MIN(R316,MAX(0,$B316-((E$5&lt;Q$5)*F316+(K$5&lt;Q$5)*L316+(W$5&lt;Q$5)*X316+(AC$5&lt;Q$5)*AD316+(AI$5&lt;Q$5)*AJ316+(AO$5&lt;Q$5)*AP316+(AU$5&lt;Q$5)*AV316)))</f>
        <v/>
      </c>
      <c r="T316">
        <f>IF(R316-S316&lt;0.005,0,R316-S316)</f>
        <v/>
      </c>
      <c r="U316">
        <f>Z315</f>
        <v/>
      </c>
      <c r="V316">
        <f>U316*Plan!D9/100/12</f>
        <v/>
      </c>
      <c r="W316">
        <f>MIN(Plan!E9,U316+V316)</f>
        <v/>
      </c>
      <c r="X316">
        <f>U316+V316-W316</f>
        <v/>
      </c>
      <c r="Y316">
        <f>MIN(X316,MAX(0,$B316-((E$5&lt;W$5)*F316+(K$5&lt;W$5)*L316+(Q$5&lt;W$5)*R316+(AC$5&lt;W$5)*AD316+(AI$5&lt;W$5)*AJ316+(AO$5&lt;W$5)*AP316+(AU$5&lt;W$5)*AV316)))</f>
        <v/>
      </c>
      <c r="Z316">
        <f>IF(X316-Y316&lt;0.005,0,X316-Y316)</f>
        <v/>
      </c>
      <c r="AA316">
        <f>AF315</f>
        <v/>
      </c>
      <c r="AB316">
        <f>AA316*Plan!D10/100/12</f>
        <v/>
      </c>
      <c r="AC316">
        <f>MIN(Plan!E10,AA316+AB316)</f>
        <v/>
      </c>
      <c r="AD316">
        <f>AA316+AB316-AC316</f>
        <v/>
      </c>
      <c r="AE316">
        <f>MIN(AD316,MAX(0,$B316-((E$5&lt;AC$5)*F316+(K$5&lt;AC$5)*L316+(Q$5&lt;AC$5)*R316+(W$5&lt;AC$5)*X316+(AI$5&lt;AC$5)*AJ316+(AO$5&lt;AC$5)*AP316+(AU$5&lt;AC$5)*AV316)))</f>
        <v/>
      </c>
      <c r="AF316">
        <f>IF(AD316-AE316&lt;0.005,0,AD316-AE316)</f>
        <v/>
      </c>
      <c r="AG316">
        <f>AL315</f>
        <v/>
      </c>
      <c r="AH316">
        <f>AG316*Plan!D11/100/12</f>
        <v/>
      </c>
      <c r="AI316">
        <f>MIN(Plan!E11,AG316+AH316)</f>
        <v/>
      </c>
      <c r="AJ316">
        <f>AG316+AH316-AI316</f>
        <v/>
      </c>
      <c r="AK316">
        <f>MIN(AJ316,MAX(0,$B316-((E$5&lt;AI$5)*F316+(K$5&lt;AI$5)*L316+(Q$5&lt;AI$5)*R316+(W$5&lt;AI$5)*X316+(AC$5&lt;AI$5)*AD316+(AO$5&lt;AI$5)*AP316+(AU$5&lt;AI$5)*AV316)))</f>
        <v/>
      </c>
      <c r="AL316">
        <f>IF(AJ316-AK316&lt;0.005,0,AJ316-AK316)</f>
        <v/>
      </c>
      <c r="AM316">
        <f>AR315</f>
        <v/>
      </c>
      <c r="AN316">
        <f>AM316*Plan!D12/100/12</f>
        <v/>
      </c>
      <c r="AO316">
        <f>MIN(Plan!E12,AM316+AN316)</f>
        <v/>
      </c>
      <c r="AP316">
        <f>AM316+AN316-AO316</f>
        <v/>
      </c>
      <c r="AQ316">
        <f>MIN(AP316,MAX(0,$B316-((E$5&lt;AO$5)*F316+(K$5&lt;AO$5)*L316+(Q$5&lt;AO$5)*R316+(W$5&lt;AO$5)*X316+(AC$5&lt;AO$5)*AD316+(AI$5&lt;AO$5)*AJ316+(AU$5&lt;AO$5)*AV316)))</f>
        <v/>
      </c>
      <c r="AR316">
        <f>IF(AP316-AQ316&lt;0.005,0,AP316-AQ316)</f>
        <v/>
      </c>
      <c r="AS316">
        <f>AX315</f>
        <v/>
      </c>
      <c r="AT316">
        <f>AS316*Plan!D13/100/12</f>
        <v/>
      </c>
      <c r="AU316">
        <f>MIN(Plan!E13,AS316+AT316)</f>
        <v/>
      </c>
      <c r="AV316">
        <f>AS316+AT316-AU316</f>
        <v/>
      </c>
      <c r="AW316">
        <f>MIN(AV316,MAX(0,$B316-((E$5&lt;AU$5)*F316+(K$5&lt;AU$5)*L316+(Q$5&lt;AU$5)*R316+(W$5&lt;AU$5)*X316+(AC$5&lt;AU$5)*AD316+(AI$5&lt;AU$5)*AJ316+(AO$5&lt;AU$5)*AP316)))</f>
        <v/>
      </c>
      <c r="AX316">
        <f>IF(AV316-AW316&lt;0.005,0,AV316-AW316)</f>
        <v/>
      </c>
      <c r="BC316">
        <f>H316+N316+T316+Z316+AF316+AL316+AR316+AX316</f>
        <v/>
      </c>
    </row>
    <row r="317">
      <c r="A317" t="n">
        <v>311</v>
      </c>
      <c r="B317" s="19">
        <f>MAX(0,$B$3-(E317+K317+Q317+W317+AC317+AI317+AO317+AU317))</f>
        <v/>
      </c>
      <c r="C317">
        <f>H316</f>
        <v/>
      </c>
      <c r="D317">
        <f>C317*Plan!D6/100/12</f>
        <v/>
      </c>
      <c r="E317">
        <f>MIN(Plan!E6,C317+D317)</f>
        <v/>
      </c>
      <c r="F317">
        <f>C317+D317-E317</f>
        <v/>
      </c>
      <c r="G317">
        <f>MIN(F317,MAX(0,$B317-((K$5&lt;E$5)*L317+(Q$5&lt;E$5)*R317+(W$5&lt;E$5)*X317+(AC$5&lt;E$5)*AD317+(AI$5&lt;E$5)*AJ317+(AO$5&lt;E$5)*AP317+(AU$5&lt;E$5)*AV317)))</f>
        <v/>
      </c>
      <c r="H317">
        <f>IF(F317-G317&lt;0.005,0,F317-G317)</f>
        <v/>
      </c>
      <c r="I317">
        <f>N316</f>
        <v/>
      </c>
      <c r="J317">
        <f>I317*Plan!D7/100/12</f>
        <v/>
      </c>
      <c r="K317">
        <f>MIN(Plan!E7,I317+J317)</f>
        <v/>
      </c>
      <c r="L317">
        <f>I317+J317-K317</f>
        <v/>
      </c>
      <c r="M317">
        <f>MIN(L317,MAX(0,$B317-((E$5&lt;K$5)*F317+(Q$5&lt;K$5)*R317+(W$5&lt;K$5)*X317+(AC$5&lt;K$5)*AD317+(AI$5&lt;K$5)*AJ317+(AO$5&lt;K$5)*AP317+(AU$5&lt;K$5)*AV317)))</f>
        <v/>
      </c>
      <c r="N317">
        <f>IF(L317-M317&lt;0.005,0,L317-M317)</f>
        <v/>
      </c>
      <c r="O317">
        <f>T316</f>
        <v/>
      </c>
      <c r="P317">
        <f>O317*Plan!D8/100/12</f>
        <v/>
      </c>
      <c r="Q317">
        <f>MIN(Plan!E8,O317+P317)</f>
        <v/>
      </c>
      <c r="R317">
        <f>O317+P317-Q317</f>
        <v/>
      </c>
      <c r="S317">
        <f>MIN(R317,MAX(0,$B317-((E$5&lt;Q$5)*F317+(K$5&lt;Q$5)*L317+(W$5&lt;Q$5)*X317+(AC$5&lt;Q$5)*AD317+(AI$5&lt;Q$5)*AJ317+(AO$5&lt;Q$5)*AP317+(AU$5&lt;Q$5)*AV317)))</f>
        <v/>
      </c>
      <c r="T317">
        <f>IF(R317-S317&lt;0.005,0,R317-S317)</f>
        <v/>
      </c>
      <c r="U317">
        <f>Z316</f>
        <v/>
      </c>
      <c r="V317">
        <f>U317*Plan!D9/100/12</f>
        <v/>
      </c>
      <c r="W317">
        <f>MIN(Plan!E9,U317+V317)</f>
        <v/>
      </c>
      <c r="X317">
        <f>U317+V317-W317</f>
        <v/>
      </c>
      <c r="Y317">
        <f>MIN(X317,MAX(0,$B317-((E$5&lt;W$5)*F317+(K$5&lt;W$5)*L317+(Q$5&lt;W$5)*R317+(AC$5&lt;W$5)*AD317+(AI$5&lt;W$5)*AJ317+(AO$5&lt;W$5)*AP317+(AU$5&lt;W$5)*AV317)))</f>
        <v/>
      </c>
      <c r="Z317">
        <f>IF(X317-Y317&lt;0.005,0,X317-Y317)</f>
        <v/>
      </c>
      <c r="AA317">
        <f>AF316</f>
        <v/>
      </c>
      <c r="AB317">
        <f>AA317*Plan!D10/100/12</f>
        <v/>
      </c>
      <c r="AC317">
        <f>MIN(Plan!E10,AA317+AB317)</f>
        <v/>
      </c>
      <c r="AD317">
        <f>AA317+AB317-AC317</f>
        <v/>
      </c>
      <c r="AE317">
        <f>MIN(AD317,MAX(0,$B317-((E$5&lt;AC$5)*F317+(K$5&lt;AC$5)*L317+(Q$5&lt;AC$5)*R317+(W$5&lt;AC$5)*X317+(AI$5&lt;AC$5)*AJ317+(AO$5&lt;AC$5)*AP317+(AU$5&lt;AC$5)*AV317)))</f>
        <v/>
      </c>
      <c r="AF317">
        <f>IF(AD317-AE317&lt;0.005,0,AD317-AE317)</f>
        <v/>
      </c>
      <c r="AG317">
        <f>AL316</f>
        <v/>
      </c>
      <c r="AH317">
        <f>AG317*Plan!D11/100/12</f>
        <v/>
      </c>
      <c r="AI317">
        <f>MIN(Plan!E11,AG317+AH317)</f>
        <v/>
      </c>
      <c r="AJ317">
        <f>AG317+AH317-AI317</f>
        <v/>
      </c>
      <c r="AK317">
        <f>MIN(AJ317,MAX(0,$B317-((E$5&lt;AI$5)*F317+(K$5&lt;AI$5)*L317+(Q$5&lt;AI$5)*R317+(W$5&lt;AI$5)*X317+(AC$5&lt;AI$5)*AD317+(AO$5&lt;AI$5)*AP317+(AU$5&lt;AI$5)*AV317)))</f>
        <v/>
      </c>
      <c r="AL317">
        <f>IF(AJ317-AK317&lt;0.005,0,AJ317-AK317)</f>
        <v/>
      </c>
      <c r="AM317">
        <f>AR316</f>
        <v/>
      </c>
      <c r="AN317">
        <f>AM317*Plan!D12/100/12</f>
        <v/>
      </c>
      <c r="AO317">
        <f>MIN(Plan!E12,AM317+AN317)</f>
        <v/>
      </c>
      <c r="AP317">
        <f>AM317+AN317-AO317</f>
        <v/>
      </c>
      <c r="AQ317">
        <f>MIN(AP317,MAX(0,$B317-((E$5&lt;AO$5)*F317+(K$5&lt;AO$5)*L317+(Q$5&lt;AO$5)*R317+(W$5&lt;AO$5)*X317+(AC$5&lt;AO$5)*AD317+(AI$5&lt;AO$5)*AJ317+(AU$5&lt;AO$5)*AV317)))</f>
        <v/>
      </c>
      <c r="AR317">
        <f>IF(AP317-AQ317&lt;0.005,0,AP317-AQ317)</f>
        <v/>
      </c>
      <c r="AS317">
        <f>AX316</f>
        <v/>
      </c>
      <c r="AT317">
        <f>AS317*Plan!D13/100/12</f>
        <v/>
      </c>
      <c r="AU317">
        <f>MIN(Plan!E13,AS317+AT317)</f>
        <v/>
      </c>
      <c r="AV317">
        <f>AS317+AT317-AU317</f>
        <v/>
      </c>
      <c r="AW317">
        <f>MIN(AV317,MAX(0,$B317-((E$5&lt;AU$5)*F317+(K$5&lt;AU$5)*L317+(Q$5&lt;AU$5)*R317+(W$5&lt;AU$5)*X317+(AC$5&lt;AU$5)*AD317+(AI$5&lt;AU$5)*AJ317+(AO$5&lt;AU$5)*AP317)))</f>
        <v/>
      </c>
      <c r="AX317">
        <f>IF(AV317-AW317&lt;0.005,0,AV317-AW317)</f>
        <v/>
      </c>
      <c r="BC317">
        <f>H317+N317+T317+Z317+AF317+AL317+AR317+AX317</f>
        <v/>
      </c>
    </row>
    <row r="318">
      <c r="A318" t="n">
        <v>312</v>
      </c>
      <c r="B318" s="19">
        <f>MAX(0,$B$3-(E318+K318+Q318+W318+AC318+AI318+AO318+AU318))</f>
        <v/>
      </c>
      <c r="C318">
        <f>H317</f>
        <v/>
      </c>
      <c r="D318">
        <f>C318*Plan!D6/100/12</f>
        <v/>
      </c>
      <c r="E318">
        <f>MIN(Plan!E6,C318+D318)</f>
        <v/>
      </c>
      <c r="F318">
        <f>C318+D318-E318</f>
        <v/>
      </c>
      <c r="G318">
        <f>MIN(F318,MAX(0,$B318-((K$5&lt;E$5)*L318+(Q$5&lt;E$5)*R318+(W$5&lt;E$5)*X318+(AC$5&lt;E$5)*AD318+(AI$5&lt;E$5)*AJ318+(AO$5&lt;E$5)*AP318+(AU$5&lt;E$5)*AV318)))</f>
        <v/>
      </c>
      <c r="H318">
        <f>IF(F318-G318&lt;0.005,0,F318-G318)</f>
        <v/>
      </c>
      <c r="I318">
        <f>N317</f>
        <v/>
      </c>
      <c r="J318">
        <f>I318*Plan!D7/100/12</f>
        <v/>
      </c>
      <c r="K318">
        <f>MIN(Plan!E7,I318+J318)</f>
        <v/>
      </c>
      <c r="L318">
        <f>I318+J318-K318</f>
        <v/>
      </c>
      <c r="M318">
        <f>MIN(L318,MAX(0,$B318-((E$5&lt;K$5)*F318+(Q$5&lt;K$5)*R318+(W$5&lt;K$5)*X318+(AC$5&lt;K$5)*AD318+(AI$5&lt;K$5)*AJ318+(AO$5&lt;K$5)*AP318+(AU$5&lt;K$5)*AV318)))</f>
        <v/>
      </c>
      <c r="N318">
        <f>IF(L318-M318&lt;0.005,0,L318-M318)</f>
        <v/>
      </c>
      <c r="O318">
        <f>T317</f>
        <v/>
      </c>
      <c r="P318">
        <f>O318*Plan!D8/100/12</f>
        <v/>
      </c>
      <c r="Q318">
        <f>MIN(Plan!E8,O318+P318)</f>
        <v/>
      </c>
      <c r="R318">
        <f>O318+P318-Q318</f>
        <v/>
      </c>
      <c r="S318">
        <f>MIN(R318,MAX(0,$B318-((E$5&lt;Q$5)*F318+(K$5&lt;Q$5)*L318+(W$5&lt;Q$5)*X318+(AC$5&lt;Q$5)*AD318+(AI$5&lt;Q$5)*AJ318+(AO$5&lt;Q$5)*AP318+(AU$5&lt;Q$5)*AV318)))</f>
        <v/>
      </c>
      <c r="T318">
        <f>IF(R318-S318&lt;0.005,0,R318-S318)</f>
        <v/>
      </c>
      <c r="U318">
        <f>Z317</f>
        <v/>
      </c>
      <c r="V318">
        <f>U318*Plan!D9/100/12</f>
        <v/>
      </c>
      <c r="W318">
        <f>MIN(Plan!E9,U318+V318)</f>
        <v/>
      </c>
      <c r="X318">
        <f>U318+V318-W318</f>
        <v/>
      </c>
      <c r="Y318">
        <f>MIN(X318,MAX(0,$B318-((E$5&lt;W$5)*F318+(K$5&lt;W$5)*L318+(Q$5&lt;W$5)*R318+(AC$5&lt;W$5)*AD318+(AI$5&lt;W$5)*AJ318+(AO$5&lt;W$5)*AP318+(AU$5&lt;W$5)*AV318)))</f>
        <v/>
      </c>
      <c r="Z318">
        <f>IF(X318-Y318&lt;0.005,0,X318-Y318)</f>
        <v/>
      </c>
      <c r="AA318">
        <f>AF317</f>
        <v/>
      </c>
      <c r="AB318">
        <f>AA318*Plan!D10/100/12</f>
        <v/>
      </c>
      <c r="AC318">
        <f>MIN(Plan!E10,AA318+AB318)</f>
        <v/>
      </c>
      <c r="AD318">
        <f>AA318+AB318-AC318</f>
        <v/>
      </c>
      <c r="AE318">
        <f>MIN(AD318,MAX(0,$B318-((E$5&lt;AC$5)*F318+(K$5&lt;AC$5)*L318+(Q$5&lt;AC$5)*R318+(W$5&lt;AC$5)*X318+(AI$5&lt;AC$5)*AJ318+(AO$5&lt;AC$5)*AP318+(AU$5&lt;AC$5)*AV318)))</f>
        <v/>
      </c>
      <c r="AF318">
        <f>IF(AD318-AE318&lt;0.005,0,AD318-AE318)</f>
        <v/>
      </c>
      <c r="AG318">
        <f>AL317</f>
        <v/>
      </c>
      <c r="AH318">
        <f>AG318*Plan!D11/100/12</f>
        <v/>
      </c>
      <c r="AI318">
        <f>MIN(Plan!E11,AG318+AH318)</f>
        <v/>
      </c>
      <c r="AJ318">
        <f>AG318+AH318-AI318</f>
        <v/>
      </c>
      <c r="AK318">
        <f>MIN(AJ318,MAX(0,$B318-((E$5&lt;AI$5)*F318+(K$5&lt;AI$5)*L318+(Q$5&lt;AI$5)*R318+(W$5&lt;AI$5)*X318+(AC$5&lt;AI$5)*AD318+(AO$5&lt;AI$5)*AP318+(AU$5&lt;AI$5)*AV318)))</f>
        <v/>
      </c>
      <c r="AL318">
        <f>IF(AJ318-AK318&lt;0.005,0,AJ318-AK318)</f>
        <v/>
      </c>
      <c r="AM318">
        <f>AR317</f>
        <v/>
      </c>
      <c r="AN318">
        <f>AM318*Plan!D12/100/12</f>
        <v/>
      </c>
      <c r="AO318">
        <f>MIN(Plan!E12,AM318+AN318)</f>
        <v/>
      </c>
      <c r="AP318">
        <f>AM318+AN318-AO318</f>
        <v/>
      </c>
      <c r="AQ318">
        <f>MIN(AP318,MAX(0,$B318-((E$5&lt;AO$5)*F318+(K$5&lt;AO$5)*L318+(Q$5&lt;AO$5)*R318+(W$5&lt;AO$5)*X318+(AC$5&lt;AO$5)*AD318+(AI$5&lt;AO$5)*AJ318+(AU$5&lt;AO$5)*AV318)))</f>
        <v/>
      </c>
      <c r="AR318">
        <f>IF(AP318-AQ318&lt;0.005,0,AP318-AQ318)</f>
        <v/>
      </c>
      <c r="AS318">
        <f>AX317</f>
        <v/>
      </c>
      <c r="AT318">
        <f>AS318*Plan!D13/100/12</f>
        <v/>
      </c>
      <c r="AU318">
        <f>MIN(Plan!E13,AS318+AT318)</f>
        <v/>
      </c>
      <c r="AV318">
        <f>AS318+AT318-AU318</f>
        <v/>
      </c>
      <c r="AW318">
        <f>MIN(AV318,MAX(0,$B318-((E$5&lt;AU$5)*F318+(K$5&lt;AU$5)*L318+(Q$5&lt;AU$5)*R318+(W$5&lt;AU$5)*X318+(AC$5&lt;AU$5)*AD318+(AI$5&lt;AU$5)*AJ318+(AO$5&lt;AU$5)*AP318)))</f>
        <v/>
      </c>
      <c r="AX318">
        <f>IF(AV318-AW318&lt;0.005,0,AV318-AW318)</f>
        <v/>
      </c>
      <c r="BC318">
        <f>H318+N318+T318+Z318+AF318+AL318+AR318+AX318</f>
        <v/>
      </c>
    </row>
    <row r="319">
      <c r="A319" t="n">
        <v>313</v>
      </c>
      <c r="B319" s="19">
        <f>MAX(0,$B$3-(E319+K319+Q319+W319+AC319+AI319+AO319+AU319))</f>
        <v/>
      </c>
      <c r="C319">
        <f>H318</f>
        <v/>
      </c>
      <c r="D319">
        <f>C319*Plan!D6/100/12</f>
        <v/>
      </c>
      <c r="E319">
        <f>MIN(Plan!E6,C319+D319)</f>
        <v/>
      </c>
      <c r="F319">
        <f>C319+D319-E319</f>
        <v/>
      </c>
      <c r="G319">
        <f>MIN(F319,MAX(0,$B319-((K$5&lt;E$5)*L319+(Q$5&lt;E$5)*R319+(W$5&lt;E$5)*X319+(AC$5&lt;E$5)*AD319+(AI$5&lt;E$5)*AJ319+(AO$5&lt;E$5)*AP319+(AU$5&lt;E$5)*AV319)))</f>
        <v/>
      </c>
      <c r="H319">
        <f>IF(F319-G319&lt;0.005,0,F319-G319)</f>
        <v/>
      </c>
      <c r="I319">
        <f>N318</f>
        <v/>
      </c>
      <c r="J319">
        <f>I319*Plan!D7/100/12</f>
        <v/>
      </c>
      <c r="K319">
        <f>MIN(Plan!E7,I319+J319)</f>
        <v/>
      </c>
      <c r="L319">
        <f>I319+J319-K319</f>
        <v/>
      </c>
      <c r="M319">
        <f>MIN(L319,MAX(0,$B319-((E$5&lt;K$5)*F319+(Q$5&lt;K$5)*R319+(W$5&lt;K$5)*X319+(AC$5&lt;K$5)*AD319+(AI$5&lt;K$5)*AJ319+(AO$5&lt;K$5)*AP319+(AU$5&lt;K$5)*AV319)))</f>
        <v/>
      </c>
      <c r="N319">
        <f>IF(L319-M319&lt;0.005,0,L319-M319)</f>
        <v/>
      </c>
      <c r="O319">
        <f>T318</f>
        <v/>
      </c>
      <c r="P319">
        <f>O319*Plan!D8/100/12</f>
        <v/>
      </c>
      <c r="Q319">
        <f>MIN(Plan!E8,O319+P319)</f>
        <v/>
      </c>
      <c r="R319">
        <f>O319+P319-Q319</f>
        <v/>
      </c>
      <c r="S319">
        <f>MIN(R319,MAX(0,$B319-((E$5&lt;Q$5)*F319+(K$5&lt;Q$5)*L319+(W$5&lt;Q$5)*X319+(AC$5&lt;Q$5)*AD319+(AI$5&lt;Q$5)*AJ319+(AO$5&lt;Q$5)*AP319+(AU$5&lt;Q$5)*AV319)))</f>
        <v/>
      </c>
      <c r="T319">
        <f>IF(R319-S319&lt;0.005,0,R319-S319)</f>
        <v/>
      </c>
      <c r="U319">
        <f>Z318</f>
        <v/>
      </c>
      <c r="V319">
        <f>U319*Plan!D9/100/12</f>
        <v/>
      </c>
      <c r="W319">
        <f>MIN(Plan!E9,U319+V319)</f>
        <v/>
      </c>
      <c r="X319">
        <f>U319+V319-W319</f>
        <v/>
      </c>
      <c r="Y319">
        <f>MIN(X319,MAX(0,$B319-((E$5&lt;W$5)*F319+(K$5&lt;W$5)*L319+(Q$5&lt;W$5)*R319+(AC$5&lt;W$5)*AD319+(AI$5&lt;W$5)*AJ319+(AO$5&lt;W$5)*AP319+(AU$5&lt;W$5)*AV319)))</f>
        <v/>
      </c>
      <c r="Z319">
        <f>IF(X319-Y319&lt;0.005,0,X319-Y319)</f>
        <v/>
      </c>
      <c r="AA319">
        <f>AF318</f>
        <v/>
      </c>
      <c r="AB319">
        <f>AA319*Plan!D10/100/12</f>
        <v/>
      </c>
      <c r="AC319">
        <f>MIN(Plan!E10,AA319+AB319)</f>
        <v/>
      </c>
      <c r="AD319">
        <f>AA319+AB319-AC319</f>
        <v/>
      </c>
      <c r="AE319">
        <f>MIN(AD319,MAX(0,$B319-((E$5&lt;AC$5)*F319+(K$5&lt;AC$5)*L319+(Q$5&lt;AC$5)*R319+(W$5&lt;AC$5)*X319+(AI$5&lt;AC$5)*AJ319+(AO$5&lt;AC$5)*AP319+(AU$5&lt;AC$5)*AV319)))</f>
        <v/>
      </c>
      <c r="AF319">
        <f>IF(AD319-AE319&lt;0.005,0,AD319-AE319)</f>
        <v/>
      </c>
      <c r="AG319">
        <f>AL318</f>
        <v/>
      </c>
      <c r="AH319">
        <f>AG319*Plan!D11/100/12</f>
        <v/>
      </c>
      <c r="AI319">
        <f>MIN(Plan!E11,AG319+AH319)</f>
        <v/>
      </c>
      <c r="AJ319">
        <f>AG319+AH319-AI319</f>
        <v/>
      </c>
      <c r="AK319">
        <f>MIN(AJ319,MAX(0,$B319-((E$5&lt;AI$5)*F319+(K$5&lt;AI$5)*L319+(Q$5&lt;AI$5)*R319+(W$5&lt;AI$5)*X319+(AC$5&lt;AI$5)*AD319+(AO$5&lt;AI$5)*AP319+(AU$5&lt;AI$5)*AV319)))</f>
        <v/>
      </c>
      <c r="AL319">
        <f>IF(AJ319-AK319&lt;0.005,0,AJ319-AK319)</f>
        <v/>
      </c>
      <c r="AM319">
        <f>AR318</f>
        <v/>
      </c>
      <c r="AN319">
        <f>AM319*Plan!D12/100/12</f>
        <v/>
      </c>
      <c r="AO319">
        <f>MIN(Plan!E12,AM319+AN319)</f>
        <v/>
      </c>
      <c r="AP319">
        <f>AM319+AN319-AO319</f>
        <v/>
      </c>
      <c r="AQ319">
        <f>MIN(AP319,MAX(0,$B319-((E$5&lt;AO$5)*F319+(K$5&lt;AO$5)*L319+(Q$5&lt;AO$5)*R319+(W$5&lt;AO$5)*X319+(AC$5&lt;AO$5)*AD319+(AI$5&lt;AO$5)*AJ319+(AU$5&lt;AO$5)*AV319)))</f>
        <v/>
      </c>
      <c r="AR319">
        <f>IF(AP319-AQ319&lt;0.005,0,AP319-AQ319)</f>
        <v/>
      </c>
      <c r="AS319">
        <f>AX318</f>
        <v/>
      </c>
      <c r="AT319">
        <f>AS319*Plan!D13/100/12</f>
        <v/>
      </c>
      <c r="AU319">
        <f>MIN(Plan!E13,AS319+AT319)</f>
        <v/>
      </c>
      <c r="AV319">
        <f>AS319+AT319-AU319</f>
        <v/>
      </c>
      <c r="AW319">
        <f>MIN(AV319,MAX(0,$B319-((E$5&lt;AU$5)*F319+(K$5&lt;AU$5)*L319+(Q$5&lt;AU$5)*R319+(W$5&lt;AU$5)*X319+(AC$5&lt;AU$5)*AD319+(AI$5&lt;AU$5)*AJ319+(AO$5&lt;AU$5)*AP319)))</f>
        <v/>
      </c>
      <c r="AX319">
        <f>IF(AV319-AW319&lt;0.005,0,AV319-AW319)</f>
        <v/>
      </c>
      <c r="BC319">
        <f>H319+N319+T319+Z319+AF319+AL319+AR319+AX319</f>
        <v/>
      </c>
    </row>
    <row r="320">
      <c r="A320" t="n">
        <v>314</v>
      </c>
      <c r="B320" s="19">
        <f>MAX(0,$B$3-(E320+K320+Q320+W320+AC320+AI320+AO320+AU320))</f>
        <v/>
      </c>
      <c r="C320">
        <f>H319</f>
        <v/>
      </c>
      <c r="D320">
        <f>C320*Plan!D6/100/12</f>
        <v/>
      </c>
      <c r="E320">
        <f>MIN(Plan!E6,C320+D320)</f>
        <v/>
      </c>
      <c r="F320">
        <f>C320+D320-E320</f>
        <v/>
      </c>
      <c r="G320">
        <f>MIN(F320,MAX(0,$B320-((K$5&lt;E$5)*L320+(Q$5&lt;E$5)*R320+(W$5&lt;E$5)*X320+(AC$5&lt;E$5)*AD320+(AI$5&lt;E$5)*AJ320+(AO$5&lt;E$5)*AP320+(AU$5&lt;E$5)*AV320)))</f>
        <v/>
      </c>
      <c r="H320">
        <f>IF(F320-G320&lt;0.005,0,F320-G320)</f>
        <v/>
      </c>
      <c r="I320">
        <f>N319</f>
        <v/>
      </c>
      <c r="J320">
        <f>I320*Plan!D7/100/12</f>
        <v/>
      </c>
      <c r="K320">
        <f>MIN(Plan!E7,I320+J320)</f>
        <v/>
      </c>
      <c r="L320">
        <f>I320+J320-K320</f>
        <v/>
      </c>
      <c r="M320">
        <f>MIN(L320,MAX(0,$B320-((E$5&lt;K$5)*F320+(Q$5&lt;K$5)*R320+(W$5&lt;K$5)*X320+(AC$5&lt;K$5)*AD320+(AI$5&lt;K$5)*AJ320+(AO$5&lt;K$5)*AP320+(AU$5&lt;K$5)*AV320)))</f>
        <v/>
      </c>
      <c r="N320">
        <f>IF(L320-M320&lt;0.005,0,L320-M320)</f>
        <v/>
      </c>
      <c r="O320">
        <f>T319</f>
        <v/>
      </c>
      <c r="P320">
        <f>O320*Plan!D8/100/12</f>
        <v/>
      </c>
      <c r="Q320">
        <f>MIN(Plan!E8,O320+P320)</f>
        <v/>
      </c>
      <c r="R320">
        <f>O320+P320-Q320</f>
        <v/>
      </c>
      <c r="S320">
        <f>MIN(R320,MAX(0,$B320-((E$5&lt;Q$5)*F320+(K$5&lt;Q$5)*L320+(W$5&lt;Q$5)*X320+(AC$5&lt;Q$5)*AD320+(AI$5&lt;Q$5)*AJ320+(AO$5&lt;Q$5)*AP320+(AU$5&lt;Q$5)*AV320)))</f>
        <v/>
      </c>
      <c r="T320">
        <f>IF(R320-S320&lt;0.005,0,R320-S320)</f>
        <v/>
      </c>
      <c r="U320">
        <f>Z319</f>
        <v/>
      </c>
      <c r="V320">
        <f>U320*Plan!D9/100/12</f>
        <v/>
      </c>
      <c r="W320">
        <f>MIN(Plan!E9,U320+V320)</f>
        <v/>
      </c>
      <c r="X320">
        <f>U320+V320-W320</f>
        <v/>
      </c>
      <c r="Y320">
        <f>MIN(X320,MAX(0,$B320-((E$5&lt;W$5)*F320+(K$5&lt;W$5)*L320+(Q$5&lt;W$5)*R320+(AC$5&lt;W$5)*AD320+(AI$5&lt;W$5)*AJ320+(AO$5&lt;W$5)*AP320+(AU$5&lt;W$5)*AV320)))</f>
        <v/>
      </c>
      <c r="Z320">
        <f>IF(X320-Y320&lt;0.005,0,X320-Y320)</f>
        <v/>
      </c>
      <c r="AA320">
        <f>AF319</f>
        <v/>
      </c>
      <c r="AB320">
        <f>AA320*Plan!D10/100/12</f>
        <v/>
      </c>
      <c r="AC320">
        <f>MIN(Plan!E10,AA320+AB320)</f>
        <v/>
      </c>
      <c r="AD320">
        <f>AA320+AB320-AC320</f>
        <v/>
      </c>
      <c r="AE320">
        <f>MIN(AD320,MAX(0,$B320-((E$5&lt;AC$5)*F320+(K$5&lt;AC$5)*L320+(Q$5&lt;AC$5)*R320+(W$5&lt;AC$5)*X320+(AI$5&lt;AC$5)*AJ320+(AO$5&lt;AC$5)*AP320+(AU$5&lt;AC$5)*AV320)))</f>
        <v/>
      </c>
      <c r="AF320">
        <f>IF(AD320-AE320&lt;0.005,0,AD320-AE320)</f>
        <v/>
      </c>
      <c r="AG320">
        <f>AL319</f>
        <v/>
      </c>
      <c r="AH320">
        <f>AG320*Plan!D11/100/12</f>
        <v/>
      </c>
      <c r="AI320">
        <f>MIN(Plan!E11,AG320+AH320)</f>
        <v/>
      </c>
      <c r="AJ320">
        <f>AG320+AH320-AI320</f>
        <v/>
      </c>
      <c r="AK320">
        <f>MIN(AJ320,MAX(0,$B320-((E$5&lt;AI$5)*F320+(K$5&lt;AI$5)*L320+(Q$5&lt;AI$5)*R320+(W$5&lt;AI$5)*X320+(AC$5&lt;AI$5)*AD320+(AO$5&lt;AI$5)*AP320+(AU$5&lt;AI$5)*AV320)))</f>
        <v/>
      </c>
      <c r="AL320">
        <f>IF(AJ320-AK320&lt;0.005,0,AJ320-AK320)</f>
        <v/>
      </c>
      <c r="AM320">
        <f>AR319</f>
        <v/>
      </c>
      <c r="AN320">
        <f>AM320*Plan!D12/100/12</f>
        <v/>
      </c>
      <c r="AO320">
        <f>MIN(Plan!E12,AM320+AN320)</f>
        <v/>
      </c>
      <c r="AP320">
        <f>AM320+AN320-AO320</f>
        <v/>
      </c>
      <c r="AQ320">
        <f>MIN(AP320,MAX(0,$B320-((E$5&lt;AO$5)*F320+(K$5&lt;AO$5)*L320+(Q$5&lt;AO$5)*R320+(W$5&lt;AO$5)*X320+(AC$5&lt;AO$5)*AD320+(AI$5&lt;AO$5)*AJ320+(AU$5&lt;AO$5)*AV320)))</f>
        <v/>
      </c>
      <c r="AR320">
        <f>IF(AP320-AQ320&lt;0.005,0,AP320-AQ320)</f>
        <v/>
      </c>
      <c r="AS320">
        <f>AX319</f>
        <v/>
      </c>
      <c r="AT320">
        <f>AS320*Plan!D13/100/12</f>
        <v/>
      </c>
      <c r="AU320">
        <f>MIN(Plan!E13,AS320+AT320)</f>
        <v/>
      </c>
      <c r="AV320">
        <f>AS320+AT320-AU320</f>
        <v/>
      </c>
      <c r="AW320">
        <f>MIN(AV320,MAX(0,$B320-((E$5&lt;AU$5)*F320+(K$5&lt;AU$5)*L320+(Q$5&lt;AU$5)*R320+(W$5&lt;AU$5)*X320+(AC$5&lt;AU$5)*AD320+(AI$5&lt;AU$5)*AJ320+(AO$5&lt;AU$5)*AP320)))</f>
        <v/>
      </c>
      <c r="AX320">
        <f>IF(AV320-AW320&lt;0.005,0,AV320-AW320)</f>
        <v/>
      </c>
      <c r="BC320">
        <f>H320+N320+T320+Z320+AF320+AL320+AR320+AX320</f>
        <v/>
      </c>
    </row>
    <row r="321">
      <c r="A321" t="n">
        <v>315</v>
      </c>
      <c r="B321" s="19">
        <f>MAX(0,$B$3-(E321+K321+Q321+W321+AC321+AI321+AO321+AU321))</f>
        <v/>
      </c>
      <c r="C321">
        <f>H320</f>
        <v/>
      </c>
      <c r="D321">
        <f>C321*Plan!D6/100/12</f>
        <v/>
      </c>
      <c r="E321">
        <f>MIN(Plan!E6,C321+D321)</f>
        <v/>
      </c>
      <c r="F321">
        <f>C321+D321-E321</f>
        <v/>
      </c>
      <c r="G321">
        <f>MIN(F321,MAX(0,$B321-((K$5&lt;E$5)*L321+(Q$5&lt;E$5)*R321+(W$5&lt;E$5)*X321+(AC$5&lt;E$5)*AD321+(AI$5&lt;E$5)*AJ321+(AO$5&lt;E$5)*AP321+(AU$5&lt;E$5)*AV321)))</f>
        <v/>
      </c>
      <c r="H321">
        <f>IF(F321-G321&lt;0.005,0,F321-G321)</f>
        <v/>
      </c>
      <c r="I321">
        <f>N320</f>
        <v/>
      </c>
      <c r="J321">
        <f>I321*Plan!D7/100/12</f>
        <v/>
      </c>
      <c r="K321">
        <f>MIN(Plan!E7,I321+J321)</f>
        <v/>
      </c>
      <c r="L321">
        <f>I321+J321-K321</f>
        <v/>
      </c>
      <c r="M321">
        <f>MIN(L321,MAX(0,$B321-((E$5&lt;K$5)*F321+(Q$5&lt;K$5)*R321+(W$5&lt;K$5)*X321+(AC$5&lt;K$5)*AD321+(AI$5&lt;K$5)*AJ321+(AO$5&lt;K$5)*AP321+(AU$5&lt;K$5)*AV321)))</f>
        <v/>
      </c>
      <c r="N321">
        <f>IF(L321-M321&lt;0.005,0,L321-M321)</f>
        <v/>
      </c>
      <c r="O321">
        <f>T320</f>
        <v/>
      </c>
      <c r="P321">
        <f>O321*Plan!D8/100/12</f>
        <v/>
      </c>
      <c r="Q321">
        <f>MIN(Plan!E8,O321+P321)</f>
        <v/>
      </c>
      <c r="R321">
        <f>O321+P321-Q321</f>
        <v/>
      </c>
      <c r="S321">
        <f>MIN(R321,MAX(0,$B321-((E$5&lt;Q$5)*F321+(K$5&lt;Q$5)*L321+(W$5&lt;Q$5)*X321+(AC$5&lt;Q$5)*AD321+(AI$5&lt;Q$5)*AJ321+(AO$5&lt;Q$5)*AP321+(AU$5&lt;Q$5)*AV321)))</f>
        <v/>
      </c>
      <c r="T321">
        <f>IF(R321-S321&lt;0.005,0,R321-S321)</f>
        <v/>
      </c>
      <c r="U321">
        <f>Z320</f>
        <v/>
      </c>
      <c r="V321">
        <f>U321*Plan!D9/100/12</f>
        <v/>
      </c>
      <c r="W321">
        <f>MIN(Plan!E9,U321+V321)</f>
        <v/>
      </c>
      <c r="X321">
        <f>U321+V321-W321</f>
        <v/>
      </c>
      <c r="Y321">
        <f>MIN(X321,MAX(0,$B321-((E$5&lt;W$5)*F321+(K$5&lt;W$5)*L321+(Q$5&lt;W$5)*R321+(AC$5&lt;W$5)*AD321+(AI$5&lt;W$5)*AJ321+(AO$5&lt;W$5)*AP321+(AU$5&lt;W$5)*AV321)))</f>
        <v/>
      </c>
      <c r="Z321">
        <f>IF(X321-Y321&lt;0.005,0,X321-Y321)</f>
        <v/>
      </c>
      <c r="AA321">
        <f>AF320</f>
        <v/>
      </c>
      <c r="AB321">
        <f>AA321*Plan!D10/100/12</f>
        <v/>
      </c>
      <c r="AC321">
        <f>MIN(Plan!E10,AA321+AB321)</f>
        <v/>
      </c>
      <c r="AD321">
        <f>AA321+AB321-AC321</f>
        <v/>
      </c>
      <c r="AE321">
        <f>MIN(AD321,MAX(0,$B321-((E$5&lt;AC$5)*F321+(K$5&lt;AC$5)*L321+(Q$5&lt;AC$5)*R321+(W$5&lt;AC$5)*X321+(AI$5&lt;AC$5)*AJ321+(AO$5&lt;AC$5)*AP321+(AU$5&lt;AC$5)*AV321)))</f>
        <v/>
      </c>
      <c r="AF321">
        <f>IF(AD321-AE321&lt;0.005,0,AD321-AE321)</f>
        <v/>
      </c>
      <c r="AG321">
        <f>AL320</f>
        <v/>
      </c>
      <c r="AH321">
        <f>AG321*Plan!D11/100/12</f>
        <v/>
      </c>
      <c r="AI321">
        <f>MIN(Plan!E11,AG321+AH321)</f>
        <v/>
      </c>
      <c r="AJ321">
        <f>AG321+AH321-AI321</f>
        <v/>
      </c>
      <c r="AK321">
        <f>MIN(AJ321,MAX(0,$B321-((E$5&lt;AI$5)*F321+(K$5&lt;AI$5)*L321+(Q$5&lt;AI$5)*R321+(W$5&lt;AI$5)*X321+(AC$5&lt;AI$5)*AD321+(AO$5&lt;AI$5)*AP321+(AU$5&lt;AI$5)*AV321)))</f>
        <v/>
      </c>
      <c r="AL321">
        <f>IF(AJ321-AK321&lt;0.005,0,AJ321-AK321)</f>
        <v/>
      </c>
      <c r="AM321">
        <f>AR320</f>
        <v/>
      </c>
      <c r="AN321">
        <f>AM321*Plan!D12/100/12</f>
        <v/>
      </c>
      <c r="AO321">
        <f>MIN(Plan!E12,AM321+AN321)</f>
        <v/>
      </c>
      <c r="AP321">
        <f>AM321+AN321-AO321</f>
        <v/>
      </c>
      <c r="AQ321">
        <f>MIN(AP321,MAX(0,$B321-((E$5&lt;AO$5)*F321+(K$5&lt;AO$5)*L321+(Q$5&lt;AO$5)*R321+(W$5&lt;AO$5)*X321+(AC$5&lt;AO$5)*AD321+(AI$5&lt;AO$5)*AJ321+(AU$5&lt;AO$5)*AV321)))</f>
        <v/>
      </c>
      <c r="AR321">
        <f>IF(AP321-AQ321&lt;0.005,0,AP321-AQ321)</f>
        <v/>
      </c>
      <c r="AS321">
        <f>AX320</f>
        <v/>
      </c>
      <c r="AT321">
        <f>AS321*Plan!D13/100/12</f>
        <v/>
      </c>
      <c r="AU321">
        <f>MIN(Plan!E13,AS321+AT321)</f>
        <v/>
      </c>
      <c r="AV321">
        <f>AS321+AT321-AU321</f>
        <v/>
      </c>
      <c r="AW321">
        <f>MIN(AV321,MAX(0,$B321-((E$5&lt;AU$5)*F321+(K$5&lt;AU$5)*L321+(Q$5&lt;AU$5)*R321+(W$5&lt;AU$5)*X321+(AC$5&lt;AU$5)*AD321+(AI$5&lt;AU$5)*AJ321+(AO$5&lt;AU$5)*AP321)))</f>
        <v/>
      </c>
      <c r="AX321">
        <f>IF(AV321-AW321&lt;0.005,0,AV321-AW321)</f>
        <v/>
      </c>
      <c r="BC321">
        <f>H321+N321+T321+Z321+AF321+AL321+AR321+AX321</f>
        <v/>
      </c>
    </row>
    <row r="322">
      <c r="A322" t="n">
        <v>316</v>
      </c>
      <c r="B322" s="19">
        <f>MAX(0,$B$3-(E322+K322+Q322+W322+AC322+AI322+AO322+AU322))</f>
        <v/>
      </c>
      <c r="C322">
        <f>H321</f>
        <v/>
      </c>
      <c r="D322">
        <f>C322*Plan!D6/100/12</f>
        <v/>
      </c>
      <c r="E322">
        <f>MIN(Plan!E6,C322+D322)</f>
        <v/>
      </c>
      <c r="F322">
        <f>C322+D322-E322</f>
        <v/>
      </c>
      <c r="G322">
        <f>MIN(F322,MAX(0,$B322-((K$5&lt;E$5)*L322+(Q$5&lt;E$5)*R322+(W$5&lt;E$5)*X322+(AC$5&lt;E$5)*AD322+(AI$5&lt;E$5)*AJ322+(AO$5&lt;E$5)*AP322+(AU$5&lt;E$5)*AV322)))</f>
        <v/>
      </c>
      <c r="H322">
        <f>IF(F322-G322&lt;0.005,0,F322-G322)</f>
        <v/>
      </c>
      <c r="I322">
        <f>N321</f>
        <v/>
      </c>
      <c r="J322">
        <f>I322*Plan!D7/100/12</f>
        <v/>
      </c>
      <c r="K322">
        <f>MIN(Plan!E7,I322+J322)</f>
        <v/>
      </c>
      <c r="L322">
        <f>I322+J322-K322</f>
        <v/>
      </c>
      <c r="M322">
        <f>MIN(L322,MAX(0,$B322-((E$5&lt;K$5)*F322+(Q$5&lt;K$5)*R322+(W$5&lt;K$5)*X322+(AC$5&lt;K$5)*AD322+(AI$5&lt;K$5)*AJ322+(AO$5&lt;K$5)*AP322+(AU$5&lt;K$5)*AV322)))</f>
        <v/>
      </c>
      <c r="N322">
        <f>IF(L322-M322&lt;0.005,0,L322-M322)</f>
        <v/>
      </c>
      <c r="O322">
        <f>T321</f>
        <v/>
      </c>
      <c r="P322">
        <f>O322*Plan!D8/100/12</f>
        <v/>
      </c>
      <c r="Q322">
        <f>MIN(Plan!E8,O322+P322)</f>
        <v/>
      </c>
      <c r="R322">
        <f>O322+P322-Q322</f>
        <v/>
      </c>
      <c r="S322">
        <f>MIN(R322,MAX(0,$B322-((E$5&lt;Q$5)*F322+(K$5&lt;Q$5)*L322+(W$5&lt;Q$5)*X322+(AC$5&lt;Q$5)*AD322+(AI$5&lt;Q$5)*AJ322+(AO$5&lt;Q$5)*AP322+(AU$5&lt;Q$5)*AV322)))</f>
        <v/>
      </c>
      <c r="T322">
        <f>IF(R322-S322&lt;0.005,0,R322-S322)</f>
        <v/>
      </c>
      <c r="U322">
        <f>Z321</f>
        <v/>
      </c>
      <c r="V322">
        <f>U322*Plan!D9/100/12</f>
        <v/>
      </c>
      <c r="W322">
        <f>MIN(Plan!E9,U322+V322)</f>
        <v/>
      </c>
      <c r="X322">
        <f>U322+V322-W322</f>
        <v/>
      </c>
      <c r="Y322">
        <f>MIN(X322,MAX(0,$B322-((E$5&lt;W$5)*F322+(K$5&lt;W$5)*L322+(Q$5&lt;W$5)*R322+(AC$5&lt;W$5)*AD322+(AI$5&lt;W$5)*AJ322+(AO$5&lt;W$5)*AP322+(AU$5&lt;W$5)*AV322)))</f>
        <v/>
      </c>
      <c r="Z322">
        <f>IF(X322-Y322&lt;0.005,0,X322-Y322)</f>
        <v/>
      </c>
      <c r="AA322">
        <f>AF321</f>
        <v/>
      </c>
      <c r="AB322">
        <f>AA322*Plan!D10/100/12</f>
        <v/>
      </c>
      <c r="AC322">
        <f>MIN(Plan!E10,AA322+AB322)</f>
        <v/>
      </c>
      <c r="AD322">
        <f>AA322+AB322-AC322</f>
        <v/>
      </c>
      <c r="AE322">
        <f>MIN(AD322,MAX(0,$B322-((E$5&lt;AC$5)*F322+(K$5&lt;AC$5)*L322+(Q$5&lt;AC$5)*R322+(W$5&lt;AC$5)*X322+(AI$5&lt;AC$5)*AJ322+(AO$5&lt;AC$5)*AP322+(AU$5&lt;AC$5)*AV322)))</f>
        <v/>
      </c>
      <c r="AF322">
        <f>IF(AD322-AE322&lt;0.005,0,AD322-AE322)</f>
        <v/>
      </c>
      <c r="AG322">
        <f>AL321</f>
        <v/>
      </c>
      <c r="AH322">
        <f>AG322*Plan!D11/100/12</f>
        <v/>
      </c>
      <c r="AI322">
        <f>MIN(Plan!E11,AG322+AH322)</f>
        <v/>
      </c>
      <c r="AJ322">
        <f>AG322+AH322-AI322</f>
        <v/>
      </c>
      <c r="AK322">
        <f>MIN(AJ322,MAX(0,$B322-((E$5&lt;AI$5)*F322+(K$5&lt;AI$5)*L322+(Q$5&lt;AI$5)*R322+(W$5&lt;AI$5)*X322+(AC$5&lt;AI$5)*AD322+(AO$5&lt;AI$5)*AP322+(AU$5&lt;AI$5)*AV322)))</f>
        <v/>
      </c>
      <c r="AL322">
        <f>IF(AJ322-AK322&lt;0.005,0,AJ322-AK322)</f>
        <v/>
      </c>
      <c r="AM322">
        <f>AR321</f>
        <v/>
      </c>
      <c r="AN322">
        <f>AM322*Plan!D12/100/12</f>
        <v/>
      </c>
      <c r="AO322">
        <f>MIN(Plan!E12,AM322+AN322)</f>
        <v/>
      </c>
      <c r="AP322">
        <f>AM322+AN322-AO322</f>
        <v/>
      </c>
      <c r="AQ322">
        <f>MIN(AP322,MAX(0,$B322-((E$5&lt;AO$5)*F322+(K$5&lt;AO$5)*L322+(Q$5&lt;AO$5)*R322+(W$5&lt;AO$5)*X322+(AC$5&lt;AO$5)*AD322+(AI$5&lt;AO$5)*AJ322+(AU$5&lt;AO$5)*AV322)))</f>
        <v/>
      </c>
      <c r="AR322">
        <f>IF(AP322-AQ322&lt;0.005,0,AP322-AQ322)</f>
        <v/>
      </c>
      <c r="AS322">
        <f>AX321</f>
        <v/>
      </c>
      <c r="AT322">
        <f>AS322*Plan!D13/100/12</f>
        <v/>
      </c>
      <c r="AU322">
        <f>MIN(Plan!E13,AS322+AT322)</f>
        <v/>
      </c>
      <c r="AV322">
        <f>AS322+AT322-AU322</f>
        <v/>
      </c>
      <c r="AW322">
        <f>MIN(AV322,MAX(0,$B322-((E$5&lt;AU$5)*F322+(K$5&lt;AU$5)*L322+(Q$5&lt;AU$5)*R322+(W$5&lt;AU$5)*X322+(AC$5&lt;AU$5)*AD322+(AI$5&lt;AU$5)*AJ322+(AO$5&lt;AU$5)*AP322)))</f>
        <v/>
      </c>
      <c r="AX322">
        <f>IF(AV322-AW322&lt;0.005,0,AV322-AW322)</f>
        <v/>
      </c>
      <c r="BC322">
        <f>H322+N322+T322+Z322+AF322+AL322+AR322+AX322</f>
        <v/>
      </c>
    </row>
    <row r="323">
      <c r="A323" t="n">
        <v>317</v>
      </c>
      <c r="B323" s="19">
        <f>MAX(0,$B$3-(E323+K323+Q323+W323+AC323+AI323+AO323+AU323))</f>
        <v/>
      </c>
      <c r="C323">
        <f>H322</f>
        <v/>
      </c>
      <c r="D323">
        <f>C323*Plan!D6/100/12</f>
        <v/>
      </c>
      <c r="E323">
        <f>MIN(Plan!E6,C323+D323)</f>
        <v/>
      </c>
      <c r="F323">
        <f>C323+D323-E323</f>
        <v/>
      </c>
      <c r="G323">
        <f>MIN(F323,MAX(0,$B323-((K$5&lt;E$5)*L323+(Q$5&lt;E$5)*R323+(W$5&lt;E$5)*X323+(AC$5&lt;E$5)*AD323+(AI$5&lt;E$5)*AJ323+(AO$5&lt;E$5)*AP323+(AU$5&lt;E$5)*AV323)))</f>
        <v/>
      </c>
      <c r="H323">
        <f>IF(F323-G323&lt;0.005,0,F323-G323)</f>
        <v/>
      </c>
      <c r="I323">
        <f>N322</f>
        <v/>
      </c>
      <c r="J323">
        <f>I323*Plan!D7/100/12</f>
        <v/>
      </c>
      <c r="K323">
        <f>MIN(Plan!E7,I323+J323)</f>
        <v/>
      </c>
      <c r="L323">
        <f>I323+J323-K323</f>
        <v/>
      </c>
      <c r="M323">
        <f>MIN(L323,MAX(0,$B323-((E$5&lt;K$5)*F323+(Q$5&lt;K$5)*R323+(W$5&lt;K$5)*X323+(AC$5&lt;K$5)*AD323+(AI$5&lt;K$5)*AJ323+(AO$5&lt;K$5)*AP323+(AU$5&lt;K$5)*AV323)))</f>
        <v/>
      </c>
      <c r="N323">
        <f>IF(L323-M323&lt;0.005,0,L323-M323)</f>
        <v/>
      </c>
      <c r="O323">
        <f>T322</f>
        <v/>
      </c>
      <c r="P323">
        <f>O323*Plan!D8/100/12</f>
        <v/>
      </c>
      <c r="Q323">
        <f>MIN(Plan!E8,O323+P323)</f>
        <v/>
      </c>
      <c r="R323">
        <f>O323+P323-Q323</f>
        <v/>
      </c>
      <c r="S323">
        <f>MIN(R323,MAX(0,$B323-((E$5&lt;Q$5)*F323+(K$5&lt;Q$5)*L323+(W$5&lt;Q$5)*X323+(AC$5&lt;Q$5)*AD323+(AI$5&lt;Q$5)*AJ323+(AO$5&lt;Q$5)*AP323+(AU$5&lt;Q$5)*AV323)))</f>
        <v/>
      </c>
      <c r="T323">
        <f>IF(R323-S323&lt;0.005,0,R323-S323)</f>
        <v/>
      </c>
      <c r="U323">
        <f>Z322</f>
        <v/>
      </c>
      <c r="V323">
        <f>U323*Plan!D9/100/12</f>
        <v/>
      </c>
      <c r="W323">
        <f>MIN(Plan!E9,U323+V323)</f>
        <v/>
      </c>
      <c r="X323">
        <f>U323+V323-W323</f>
        <v/>
      </c>
      <c r="Y323">
        <f>MIN(X323,MAX(0,$B323-((E$5&lt;W$5)*F323+(K$5&lt;W$5)*L323+(Q$5&lt;W$5)*R323+(AC$5&lt;W$5)*AD323+(AI$5&lt;W$5)*AJ323+(AO$5&lt;W$5)*AP323+(AU$5&lt;W$5)*AV323)))</f>
        <v/>
      </c>
      <c r="Z323">
        <f>IF(X323-Y323&lt;0.005,0,X323-Y323)</f>
        <v/>
      </c>
      <c r="AA323">
        <f>AF322</f>
        <v/>
      </c>
      <c r="AB323">
        <f>AA323*Plan!D10/100/12</f>
        <v/>
      </c>
      <c r="AC323">
        <f>MIN(Plan!E10,AA323+AB323)</f>
        <v/>
      </c>
      <c r="AD323">
        <f>AA323+AB323-AC323</f>
        <v/>
      </c>
      <c r="AE323">
        <f>MIN(AD323,MAX(0,$B323-((E$5&lt;AC$5)*F323+(K$5&lt;AC$5)*L323+(Q$5&lt;AC$5)*R323+(W$5&lt;AC$5)*X323+(AI$5&lt;AC$5)*AJ323+(AO$5&lt;AC$5)*AP323+(AU$5&lt;AC$5)*AV323)))</f>
        <v/>
      </c>
      <c r="AF323">
        <f>IF(AD323-AE323&lt;0.005,0,AD323-AE323)</f>
        <v/>
      </c>
      <c r="AG323">
        <f>AL322</f>
        <v/>
      </c>
      <c r="AH323">
        <f>AG323*Plan!D11/100/12</f>
        <v/>
      </c>
      <c r="AI323">
        <f>MIN(Plan!E11,AG323+AH323)</f>
        <v/>
      </c>
      <c r="AJ323">
        <f>AG323+AH323-AI323</f>
        <v/>
      </c>
      <c r="AK323">
        <f>MIN(AJ323,MAX(0,$B323-((E$5&lt;AI$5)*F323+(K$5&lt;AI$5)*L323+(Q$5&lt;AI$5)*R323+(W$5&lt;AI$5)*X323+(AC$5&lt;AI$5)*AD323+(AO$5&lt;AI$5)*AP323+(AU$5&lt;AI$5)*AV323)))</f>
        <v/>
      </c>
      <c r="AL323">
        <f>IF(AJ323-AK323&lt;0.005,0,AJ323-AK323)</f>
        <v/>
      </c>
      <c r="AM323">
        <f>AR322</f>
        <v/>
      </c>
      <c r="AN323">
        <f>AM323*Plan!D12/100/12</f>
        <v/>
      </c>
      <c r="AO323">
        <f>MIN(Plan!E12,AM323+AN323)</f>
        <v/>
      </c>
      <c r="AP323">
        <f>AM323+AN323-AO323</f>
        <v/>
      </c>
      <c r="AQ323">
        <f>MIN(AP323,MAX(0,$B323-((E$5&lt;AO$5)*F323+(K$5&lt;AO$5)*L323+(Q$5&lt;AO$5)*R323+(W$5&lt;AO$5)*X323+(AC$5&lt;AO$5)*AD323+(AI$5&lt;AO$5)*AJ323+(AU$5&lt;AO$5)*AV323)))</f>
        <v/>
      </c>
      <c r="AR323">
        <f>IF(AP323-AQ323&lt;0.005,0,AP323-AQ323)</f>
        <v/>
      </c>
      <c r="AS323">
        <f>AX322</f>
        <v/>
      </c>
      <c r="AT323">
        <f>AS323*Plan!D13/100/12</f>
        <v/>
      </c>
      <c r="AU323">
        <f>MIN(Plan!E13,AS323+AT323)</f>
        <v/>
      </c>
      <c r="AV323">
        <f>AS323+AT323-AU323</f>
        <v/>
      </c>
      <c r="AW323">
        <f>MIN(AV323,MAX(0,$B323-((E$5&lt;AU$5)*F323+(K$5&lt;AU$5)*L323+(Q$5&lt;AU$5)*R323+(W$5&lt;AU$5)*X323+(AC$5&lt;AU$5)*AD323+(AI$5&lt;AU$5)*AJ323+(AO$5&lt;AU$5)*AP323)))</f>
        <v/>
      </c>
      <c r="AX323">
        <f>IF(AV323-AW323&lt;0.005,0,AV323-AW323)</f>
        <v/>
      </c>
      <c r="BC323">
        <f>H323+N323+T323+Z323+AF323+AL323+AR323+AX323</f>
        <v/>
      </c>
    </row>
    <row r="324">
      <c r="A324" t="n">
        <v>318</v>
      </c>
      <c r="B324" s="19">
        <f>MAX(0,$B$3-(E324+K324+Q324+W324+AC324+AI324+AO324+AU324))</f>
        <v/>
      </c>
      <c r="C324">
        <f>H323</f>
        <v/>
      </c>
      <c r="D324">
        <f>C324*Plan!D6/100/12</f>
        <v/>
      </c>
      <c r="E324">
        <f>MIN(Plan!E6,C324+D324)</f>
        <v/>
      </c>
      <c r="F324">
        <f>C324+D324-E324</f>
        <v/>
      </c>
      <c r="G324">
        <f>MIN(F324,MAX(0,$B324-((K$5&lt;E$5)*L324+(Q$5&lt;E$5)*R324+(W$5&lt;E$5)*X324+(AC$5&lt;E$5)*AD324+(AI$5&lt;E$5)*AJ324+(AO$5&lt;E$5)*AP324+(AU$5&lt;E$5)*AV324)))</f>
        <v/>
      </c>
      <c r="H324">
        <f>IF(F324-G324&lt;0.005,0,F324-G324)</f>
        <v/>
      </c>
      <c r="I324">
        <f>N323</f>
        <v/>
      </c>
      <c r="J324">
        <f>I324*Plan!D7/100/12</f>
        <v/>
      </c>
      <c r="K324">
        <f>MIN(Plan!E7,I324+J324)</f>
        <v/>
      </c>
      <c r="L324">
        <f>I324+J324-K324</f>
        <v/>
      </c>
      <c r="M324">
        <f>MIN(L324,MAX(0,$B324-((E$5&lt;K$5)*F324+(Q$5&lt;K$5)*R324+(W$5&lt;K$5)*X324+(AC$5&lt;K$5)*AD324+(AI$5&lt;K$5)*AJ324+(AO$5&lt;K$5)*AP324+(AU$5&lt;K$5)*AV324)))</f>
        <v/>
      </c>
      <c r="N324">
        <f>IF(L324-M324&lt;0.005,0,L324-M324)</f>
        <v/>
      </c>
      <c r="O324">
        <f>T323</f>
        <v/>
      </c>
      <c r="P324">
        <f>O324*Plan!D8/100/12</f>
        <v/>
      </c>
      <c r="Q324">
        <f>MIN(Plan!E8,O324+P324)</f>
        <v/>
      </c>
      <c r="R324">
        <f>O324+P324-Q324</f>
        <v/>
      </c>
      <c r="S324">
        <f>MIN(R324,MAX(0,$B324-((E$5&lt;Q$5)*F324+(K$5&lt;Q$5)*L324+(W$5&lt;Q$5)*X324+(AC$5&lt;Q$5)*AD324+(AI$5&lt;Q$5)*AJ324+(AO$5&lt;Q$5)*AP324+(AU$5&lt;Q$5)*AV324)))</f>
        <v/>
      </c>
      <c r="T324">
        <f>IF(R324-S324&lt;0.005,0,R324-S324)</f>
        <v/>
      </c>
      <c r="U324">
        <f>Z323</f>
        <v/>
      </c>
      <c r="V324">
        <f>U324*Plan!D9/100/12</f>
        <v/>
      </c>
      <c r="W324">
        <f>MIN(Plan!E9,U324+V324)</f>
        <v/>
      </c>
      <c r="X324">
        <f>U324+V324-W324</f>
        <v/>
      </c>
      <c r="Y324">
        <f>MIN(X324,MAX(0,$B324-((E$5&lt;W$5)*F324+(K$5&lt;W$5)*L324+(Q$5&lt;W$5)*R324+(AC$5&lt;W$5)*AD324+(AI$5&lt;W$5)*AJ324+(AO$5&lt;W$5)*AP324+(AU$5&lt;W$5)*AV324)))</f>
        <v/>
      </c>
      <c r="Z324">
        <f>IF(X324-Y324&lt;0.005,0,X324-Y324)</f>
        <v/>
      </c>
      <c r="AA324">
        <f>AF323</f>
        <v/>
      </c>
      <c r="AB324">
        <f>AA324*Plan!D10/100/12</f>
        <v/>
      </c>
      <c r="AC324">
        <f>MIN(Plan!E10,AA324+AB324)</f>
        <v/>
      </c>
      <c r="AD324">
        <f>AA324+AB324-AC324</f>
        <v/>
      </c>
      <c r="AE324">
        <f>MIN(AD324,MAX(0,$B324-((E$5&lt;AC$5)*F324+(K$5&lt;AC$5)*L324+(Q$5&lt;AC$5)*R324+(W$5&lt;AC$5)*X324+(AI$5&lt;AC$5)*AJ324+(AO$5&lt;AC$5)*AP324+(AU$5&lt;AC$5)*AV324)))</f>
        <v/>
      </c>
      <c r="AF324">
        <f>IF(AD324-AE324&lt;0.005,0,AD324-AE324)</f>
        <v/>
      </c>
      <c r="AG324">
        <f>AL323</f>
        <v/>
      </c>
      <c r="AH324">
        <f>AG324*Plan!D11/100/12</f>
        <v/>
      </c>
      <c r="AI324">
        <f>MIN(Plan!E11,AG324+AH324)</f>
        <v/>
      </c>
      <c r="AJ324">
        <f>AG324+AH324-AI324</f>
        <v/>
      </c>
      <c r="AK324">
        <f>MIN(AJ324,MAX(0,$B324-((E$5&lt;AI$5)*F324+(K$5&lt;AI$5)*L324+(Q$5&lt;AI$5)*R324+(W$5&lt;AI$5)*X324+(AC$5&lt;AI$5)*AD324+(AO$5&lt;AI$5)*AP324+(AU$5&lt;AI$5)*AV324)))</f>
        <v/>
      </c>
      <c r="AL324">
        <f>IF(AJ324-AK324&lt;0.005,0,AJ324-AK324)</f>
        <v/>
      </c>
      <c r="AM324">
        <f>AR323</f>
        <v/>
      </c>
      <c r="AN324">
        <f>AM324*Plan!D12/100/12</f>
        <v/>
      </c>
      <c r="AO324">
        <f>MIN(Plan!E12,AM324+AN324)</f>
        <v/>
      </c>
      <c r="AP324">
        <f>AM324+AN324-AO324</f>
        <v/>
      </c>
      <c r="AQ324">
        <f>MIN(AP324,MAX(0,$B324-((E$5&lt;AO$5)*F324+(K$5&lt;AO$5)*L324+(Q$5&lt;AO$5)*R324+(W$5&lt;AO$5)*X324+(AC$5&lt;AO$5)*AD324+(AI$5&lt;AO$5)*AJ324+(AU$5&lt;AO$5)*AV324)))</f>
        <v/>
      </c>
      <c r="AR324">
        <f>IF(AP324-AQ324&lt;0.005,0,AP324-AQ324)</f>
        <v/>
      </c>
      <c r="AS324">
        <f>AX323</f>
        <v/>
      </c>
      <c r="AT324">
        <f>AS324*Plan!D13/100/12</f>
        <v/>
      </c>
      <c r="AU324">
        <f>MIN(Plan!E13,AS324+AT324)</f>
        <v/>
      </c>
      <c r="AV324">
        <f>AS324+AT324-AU324</f>
        <v/>
      </c>
      <c r="AW324">
        <f>MIN(AV324,MAX(0,$B324-((E$5&lt;AU$5)*F324+(K$5&lt;AU$5)*L324+(Q$5&lt;AU$5)*R324+(W$5&lt;AU$5)*X324+(AC$5&lt;AU$5)*AD324+(AI$5&lt;AU$5)*AJ324+(AO$5&lt;AU$5)*AP324)))</f>
        <v/>
      </c>
      <c r="AX324">
        <f>IF(AV324-AW324&lt;0.005,0,AV324-AW324)</f>
        <v/>
      </c>
      <c r="BC324">
        <f>H324+N324+T324+Z324+AF324+AL324+AR324+AX324</f>
        <v/>
      </c>
    </row>
    <row r="325">
      <c r="A325" t="n">
        <v>319</v>
      </c>
      <c r="B325" s="19">
        <f>MAX(0,$B$3-(E325+K325+Q325+W325+AC325+AI325+AO325+AU325))</f>
        <v/>
      </c>
      <c r="C325">
        <f>H324</f>
        <v/>
      </c>
      <c r="D325">
        <f>C325*Plan!D6/100/12</f>
        <v/>
      </c>
      <c r="E325">
        <f>MIN(Plan!E6,C325+D325)</f>
        <v/>
      </c>
      <c r="F325">
        <f>C325+D325-E325</f>
        <v/>
      </c>
      <c r="G325">
        <f>MIN(F325,MAX(0,$B325-((K$5&lt;E$5)*L325+(Q$5&lt;E$5)*R325+(W$5&lt;E$5)*X325+(AC$5&lt;E$5)*AD325+(AI$5&lt;E$5)*AJ325+(AO$5&lt;E$5)*AP325+(AU$5&lt;E$5)*AV325)))</f>
        <v/>
      </c>
      <c r="H325">
        <f>IF(F325-G325&lt;0.005,0,F325-G325)</f>
        <v/>
      </c>
      <c r="I325">
        <f>N324</f>
        <v/>
      </c>
      <c r="J325">
        <f>I325*Plan!D7/100/12</f>
        <v/>
      </c>
      <c r="K325">
        <f>MIN(Plan!E7,I325+J325)</f>
        <v/>
      </c>
      <c r="L325">
        <f>I325+J325-K325</f>
        <v/>
      </c>
      <c r="M325">
        <f>MIN(L325,MAX(0,$B325-((E$5&lt;K$5)*F325+(Q$5&lt;K$5)*R325+(W$5&lt;K$5)*X325+(AC$5&lt;K$5)*AD325+(AI$5&lt;K$5)*AJ325+(AO$5&lt;K$5)*AP325+(AU$5&lt;K$5)*AV325)))</f>
        <v/>
      </c>
      <c r="N325">
        <f>IF(L325-M325&lt;0.005,0,L325-M325)</f>
        <v/>
      </c>
      <c r="O325">
        <f>T324</f>
        <v/>
      </c>
      <c r="P325">
        <f>O325*Plan!D8/100/12</f>
        <v/>
      </c>
      <c r="Q325">
        <f>MIN(Plan!E8,O325+P325)</f>
        <v/>
      </c>
      <c r="R325">
        <f>O325+P325-Q325</f>
        <v/>
      </c>
      <c r="S325">
        <f>MIN(R325,MAX(0,$B325-((E$5&lt;Q$5)*F325+(K$5&lt;Q$5)*L325+(W$5&lt;Q$5)*X325+(AC$5&lt;Q$5)*AD325+(AI$5&lt;Q$5)*AJ325+(AO$5&lt;Q$5)*AP325+(AU$5&lt;Q$5)*AV325)))</f>
        <v/>
      </c>
      <c r="T325">
        <f>IF(R325-S325&lt;0.005,0,R325-S325)</f>
        <v/>
      </c>
      <c r="U325">
        <f>Z324</f>
        <v/>
      </c>
      <c r="V325">
        <f>U325*Plan!D9/100/12</f>
        <v/>
      </c>
      <c r="W325">
        <f>MIN(Plan!E9,U325+V325)</f>
        <v/>
      </c>
      <c r="X325">
        <f>U325+V325-W325</f>
        <v/>
      </c>
      <c r="Y325">
        <f>MIN(X325,MAX(0,$B325-((E$5&lt;W$5)*F325+(K$5&lt;W$5)*L325+(Q$5&lt;W$5)*R325+(AC$5&lt;W$5)*AD325+(AI$5&lt;W$5)*AJ325+(AO$5&lt;W$5)*AP325+(AU$5&lt;W$5)*AV325)))</f>
        <v/>
      </c>
      <c r="Z325">
        <f>IF(X325-Y325&lt;0.005,0,X325-Y325)</f>
        <v/>
      </c>
      <c r="AA325">
        <f>AF324</f>
        <v/>
      </c>
      <c r="AB325">
        <f>AA325*Plan!D10/100/12</f>
        <v/>
      </c>
      <c r="AC325">
        <f>MIN(Plan!E10,AA325+AB325)</f>
        <v/>
      </c>
      <c r="AD325">
        <f>AA325+AB325-AC325</f>
        <v/>
      </c>
      <c r="AE325">
        <f>MIN(AD325,MAX(0,$B325-((E$5&lt;AC$5)*F325+(K$5&lt;AC$5)*L325+(Q$5&lt;AC$5)*R325+(W$5&lt;AC$5)*X325+(AI$5&lt;AC$5)*AJ325+(AO$5&lt;AC$5)*AP325+(AU$5&lt;AC$5)*AV325)))</f>
        <v/>
      </c>
      <c r="AF325">
        <f>IF(AD325-AE325&lt;0.005,0,AD325-AE325)</f>
        <v/>
      </c>
      <c r="AG325">
        <f>AL324</f>
        <v/>
      </c>
      <c r="AH325">
        <f>AG325*Plan!D11/100/12</f>
        <v/>
      </c>
      <c r="AI325">
        <f>MIN(Plan!E11,AG325+AH325)</f>
        <v/>
      </c>
      <c r="AJ325">
        <f>AG325+AH325-AI325</f>
        <v/>
      </c>
      <c r="AK325">
        <f>MIN(AJ325,MAX(0,$B325-((E$5&lt;AI$5)*F325+(K$5&lt;AI$5)*L325+(Q$5&lt;AI$5)*R325+(W$5&lt;AI$5)*X325+(AC$5&lt;AI$5)*AD325+(AO$5&lt;AI$5)*AP325+(AU$5&lt;AI$5)*AV325)))</f>
        <v/>
      </c>
      <c r="AL325">
        <f>IF(AJ325-AK325&lt;0.005,0,AJ325-AK325)</f>
        <v/>
      </c>
      <c r="AM325">
        <f>AR324</f>
        <v/>
      </c>
      <c r="AN325">
        <f>AM325*Plan!D12/100/12</f>
        <v/>
      </c>
      <c r="AO325">
        <f>MIN(Plan!E12,AM325+AN325)</f>
        <v/>
      </c>
      <c r="AP325">
        <f>AM325+AN325-AO325</f>
        <v/>
      </c>
      <c r="AQ325">
        <f>MIN(AP325,MAX(0,$B325-((E$5&lt;AO$5)*F325+(K$5&lt;AO$5)*L325+(Q$5&lt;AO$5)*R325+(W$5&lt;AO$5)*X325+(AC$5&lt;AO$5)*AD325+(AI$5&lt;AO$5)*AJ325+(AU$5&lt;AO$5)*AV325)))</f>
        <v/>
      </c>
      <c r="AR325">
        <f>IF(AP325-AQ325&lt;0.005,0,AP325-AQ325)</f>
        <v/>
      </c>
      <c r="AS325">
        <f>AX324</f>
        <v/>
      </c>
      <c r="AT325">
        <f>AS325*Plan!D13/100/12</f>
        <v/>
      </c>
      <c r="AU325">
        <f>MIN(Plan!E13,AS325+AT325)</f>
        <v/>
      </c>
      <c r="AV325">
        <f>AS325+AT325-AU325</f>
        <v/>
      </c>
      <c r="AW325">
        <f>MIN(AV325,MAX(0,$B325-((E$5&lt;AU$5)*F325+(K$5&lt;AU$5)*L325+(Q$5&lt;AU$5)*R325+(W$5&lt;AU$5)*X325+(AC$5&lt;AU$5)*AD325+(AI$5&lt;AU$5)*AJ325+(AO$5&lt;AU$5)*AP325)))</f>
        <v/>
      </c>
      <c r="AX325">
        <f>IF(AV325-AW325&lt;0.005,0,AV325-AW325)</f>
        <v/>
      </c>
      <c r="BC325">
        <f>H325+N325+T325+Z325+AF325+AL325+AR325+AX325</f>
        <v/>
      </c>
    </row>
    <row r="326">
      <c r="A326" t="n">
        <v>320</v>
      </c>
      <c r="B326" s="19">
        <f>MAX(0,$B$3-(E326+K326+Q326+W326+AC326+AI326+AO326+AU326))</f>
        <v/>
      </c>
      <c r="C326">
        <f>H325</f>
        <v/>
      </c>
      <c r="D326">
        <f>C326*Plan!D6/100/12</f>
        <v/>
      </c>
      <c r="E326">
        <f>MIN(Plan!E6,C326+D326)</f>
        <v/>
      </c>
      <c r="F326">
        <f>C326+D326-E326</f>
        <v/>
      </c>
      <c r="G326">
        <f>MIN(F326,MAX(0,$B326-((K$5&lt;E$5)*L326+(Q$5&lt;E$5)*R326+(W$5&lt;E$5)*X326+(AC$5&lt;E$5)*AD326+(AI$5&lt;E$5)*AJ326+(AO$5&lt;E$5)*AP326+(AU$5&lt;E$5)*AV326)))</f>
        <v/>
      </c>
      <c r="H326">
        <f>IF(F326-G326&lt;0.005,0,F326-G326)</f>
        <v/>
      </c>
      <c r="I326">
        <f>N325</f>
        <v/>
      </c>
      <c r="J326">
        <f>I326*Plan!D7/100/12</f>
        <v/>
      </c>
      <c r="K326">
        <f>MIN(Plan!E7,I326+J326)</f>
        <v/>
      </c>
      <c r="L326">
        <f>I326+J326-K326</f>
        <v/>
      </c>
      <c r="M326">
        <f>MIN(L326,MAX(0,$B326-((E$5&lt;K$5)*F326+(Q$5&lt;K$5)*R326+(W$5&lt;K$5)*X326+(AC$5&lt;K$5)*AD326+(AI$5&lt;K$5)*AJ326+(AO$5&lt;K$5)*AP326+(AU$5&lt;K$5)*AV326)))</f>
        <v/>
      </c>
      <c r="N326">
        <f>IF(L326-M326&lt;0.005,0,L326-M326)</f>
        <v/>
      </c>
      <c r="O326">
        <f>T325</f>
        <v/>
      </c>
      <c r="P326">
        <f>O326*Plan!D8/100/12</f>
        <v/>
      </c>
      <c r="Q326">
        <f>MIN(Plan!E8,O326+P326)</f>
        <v/>
      </c>
      <c r="R326">
        <f>O326+P326-Q326</f>
        <v/>
      </c>
      <c r="S326">
        <f>MIN(R326,MAX(0,$B326-((E$5&lt;Q$5)*F326+(K$5&lt;Q$5)*L326+(W$5&lt;Q$5)*X326+(AC$5&lt;Q$5)*AD326+(AI$5&lt;Q$5)*AJ326+(AO$5&lt;Q$5)*AP326+(AU$5&lt;Q$5)*AV326)))</f>
        <v/>
      </c>
      <c r="T326">
        <f>IF(R326-S326&lt;0.005,0,R326-S326)</f>
        <v/>
      </c>
      <c r="U326">
        <f>Z325</f>
        <v/>
      </c>
      <c r="V326">
        <f>U326*Plan!D9/100/12</f>
        <v/>
      </c>
      <c r="W326">
        <f>MIN(Plan!E9,U326+V326)</f>
        <v/>
      </c>
      <c r="X326">
        <f>U326+V326-W326</f>
        <v/>
      </c>
      <c r="Y326">
        <f>MIN(X326,MAX(0,$B326-((E$5&lt;W$5)*F326+(K$5&lt;W$5)*L326+(Q$5&lt;W$5)*R326+(AC$5&lt;W$5)*AD326+(AI$5&lt;W$5)*AJ326+(AO$5&lt;W$5)*AP326+(AU$5&lt;W$5)*AV326)))</f>
        <v/>
      </c>
      <c r="Z326">
        <f>IF(X326-Y326&lt;0.005,0,X326-Y326)</f>
        <v/>
      </c>
      <c r="AA326">
        <f>AF325</f>
        <v/>
      </c>
      <c r="AB326">
        <f>AA326*Plan!D10/100/12</f>
        <v/>
      </c>
      <c r="AC326">
        <f>MIN(Plan!E10,AA326+AB326)</f>
        <v/>
      </c>
      <c r="AD326">
        <f>AA326+AB326-AC326</f>
        <v/>
      </c>
      <c r="AE326">
        <f>MIN(AD326,MAX(0,$B326-((E$5&lt;AC$5)*F326+(K$5&lt;AC$5)*L326+(Q$5&lt;AC$5)*R326+(W$5&lt;AC$5)*X326+(AI$5&lt;AC$5)*AJ326+(AO$5&lt;AC$5)*AP326+(AU$5&lt;AC$5)*AV326)))</f>
        <v/>
      </c>
      <c r="AF326">
        <f>IF(AD326-AE326&lt;0.005,0,AD326-AE326)</f>
        <v/>
      </c>
      <c r="AG326">
        <f>AL325</f>
        <v/>
      </c>
      <c r="AH326">
        <f>AG326*Plan!D11/100/12</f>
        <v/>
      </c>
      <c r="AI326">
        <f>MIN(Plan!E11,AG326+AH326)</f>
        <v/>
      </c>
      <c r="AJ326">
        <f>AG326+AH326-AI326</f>
        <v/>
      </c>
      <c r="AK326">
        <f>MIN(AJ326,MAX(0,$B326-((E$5&lt;AI$5)*F326+(K$5&lt;AI$5)*L326+(Q$5&lt;AI$5)*R326+(W$5&lt;AI$5)*X326+(AC$5&lt;AI$5)*AD326+(AO$5&lt;AI$5)*AP326+(AU$5&lt;AI$5)*AV326)))</f>
        <v/>
      </c>
      <c r="AL326">
        <f>IF(AJ326-AK326&lt;0.005,0,AJ326-AK326)</f>
        <v/>
      </c>
      <c r="AM326">
        <f>AR325</f>
        <v/>
      </c>
      <c r="AN326">
        <f>AM326*Plan!D12/100/12</f>
        <v/>
      </c>
      <c r="AO326">
        <f>MIN(Plan!E12,AM326+AN326)</f>
        <v/>
      </c>
      <c r="AP326">
        <f>AM326+AN326-AO326</f>
        <v/>
      </c>
      <c r="AQ326">
        <f>MIN(AP326,MAX(0,$B326-((E$5&lt;AO$5)*F326+(K$5&lt;AO$5)*L326+(Q$5&lt;AO$5)*R326+(W$5&lt;AO$5)*X326+(AC$5&lt;AO$5)*AD326+(AI$5&lt;AO$5)*AJ326+(AU$5&lt;AO$5)*AV326)))</f>
        <v/>
      </c>
      <c r="AR326">
        <f>IF(AP326-AQ326&lt;0.005,0,AP326-AQ326)</f>
        <v/>
      </c>
      <c r="AS326">
        <f>AX325</f>
        <v/>
      </c>
      <c r="AT326">
        <f>AS326*Plan!D13/100/12</f>
        <v/>
      </c>
      <c r="AU326">
        <f>MIN(Plan!E13,AS326+AT326)</f>
        <v/>
      </c>
      <c r="AV326">
        <f>AS326+AT326-AU326</f>
        <v/>
      </c>
      <c r="AW326">
        <f>MIN(AV326,MAX(0,$B326-((E$5&lt;AU$5)*F326+(K$5&lt;AU$5)*L326+(Q$5&lt;AU$5)*R326+(W$5&lt;AU$5)*X326+(AC$5&lt;AU$5)*AD326+(AI$5&lt;AU$5)*AJ326+(AO$5&lt;AU$5)*AP326)))</f>
        <v/>
      </c>
      <c r="AX326">
        <f>IF(AV326-AW326&lt;0.005,0,AV326-AW326)</f>
        <v/>
      </c>
      <c r="BC326">
        <f>H326+N326+T326+Z326+AF326+AL326+AR326+AX326</f>
        <v/>
      </c>
    </row>
    <row r="327">
      <c r="A327" t="n">
        <v>321</v>
      </c>
      <c r="B327" s="19">
        <f>MAX(0,$B$3-(E327+K327+Q327+W327+AC327+AI327+AO327+AU327))</f>
        <v/>
      </c>
      <c r="C327">
        <f>H326</f>
        <v/>
      </c>
      <c r="D327">
        <f>C327*Plan!D6/100/12</f>
        <v/>
      </c>
      <c r="E327">
        <f>MIN(Plan!E6,C327+D327)</f>
        <v/>
      </c>
      <c r="F327">
        <f>C327+D327-E327</f>
        <v/>
      </c>
      <c r="G327">
        <f>MIN(F327,MAX(0,$B327-((K$5&lt;E$5)*L327+(Q$5&lt;E$5)*R327+(W$5&lt;E$5)*X327+(AC$5&lt;E$5)*AD327+(AI$5&lt;E$5)*AJ327+(AO$5&lt;E$5)*AP327+(AU$5&lt;E$5)*AV327)))</f>
        <v/>
      </c>
      <c r="H327">
        <f>IF(F327-G327&lt;0.005,0,F327-G327)</f>
        <v/>
      </c>
      <c r="I327">
        <f>N326</f>
        <v/>
      </c>
      <c r="J327">
        <f>I327*Plan!D7/100/12</f>
        <v/>
      </c>
      <c r="K327">
        <f>MIN(Plan!E7,I327+J327)</f>
        <v/>
      </c>
      <c r="L327">
        <f>I327+J327-K327</f>
        <v/>
      </c>
      <c r="M327">
        <f>MIN(L327,MAX(0,$B327-((E$5&lt;K$5)*F327+(Q$5&lt;K$5)*R327+(W$5&lt;K$5)*X327+(AC$5&lt;K$5)*AD327+(AI$5&lt;K$5)*AJ327+(AO$5&lt;K$5)*AP327+(AU$5&lt;K$5)*AV327)))</f>
        <v/>
      </c>
      <c r="N327">
        <f>IF(L327-M327&lt;0.005,0,L327-M327)</f>
        <v/>
      </c>
      <c r="O327">
        <f>T326</f>
        <v/>
      </c>
      <c r="P327">
        <f>O327*Plan!D8/100/12</f>
        <v/>
      </c>
      <c r="Q327">
        <f>MIN(Plan!E8,O327+P327)</f>
        <v/>
      </c>
      <c r="R327">
        <f>O327+P327-Q327</f>
        <v/>
      </c>
      <c r="S327">
        <f>MIN(R327,MAX(0,$B327-((E$5&lt;Q$5)*F327+(K$5&lt;Q$5)*L327+(W$5&lt;Q$5)*X327+(AC$5&lt;Q$5)*AD327+(AI$5&lt;Q$5)*AJ327+(AO$5&lt;Q$5)*AP327+(AU$5&lt;Q$5)*AV327)))</f>
        <v/>
      </c>
      <c r="T327">
        <f>IF(R327-S327&lt;0.005,0,R327-S327)</f>
        <v/>
      </c>
      <c r="U327">
        <f>Z326</f>
        <v/>
      </c>
      <c r="V327">
        <f>U327*Plan!D9/100/12</f>
        <v/>
      </c>
      <c r="W327">
        <f>MIN(Plan!E9,U327+V327)</f>
        <v/>
      </c>
      <c r="X327">
        <f>U327+V327-W327</f>
        <v/>
      </c>
      <c r="Y327">
        <f>MIN(X327,MAX(0,$B327-((E$5&lt;W$5)*F327+(K$5&lt;W$5)*L327+(Q$5&lt;W$5)*R327+(AC$5&lt;W$5)*AD327+(AI$5&lt;W$5)*AJ327+(AO$5&lt;W$5)*AP327+(AU$5&lt;W$5)*AV327)))</f>
        <v/>
      </c>
      <c r="Z327">
        <f>IF(X327-Y327&lt;0.005,0,X327-Y327)</f>
        <v/>
      </c>
      <c r="AA327">
        <f>AF326</f>
        <v/>
      </c>
      <c r="AB327">
        <f>AA327*Plan!D10/100/12</f>
        <v/>
      </c>
      <c r="AC327">
        <f>MIN(Plan!E10,AA327+AB327)</f>
        <v/>
      </c>
      <c r="AD327">
        <f>AA327+AB327-AC327</f>
        <v/>
      </c>
      <c r="AE327">
        <f>MIN(AD327,MAX(0,$B327-((E$5&lt;AC$5)*F327+(K$5&lt;AC$5)*L327+(Q$5&lt;AC$5)*R327+(W$5&lt;AC$5)*X327+(AI$5&lt;AC$5)*AJ327+(AO$5&lt;AC$5)*AP327+(AU$5&lt;AC$5)*AV327)))</f>
        <v/>
      </c>
      <c r="AF327">
        <f>IF(AD327-AE327&lt;0.005,0,AD327-AE327)</f>
        <v/>
      </c>
      <c r="AG327">
        <f>AL326</f>
        <v/>
      </c>
      <c r="AH327">
        <f>AG327*Plan!D11/100/12</f>
        <v/>
      </c>
      <c r="AI327">
        <f>MIN(Plan!E11,AG327+AH327)</f>
        <v/>
      </c>
      <c r="AJ327">
        <f>AG327+AH327-AI327</f>
        <v/>
      </c>
      <c r="AK327">
        <f>MIN(AJ327,MAX(0,$B327-((E$5&lt;AI$5)*F327+(K$5&lt;AI$5)*L327+(Q$5&lt;AI$5)*R327+(W$5&lt;AI$5)*X327+(AC$5&lt;AI$5)*AD327+(AO$5&lt;AI$5)*AP327+(AU$5&lt;AI$5)*AV327)))</f>
        <v/>
      </c>
      <c r="AL327">
        <f>IF(AJ327-AK327&lt;0.005,0,AJ327-AK327)</f>
        <v/>
      </c>
      <c r="AM327">
        <f>AR326</f>
        <v/>
      </c>
      <c r="AN327">
        <f>AM327*Plan!D12/100/12</f>
        <v/>
      </c>
      <c r="AO327">
        <f>MIN(Plan!E12,AM327+AN327)</f>
        <v/>
      </c>
      <c r="AP327">
        <f>AM327+AN327-AO327</f>
        <v/>
      </c>
      <c r="AQ327">
        <f>MIN(AP327,MAX(0,$B327-((E$5&lt;AO$5)*F327+(K$5&lt;AO$5)*L327+(Q$5&lt;AO$5)*R327+(W$5&lt;AO$5)*X327+(AC$5&lt;AO$5)*AD327+(AI$5&lt;AO$5)*AJ327+(AU$5&lt;AO$5)*AV327)))</f>
        <v/>
      </c>
      <c r="AR327">
        <f>IF(AP327-AQ327&lt;0.005,0,AP327-AQ327)</f>
        <v/>
      </c>
      <c r="AS327">
        <f>AX326</f>
        <v/>
      </c>
      <c r="AT327">
        <f>AS327*Plan!D13/100/12</f>
        <v/>
      </c>
      <c r="AU327">
        <f>MIN(Plan!E13,AS327+AT327)</f>
        <v/>
      </c>
      <c r="AV327">
        <f>AS327+AT327-AU327</f>
        <v/>
      </c>
      <c r="AW327">
        <f>MIN(AV327,MAX(0,$B327-((E$5&lt;AU$5)*F327+(K$5&lt;AU$5)*L327+(Q$5&lt;AU$5)*R327+(W$5&lt;AU$5)*X327+(AC$5&lt;AU$5)*AD327+(AI$5&lt;AU$5)*AJ327+(AO$5&lt;AU$5)*AP327)))</f>
        <v/>
      </c>
      <c r="AX327">
        <f>IF(AV327-AW327&lt;0.005,0,AV327-AW327)</f>
        <v/>
      </c>
      <c r="BC327">
        <f>H327+N327+T327+Z327+AF327+AL327+AR327+AX327</f>
        <v/>
      </c>
    </row>
    <row r="328">
      <c r="A328" t="n">
        <v>322</v>
      </c>
      <c r="B328" s="19">
        <f>MAX(0,$B$3-(E328+K328+Q328+W328+AC328+AI328+AO328+AU328))</f>
        <v/>
      </c>
      <c r="C328">
        <f>H327</f>
        <v/>
      </c>
      <c r="D328">
        <f>C328*Plan!D6/100/12</f>
        <v/>
      </c>
      <c r="E328">
        <f>MIN(Plan!E6,C328+D328)</f>
        <v/>
      </c>
      <c r="F328">
        <f>C328+D328-E328</f>
        <v/>
      </c>
      <c r="G328">
        <f>MIN(F328,MAX(0,$B328-((K$5&lt;E$5)*L328+(Q$5&lt;E$5)*R328+(W$5&lt;E$5)*X328+(AC$5&lt;E$5)*AD328+(AI$5&lt;E$5)*AJ328+(AO$5&lt;E$5)*AP328+(AU$5&lt;E$5)*AV328)))</f>
        <v/>
      </c>
      <c r="H328">
        <f>IF(F328-G328&lt;0.005,0,F328-G328)</f>
        <v/>
      </c>
      <c r="I328">
        <f>N327</f>
        <v/>
      </c>
      <c r="J328">
        <f>I328*Plan!D7/100/12</f>
        <v/>
      </c>
      <c r="K328">
        <f>MIN(Plan!E7,I328+J328)</f>
        <v/>
      </c>
      <c r="L328">
        <f>I328+J328-K328</f>
        <v/>
      </c>
      <c r="M328">
        <f>MIN(L328,MAX(0,$B328-((E$5&lt;K$5)*F328+(Q$5&lt;K$5)*R328+(W$5&lt;K$5)*X328+(AC$5&lt;K$5)*AD328+(AI$5&lt;K$5)*AJ328+(AO$5&lt;K$5)*AP328+(AU$5&lt;K$5)*AV328)))</f>
        <v/>
      </c>
      <c r="N328">
        <f>IF(L328-M328&lt;0.005,0,L328-M328)</f>
        <v/>
      </c>
      <c r="O328">
        <f>T327</f>
        <v/>
      </c>
      <c r="P328">
        <f>O328*Plan!D8/100/12</f>
        <v/>
      </c>
      <c r="Q328">
        <f>MIN(Plan!E8,O328+P328)</f>
        <v/>
      </c>
      <c r="R328">
        <f>O328+P328-Q328</f>
        <v/>
      </c>
      <c r="S328">
        <f>MIN(R328,MAX(0,$B328-((E$5&lt;Q$5)*F328+(K$5&lt;Q$5)*L328+(W$5&lt;Q$5)*X328+(AC$5&lt;Q$5)*AD328+(AI$5&lt;Q$5)*AJ328+(AO$5&lt;Q$5)*AP328+(AU$5&lt;Q$5)*AV328)))</f>
        <v/>
      </c>
      <c r="T328">
        <f>IF(R328-S328&lt;0.005,0,R328-S328)</f>
        <v/>
      </c>
      <c r="U328">
        <f>Z327</f>
        <v/>
      </c>
      <c r="V328">
        <f>U328*Plan!D9/100/12</f>
        <v/>
      </c>
      <c r="W328">
        <f>MIN(Plan!E9,U328+V328)</f>
        <v/>
      </c>
      <c r="X328">
        <f>U328+V328-W328</f>
        <v/>
      </c>
      <c r="Y328">
        <f>MIN(X328,MAX(0,$B328-((E$5&lt;W$5)*F328+(K$5&lt;W$5)*L328+(Q$5&lt;W$5)*R328+(AC$5&lt;W$5)*AD328+(AI$5&lt;W$5)*AJ328+(AO$5&lt;W$5)*AP328+(AU$5&lt;W$5)*AV328)))</f>
        <v/>
      </c>
      <c r="Z328">
        <f>IF(X328-Y328&lt;0.005,0,X328-Y328)</f>
        <v/>
      </c>
      <c r="AA328">
        <f>AF327</f>
        <v/>
      </c>
      <c r="AB328">
        <f>AA328*Plan!D10/100/12</f>
        <v/>
      </c>
      <c r="AC328">
        <f>MIN(Plan!E10,AA328+AB328)</f>
        <v/>
      </c>
      <c r="AD328">
        <f>AA328+AB328-AC328</f>
        <v/>
      </c>
      <c r="AE328">
        <f>MIN(AD328,MAX(0,$B328-((E$5&lt;AC$5)*F328+(K$5&lt;AC$5)*L328+(Q$5&lt;AC$5)*R328+(W$5&lt;AC$5)*X328+(AI$5&lt;AC$5)*AJ328+(AO$5&lt;AC$5)*AP328+(AU$5&lt;AC$5)*AV328)))</f>
        <v/>
      </c>
      <c r="AF328">
        <f>IF(AD328-AE328&lt;0.005,0,AD328-AE328)</f>
        <v/>
      </c>
      <c r="AG328">
        <f>AL327</f>
        <v/>
      </c>
      <c r="AH328">
        <f>AG328*Plan!D11/100/12</f>
        <v/>
      </c>
      <c r="AI328">
        <f>MIN(Plan!E11,AG328+AH328)</f>
        <v/>
      </c>
      <c r="AJ328">
        <f>AG328+AH328-AI328</f>
        <v/>
      </c>
      <c r="AK328">
        <f>MIN(AJ328,MAX(0,$B328-((E$5&lt;AI$5)*F328+(K$5&lt;AI$5)*L328+(Q$5&lt;AI$5)*R328+(W$5&lt;AI$5)*X328+(AC$5&lt;AI$5)*AD328+(AO$5&lt;AI$5)*AP328+(AU$5&lt;AI$5)*AV328)))</f>
        <v/>
      </c>
      <c r="AL328">
        <f>IF(AJ328-AK328&lt;0.005,0,AJ328-AK328)</f>
        <v/>
      </c>
      <c r="AM328">
        <f>AR327</f>
        <v/>
      </c>
      <c r="AN328">
        <f>AM328*Plan!D12/100/12</f>
        <v/>
      </c>
      <c r="AO328">
        <f>MIN(Plan!E12,AM328+AN328)</f>
        <v/>
      </c>
      <c r="AP328">
        <f>AM328+AN328-AO328</f>
        <v/>
      </c>
      <c r="AQ328">
        <f>MIN(AP328,MAX(0,$B328-((E$5&lt;AO$5)*F328+(K$5&lt;AO$5)*L328+(Q$5&lt;AO$5)*R328+(W$5&lt;AO$5)*X328+(AC$5&lt;AO$5)*AD328+(AI$5&lt;AO$5)*AJ328+(AU$5&lt;AO$5)*AV328)))</f>
        <v/>
      </c>
      <c r="AR328">
        <f>IF(AP328-AQ328&lt;0.005,0,AP328-AQ328)</f>
        <v/>
      </c>
      <c r="AS328">
        <f>AX327</f>
        <v/>
      </c>
      <c r="AT328">
        <f>AS328*Plan!D13/100/12</f>
        <v/>
      </c>
      <c r="AU328">
        <f>MIN(Plan!E13,AS328+AT328)</f>
        <v/>
      </c>
      <c r="AV328">
        <f>AS328+AT328-AU328</f>
        <v/>
      </c>
      <c r="AW328">
        <f>MIN(AV328,MAX(0,$B328-((E$5&lt;AU$5)*F328+(K$5&lt;AU$5)*L328+(Q$5&lt;AU$5)*R328+(W$5&lt;AU$5)*X328+(AC$5&lt;AU$5)*AD328+(AI$5&lt;AU$5)*AJ328+(AO$5&lt;AU$5)*AP328)))</f>
        <v/>
      </c>
      <c r="AX328">
        <f>IF(AV328-AW328&lt;0.005,0,AV328-AW328)</f>
        <v/>
      </c>
      <c r="BC328">
        <f>H328+N328+T328+Z328+AF328+AL328+AR328+AX328</f>
        <v/>
      </c>
    </row>
    <row r="329">
      <c r="A329" t="n">
        <v>323</v>
      </c>
      <c r="B329" s="19">
        <f>MAX(0,$B$3-(E329+K329+Q329+W329+AC329+AI329+AO329+AU329))</f>
        <v/>
      </c>
      <c r="C329">
        <f>H328</f>
        <v/>
      </c>
      <c r="D329">
        <f>C329*Plan!D6/100/12</f>
        <v/>
      </c>
      <c r="E329">
        <f>MIN(Plan!E6,C329+D329)</f>
        <v/>
      </c>
      <c r="F329">
        <f>C329+D329-E329</f>
        <v/>
      </c>
      <c r="G329">
        <f>MIN(F329,MAX(0,$B329-((K$5&lt;E$5)*L329+(Q$5&lt;E$5)*R329+(W$5&lt;E$5)*X329+(AC$5&lt;E$5)*AD329+(AI$5&lt;E$5)*AJ329+(AO$5&lt;E$5)*AP329+(AU$5&lt;E$5)*AV329)))</f>
        <v/>
      </c>
      <c r="H329">
        <f>IF(F329-G329&lt;0.005,0,F329-G329)</f>
        <v/>
      </c>
      <c r="I329">
        <f>N328</f>
        <v/>
      </c>
      <c r="J329">
        <f>I329*Plan!D7/100/12</f>
        <v/>
      </c>
      <c r="K329">
        <f>MIN(Plan!E7,I329+J329)</f>
        <v/>
      </c>
      <c r="L329">
        <f>I329+J329-K329</f>
        <v/>
      </c>
      <c r="M329">
        <f>MIN(L329,MAX(0,$B329-((E$5&lt;K$5)*F329+(Q$5&lt;K$5)*R329+(W$5&lt;K$5)*X329+(AC$5&lt;K$5)*AD329+(AI$5&lt;K$5)*AJ329+(AO$5&lt;K$5)*AP329+(AU$5&lt;K$5)*AV329)))</f>
        <v/>
      </c>
      <c r="N329">
        <f>IF(L329-M329&lt;0.005,0,L329-M329)</f>
        <v/>
      </c>
      <c r="O329">
        <f>T328</f>
        <v/>
      </c>
      <c r="P329">
        <f>O329*Plan!D8/100/12</f>
        <v/>
      </c>
      <c r="Q329">
        <f>MIN(Plan!E8,O329+P329)</f>
        <v/>
      </c>
      <c r="R329">
        <f>O329+P329-Q329</f>
        <v/>
      </c>
      <c r="S329">
        <f>MIN(R329,MAX(0,$B329-((E$5&lt;Q$5)*F329+(K$5&lt;Q$5)*L329+(W$5&lt;Q$5)*X329+(AC$5&lt;Q$5)*AD329+(AI$5&lt;Q$5)*AJ329+(AO$5&lt;Q$5)*AP329+(AU$5&lt;Q$5)*AV329)))</f>
        <v/>
      </c>
      <c r="T329">
        <f>IF(R329-S329&lt;0.005,0,R329-S329)</f>
        <v/>
      </c>
      <c r="U329">
        <f>Z328</f>
        <v/>
      </c>
      <c r="V329">
        <f>U329*Plan!D9/100/12</f>
        <v/>
      </c>
      <c r="W329">
        <f>MIN(Plan!E9,U329+V329)</f>
        <v/>
      </c>
      <c r="X329">
        <f>U329+V329-W329</f>
        <v/>
      </c>
      <c r="Y329">
        <f>MIN(X329,MAX(0,$B329-((E$5&lt;W$5)*F329+(K$5&lt;W$5)*L329+(Q$5&lt;W$5)*R329+(AC$5&lt;W$5)*AD329+(AI$5&lt;W$5)*AJ329+(AO$5&lt;W$5)*AP329+(AU$5&lt;W$5)*AV329)))</f>
        <v/>
      </c>
      <c r="Z329">
        <f>IF(X329-Y329&lt;0.005,0,X329-Y329)</f>
        <v/>
      </c>
      <c r="AA329">
        <f>AF328</f>
        <v/>
      </c>
      <c r="AB329">
        <f>AA329*Plan!D10/100/12</f>
        <v/>
      </c>
      <c r="AC329">
        <f>MIN(Plan!E10,AA329+AB329)</f>
        <v/>
      </c>
      <c r="AD329">
        <f>AA329+AB329-AC329</f>
        <v/>
      </c>
      <c r="AE329">
        <f>MIN(AD329,MAX(0,$B329-((E$5&lt;AC$5)*F329+(K$5&lt;AC$5)*L329+(Q$5&lt;AC$5)*R329+(W$5&lt;AC$5)*X329+(AI$5&lt;AC$5)*AJ329+(AO$5&lt;AC$5)*AP329+(AU$5&lt;AC$5)*AV329)))</f>
        <v/>
      </c>
      <c r="AF329">
        <f>IF(AD329-AE329&lt;0.005,0,AD329-AE329)</f>
        <v/>
      </c>
      <c r="AG329">
        <f>AL328</f>
        <v/>
      </c>
      <c r="AH329">
        <f>AG329*Plan!D11/100/12</f>
        <v/>
      </c>
      <c r="AI329">
        <f>MIN(Plan!E11,AG329+AH329)</f>
        <v/>
      </c>
      <c r="AJ329">
        <f>AG329+AH329-AI329</f>
        <v/>
      </c>
      <c r="AK329">
        <f>MIN(AJ329,MAX(0,$B329-((E$5&lt;AI$5)*F329+(K$5&lt;AI$5)*L329+(Q$5&lt;AI$5)*R329+(W$5&lt;AI$5)*X329+(AC$5&lt;AI$5)*AD329+(AO$5&lt;AI$5)*AP329+(AU$5&lt;AI$5)*AV329)))</f>
        <v/>
      </c>
      <c r="AL329">
        <f>IF(AJ329-AK329&lt;0.005,0,AJ329-AK329)</f>
        <v/>
      </c>
      <c r="AM329">
        <f>AR328</f>
        <v/>
      </c>
      <c r="AN329">
        <f>AM329*Plan!D12/100/12</f>
        <v/>
      </c>
      <c r="AO329">
        <f>MIN(Plan!E12,AM329+AN329)</f>
        <v/>
      </c>
      <c r="AP329">
        <f>AM329+AN329-AO329</f>
        <v/>
      </c>
      <c r="AQ329">
        <f>MIN(AP329,MAX(0,$B329-((E$5&lt;AO$5)*F329+(K$5&lt;AO$5)*L329+(Q$5&lt;AO$5)*R329+(W$5&lt;AO$5)*X329+(AC$5&lt;AO$5)*AD329+(AI$5&lt;AO$5)*AJ329+(AU$5&lt;AO$5)*AV329)))</f>
        <v/>
      </c>
      <c r="AR329">
        <f>IF(AP329-AQ329&lt;0.005,0,AP329-AQ329)</f>
        <v/>
      </c>
      <c r="AS329">
        <f>AX328</f>
        <v/>
      </c>
      <c r="AT329">
        <f>AS329*Plan!D13/100/12</f>
        <v/>
      </c>
      <c r="AU329">
        <f>MIN(Plan!E13,AS329+AT329)</f>
        <v/>
      </c>
      <c r="AV329">
        <f>AS329+AT329-AU329</f>
        <v/>
      </c>
      <c r="AW329">
        <f>MIN(AV329,MAX(0,$B329-((E$5&lt;AU$5)*F329+(K$5&lt;AU$5)*L329+(Q$5&lt;AU$5)*R329+(W$5&lt;AU$5)*X329+(AC$5&lt;AU$5)*AD329+(AI$5&lt;AU$5)*AJ329+(AO$5&lt;AU$5)*AP329)))</f>
        <v/>
      </c>
      <c r="AX329">
        <f>IF(AV329-AW329&lt;0.005,0,AV329-AW329)</f>
        <v/>
      </c>
      <c r="BC329">
        <f>H329+N329+T329+Z329+AF329+AL329+AR329+AX329</f>
        <v/>
      </c>
    </row>
    <row r="330">
      <c r="A330" t="n">
        <v>324</v>
      </c>
      <c r="B330" s="19">
        <f>MAX(0,$B$3-(E330+K330+Q330+W330+AC330+AI330+AO330+AU330))</f>
        <v/>
      </c>
      <c r="C330">
        <f>H329</f>
        <v/>
      </c>
      <c r="D330">
        <f>C330*Plan!D6/100/12</f>
        <v/>
      </c>
      <c r="E330">
        <f>MIN(Plan!E6,C330+D330)</f>
        <v/>
      </c>
      <c r="F330">
        <f>C330+D330-E330</f>
        <v/>
      </c>
      <c r="G330">
        <f>MIN(F330,MAX(0,$B330-((K$5&lt;E$5)*L330+(Q$5&lt;E$5)*R330+(W$5&lt;E$5)*X330+(AC$5&lt;E$5)*AD330+(AI$5&lt;E$5)*AJ330+(AO$5&lt;E$5)*AP330+(AU$5&lt;E$5)*AV330)))</f>
        <v/>
      </c>
      <c r="H330">
        <f>IF(F330-G330&lt;0.005,0,F330-G330)</f>
        <v/>
      </c>
      <c r="I330">
        <f>N329</f>
        <v/>
      </c>
      <c r="J330">
        <f>I330*Plan!D7/100/12</f>
        <v/>
      </c>
      <c r="K330">
        <f>MIN(Plan!E7,I330+J330)</f>
        <v/>
      </c>
      <c r="L330">
        <f>I330+J330-K330</f>
        <v/>
      </c>
      <c r="M330">
        <f>MIN(L330,MAX(0,$B330-((E$5&lt;K$5)*F330+(Q$5&lt;K$5)*R330+(W$5&lt;K$5)*X330+(AC$5&lt;K$5)*AD330+(AI$5&lt;K$5)*AJ330+(AO$5&lt;K$5)*AP330+(AU$5&lt;K$5)*AV330)))</f>
        <v/>
      </c>
      <c r="N330">
        <f>IF(L330-M330&lt;0.005,0,L330-M330)</f>
        <v/>
      </c>
      <c r="O330">
        <f>T329</f>
        <v/>
      </c>
      <c r="P330">
        <f>O330*Plan!D8/100/12</f>
        <v/>
      </c>
      <c r="Q330">
        <f>MIN(Plan!E8,O330+P330)</f>
        <v/>
      </c>
      <c r="R330">
        <f>O330+P330-Q330</f>
        <v/>
      </c>
      <c r="S330">
        <f>MIN(R330,MAX(0,$B330-((E$5&lt;Q$5)*F330+(K$5&lt;Q$5)*L330+(W$5&lt;Q$5)*X330+(AC$5&lt;Q$5)*AD330+(AI$5&lt;Q$5)*AJ330+(AO$5&lt;Q$5)*AP330+(AU$5&lt;Q$5)*AV330)))</f>
        <v/>
      </c>
      <c r="T330">
        <f>IF(R330-S330&lt;0.005,0,R330-S330)</f>
        <v/>
      </c>
      <c r="U330">
        <f>Z329</f>
        <v/>
      </c>
      <c r="V330">
        <f>U330*Plan!D9/100/12</f>
        <v/>
      </c>
      <c r="W330">
        <f>MIN(Plan!E9,U330+V330)</f>
        <v/>
      </c>
      <c r="X330">
        <f>U330+V330-W330</f>
        <v/>
      </c>
      <c r="Y330">
        <f>MIN(X330,MAX(0,$B330-((E$5&lt;W$5)*F330+(K$5&lt;W$5)*L330+(Q$5&lt;W$5)*R330+(AC$5&lt;W$5)*AD330+(AI$5&lt;W$5)*AJ330+(AO$5&lt;W$5)*AP330+(AU$5&lt;W$5)*AV330)))</f>
        <v/>
      </c>
      <c r="Z330">
        <f>IF(X330-Y330&lt;0.005,0,X330-Y330)</f>
        <v/>
      </c>
      <c r="AA330">
        <f>AF329</f>
        <v/>
      </c>
      <c r="AB330">
        <f>AA330*Plan!D10/100/12</f>
        <v/>
      </c>
      <c r="AC330">
        <f>MIN(Plan!E10,AA330+AB330)</f>
        <v/>
      </c>
      <c r="AD330">
        <f>AA330+AB330-AC330</f>
        <v/>
      </c>
      <c r="AE330">
        <f>MIN(AD330,MAX(0,$B330-((E$5&lt;AC$5)*F330+(K$5&lt;AC$5)*L330+(Q$5&lt;AC$5)*R330+(W$5&lt;AC$5)*X330+(AI$5&lt;AC$5)*AJ330+(AO$5&lt;AC$5)*AP330+(AU$5&lt;AC$5)*AV330)))</f>
        <v/>
      </c>
      <c r="AF330">
        <f>IF(AD330-AE330&lt;0.005,0,AD330-AE330)</f>
        <v/>
      </c>
      <c r="AG330">
        <f>AL329</f>
        <v/>
      </c>
      <c r="AH330">
        <f>AG330*Plan!D11/100/12</f>
        <v/>
      </c>
      <c r="AI330">
        <f>MIN(Plan!E11,AG330+AH330)</f>
        <v/>
      </c>
      <c r="AJ330">
        <f>AG330+AH330-AI330</f>
        <v/>
      </c>
      <c r="AK330">
        <f>MIN(AJ330,MAX(0,$B330-((E$5&lt;AI$5)*F330+(K$5&lt;AI$5)*L330+(Q$5&lt;AI$5)*R330+(W$5&lt;AI$5)*X330+(AC$5&lt;AI$5)*AD330+(AO$5&lt;AI$5)*AP330+(AU$5&lt;AI$5)*AV330)))</f>
        <v/>
      </c>
      <c r="AL330">
        <f>IF(AJ330-AK330&lt;0.005,0,AJ330-AK330)</f>
        <v/>
      </c>
      <c r="AM330">
        <f>AR329</f>
        <v/>
      </c>
      <c r="AN330">
        <f>AM330*Plan!D12/100/12</f>
        <v/>
      </c>
      <c r="AO330">
        <f>MIN(Plan!E12,AM330+AN330)</f>
        <v/>
      </c>
      <c r="AP330">
        <f>AM330+AN330-AO330</f>
        <v/>
      </c>
      <c r="AQ330">
        <f>MIN(AP330,MAX(0,$B330-((E$5&lt;AO$5)*F330+(K$5&lt;AO$5)*L330+(Q$5&lt;AO$5)*R330+(W$5&lt;AO$5)*X330+(AC$5&lt;AO$5)*AD330+(AI$5&lt;AO$5)*AJ330+(AU$5&lt;AO$5)*AV330)))</f>
        <v/>
      </c>
      <c r="AR330">
        <f>IF(AP330-AQ330&lt;0.005,0,AP330-AQ330)</f>
        <v/>
      </c>
      <c r="AS330">
        <f>AX329</f>
        <v/>
      </c>
      <c r="AT330">
        <f>AS330*Plan!D13/100/12</f>
        <v/>
      </c>
      <c r="AU330">
        <f>MIN(Plan!E13,AS330+AT330)</f>
        <v/>
      </c>
      <c r="AV330">
        <f>AS330+AT330-AU330</f>
        <v/>
      </c>
      <c r="AW330">
        <f>MIN(AV330,MAX(0,$B330-((E$5&lt;AU$5)*F330+(K$5&lt;AU$5)*L330+(Q$5&lt;AU$5)*R330+(W$5&lt;AU$5)*X330+(AC$5&lt;AU$5)*AD330+(AI$5&lt;AU$5)*AJ330+(AO$5&lt;AU$5)*AP330)))</f>
        <v/>
      </c>
      <c r="AX330">
        <f>IF(AV330-AW330&lt;0.005,0,AV330-AW330)</f>
        <v/>
      </c>
      <c r="BC330">
        <f>H330+N330+T330+Z330+AF330+AL330+AR330+AX330</f>
        <v/>
      </c>
    </row>
    <row r="331">
      <c r="A331" t="n">
        <v>325</v>
      </c>
      <c r="B331" s="19">
        <f>MAX(0,$B$3-(E331+K331+Q331+W331+AC331+AI331+AO331+AU331))</f>
        <v/>
      </c>
      <c r="C331">
        <f>H330</f>
        <v/>
      </c>
      <c r="D331">
        <f>C331*Plan!D6/100/12</f>
        <v/>
      </c>
      <c r="E331">
        <f>MIN(Plan!E6,C331+D331)</f>
        <v/>
      </c>
      <c r="F331">
        <f>C331+D331-E331</f>
        <v/>
      </c>
      <c r="G331">
        <f>MIN(F331,MAX(0,$B331-((K$5&lt;E$5)*L331+(Q$5&lt;E$5)*R331+(W$5&lt;E$5)*X331+(AC$5&lt;E$5)*AD331+(AI$5&lt;E$5)*AJ331+(AO$5&lt;E$5)*AP331+(AU$5&lt;E$5)*AV331)))</f>
        <v/>
      </c>
      <c r="H331">
        <f>IF(F331-G331&lt;0.005,0,F331-G331)</f>
        <v/>
      </c>
      <c r="I331">
        <f>N330</f>
        <v/>
      </c>
      <c r="J331">
        <f>I331*Plan!D7/100/12</f>
        <v/>
      </c>
      <c r="K331">
        <f>MIN(Plan!E7,I331+J331)</f>
        <v/>
      </c>
      <c r="L331">
        <f>I331+J331-K331</f>
        <v/>
      </c>
      <c r="M331">
        <f>MIN(L331,MAX(0,$B331-((E$5&lt;K$5)*F331+(Q$5&lt;K$5)*R331+(W$5&lt;K$5)*X331+(AC$5&lt;K$5)*AD331+(AI$5&lt;K$5)*AJ331+(AO$5&lt;K$5)*AP331+(AU$5&lt;K$5)*AV331)))</f>
        <v/>
      </c>
      <c r="N331">
        <f>IF(L331-M331&lt;0.005,0,L331-M331)</f>
        <v/>
      </c>
      <c r="O331">
        <f>T330</f>
        <v/>
      </c>
      <c r="P331">
        <f>O331*Plan!D8/100/12</f>
        <v/>
      </c>
      <c r="Q331">
        <f>MIN(Plan!E8,O331+P331)</f>
        <v/>
      </c>
      <c r="R331">
        <f>O331+P331-Q331</f>
        <v/>
      </c>
      <c r="S331">
        <f>MIN(R331,MAX(0,$B331-((E$5&lt;Q$5)*F331+(K$5&lt;Q$5)*L331+(W$5&lt;Q$5)*X331+(AC$5&lt;Q$5)*AD331+(AI$5&lt;Q$5)*AJ331+(AO$5&lt;Q$5)*AP331+(AU$5&lt;Q$5)*AV331)))</f>
        <v/>
      </c>
      <c r="T331">
        <f>IF(R331-S331&lt;0.005,0,R331-S331)</f>
        <v/>
      </c>
      <c r="U331">
        <f>Z330</f>
        <v/>
      </c>
      <c r="V331">
        <f>U331*Plan!D9/100/12</f>
        <v/>
      </c>
      <c r="W331">
        <f>MIN(Plan!E9,U331+V331)</f>
        <v/>
      </c>
      <c r="X331">
        <f>U331+V331-W331</f>
        <v/>
      </c>
      <c r="Y331">
        <f>MIN(X331,MAX(0,$B331-((E$5&lt;W$5)*F331+(K$5&lt;W$5)*L331+(Q$5&lt;W$5)*R331+(AC$5&lt;W$5)*AD331+(AI$5&lt;W$5)*AJ331+(AO$5&lt;W$5)*AP331+(AU$5&lt;W$5)*AV331)))</f>
        <v/>
      </c>
      <c r="Z331">
        <f>IF(X331-Y331&lt;0.005,0,X331-Y331)</f>
        <v/>
      </c>
      <c r="AA331">
        <f>AF330</f>
        <v/>
      </c>
      <c r="AB331">
        <f>AA331*Plan!D10/100/12</f>
        <v/>
      </c>
      <c r="AC331">
        <f>MIN(Plan!E10,AA331+AB331)</f>
        <v/>
      </c>
      <c r="AD331">
        <f>AA331+AB331-AC331</f>
        <v/>
      </c>
      <c r="AE331">
        <f>MIN(AD331,MAX(0,$B331-((E$5&lt;AC$5)*F331+(K$5&lt;AC$5)*L331+(Q$5&lt;AC$5)*R331+(W$5&lt;AC$5)*X331+(AI$5&lt;AC$5)*AJ331+(AO$5&lt;AC$5)*AP331+(AU$5&lt;AC$5)*AV331)))</f>
        <v/>
      </c>
      <c r="AF331">
        <f>IF(AD331-AE331&lt;0.005,0,AD331-AE331)</f>
        <v/>
      </c>
      <c r="AG331">
        <f>AL330</f>
        <v/>
      </c>
      <c r="AH331">
        <f>AG331*Plan!D11/100/12</f>
        <v/>
      </c>
      <c r="AI331">
        <f>MIN(Plan!E11,AG331+AH331)</f>
        <v/>
      </c>
      <c r="AJ331">
        <f>AG331+AH331-AI331</f>
        <v/>
      </c>
      <c r="AK331">
        <f>MIN(AJ331,MAX(0,$B331-((E$5&lt;AI$5)*F331+(K$5&lt;AI$5)*L331+(Q$5&lt;AI$5)*R331+(W$5&lt;AI$5)*X331+(AC$5&lt;AI$5)*AD331+(AO$5&lt;AI$5)*AP331+(AU$5&lt;AI$5)*AV331)))</f>
        <v/>
      </c>
      <c r="AL331">
        <f>IF(AJ331-AK331&lt;0.005,0,AJ331-AK331)</f>
        <v/>
      </c>
      <c r="AM331">
        <f>AR330</f>
        <v/>
      </c>
      <c r="AN331">
        <f>AM331*Plan!D12/100/12</f>
        <v/>
      </c>
      <c r="AO331">
        <f>MIN(Plan!E12,AM331+AN331)</f>
        <v/>
      </c>
      <c r="AP331">
        <f>AM331+AN331-AO331</f>
        <v/>
      </c>
      <c r="AQ331">
        <f>MIN(AP331,MAX(0,$B331-((E$5&lt;AO$5)*F331+(K$5&lt;AO$5)*L331+(Q$5&lt;AO$5)*R331+(W$5&lt;AO$5)*X331+(AC$5&lt;AO$5)*AD331+(AI$5&lt;AO$5)*AJ331+(AU$5&lt;AO$5)*AV331)))</f>
        <v/>
      </c>
      <c r="AR331">
        <f>IF(AP331-AQ331&lt;0.005,0,AP331-AQ331)</f>
        <v/>
      </c>
      <c r="AS331">
        <f>AX330</f>
        <v/>
      </c>
      <c r="AT331">
        <f>AS331*Plan!D13/100/12</f>
        <v/>
      </c>
      <c r="AU331">
        <f>MIN(Plan!E13,AS331+AT331)</f>
        <v/>
      </c>
      <c r="AV331">
        <f>AS331+AT331-AU331</f>
        <v/>
      </c>
      <c r="AW331">
        <f>MIN(AV331,MAX(0,$B331-((E$5&lt;AU$5)*F331+(K$5&lt;AU$5)*L331+(Q$5&lt;AU$5)*R331+(W$5&lt;AU$5)*X331+(AC$5&lt;AU$5)*AD331+(AI$5&lt;AU$5)*AJ331+(AO$5&lt;AU$5)*AP331)))</f>
        <v/>
      </c>
      <c r="AX331">
        <f>IF(AV331-AW331&lt;0.005,0,AV331-AW331)</f>
        <v/>
      </c>
      <c r="BC331">
        <f>H331+N331+T331+Z331+AF331+AL331+AR331+AX331</f>
        <v/>
      </c>
    </row>
    <row r="332">
      <c r="A332" t="n">
        <v>326</v>
      </c>
      <c r="B332" s="19">
        <f>MAX(0,$B$3-(E332+K332+Q332+W332+AC332+AI332+AO332+AU332))</f>
        <v/>
      </c>
      <c r="C332">
        <f>H331</f>
        <v/>
      </c>
      <c r="D332">
        <f>C332*Plan!D6/100/12</f>
        <v/>
      </c>
      <c r="E332">
        <f>MIN(Plan!E6,C332+D332)</f>
        <v/>
      </c>
      <c r="F332">
        <f>C332+D332-E332</f>
        <v/>
      </c>
      <c r="G332">
        <f>MIN(F332,MAX(0,$B332-((K$5&lt;E$5)*L332+(Q$5&lt;E$5)*R332+(W$5&lt;E$5)*X332+(AC$5&lt;E$5)*AD332+(AI$5&lt;E$5)*AJ332+(AO$5&lt;E$5)*AP332+(AU$5&lt;E$5)*AV332)))</f>
        <v/>
      </c>
      <c r="H332">
        <f>IF(F332-G332&lt;0.005,0,F332-G332)</f>
        <v/>
      </c>
      <c r="I332">
        <f>N331</f>
        <v/>
      </c>
      <c r="J332">
        <f>I332*Plan!D7/100/12</f>
        <v/>
      </c>
      <c r="K332">
        <f>MIN(Plan!E7,I332+J332)</f>
        <v/>
      </c>
      <c r="L332">
        <f>I332+J332-K332</f>
        <v/>
      </c>
      <c r="M332">
        <f>MIN(L332,MAX(0,$B332-((E$5&lt;K$5)*F332+(Q$5&lt;K$5)*R332+(W$5&lt;K$5)*X332+(AC$5&lt;K$5)*AD332+(AI$5&lt;K$5)*AJ332+(AO$5&lt;K$5)*AP332+(AU$5&lt;K$5)*AV332)))</f>
        <v/>
      </c>
      <c r="N332">
        <f>IF(L332-M332&lt;0.005,0,L332-M332)</f>
        <v/>
      </c>
      <c r="O332">
        <f>T331</f>
        <v/>
      </c>
      <c r="P332">
        <f>O332*Plan!D8/100/12</f>
        <v/>
      </c>
      <c r="Q332">
        <f>MIN(Plan!E8,O332+P332)</f>
        <v/>
      </c>
      <c r="R332">
        <f>O332+P332-Q332</f>
        <v/>
      </c>
      <c r="S332">
        <f>MIN(R332,MAX(0,$B332-((E$5&lt;Q$5)*F332+(K$5&lt;Q$5)*L332+(W$5&lt;Q$5)*X332+(AC$5&lt;Q$5)*AD332+(AI$5&lt;Q$5)*AJ332+(AO$5&lt;Q$5)*AP332+(AU$5&lt;Q$5)*AV332)))</f>
        <v/>
      </c>
      <c r="T332">
        <f>IF(R332-S332&lt;0.005,0,R332-S332)</f>
        <v/>
      </c>
      <c r="U332">
        <f>Z331</f>
        <v/>
      </c>
      <c r="V332">
        <f>U332*Plan!D9/100/12</f>
        <v/>
      </c>
      <c r="W332">
        <f>MIN(Plan!E9,U332+V332)</f>
        <v/>
      </c>
      <c r="X332">
        <f>U332+V332-W332</f>
        <v/>
      </c>
      <c r="Y332">
        <f>MIN(X332,MAX(0,$B332-((E$5&lt;W$5)*F332+(K$5&lt;W$5)*L332+(Q$5&lt;W$5)*R332+(AC$5&lt;W$5)*AD332+(AI$5&lt;W$5)*AJ332+(AO$5&lt;W$5)*AP332+(AU$5&lt;W$5)*AV332)))</f>
        <v/>
      </c>
      <c r="Z332">
        <f>IF(X332-Y332&lt;0.005,0,X332-Y332)</f>
        <v/>
      </c>
      <c r="AA332">
        <f>AF331</f>
        <v/>
      </c>
      <c r="AB332">
        <f>AA332*Plan!D10/100/12</f>
        <v/>
      </c>
      <c r="AC332">
        <f>MIN(Plan!E10,AA332+AB332)</f>
        <v/>
      </c>
      <c r="AD332">
        <f>AA332+AB332-AC332</f>
        <v/>
      </c>
      <c r="AE332">
        <f>MIN(AD332,MAX(0,$B332-((E$5&lt;AC$5)*F332+(K$5&lt;AC$5)*L332+(Q$5&lt;AC$5)*R332+(W$5&lt;AC$5)*X332+(AI$5&lt;AC$5)*AJ332+(AO$5&lt;AC$5)*AP332+(AU$5&lt;AC$5)*AV332)))</f>
        <v/>
      </c>
      <c r="AF332">
        <f>IF(AD332-AE332&lt;0.005,0,AD332-AE332)</f>
        <v/>
      </c>
      <c r="AG332">
        <f>AL331</f>
        <v/>
      </c>
      <c r="AH332">
        <f>AG332*Plan!D11/100/12</f>
        <v/>
      </c>
      <c r="AI332">
        <f>MIN(Plan!E11,AG332+AH332)</f>
        <v/>
      </c>
      <c r="AJ332">
        <f>AG332+AH332-AI332</f>
        <v/>
      </c>
      <c r="AK332">
        <f>MIN(AJ332,MAX(0,$B332-((E$5&lt;AI$5)*F332+(K$5&lt;AI$5)*L332+(Q$5&lt;AI$5)*R332+(W$5&lt;AI$5)*X332+(AC$5&lt;AI$5)*AD332+(AO$5&lt;AI$5)*AP332+(AU$5&lt;AI$5)*AV332)))</f>
        <v/>
      </c>
      <c r="AL332">
        <f>IF(AJ332-AK332&lt;0.005,0,AJ332-AK332)</f>
        <v/>
      </c>
      <c r="AM332">
        <f>AR331</f>
        <v/>
      </c>
      <c r="AN332">
        <f>AM332*Plan!D12/100/12</f>
        <v/>
      </c>
      <c r="AO332">
        <f>MIN(Plan!E12,AM332+AN332)</f>
        <v/>
      </c>
      <c r="AP332">
        <f>AM332+AN332-AO332</f>
        <v/>
      </c>
      <c r="AQ332">
        <f>MIN(AP332,MAX(0,$B332-((E$5&lt;AO$5)*F332+(K$5&lt;AO$5)*L332+(Q$5&lt;AO$5)*R332+(W$5&lt;AO$5)*X332+(AC$5&lt;AO$5)*AD332+(AI$5&lt;AO$5)*AJ332+(AU$5&lt;AO$5)*AV332)))</f>
        <v/>
      </c>
      <c r="AR332">
        <f>IF(AP332-AQ332&lt;0.005,0,AP332-AQ332)</f>
        <v/>
      </c>
      <c r="AS332">
        <f>AX331</f>
        <v/>
      </c>
      <c r="AT332">
        <f>AS332*Plan!D13/100/12</f>
        <v/>
      </c>
      <c r="AU332">
        <f>MIN(Plan!E13,AS332+AT332)</f>
        <v/>
      </c>
      <c r="AV332">
        <f>AS332+AT332-AU332</f>
        <v/>
      </c>
      <c r="AW332">
        <f>MIN(AV332,MAX(0,$B332-((E$5&lt;AU$5)*F332+(K$5&lt;AU$5)*L332+(Q$5&lt;AU$5)*R332+(W$5&lt;AU$5)*X332+(AC$5&lt;AU$5)*AD332+(AI$5&lt;AU$5)*AJ332+(AO$5&lt;AU$5)*AP332)))</f>
        <v/>
      </c>
      <c r="AX332">
        <f>IF(AV332-AW332&lt;0.005,0,AV332-AW332)</f>
        <v/>
      </c>
      <c r="BC332">
        <f>H332+N332+T332+Z332+AF332+AL332+AR332+AX332</f>
        <v/>
      </c>
    </row>
    <row r="333">
      <c r="A333" t="n">
        <v>327</v>
      </c>
      <c r="B333" s="19">
        <f>MAX(0,$B$3-(E333+K333+Q333+W333+AC333+AI333+AO333+AU333))</f>
        <v/>
      </c>
      <c r="C333">
        <f>H332</f>
        <v/>
      </c>
      <c r="D333">
        <f>C333*Plan!D6/100/12</f>
        <v/>
      </c>
      <c r="E333">
        <f>MIN(Plan!E6,C333+D333)</f>
        <v/>
      </c>
      <c r="F333">
        <f>C333+D333-E333</f>
        <v/>
      </c>
      <c r="G333">
        <f>MIN(F333,MAX(0,$B333-((K$5&lt;E$5)*L333+(Q$5&lt;E$5)*R333+(W$5&lt;E$5)*X333+(AC$5&lt;E$5)*AD333+(AI$5&lt;E$5)*AJ333+(AO$5&lt;E$5)*AP333+(AU$5&lt;E$5)*AV333)))</f>
        <v/>
      </c>
      <c r="H333">
        <f>IF(F333-G333&lt;0.005,0,F333-G333)</f>
        <v/>
      </c>
      <c r="I333">
        <f>N332</f>
        <v/>
      </c>
      <c r="J333">
        <f>I333*Plan!D7/100/12</f>
        <v/>
      </c>
      <c r="K333">
        <f>MIN(Plan!E7,I333+J333)</f>
        <v/>
      </c>
      <c r="L333">
        <f>I333+J333-K333</f>
        <v/>
      </c>
      <c r="M333">
        <f>MIN(L333,MAX(0,$B333-((E$5&lt;K$5)*F333+(Q$5&lt;K$5)*R333+(W$5&lt;K$5)*X333+(AC$5&lt;K$5)*AD333+(AI$5&lt;K$5)*AJ333+(AO$5&lt;K$5)*AP333+(AU$5&lt;K$5)*AV333)))</f>
        <v/>
      </c>
      <c r="N333">
        <f>IF(L333-M333&lt;0.005,0,L333-M333)</f>
        <v/>
      </c>
      <c r="O333">
        <f>T332</f>
        <v/>
      </c>
      <c r="P333">
        <f>O333*Plan!D8/100/12</f>
        <v/>
      </c>
      <c r="Q333">
        <f>MIN(Plan!E8,O333+P333)</f>
        <v/>
      </c>
      <c r="R333">
        <f>O333+P333-Q333</f>
        <v/>
      </c>
      <c r="S333">
        <f>MIN(R333,MAX(0,$B333-((E$5&lt;Q$5)*F333+(K$5&lt;Q$5)*L333+(W$5&lt;Q$5)*X333+(AC$5&lt;Q$5)*AD333+(AI$5&lt;Q$5)*AJ333+(AO$5&lt;Q$5)*AP333+(AU$5&lt;Q$5)*AV333)))</f>
        <v/>
      </c>
      <c r="T333">
        <f>IF(R333-S333&lt;0.005,0,R333-S333)</f>
        <v/>
      </c>
      <c r="U333">
        <f>Z332</f>
        <v/>
      </c>
      <c r="V333">
        <f>U333*Plan!D9/100/12</f>
        <v/>
      </c>
      <c r="W333">
        <f>MIN(Plan!E9,U333+V333)</f>
        <v/>
      </c>
      <c r="X333">
        <f>U333+V333-W333</f>
        <v/>
      </c>
      <c r="Y333">
        <f>MIN(X333,MAX(0,$B333-((E$5&lt;W$5)*F333+(K$5&lt;W$5)*L333+(Q$5&lt;W$5)*R333+(AC$5&lt;W$5)*AD333+(AI$5&lt;W$5)*AJ333+(AO$5&lt;W$5)*AP333+(AU$5&lt;W$5)*AV333)))</f>
        <v/>
      </c>
      <c r="Z333">
        <f>IF(X333-Y333&lt;0.005,0,X333-Y333)</f>
        <v/>
      </c>
      <c r="AA333">
        <f>AF332</f>
        <v/>
      </c>
      <c r="AB333">
        <f>AA333*Plan!D10/100/12</f>
        <v/>
      </c>
      <c r="AC333">
        <f>MIN(Plan!E10,AA333+AB333)</f>
        <v/>
      </c>
      <c r="AD333">
        <f>AA333+AB333-AC333</f>
        <v/>
      </c>
      <c r="AE333">
        <f>MIN(AD333,MAX(0,$B333-((E$5&lt;AC$5)*F333+(K$5&lt;AC$5)*L333+(Q$5&lt;AC$5)*R333+(W$5&lt;AC$5)*X333+(AI$5&lt;AC$5)*AJ333+(AO$5&lt;AC$5)*AP333+(AU$5&lt;AC$5)*AV333)))</f>
        <v/>
      </c>
      <c r="AF333">
        <f>IF(AD333-AE333&lt;0.005,0,AD333-AE333)</f>
        <v/>
      </c>
      <c r="AG333">
        <f>AL332</f>
        <v/>
      </c>
      <c r="AH333">
        <f>AG333*Plan!D11/100/12</f>
        <v/>
      </c>
      <c r="AI333">
        <f>MIN(Plan!E11,AG333+AH333)</f>
        <v/>
      </c>
      <c r="AJ333">
        <f>AG333+AH333-AI333</f>
        <v/>
      </c>
      <c r="AK333">
        <f>MIN(AJ333,MAX(0,$B333-((E$5&lt;AI$5)*F333+(K$5&lt;AI$5)*L333+(Q$5&lt;AI$5)*R333+(W$5&lt;AI$5)*X333+(AC$5&lt;AI$5)*AD333+(AO$5&lt;AI$5)*AP333+(AU$5&lt;AI$5)*AV333)))</f>
        <v/>
      </c>
      <c r="AL333">
        <f>IF(AJ333-AK333&lt;0.005,0,AJ333-AK333)</f>
        <v/>
      </c>
      <c r="AM333">
        <f>AR332</f>
        <v/>
      </c>
      <c r="AN333">
        <f>AM333*Plan!D12/100/12</f>
        <v/>
      </c>
      <c r="AO333">
        <f>MIN(Plan!E12,AM333+AN333)</f>
        <v/>
      </c>
      <c r="AP333">
        <f>AM333+AN333-AO333</f>
        <v/>
      </c>
      <c r="AQ333">
        <f>MIN(AP333,MAX(0,$B333-((E$5&lt;AO$5)*F333+(K$5&lt;AO$5)*L333+(Q$5&lt;AO$5)*R333+(W$5&lt;AO$5)*X333+(AC$5&lt;AO$5)*AD333+(AI$5&lt;AO$5)*AJ333+(AU$5&lt;AO$5)*AV333)))</f>
        <v/>
      </c>
      <c r="AR333">
        <f>IF(AP333-AQ333&lt;0.005,0,AP333-AQ333)</f>
        <v/>
      </c>
      <c r="AS333">
        <f>AX332</f>
        <v/>
      </c>
      <c r="AT333">
        <f>AS333*Plan!D13/100/12</f>
        <v/>
      </c>
      <c r="AU333">
        <f>MIN(Plan!E13,AS333+AT333)</f>
        <v/>
      </c>
      <c r="AV333">
        <f>AS333+AT333-AU333</f>
        <v/>
      </c>
      <c r="AW333">
        <f>MIN(AV333,MAX(0,$B333-((E$5&lt;AU$5)*F333+(K$5&lt;AU$5)*L333+(Q$5&lt;AU$5)*R333+(W$5&lt;AU$5)*X333+(AC$5&lt;AU$5)*AD333+(AI$5&lt;AU$5)*AJ333+(AO$5&lt;AU$5)*AP333)))</f>
        <v/>
      </c>
      <c r="AX333">
        <f>IF(AV333-AW333&lt;0.005,0,AV333-AW333)</f>
        <v/>
      </c>
      <c r="BC333">
        <f>H333+N333+T333+Z333+AF333+AL333+AR333+AX333</f>
        <v/>
      </c>
    </row>
    <row r="334">
      <c r="A334" t="n">
        <v>328</v>
      </c>
      <c r="B334" s="19">
        <f>MAX(0,$B$3-(E334+K334+Q334+W334+AC334+AI334+AO334+AU334))</f>
        <v/>
      </c>
      <c r="C334">
        <f>H333</f>
        <v/>
      </c>
      <c r="D334">
        <f>C334*Plan!D6/100/12</f>
        <v/>
      </c>
      <c r="E334">
        <f>MIN(Plan!E6,C334+D334)</f>
        <v/>
      </c>
      <c r="F334">
        <f>C334+D334-E334</f>
        <v/>
      </c>
      <c r="G334">
        <f>MIN(F334,MAX(0,$B334-((K$5&lt;E$5)*L334+(Q$5&lt;E$5)*R334+(W$5&lt;E$5)*X334+(AC$5&lt;E$5)*AD334+(AI$5&lt;E$5)*AJ334+(AO$5&lt;E$5)*AP334+(AU$5&lt;E$5)*AV334)))</f>
        <v/>
      </c>
      <c r="H334">
        <f>IF(F334-G334&lt;0.005,0,F334-G334)</f>
        <v/>
      </c>
      <c r="I334">
        <f>N333</f>
        <v/>
      </c>
      <c r="J334">
        <f>I334*Plan!D7/100/12</f>
        <v/>
      </c>
      <c r="K334">
        <f>MIN(Plan!E7,I334+J334)</f>
        <v/>
      </c>
      <c r="L334">
        <f>I334+J334-K334</f>
        <v/>
      </c>
      <c r="M334">
        <f>MIN(L334,MAX(0,$B334-((E$5&lt;K$5)*F334+(Q$5&lt;K$5)*R334+(W$5&lt;K$5)*X334+(AC$5&lt;K$5)*AD334+(AI$5&lt;K$5)*AJ334+(AO$5&lt;K$5)*AP334+(AU$5&lt;K$5)*AV334)))</f>
        <v/>
      </c>
      <c r="N334">
        <f>IF(L334-M334&lt;0.005,0,L334-M334)</f>
        <v/>
      </c>
      <c r="O334">
        <f>T333</f>
        <v/>
      </c>
      <c r="P334">
        <f>O334*Plan!D8/100/12</f>
        <v/>
      </c>
      <c r="Q334">
        <f>MIN(Plan!E8,O334+P334)</f>
        <v/>
      </c>
      <c r="R334">
        <f>O334+P334-Q334</f>
        <v/>
      </c>
      <c r="S334">
        <f>MIN(R334,MAX(0,$B334-((E$5&lt;Q$5)*F334+(K$5&lt;Q$5)*L334+(W$5&lt;Q$5)*X334+(AC$5&lt;Q$5)*AD334+(AI$5&lt;Q$5)*AJ334+(AO$5&lt;Q$5)*AP334+(AU$5&lt;Q$5)*AV334)))</f>
        <v/>
      </c>
      <c r="T334">
        <f>IF(R334-S334&lt;0.005,0,R334-S334)</f>
        <v/>
      </c>
      <c r="U334">
        <f>Z333</f>
        <v/>
      </c>
      <c r="V334">
        <f>U334*Plan!D9/100/12</f>
        <v/>
      </c>
      <c r="W334">
        <f>MIN(Plan!E9,U334+V334)</f>
        <v/>
      </c>
      <c r="X334">
        <f>U334+V334-W334</f>
        <v/>
      </c>
      <c r="Y334">
        <f>MIN(X334,MAX(0,$B334-((E$5&lt;W$5)*F334+(K$5&lt;W$5)*L334+(Q$5&lt;W$5)*R334+(AC$5&lt;W$5)*AD334+(AI$5&lt;W$5)*AJ334+(AO$5&lt;W$5)*AP334+(AU$5&lt;W$5)*AV334)))</f>
        <v/>
      </c>
      <c r="Z334">
        <f>IF(X334-Y334&lt;0.005,0,X334-Y334)</f>
        <v/>
      </c>
      <c r="AA334">
        <f>AF333</f>
        <v/>
      </c>
      <c r="AB334">
        <f>AA334*Plan!D10/100/12</f>
        <v/>
      </c>
      <c r="AC334">
        <f>MIN(Plan!E10,AA334+AB334)</f>
        <v/>
      </c>
      <c r="AD334">
        <f>AA334+AB334-AC334</f>
        <v/>
      </c>
      <c r="AE334">
        <f>MIN(AD334,MAX(0,$B334-((E$5&lt;AC$5)*F334+(K$5&lt;AC$5)*L334+(Q$5&lt;AC$5)*R334+(W$5&lt;AC$5)*X334+(AI$5&lt;AC$5)*AJ334+(AO$5&lt;AC$5)*AP334+(AU$5&lt;AC$5)*AV334)))</f>
        <v/>
      </c>
      <c r="AF334">
        <f>IF(AD334-AE334&lt;0.005,0,AD334-AE334)</f>
        <v/>
      </c>
      <c r="AG334">
        <f>AL333</f>
        <v/>
      </c>
      <c r="AH334">
        <f>AG334*Plan!D11/100/12</f>
        <v/>
      </c>
      <c r="AI334">
        <f>MIN(Plan!E11,AG334+AH334)</f>
        <v/>
      </c>
      <c r="AJ334">
        <f>AG334+AH334-AI334</f>
        <v/>
      </c>
      <c r="AK334">
        <f>MIN(AJ334,MAX(0,$B334-((E$5&lt;AI$5)*F334+(K$5&lt;AI$5)*L334+(Q$5&lt;AI$5)*R334+(W$5&lt;AI$5)*X334+(AC$5&lt;AI$5)*AD334+(AO$5&lt;AI$5)*AP334+(AU$5&lt;AI$5)*AV334)))</f>
        <v/>
      </c>
      <c r="AL334">
        <f>IF(AJ334-AK334&lt;0.005,0,AJ334-AK334)</f>
        <v/>
      </c>
      <c r="AM334">
        <f>AR333</f>
        <v/>
      </c>
      <c r="AN334">
        <f>AM334*Plan!D12/100/12</f>
        <v/>
      </c>
      <c r="AO334">
        <f>MIN(Plan!E12,AM334+AN334)</f>
        <v/>
      </c>
      <c r="AP334">
        <f>AM334+AN334-AO334</f>
        <v/>
      </c>
      <c r="AQ334">
        <f>MIN(AP334,MAX(0,$B334-((E$5&lt;AO$5)*F334+(K$5&lt;AO$5)*L334+(Q$5&lt;AO$5)*R334+(W$5&lt;AO$5)*X334+(AC$5&lt;AO$5)*AD334+(AI$5&lt;AO$5)*AJ334+(AU$5&lt;AO$5)*AV334)))</f>
        <v/>
      </c>
      <c r="AR334">
        <f>IF(AP334-AQ334&lt;0.005,0,AP334-AQ334)</f>
        <v/>
      </c>
      <c r="AS334">
        <f>AX333</f>
        <v/>
      </c>
      <c r="AT334">
        <f>AS334*Plan!D13/100/12</f>
        <v/>
      </c>
      <c r="AU334">
        <f>MIN(Plan!E13,AS334+AT334)</f>
        <v/>
      </c>
      <c r="AV334">
        <f>AS334+AT334-AU334</f>
        <v/>
      </c>
      <c r="AW334">
        <f>MIN(AV334,MAX(0,$B334-((E$5&lt;AU$5)*F334+(K$5&lt;AU$5)*L334+(Q$5&lt;AU$5)*R334+(W$5&lt;AU$5)*X334+(AC$5&lt;AU$5)*AD334+(AI$5&lt;AU$5)*AJ334+(AO$5&lt;AU$5)*AP334)))</f>
        <v/>
      </c>
      <c r="AX334">
        <f>IF(AV334-AW334&lt;0.005,0,AV334-AW334)</f>
        <v/>
      </c>
      <c r="BC334">
        <f>H334+N334+T334+Z334+AF334+AL334+AR334+AX334</f>
        <v/>
      </c>
    </row>
    <row r="335">
      <c r="A335" t="n">
        <v>329</v>
      </c>
      <c r="B335" s="19">
        <f>MAX(0,$B$3-(E335+K335+Q335+W335+AC335+AI335+AO335+AU335))</f>
        <v/>
      </c>
      <c r="C335">
        <f>H334</f>
        <v/>
      </c>
      <c r="D335">
        <f>C335*Plan!D6/100/12</f>
        <v/>
      </c>
      <c r="E335">
        <f>MIN(Plan!E6,C335+D335)</f>
        <v/>
      </c>
      <c r="F335">
        <f>C335+D335-E335</f>
        <v/>
      </c>
      <c r="G335">
        <f>MIN(F335,MAX(0,$B335-((K$5&lt;E$5)*L335+(Q$5&lt;E$5)*R335+(W$5&lt;E$5)*X335+(AC$5&lt;E$5)*AD335+(AI$5&lt;E$5)*AJ335+(AO$5&lt;E$5)*AP335+(AU$5&lt;E$5)*AV335)))</f>
        <v/>
      </c>
      <c r="H335">
        <f>IF(F335-G335&lt;0.005,0,F335-G335)</f>
        <v/>
      </c>
      <c r="I335">
        <f>N334</f>
        <v/>
      </c>
      <c r="J335">
        <f>I335*Plan!D7/100/12</f>
        <v/>
      </c>
      <c r="K335">
        <f>MIN(Plan!E7,I335+J335)</f>
        <v/>
      </c>
      <c r="L335">
        <f>I335+J335-K335</f>
        <v/>
      </c>
      <c r="M335">
        <f>MIN(L335,MAX(0,$B335-((E$5&lt;K$5)*F335+(Q$5&lt;K$5)*R335+(W$5&lt;K$5)*X335+(AC$5&lt;K$5)*AD335+(AI$5&lt;K$5)*AJ335+(AO$5&lt;K$5)*AP335+(AU$5&lt;K$5)*AV335)))</f>
        <v/>
      </c>
      <c r="N335">
        <f>IF(L335-M335&lt;0.005,0,L335-M335)</f>
        <v/>
      </c>
      <c r="O335">
        <f>T334</f>
        <v/>
      </c>
      <c r="P335">
        <f>O335*Plan!D8/100/12</f>
        <v/>
      </c>
      <c r="Q335">
        <f>MIN(Plan!E8,O335+P335)</f>
        <v/>
      </c>
      <c r="R335">
        <f>O335+P335-Q335</f>
        <v/>
      </c>
      <c r="S335">
        <f>MIN(R335,MAX(0,$B335-((E$5&lt;Q$5)*F335+(K$5&lt;Q$5)*L335+(W$5&lt;Q$5)*X335+(AC$5&lt;Q$5)*AD335+(AI$5&lt;Q$5)*AJ335+(AO$5&lt;Q$5)*AP335+(AU$5&lt;Q$5)*AV335)))</f>
        <v/>
      </c>
      <c r="T335">
        <f>IF(R335-S335&lt;0.005,0,R335-S335)</f>
        <v/>
      </c>
      <c r="U335">
        <f>Z334</f>
        <v/>
      </c>
      <c r="V335">
        <f>U335*Plan!D9/100/12</f>
        <v/>
      </c>
      <c r="W335">
        <f>MIN(Plan!E9,U335+V335)</f>
        <v/>
      </c>
      <c r="X335">
        <f>U335+V335-W335</f>
        <v/>
      </c>
      <c r="Y335">
        <f>MIN(X335,MAX(0,$B335-((E$5&lt;W$5)*F335+(K$5&lt;W$5)*L335+(Q$5&lt;W$5)*R335+(AC$5&lt;W$5)*AD335+(AI$5&lt;W$5)*AJ335+(AO$5&lt;W$5)*AP335+(AU$5&lt;W$5)*AV335)))</f>
        <v/>
      </c>
      <c r="Z335">
        <f>IF(X335-Y335&lt;0.005,0,X335-Y335)</f>
        <v/>
      </c>
      <c r="AA335">
        <f>AF334</f>
        <v/>
      </c>
      <c r="AB335">
        <f>AA335*Plan!D10/100/12</f>
        <v/>
      </c>
      <c r="AC335">
        <f>MIN(Plan!E10,AA335+AB335)</f>
        <v/>
      </c>
      <c r="AD335">
        <f>AA335+AB335-AC335</f>
        <v/>
      </c>
      <c r="AE335">
        <f>MIN(AD335,MAX(0,$B335-((E$5&lt;AC$5)*F335+(K$5&lt;AC$5)*L335+(Q$5&lt;AC$5)*R335+(W$5&lt;AC$5)*X335+(AI$5&lt;AC$5)*AJ335+(AO$5&lt;AC$5)*AP335+(AU$5&lt;AC$5)*AV335)))</f>
        <v/>
      </c>
      <c r="AF335">
        <f>IF(AD335-AE335&lt;0.005,0,AD335-AE335)</f>
        <v/>
      </c>
      <c r="AG335">
        <f>AL334</f>
        <v/>
      </c>
      <c r="AH335">
        <f>AG335*Plan!D11/100/12</f>
        <v/>
      </c>
      <c r="AI335">
        <f>MIN(Plan!E11,AG335+AH335)</f>
        <v/>
      </c>
      <c r="AJ335">
        <f>AG335+AH335-AI335</f>
        <v/>
      </c>
      <c r="AK335">
        <f>MIN(AJ335,MAX(0,$B335-((E$5&lt;AI$5)*F335+(K$5&lt;AI$5)*L335+(Q$5&lt;AI$5)*R335+(W$5&lt;AI$5)*X335+(AC$5&lt;AI$5)*AD335+(AO$5&lt;AI$5)*AP335+(AU$5&lt;AI$5)*AV335)))</f>
        <v/>
      </c>
      <c r="AL335">
        <f>IF(AJ335-AK335&lt;0.005,0,AJ335-AK335)</f>
        <v/>
      </c>
      <c r="AM335">
        <f>AR334</f>
        <v/>
      </c>
      <c r="AN335">
        <f>AM335*Plan!D12/100/12</f>
        <v/>
      </c>
      <c r="AO335">
        <f>MIN(Plan!E12,AM335+AN335)</f>
        <v/>
      </c>
      <c r="AP335">
        <f>AM335+AN335-AO335</f>
        <v/>
      </c>
      <c r="AQ335">
        <f>MIN(AP335,MAX(0,$B335-((E$5&lt;AO$5)*F335+(K$5&lt;AO$5)*L335+(Q$5&lt;AO$5)*R335+(W$5&lt;AO$5)*X335+(AC$5&lt;AO$5)*AD335+(AI$5&lt;AO$5)*AJ335+(AU$5&lt;AO$5)*AV335)))</f>
        <v/>
      </c>
      <c r="AR335">
        <f>IF(AP335-AQ335&lt;0.005,0,AP335-AQ335)</f>
        <v/>
      </c>
      <c r="AS335">
        <f>AX334</f>
        <v/>
      </c>
      <c r="AT335">
        <f>AS335*Plan!D13/100/12</f>
        <v/>
      </c>
      <c r="AU335">
        <f>MIN(Plan!E13,AS335+AT335)</f>
        <v/>
      </c>
      <c r="AV335">
        <f>AS335+AT335-AU335</f>
        <v/>
      </c>
      <c r="AW335">
        <f>MIN(AV335,MAX(0,$B335-((E$5&lt;AU$5)*F335+(K$5&lt;AU$5)*L335+(Q$5&lt;AU$5)*R335+(W$5&lt;AU$5)*X335+(AC$5&lt;AU$5)*AD335+(AI$5&lt;AU$5)*AJ335+(AO$5&lt;AU$5)*AP335)))</f>
        <v/>
      </c>
      <c r="AX335">
        <f>IF(AV335-AW335&lt;0.005,0,AV335-AW335)</f>
        <v/>
      </c>
      <c r="BC335">
        <f>H335+N335+T335+Z335+AF335+AL335+AR335+AX335</f>
        <v/>
      </c>
    </row>
    <row r="336">
      <c r="A336" t="n">
        <v>330</v>
      </c>
      <c r="B336" s="19">
        <f>MAX(0,$B$3-(E336+K336+Q336+W336+AC336+AI336+AO336+AU336))</f>
        <v/>
      </c>
      <c r="C336">
        <f>H335</f>
        <v/>
      </c>
      <c r="D336">
        <f>C336*Plan!D6/100/12</f>
        <v/>
      </c>
      <c r="E336">
        <f>MIN(Plan!E6,C336+D336)</f>
        <v/>
      </c>
      <c r="F336">
        <f>C336+D336-E336</f>
        <v/>
      </c>
      <c r="G336">
        <f>MIN(F336,MAX(0,$B336-((K$5&lt;E$5)*L336+(Q$5&lt;E$5)*R336+(W$5&lt;E$5)*X336+(AC$5&lt;E$5)*AD336+(AI$5&lt;E$5)*AJ336+(AO$5&lt;E$5)*AP336+(AU$5&lt;E$5)*AV336)))</f>
        <v/>
      </c>
      <c r="H336">
        <f>IF(F336-G336&lt;0.005,0,F336-G336)</f>
        <v/>
      </c>
      <c r="I336">
        <f>N335</f>
        <v/>
      </c>
      <c r="J336">
        <f>I336*Plan!D7/100/12</f>
        <v/>
      </c>
      <c r="K336">
        <f>MIN(Plan!E7,I336+J336)</f>
        <v/>
      </c>
      <c r="L336">
        <f>I336+J336-K336</f>
        <v/>
      </c>
      <c r="M336">
        <f>MIN(L336,MAX(0,$B336-((E$5&lt;K$5)*F336+(Q$5&lt;K$5)*R336+(W$5&lt;K$5)*X336+(AC$5&lt;K$5)*AD336+(AI$5&lt;K$5)*AJ336+(AO$5&lt;K$5)*AP336+(AU$5&lt;K$5)*AV336)))</f>
        <v/>
      </c>
      <c r="N336">
        <f>IF(L336-M336&lt;0.005,0,L336-M336)</f>
        <v/>
      </c>
      <c r="O336">
        <f>T335</f>
        <v/>
      </c>
      <c r="P336">
        <f>O336*Plan!D8/100/12</f>
        <v/>
      </c>
      <c r="Q336">
        <f>MIN(Plan!E8,O336+P336)</f>
        <v/>
      </c>
      <c r="R336">
        <f>O336+P336-Q336</f>
        <v/>
      </c>
      <c r="S336">
        <f>MIN(R336,MAX(0,$B336-((E$5&lt;Q$5)*F336+(K$5&lt;Q$5)*L336+(W$5&lt;Q$5)*X336+(AC$5&lt;Q$5)*AD336+(AI$5&lt;Q$5)*AJ336+(AO$5&lt;Q$5)*AP336+(AU$5&lt;Q$5)*AV336)))</f>
        <v/>
      </c>
      <c r="T336">
        <f>IF(R336-S336&lt;0.005,0,R336-S336)</f>
        <v/>
      </c>
      <c r="U336">
        <f>Z335</f>
        <v/>
      </c>
      <c r="V336">
        <f>U336*Plan!D9/100/12</f>
        <v/>
      </c>
      <c r="W336">
        <f>MIN(Plan!E9,U336+V336)</f>
        <v/>
      </c>
      <c r="X336">
        <f>U336+V336-W336</f>
        <v/>
      </c>
      <c r="Y336">
        <f>MIN(X336,MAX(0,$B336-((E$5&lt;W$5)*F336+(K$5&lt;W$5)*L336+(Q$5&lt;W$5)*R336+(AC$5&lt;W$5)*AD336+(AI$5&lt;W$5)*AJ336+(AO$5&lt;W$5)*AP336+(AU$5&lt;W$5)*AV336)))</f>
        <v/>
      </c>
      <c r="Z336">
        <f>IF(X336-Y336&lt;0.005,0,X336-Y336)</f>
        <v/>
      </c>
      <c r="AA336">
        <f>AF335</f>
        <v/>
      </c>
      <c r="AB336">
        <f>AA336*Plan!D10/100/12</f>
        <v/>
      </c>
      <c r="AC336">
        <f>MIN(Plan!E10,AA336+AB336)</f>
        <v/>
      </c>
      <c r="AD336">
        <f>AA336+AB336-AC336</f>
        <v/>
      </c>
      <c r="AE336">
        <f>MIN(AD336,MAX(0,$B336-((E$5&lt;AC$5)*F336+(K$5&lt;AC$5)*L336+(Q$5&lt;AC$5)*R336+(W$5&lt;AC$5)*X336+(AI$5&lt;AC$5)*AJ336+(AO$5&lt;AC$5)*AP336+(AU$5&lt;AC$5)*AV336)))</f>
        <v/>
      </c>
      <c r="AF336">
        <f>IF(AD336-AE336&lt;0.005,0,AD336-AE336)</f>
        <v/>
      </c>
      <c r="AG336">
        <f>AL335</f>
        <v/>
      </c>
      <c r="AH336">
        <f>AG336*Plan!D11/100/12</f>
        <v/>
      </c>
      <c r="AI336">
        <f>MIN(Plan!E11,AG336+AH336)</f>
        <v/>
      </c>
      <c r="AJ336">
        <f>AG336+AH336-AI336</f>
        <v/>
      </c>
      <c r="AK336">
        <f>MIN(AJ336,MAX(0,$B336-((E$5&lt;AI$5)*F336+(K$5&lt;AI$5)*L336+(Q$5&lt;AI$5)*R336+(W$5&lt;AI$5)*X336+(AC$5&lt;AI$5)*AD336+(AO$5&lt;AI$5)*AP336+(AU$5&lt;AI$5)*AV336)))</f>
        <v/>
      </c>
      <c r="AL336">
        <f>IF(AJ336-AK336&lt;0.005,0,AJ336-AK336)</f>
        <v/>
      </c>
      <c r="AM336">
        <f>AR335</f>
        <v/>
      </c>
      <c r="AN336">
        <f>AM336*Plan!D12/100/12</f>
        <v/>
      </c>
      <c r="AO336">
        <f>MIN(Plan!E12,AM336+AN336)</f>
        <v/>
      </c>
      <c r="AP336">
        <f>AM336+AN336-AO336</f>
        <v/>
      </c>
      <c r="AQ336">
        <f>MIN(AP336,MAX(0,$B336-((E$5&lt;AO$5)*F336+(K$5&lt;AO$5)*L336+(Q$5&lt;AO$5)*R336+(W$5&lt;AO$5)*X336+(AC$5&lt;AO$5)*AD336+(AI$5&lt;AO$5)*AJ336+(AU$5&lt;AO$5)*AV336)))</f>
        <v/>
      </c>
      <c r="AR336">
        <f>IF(AP336-AQ336&lt;0.005,0,AP336-AQ336)</f>
        <v/>
      </c>
      <c r="AS336">
        <f>AX335</f>
        <v/>
      </c>
      <c r="AT336">
        <f>AS336*Plan!D13/100/12</f>
        <v/>
      </c>
      <c r="AU336">
        <f>MIN(Plan!E13,AS336+AT336)</f>
        <v/>
      </c>
      <c r="AV336">
        <f>AS336+AT336-AU336</f>
        <v/>
      </c>
      <c r="AW336">
        <f>MIN(AV336,MAX(0,$B336-((E$5&lt;AU$5)*F336+(K$5&lt;AU$5)*L336+(Q$5&lt;AU$5)*R336+(W$5&lt;AU$5)*X336+(AC$5&lt;AU$5)*AD336+(AI$5&lt;AU$5)*AJ336+(AO$5&lt;AU$5)*AP336)))</f>
        <v/>
      </c>
      <c r="AX336">
        <f>IF(AV336-AW336&lt;0.005,0,AV336-AW336)</f>
        <v/>
      </c>
      <c r="BC336">
        <f>H336+N336+T336+Z336+AF336+AL336+AR336+AX336</f>
        <v/>
      </c>
    </row>
    <row r="337">
      <c r="A337" t="n">
        <v>331</v>
      </c>
      <c r="B337" s="19">
        <f>MAX(0,$B$3-(E337+K337+Q337+W337+AC337+AI337+AO337+AU337))</f>
        <v/>
      </c>
      <c r="C337">
        <f>H336</f>
        <v/>
      </c>
      <c r="D337">
        <f>C337*Plan!D6/100/12</f>
        <v/>
      </c>
      <c r="E337">
        <f>MIN(Plan!E6,C337+D337)</f>
        <v/>
      </c>
      <c r="F337">
        <f>C337+D337-E337</f>
        <v/>
      </c>
      <c r="G337">
        <f>MIN(F337,MAX(0,$B337-((K$5&lt;E$5)*L337+(Q$5&lt;E$5)*R337+(W$5&lt;E$5)*X337+(AC$5&lt;E$5)*AD337+(AI$5&lt;E$5)*AJ337+(AO$5&lt;E$5)*AP337+(AU$5&lt;E$5)*AV337)))</f>
        <v/>
      </c>
      <c r="H337">
        <f>IF(F337-G337&lt;0.005,0,F337-G337)</f>
        <v/>
      </c>
      <c r="I337">
        <f>N336</f>
        <v/>
      </c>
      <c r="J337">
        <f>I337*Plan!D7/100/12</f>
        <v/>
      </c>
      <c r="K337">
        <f>MIN(Plan!E7,I337+J337)</f>
        <v/>
      </c>
      <c r="L337">
        <f>I337+J337-K337</f>
        <v/>
      </c>
      <c r="M337">
        <f>MIN(L337,MAX(0,$B337-((E$5&lt;K$5)*F337+(Q$5&lt;K$5)*R337+(W$5&lt;K$5)*X337+(AC$5&lt;K$5)*AD337+(AI$5&lt;K$5)*AJ337+(AO$5&lt;K$5)*AP337+(AU$5&lt;K$5)*AV337)))</f>
        <v/>
      </c>
      <c r="N337">
        <f>IF(L337-M337&lt;0.005,0,L337-M337)</f>
        <v/>
      </c>
      <c r="O337">
        <f>T336</f>
        <v/>
      </c>
      <c r="P337">
        <f>O337*Plan!D8/100/12</f>
        <v/>
      </c>
      <c r="Q337">
        <f>MIN(Plan!E8,O337+P337)</f>
        <v/>
      </c>
      <c r="R337">
        <f>O337+P337-Q337</f>
        <v/>
      </c>
      <c r="S337">
        <f>MIN(R337,MAX(0,$B337-((E$5&lt;Q$5)*F337+(K$5&lt;Q$5)*L337+(W$5&lt;Q$5)*X337+(AC$5&lt;Q$5)*AD337+(AI$5&lt;Q$5)*AJ337+(AO$5&lt;Q$5)*AP337+(AU$5&lt;Q$5)*AV337)))</f>
        <v/>
      </c>
      <c r="T337">
        <f>IF(R337-S337&lt;0.005,0,R337-S337)</f>
        <v/>
      </c>
      <c r="U337">
        <f>Z336</f>
        <v/>
      </c>
      <c r="V337">
        <f>U337*Plan!D9/100/12</f>
        <v/>
      </c>
      <c r="W337">
        <f>MIN(Plan!E9,U337+V337)</f>
        <v/>
      </c>
      <c r="X337">
        <f>U337+V337-W337</f>
        <v/>
      </c>
      <c r="Y337">
        <f>MIN(X337,MAX(0,$B337-((E$5&lt;W$5)*F337+(K$5&lt;W$5)*L337+(Q$5&lt;W$5)*R337+(AC$5&lt;W$5)*AD337+(AI$5&lt;W$5)*AJ337+(AO$5&lt;W$5)*AP337+(AU$5&lt;W$5)*AV337)))</f>
        <v/>
      </c>
      <c r="Z337">
        <f>IF(X337-Y337&lt;0.005,0,X337-Y337)</f>
        <v/>
      </c>
      <c r="AA337">
        <f>AF336</f>
        <v/>
      </c>
      <c r="AB337">
        <f>AA337*Plan!D10/100/12</f>
        <v/>
      </c>
      <c r="AC337">
        <f>MIN(Plan!E10,AA337+AB337)</f>
        <v/>
      </c>
      <c r="AD337">
        <f>AA337+AB337-AC337</f>
        <v/>
      </c>
      <c r="AE337">
        <f>MIN(AD337,MAX(0,$B337-((E$5&lt;AC$5)*F337+(K$5&lt;AC$5)*L337+(Q$5&lt;AC$5)*R337+(W$5&lt;AC$5)*X337+(AI$5&lt;AC$5)*AJ337+(AO$5&lt;AC$5)*AP337+(AU$5&lt;AC$5)*AV337)))</f>
        <v/>
      </c>
      <c r="AF337">
        <f>IF(AD337-AE337&lt;0.005,0,AD337-AE337)</f>
        <v/>
      </c>
      <c r="AG337">
        <f>AL336</f>
        <v/>
      </c>
      <c r="AH337">
        <f>AG337*Plan!D11/100/12</f>
        <v/>
      </c>
      <c r="AI337">
        <f>MIN(Plan!E11,AG337+AH337)</f>
        <v/>
      </c>
      <c r="AJ337">
        <f>AG337+AH337-AI337</f>
        <v/>
      </c>
      <c r="AK337">
        <f>MIN(AJ337,MAX(0,$B337-((E$5&lt;AI$5)*F337+(K$5&lt;AI$5)*L337+(Q$5&lt;AI$5)*R337+(W$5&lt;AI$5)*X337+(AC$5&lt;AI$5)*AD337+(AO$5&lt;AI$5)*AP337+(AU$5&lt;AI$5)*AV337)))</f>
        <v/>
      </c>
      <c r="AL337">
        <f>IF(AJ337-AK337&lt;0.005,0,AJ337-AK337)</f>
        <v/>
      </c>
      <c r="AM337">
        <f>AR336</f>
        <v/>
      </c>
      <c r="AN337">
        <f>AM337*Plan!D12/100/12</f>
        <v/>
      </c>
      <c r="AO337">
        <f>MIN(Plan!E12,AM337+AN337)</f>
        <v/>
      </c>
      <c r="AP337">
        <f>AM337+AN337-AO337</f>
        <v/>
      </c>
      <c r="AQ337">
        <f>MIN(AP337,MAX(0,$B337-((E$5&lt;AO$5)*F337+(K$5&lt;AO$5)*L337+(Q$5&lt;AO$5)*R337+(W$5&lt;AO$5)*X337+(AC$5&lt;AO$5)*AD337+(AI$5&lt;AO$5)*AJ337+(AU$5&lt;AO$5)*AV337)))</f>
        <v/>
      </c>
      <c r="AR337">
        <f>IF(AP337-AQ337&lt;0.005,0,AP337-AQ337)</f>
        <v/>
      </c>
      <c r="AS337">
        <f>AX336</f>
        <v/>
      </c>
      <c r="AT337">
        <f>AS337*Plan!D13/100/12</f>
        <v/>
      </c>
      <c r="AU337">
        <f>MIN(Plan!E13,AS337+AT337)</f>
        <v/>
      </c>
      <c r="AV337">
        <f>AS337+AT337-AU337</f>
        <v/>
      </c>
      <c r="AW337">
        <f>MIN(AV337,MAX(0,$B337-((E$5&lt;AU$5)*F337+(K$5&lt;AU$5)*L337+(Q$5&lt;AU$5)*R337+(W$5&lt;AU$5)*X337+(AC$5&lt;AU$5)*AD337+(AI$5&lt;AU$5)*AJ337+(AO$5&lt;AU$5)*AP337)))</f>
        <v/>
      </c>
      <c r="AX337">
        <f>IF(AV337-AW337&lt;0.005,0,AV337-AW337)</f>
        <v/>
      </c>
      <c r="BC337">
        <f>H337+N337+T337+Z337+AF337+AL337+AR337+AX337</f>
        <v/>
      </c>
    </row>
    <row r="338">
      <c r="A338" t="n">
        <v>332</v>
      </c>
      <c r="B338" s="19">
        <f>MAX(0,$B$3-(E338+K338+Q338+W338+AC338+AI338+AO338+AU338))</f>
        <v/>
      </c>
      <c r="C338">
        <f>H337</f>
        <v/>
      </c>
      <c r="D338">
        <f>C338*Plan!D6/100/12</f>
        <v/>
      </c>
      <c r="E338">
        <f>MIN(Plan!E6,C338+D338)</f>
        <v/>
      </c>
      <c r="F338">
        <f>C338+D338-E338</f>
        <v/>
      </c>
      <c r="G338">
        <f>MIN(F338,MAX(0,$B338-((K$5&lt;E$5)*L338+(Q$5&lt;E$5)*R338+(W$5&lt;E$5)*X338+(AC$5&lt;E$5)*AD338+(AI$5&lt;E$5)*AJ338+(AO$5&lt;E$5)*AP338+(AU$5&lt;E$5)*AV338)))</f>
        <v/>
      </c>
      <c r="H338">
        <f>IF(F338-G338&lt;0.005,0,F338-G338)</f>
        <v/>
      </c>
      <c r="I338">
        <f>N337</f>
        <v/>
      </c>
      <c r="J338">
        <f>I338*Plan!D7/100/12</f>
        <v/>
      </c>
      <c r="K338">
        <f>MIN(Plan!E7,I338+J338)</f>
        <v/>
      </c>
      <c r="L338">
        <f>I338+J338-K338</f>
        <v/>
      </c>
      <c r="M338">
        <f>MIN(L338,MAX(0,$B338-((E$5&lt;K$5)*F338+(Q$5&lt;K$5)*R338+(W$5&lt;K$5)*X338+(AC$5&lt;K$5)*AD338+(AI$5&lt;K$5)*AJ338+(AO$5&lt;K$5)*AP338+(AU$5&lt;K$5)*AV338)))</f>
        <v/>
      </c>
      <c r="N338">
        <f>IF(L338-M338&lt;0.005,0,L338-M338)</f>
        <v/>
      </c>
      <c r="O338">
        <f>T337</f>
        <v/>
      </c>
      <c r="P338">
        <f>O338*Plan!D8/100/12</f>
        <v/>
      </c>
      <c r="Q338">
        <f>MIN(Plan!E8,O338+P338)</f>
        <v/>
      </c>
      <c r="R338">
        <f>O338+P338-Q338</f>
        <v/>
      </c>
      <c r="S338">
        <f>MIN(R338,MAX(0,$B338-((E$5&lt;Q$5)*F338+(K$5&lt;Q$5)*L338+(W$5&lt;Q$5)*X338+(AC$5&lt;Q$5)*AD338+(AI$5&lt;Q$5)*AJ338+(AO$5&lt;Q$5)*AP338+(AU$5&lt;Q$5)*AV338)))</f>
        <v/>
      </c>
      <c r="T338">
        <f>IF(R338-S338&lt;0.005,0,R338-S338)</f>
        <v/>
      </c>
      <c r="U338">
        <f>Z337</f>
        <v/>
      </c>
      <c r="V338">
        <f>U338*Plan!D9/100/12</f>
        <v/>
      </c>
      <c r="W338">
        <f>MIN(Plan!E9,U338+V338)</f>
        <v/>
      </c>
      <c r="X338">
        <f>U338+V338-W338</f>
        <v/>
      </c>
      <c r="Y338">
        <f>MIN(X338,MAX(0,$B338-((E$5&lt;W$5)*F338+(K$5&lt;W$5)*L338+(Q$5&lt;W$5)*R338+(AC$5&lt;W$5)*AD338+(AI$5&lt;W$5)*AJ338+(AO$5&lt;W$5)*AP338+(AU$5&lt;W$5)*AV338)))</f>
        <v/>
      </c>
      <c r="Z338">
        <f>IF(X338-Y338&lt;0.005,0,X338-Y338)</f>
        <v/>
      </c>
      <c r="AA338">
        <f>AF337</f>
        <v/>
      </c>
      <c r="AB338">
        <f>AA338*Plan!D10/100/12</f>
        <v/>
      </c>
      <c r="AC338">
        <f>MIN(Plan!E10,AA338+AB338)</f>
        <v/>
      </c>
      <c r="AD338">
        <f>AA338+AB338-AC338</f>
        <v/>
      </c>
      <c r="AE338">
        <f>MIN(AD338,MAX(0,$B338-((E$5&lt;AC$5)*F338+(K$5&lt;AC$5)*L338+(Q$5&lt;AC$5)*R338+(W$5&lt;AC$5)*X338+(AI$5&lt;AC$5)*AJ338+(AO$5&lt;AC$5)*AP338+(AU$5&lt;AC$5)*AV338)))</f>
        <v/>
      </c>
      <c r="AF338">
        <f>IF(AD338-AE338&lt;0.005,0,AD338-AE338)</f>
        <v/>
      </c>
      <c r="AG338">
        <f>AL337</f>
        <v/>
      </c>
      <c r="AH338">
        <f>AG338*Plan!D11/100/12</f>
        <v/>
      </c>
      <c r="AI338">
        <f>MIN(Plan!E11,AG338+AH338)</f>
        <v/>
      </c>
      <c r="AJ338">
        <f>AG338+AH338-AI338</f>
        <v/>
      </c>
      <c r="AK338">
        <f>MIN(AJ338,MAX(0,$B338-((E$5&lt;AI$5)*F338+(K$5&lt;AI$5)*L338+(Q$5&lt;AI$5)*R338+(W$5&lt;AI$5)*X338+(AC$5&lt;AI$5)*AD338+(AO$5&lt;AI$5)*AP338+(AU$5&lt;AI$5)*AV338)))</f>
        <v/>
      </c>
      <c r="AL338">
        <f>IF(AJ338-AK338&lt;0.005,0,AJ338-AK338)</f>
        <v/>
      </c>
      <c r="AM338">
        <f>AR337</f>
        <v/>
      </c>
      <c r="AN338">
        <f>AM338*Plan!D12/100/12</f>
        <v/>
      </c>
      <c r="AO338">
        <f>MIN(Plan!E12,AM338+AN338)</f>
        <v/>
      </c>
      <c r="AP338">
        <f>AM338+AN338-AO338</f>
        <v/>
      </c>
      <c r="AQ338">
        <f>MIN(AP338,MAX(0,$B338-((E$5&lt;AO$5)*F338+(K$5&lt;AO$5)*L338+(Q$5&lt;AO$5)*R338+(W$5&lt;AO$5)*X338+(AC$5&lt;AO$5)*AD338+(AI$5&lt;AO$5)*AJ338+(AU$5&lt;AO$5)*AV338)))</f>
        <v/>
      </c>
      <c r="AR338">
        <f>IF(AP338-AQ338&lt;0.005,0,AP338-AQ338)</f>
        <v/>
      </c>
      <c r="AS338">
        <f>AX337</f>
        <v/>
      </c>
      <c r="AT338">
        <f>AS338*Plan!D13/100/12</f>
        <v/>
      </c>
      <c r="AU338">
        <f>MIN(Plan!E13,AS338+AT338)</f>
        <v/>
      </c>
      <c r="AV338">
        <f>AS338+AT338-AU338</f>
        <v/>
      </c>
      <c r="AW338">
        <f>MIN(AV338,MAX(0,$B338-((E$5&lt;AU$5)*F338+(K$5&lt;AU$5)*L338+(Q$5&lt;AU$5)*R338+(W$5&lt;AU$5)*X338+(AC$5&lt;AU$5)*AD338+(AI$5&lt;AU$5)*AJ338+(AO$5&lt;AU$5)*AP338)))</f>
        <v/>
      </c>
      <c r="AX338">
        <f>IF(AV338-AW338&lt;0.005,0,AV338-AW338)</f>
        <v/>
      </c>
      <c r="BC338">
        <f>H338+N338+T338+Z338+AF338+AL338+AR338+AX338</f>
        <v/>
      </c>
    </row>
    <row r="339">
      <c r="A339" t="n">
        <v>333</v>
      </c>
      <c r="B339" s="19">
        <f>MAX(0,$B$3-(E339+K339+Q339+W339+AC339+AI339+AO339+AU339))</f>
        <v/>
      </c>
      <c r="C339">
        <f>H338</f>
        <v/>
      </c>
      <c r="D339">
        <f>C339*Plan!D6/100/12</f>
        <v/>
      </c>
      <c r="E339">
        <f>MIN(Plan!E6,C339+D339)</f>
        <v/>
      </c>
      <c r="F339">
        <f>C339+D339-E339</f>
        <v/>
      </c>
      <c r="G339">
        <f>MIN(F339,MAX(0,$B339-((K$5&lt;E$5)*L339+(Q$5&lt;E$5)*R339+(W$5&lt;E$5)*X339+(AC$5&lt;E$5)*AD339+(AI$5&lt;E$5)*AJ339+(AO$5&lt;E$5)*AP339+(AU$5&lt;E$5)*AV339)))</f>
        <v/>
      </c>
      <c r="H339">
        <f>IF(F339-G339&lt;0.005,0,F339-G339)</f>
        <v/>
      </c>
      <c r="I339">
        <f>N338</f>
        <v/>
      </c>
      <c r="J339">
        <f>I339*Plan!D7/100/12</f>
        <v/>
      </c>
      <c r="K339">
        <f>MIN(Plan!E7,I339+J339)</f>
        <v/>
      </c>
      <c r="L339">
        <f>I339+J339-K339</f>
        <v/>
      </c>
      <c r="M339">
        <f>MIN(L339,MAX(0,$B339-((E$5&lt;K$5)*F339+(Q$5&lt;K$5)*R339+(W$5&lt;K$5)*X339+(AC$5&lt;K$5)*AD339+(AI$5&lt;K$5)*AJ339+(AO$5&lt;K$5)*AP339+(AU$5&lt;K$5)*AV339)))</f>
        <v/>
      </c>
      <c r="N339">
        <f>IF(L339-M339&lt;0.005,0,L339-M339)</f>
        <v/>
      </c>
      <c r="O339">
        <f>T338</f>
        <v/>
      </c>
      <c r="P339">
        <f>O339*Plan!D8/100/12</f>
        <v/>
      </c>
      <c r="Q339">
        <f>MIN(Plan!E8,O339+P339)</f>
        <v/>
      </c>
      <c r="R339">
        <f>O339+P339-Q339</f>
        <v/>
      </c>
      <c r="S339">
        <f>MIN(R339,MAX(0,$B339-((E$5&lt;Q$5)*F339+(K$5&lt;Q$5)*L339+(W$5&lt;Q$5)*X339+(AC$5&lt;Q$5)*AD339+(AI$5&lt;Q$5)*AJ339+(AO$5&lt;Q$5)*AP339+(AU$5&lt;Q$5)*AV339)))</f>
        <v/>
      </c>
      <c r="T339">
        <f>IF(R339-S339&lt;0.005,0,R339-S339)</f>
        <v/>
      </c>
      <c r="U339">
        <f>Z338</f>
        <v/>
      </c>
      <c r="V339">
        <f>U339*Plan!D9/100/12</f>
        <v/>
      </c>
      <c r="W339">
        <f>MIN(Plan!E9,U339+V339)</f>
        <v/>
      </c>
      <c r="X339">
        <f>U339+V339-W339</f>
        <v/>
      </c>
      <c r="Y339">
        <f>MIN(X339,MAX(0,$B339-((E$5&lt;W$5)*F339+(K$5&lt;W$5)*L339+(Q$5&lt;W$5)*R339+(AC$5&lt;W$5)*AD339+(AI$5&lt;W$5)*AJ339+(AO$5&lt;W$5)*AP339+(AU$5&lt;W$5)*AV339)))</f>
        <v/>
      </c>
      <c r="Z339">
        <f>IF(X339-Y339&lt;0.005,0,X339-Y339)</f>
        <v/>
      </c>
      <c r="AA339">
        <f>AF338</f>
        <v/>
      </c>
      <c r="AB339">
        <f>AA339*Plan!D10/100/12</f>
        <v/>
      </c>
      <c r="AC339">
        <f>MIN(Plan!E10,AA339+AB339)</f>
        <v/>
      </c>
      <c r="AD339">
        <f>AA339+AB339-AC339</f>
        <v/>
      </c>
      <c r="AE339">
        <f>MIN(AD339,MAX(0,$B339-((E$5&lt;AC$5)*F339+(K$5&lt;AC$5)*L339+(Q$5&lt;AC$5)*R339+(W$5&lt;AC$5)*X339+(AI$5&lt;AC$5)*AJ339+(AO$5&lt;AC$5)*AP339+(AU$5&lt;AC$5)*AV339)))</f>
        <v/>
      </c>
      <c r="AF339">
        <f>IF(AD339-AE339&lt;0.005,0,AD339-AE339)</f>
        <v/>
      </c>
      <c r="AG339">
        <f>AL338</f>
        <v/>
      </c>
      <c r="AH339">
        <f>AG339*Plan!D11/100/12</f>
        <v/>
      </c>
      <c r="AI339">
        <f>MIN(Plan!E11,AG339+AH339)</f>
        <v/>
      </c>
      <c r="AJ339">
        <f>AG339+AH339-AI339</f>
        <v/>
      </c>
      <c r="AK339">
        <f>MIN(AJ339,MAX(0,$B339-((E$5&lt;AI$5)*F339+(K$5&lt;AI$5)*L339+(Q$5&lt;AI$5)*R339+(W$5&lt;AI$5)*X339+(AC$5&lt;AI$5)*AD339+(AO$5&lt;AI$5)*AP339+(AU$5&lt;AI$5)*AV339)))</f>
        <v/>
      </c>
      <c r="AL339">
        <f>IF(AJ339-AK339&lt;0.005,0,AJ339-AK339)</f>
        <v/>
      </c>
      <c r="AM339">
        <f>AR338</f>
        <v/>
      </c>
      <c r="AN339">
        <f>AM339*Plan!D12/100/12</f>
        <v/>
      </c>
      <c r="AO339">
        <f>MIN(Plan!E12,AM339+AN339)</f>
        <v/>
      </c>
      <c r="AP339">
        <f>AM339+AN339-AO339</f>
        <v/>
      </c>
      <c r="AQ339">
        <f>MIN(AP339,MAX(0,$B339-((E$5&lt;AO$5)*F339+(K$5&lt;AO$5)*L339+(Q$5&lt;AO$5)*R339+(W$5&lt;AO$5)*X339+(AC$5&lt;AO$5)*AD339+(AI$5&lt;AO$5)*AJ339+(AU$5&lt;AO$5)*AV339)))</f>
        <v/>
      </c>
      <c r="AR339">
        <f>IF(AP339-AQ339&lt;0.005,0,AP339-AQ339)</f>
        <v/>
      </c>
      <c r="AS339">
        <f>AX338</f>
        <v/>
      </c>
      <c r="AT339">
        <f>AS339*Plan!D13/100/12</f>
        <v/>
      </c>
      <c r="AU339">
        <f>MIN(Plan!E13,AS339+AT339)</f>
        <v/>
      </c>
      <c r="AV339">
        <f>AS339+AT339-AU339</f>
        <v/>
      </c>
      <c r="AW339">
        <f>MIN(AV339,MAX(0,$B339-((E$5&lt;AU$5)*F339+(K$5&lt;AU$5)*L339+(Q$5&lt;AU$5)*R339+(W$5&lt;AU$5)*X339+(AC$5&lt;AU$5)*AD339+(AI$5&lt;AU$5)*AJ339+(AO$5&lt;AU$5)*AP339)))</f>
        <v/>
      </c>
      <c r="AX339">
        <f>IF(AV339-AW339&lt;0.005,0,AV339-AW339)</f>
        <v/>
      </c>
      <c r="BC339">
        <f>H339+N339+T339+Z339+AF339+AL339+AR339+AX339</f>
        <v/>
      </c>
    </row>
    <row r="340">
      <c r="A340" t="n">
        <v>334</v>
      </c>
      <c r="B340" s="19">
        <f>MAX(0,$B$3-(E340+K340+Q340+W340+AC340+AI340+AO340+AU340))</f>
        <v/>
      </c>
      <c r="C340">
        <f>H339</f>
        <v/>
      </c>
      <c r="D340">
        <f>C340*Plan!D6/100/12</f>
        <v/>
      </c>
      <c r="E340">
        <f>MIN(Plan!E6,C340+D340)</f>
        <v/>
      </c>
      <c r="F340">
        <f>C340+D340-E340</f>
        <v/>
      </c>
      <c r="G340">
        <f>MIN(F340,MAX(0,$B340-((K$5&lt;E$5)*L340+(Q$5&lt;E$5)*R340+(W$5&lt;E$5)*X340+(AC$5&lt;E$5)*AD340+(AI$5&lt;E$5)*AJ340+(AO$5&lt;E$5)*AP340+(AU$5&lt;E$5)*AV340)))</f>
        <v/>
      </c>
      <c r="H340">
        <f>IF(F340-G340&lt;0.005,0,F340-G340)</f>
        <v/>
      </c>
      <c r="I340">
        <f>N339</f>
        <v/>
      </c>
      <c r="J340">
        <f>I340*Plan!D7/100/12</f>
        <v/>
      </c>
      <c r="K340">
        <f>MIN(Plan!E7,I340+J340)</f>
        <v/>
      </c>
      <c r="L340">
        <f>I340+J340-K340</f>
        <v/>
      </c>
      <c r="M340">
        <f>MIN(L340,MAX(0,$B340-((E$5&lt;K$5)*F340+(Q$5&lt;K$5)*R340+(W$5&lt;K$5)*X340+(AC$5&lt;K$5)*AD340+(AI$5&lt;K$5)*AJ340+(AO$5&lt;K$5)*AP340+(AU$5&lt;K$5)*AV340)))</f>
        <v/>
      </c>
      <c r="N340">
        <f>IF(L340-M340&lt;0.005,0,L340-M340)</f>
        <v/>
      </c>
      <c r="O340">
        <f>T339</f>
        <v/>
      </c>
      <c r="P340">
        <f>O340*Plan!D8/100/12</f>
        <v/>
      </c>
      <c r="Q340">
        <f>MIN(Plan!E8,O340+P340)</f>
        <v/>
      </c>
      <c r="R340">
        <f>O340+P340-Q340</f>
        <v/>
      </c>
      <c r="S340">
        <f>MIN(R340,MAX(0,$B340-((E$5&lt;Q$5)*F340+(K$5&lt;Q$5)*L340+(W$5&lt;Q$5)*X340+(AC$5&lt;Q$5)*AD340+(AI$5&lt;Q$5)*AJ340+(AO$5&lt;Q$5)*AP340+(AU$5&lt;Q$5)*AV340)))</f>
        <v/>
      </c>
      <c r="T340">
        <f>IF(R340-S340&lt;0.005,0,R340-S340)</f>
        <v/>
      </c>
      <c r="U340">
        <f>Z339</f>
        <v/>
      </c>
      <c r="V340">
        <f>U340*Plan!D9/100/12</f>
        <v/>
      </c>
      <c r="W340">
        <f>MIN(Plan!E9,U340+V340)</f>
        <v/>
      </c>
      <c r="X340">
        <f>U340+V340-W340</f>
        <v/>
      </c>
      <c r="Y340">
        <f>MIN(X340,MAX(0,$B340-((E$5&lt;W$5)*F340+(K$5&lt;W$5)*L340+(Q$5&lt;W$5)*R340+(AC$5&lt;W$5)*AD340+(AI$5&lt;W$5)*AJ340+(AO$5&lt;W$5)*AP340+(AU$5&lt;W$5)*AV340)))</f>
        <v/>
      </c>
      <c r="Z340">
        <f>IF(X340-Y340&lt;0.005,0,X340-Y340)</f>
        <v/>
      </c>
      <c r="AA340">
        <f>AF339</f>
        <v/>
      </c>
      <c r="AB340">
        <f>AA340*Plan!D10/100/12</f>
        <v/>
      </c>
      <c r="AC340">
        <f>MIN(Plan!E10,AA340+AB340)</f>
        <v/>
      </c>
      <c r="AD340">
        <f>AA340+AB340-AC340</f>
        <v/>
      </c>
      <c r="AE340">
        <f>MIN(AD340,MAX(0,$B340-((E$5&lt;AC$5)*F340+(K$5&lt;AC$5)*L340+(Q$5&lt;AC$5)*R340+(W$5&lt;AC$5)*X340+(AI$5&lt;AC$5)*AJ340+(AO$5&lt;AC$5)*AP340+(AU$5&lt;AC$5)*AV340)))</f>
        <v/>
      </c>
      <c r="AF340">
        <f>IF(AD340-AE340&lt;0.005,0,AD340-AE340)</f>
        <v/>
      </c>
      <c r="AG340">
        <f>AL339</f>
        <v/>
      </c>
      <c r="AH340">
        <f>AG340*Plan!D11/100/12</f>
        <v/>
      </c>
      <c r="AI340">
        <f>MIN(Plan!E11,AG340+AH340)</f>
        <v/>
      </c>
      <c r="AJ340">
        <f>AG340+AH340-AI340</f>
        <v/>
      </c>
      <c r="AK340">
        <f>MIN(AJ340,MAX(0,$B340-((E$5&lt;AI$5)*F340+(K$5&lt;AI$5)*L340+(Q$5&lt;AI$5)*R340+(W$5&lt;AI$5)*X340+(AC$5&lt;AI$5)*AD340+(AO$5&lt;AI$5)*AP340+(AU$5&lt;AI$5)*AV340)))</f>
        <v/>
      </c>
      <c r="AL340">
        <f>IF(AJ340-AK340&lt;0.005,0,AJ340-AK340)</f>
        <v/>
      </c>
      <c r="AM340">
        <f>AR339</f>
        <v/>
      </c>
      <c r="AN340">
        <f>AM340*Plan!D12/100/12</f>
        <v/>
      </c>
      <c r="AO340">
        <f>MIN(Plan!E12,AM340+AN340)</f>
        <v/>
      </c>
      <c r="AP340">
        <f>AM340+AN340-AO340</f>
        <v/>
      </c>
      <c r="AQ340">
        <f>MIN(AP340,MAX(0,$B340-((E$5&lt;AO$5)*F340+(K$5&lt;AO$5)*L340+(Q$5&lt;AO$5)*R340+(W$5&lt;AO$5)*X340+(AC$5&lt;AO$5)*AD340+(AI$5&lt;AO$5)*AJ340+(AU$5&lt;AO$5)*AV340)))</f>
        <v/>
      </c>
      <c r="AR340">
        <f>IF(AP340-AQ340&lt;0.005,0,AP340-AQ340)</f>
        <v/>
      </c>
      <c r="AS340">
        <f>AX339</f>
        <v/>
      </c>
      <c r="AT340">
        <f>AS340*Plan!D13/100/12</f>
        <v/>
      </c>
      <c r="AU340">
        <f>MIN(Plan!E13,AS340+AT340)</f>
        <v/>
      </c>
      <c r="AV340">
        <f>AS340+AT340-AU340</f>
        <v/>
      </c>
      <c r="AW340">
        <f>MIN(AV340,MAX(0,$B340-((E$5&lt;AU$5)*F340+(K$5&lt;AU$5)*L340+(Q$5&lt;AU$5)*R340+(W$5&lt;AU$5)*X340+(AC$5&lt;AU$5)*AD340+(AI$5&lt;AU$5)*AJ340+(AO$5&lt;AU$5)*AP340)))</f>
        <v/>
      </c>
      <c r="AX340">
        <f>IF(AV340-AW340&lt;0.005,0,AV340-AW340)</f>
        <v/>
      </c>
      <c r="BC340">
        <f>H340+N340+T340+Z340+AF340+AL340+AR340+AX340</f>
        <v/>
      </c>
    </row>
    <row r="341">
      <c r="A341" t="n">
        <v>335</v>
      </c>
      <c r="B341" s="19">
        <f>MAX(0,$B$3-(E341+K341+Q341+W341+AC341+AI341+AO341+AU341))</f>
        <v/>
      </c>
      <c r="C341">
        <f>H340</f>
        <v/>
      </c>
      <c r="D341">
        <f>C341*Plan!D6/100/12</f>
        <v/>
      </c>
      <c r="E341">
        <f>MIN(Plan!E6,C341+D341)</f>
        <v/>
      </c>
      <c r="F341">
        <f>C341+D341-E341</f>
        <v/>
      </c>
      <c r="G341">
        <f>MIN(F341,MAX(0,$B341-((K$5&lt;E$5)*L341+(Q$5&lt;E$5)*R341+(W$5&lt;E$5)*X341+(AC$5&lt;E$5)*AD341+(AI$5&lt;E$5)*AJ341+(AO$5&lt;E$5)*AP341+(AU$5&lt;E$5)*AV341)))</f>
        <v/>
      </c>
      <c r="H341">
        <f>IF(F341-G341&lt;0.005,0,F341-G341)</f>
        <v/>
      </c>
      <c r="I341">
        <f>N340</f>
        <v/>
      </c>
      <c r="J341">
        <f>I341*Plan!D7/100/12</f>
        <v/>
      </c>
      <c r="K341">
        <f>MIN(Plan!E7,I341+J341)</f>
        <v/>
      </c>
      <c r="L341">
        <f>I341+J341-K341</f>
        <v/>
      </c>
      <c r="M341">
        <f>MIN(L341,MAX(0,$B341-((E$5&lt;K$5)*F341+(Q$5&lt;K$5)*R341+(W$5&lt;K$5)*X341+(AC$5&lt;K$5)*AD341+(AI$5&lt;K$5)*AJ341+(AO$5&lt;K$5)*AP341+(AU$5&lt;K$5)*AV341)))</f>
        <v/>
      </c>
      <c r="N341">
        <f>IF(L341-M341&lt;0.005,0,L341-M341)</f>
        <v/>
      </c>
      <c r="O341">
        <f>T340</f>
        <v/>
      </c>
      <c r="P341">
        <f>O341*Plan!D8/100/12</f>
        <v/>
      </c>
      <c r="Q341">
        <f>MIN(Plan!E8,O341+P341)</f>
        <v/>
      </c>
      <c r="R341">
        <f>O341+P341-Q341</f>
        <v/>
      </c>
      <c r="S341">
        <f>MIN(R341,MAX(0,$B341-((E$5&lt;Q$5)*F341+(K$5&lt;Q$5)*L341+(W$5&lt;Q$5)*X341+(AC$5&lt;Q$5)*AD341+(AI$5&lt;Q$5)*AJ341+(AO$5&lt;Q$5)*AP341+(AU$5&lt;Q$5)*AV341)))</f>
        <v/>
      </c>
      <c r="T341">
        <f>IF(R341-S341&lt;0.005,0,R341-S341)</f>
        <v/>
      </c>
      <c r="U341">
        <f>Z340</f>
        <v/>
      </c>
      <c r="V341">
        <f>U341*Plan!D9/100/12</f>
        <v/>
      </c>
      <c r="W341">
        <f>MIN(Plan!E9,U341+V341)</f>
        <v/>
      </c>
      <c r="X341">
        <f>U341+V341-W341</f>
        <v/>
      </c>
      <c r="Y341">
        <f>MIN(X341,MAX(0,$B341-((E$5&lt;W$5)*F341+(K$5&lt;W$5)*L341+(Q$5&lt;W$5)*R341+(AC$5&lt;W$5)*AD341+(AI$5&lt;W$5)*AJ341+(AO$5&lt;W$5)*AP341+(AU$5&lt;W$5)*AV341)))</f>
        <v/>
      </c>
      <c r="Z341">
        <f>IF(X341-Y341&lt;0.005,0,X341-Y341)</f>
        <v/>
      </c>
      <c r="AA341">
        <f>AF340</f>
        <v/>
      </c>
      <c r="AB341">
        <f>AA341*Plan!D10/100/12</f>
        <v/>
      </c>
      <c r="AC341">
        <f>MIN(Plan!E10,AA341+AB341)</f>
        <v/>
      </c>
      <c r="AD341">
        <f>AA341+AB341-AC341</f>
        <v/>
      </c>
      <c r="AE341">
        <f>MIN(AD341,MAX(0,$B341-((E$5&lt;AC$5)*F341+(K$5&lt;AC$5)*L341+(Q$5&lt;AC$5)*R341+(W$5&lt;AC$5)*X341+(AI$5&lt;AC$5)*AJ341+(AO$5&lt;AC$5)*AP341+(AU$5&lt;AC$5)*AV341)))</f>
        <v/>
      </c>
      <c r="AF341">
        <f>IF(AD341-AE341&lt;0.005,0,AD341-AE341)</f>
        <v/>
      </c>
      <c r="AG341">
        <f>AL340</f>
        <v/>
      </c>
      <c r="AH341">
        <f>AG341*Plan!D11/100/12</f>
        <v/>
      </c>
      <c r="AI341">
        <f>MIN(Plan!E11,AG341+AH341)</f>
        <v/>
      </c>
      <c r="AJ341">
        <f>AG341+AH341-AI341</f>
        <v/>
      </c>
      <c r="AK341">
        <f>MIN(AJ341,MAX(0,$B341-((E$5&lt;AI$5)*F341+(K$5&lt;AI$5)*L341+(Q$5&lt;AI$5)*R341+(W$5&lt;AI$5)*X341+(AC$5&lt;AI$5)*AD341+(AO$5&lt;AI$5)*AP341+(AU$5&lt;AI$5)*AV341)))</f>
        <v/>
      </c>
      <c r="AL341">
        <f>IF(AJ341-AK341&lt;0.005,0,AJ341-AK341)</f>
        <v/>
      </c>
      <c r="AM341">
        <f>AR340</f>
        <v/>
      </c>
      <c r="AN341">
        <f>AM341*Plan!D12/100/12</f>
        <v/>
      </c>
      <c r="AO341">
        <f>MIN(Plan!E12,AM341+AN341)</f>
        <v/>
      </c>
      <c r="AP341">
        <f>AM341+AN341-AO341</f>
        <v/>
      </c>
      <c r="AQ341">
        <f>MIN(AP341,MAX(0,$B341-((E$5&lt;AO$5)*F341+(K$5&lt;AO$5)*L341+(Q$5&lt;AO$5)*R341+(W$5&lt;AO$5)*X341+(AC$5&lt;AO$5)*AD341+(AI$5&lt;AO$5)*AJ341+(AU$5&lt;AO$5)*AV341)))</f>
        <v/>
      </c>
      <c r="AR341">
        <f>IF(AP341-AQ341&lt;0.005,0,AP341-AQ341)</f>
        <v/>
      </c>
      <c r="AS341">
        <f>AX340</f>
        <v/>
      </c>
      <c r="AT341">
        <f>AS341*Plan!D13/100/12</f>
        <v/>
      </c>
      <c r="AU341">
        <f>MIN(Plan!E13,AS341+AT341)</f>
        <v/>
      </c>
      <c r="AV341">
        <f>AS341+AT341-AU341</f>
        <v/>
      </c>
      <c r="AW341">
        <f>MIN(AV341,MAX(0,$B341-((E$5&lt;AU$5)*F341+(K$5&lt;AU$5)*L341+(Q$5&lt;AU$5)*R341+(W$5&lt;AU$5)*X341+(AC$5&lt;AU$5)*AD341+(AI$5&lt;AU$5)*AJ341+(AO$5&lt;AU$5)*AP341)))</f>
        <v/>
      </c>
      <c r="AX341">
        <f>IF(AV341-AW341&lt;0.005,0,AV341-AW341)</f>
        <v/>
      </c>
      <c r="BC341">
        <f>H341+N341+T341+Z341+AF341+AL341+AR341+AX341</f>
        <v/>
      </c>
    </row>
    <row r="342">
      <c r="A342" t="n">
        <v>336</v>
      </c>
      <c r="B342" s="19">
        <f>MAX(0,$B$3-(E342+K342+Q342+W342+AC342+AI342+AO342+AU342))</f>
        <v/>
      </c>
      <c r="C342">
        <f>H341</f>
        <v/>
      </c>
      <c r="D342">
        <f>C342*Plan!D6/100/12</f>
        <v/>
      </c>
      <c r="E342">
        <f>MIN(Plan!E6,C342+D342)</f>
        <v/>
      </c>
      <c r="F342">
        <f>C342+D342-E342</f>
        <v/>
      </c>
      <c r="G342">
        <f>MIN(F342,MAX(0,$B342-((K$5&lt;E$5)*L342+(Q$5&lt;E$5)*R342+(W$5&lt;E$5)*X342+(AC$5&lt;E$5)*AD342+(AI$5&lt;E$5)*AJ342+(AO$5&lt;E$5)*AP342+(AU$5&lt;E$5)*AV342)))</f>
        <v/>
      </c>
      <c r="H342">
        <f>IF(F342-G342&lt;0.005,0,F342-G342)</f>
        <v/>
      </c>
      <c r="I342">
        <f>N341</f>
        <v/>
      </c>
      <c r="J342">
        <f>I342*Plan!D7/100/12</f>
        <v/>
      </c>
      <c r="K342">
        <f>MIN(Plan!E7,I342+J342)</f>
        <v/>
      </c>
      <c r="L342">
        <f>I342+J342-K342</f>
        <v/>
      </c>
      <c r="M342">
        <f>MIN(L342,MAX(0,$B342-((E$5&lt;K$5)*F342+(Q$5&lt;K$5)*R342+(W$5&lt;K$5)*X342+(AC$5&lt;K$5)*AD342+(AI$5&lt;K$5)*AJ342+(AO$5&lt;K$5)*AP342+(AU$5&lt;K$5)*AV342)))</f>
        <v/>
      </c>
      <c r="N342">
        <f>IF(L342-M342&lt;0.005,0,L342-M342)</f>
        <v/>
      </c>
      <c r="O342">
        <f>T341</f>
        <v/>
      </c>
      <c r="P342">
        <f>O342*Plan!D8/100/12</f>
        <v/>
      </c>
      <c r="Q342">
        <f>MIN(Plan!E8,O342+P342)</f>
        <v/>
      </c>
      <c r="R342">
        <f>O342+P342-Q342</f>
        <v/>
      </c>
      <c r="S342">
        <f>MIN(R342,MAX(0,$B342-((E$5&lt;Q$5)*F342+(K$5&lt;Q$5)*L342+(W$5&lt;Q$5)*X342+(AC$5&lt;Q$5)*AD342+(AI$5&lt;Q$5)*AJ342+(AO$5&lt;Q$5)*AP342+(AU$5&lt;Q$5)*AV342)))</f>
        <v/>
      </c>
      <c r="T342">
        <f>IF(R342-S342&lt;0.005,0,R342-S342)</f>
        <v/>
      </c>
      <c r="U342">
        <f>Z341</f>
        <v/>
      </c>
      <c r="V342">
        <f>U342*Plan!D9/100/12</f>
        <v/>
      </c>
      <c r="W342">
        <f>MIN(Plan!E9,U342+V342)</f>
        <v/>
      </c>
      <c r="X342">
        <f>U342+V342-W342</f>
        <v/>
      </c>
      <c r="Y342">
        <f>MIN(X342,MAX(0,$B342-((E$5&lt;W$5)*F342+(K$5&lt;W$5)*L342+(Q$5&lt;W$5)*R342+(AC$5&lt;W$5)*AD342+(AI$5&lt;W$5)*AJ342+(AO$5&lt;W$5)*AP342+(AU$5&lt;W$5)*AV342)))</f>
        <v/>
      </c>
      <c r="Z342">
        <f>IF(X342-Y342&lt;0.005,0,X342-Y342)</f>
        <v/>
      </c>
      <c r="AA342">
        <f>AF341</f>
        <v/>
      </c>
      <c r="AB342">
        <f>AA342*Plan!D10/100/12</f>
        <v/>
      </c>
      <c r="AC342">
        <f>MIN(Plan!E10,AA342+AB342)</f>
        <v/>
      </c>
      <c r="AD342">
        <f>AA342+AB342-AC342</f>
        <v/>
      </c>
      <c r="AE342">
        <f>MIN(AD342,MAX(0,$B342-((E$5&lt;AC$5)*F342+(K$5&lt;AC$5)*L342+(Q$5&lt;AC$5)*R342+(W$5&lt;AC$5)*X342+(AI$5&lt;AC$5)*AJ342+(AO$5&lt;AC$5)*AP342+(AU$5&lt;AC$5)*AV342)))</f>
        <v/>
      </c>
      <c r="AF342">
        <f>IF(AD342-AE342&lt;0.005,0,AD342-AE342)</f>
        <v/>
      </c>
      <c r="AG342">
        <f>AL341</f>
        <v/>
      </c>
      <c r="AH342">
        <f>AG342*Plan!D11/100/12</f>
        <v/>
      </c>
      <c r="AI342">
        <f>MIN(Plan!E11,AG342+AH342)</f>
        <v/>
      </c>
      <c r="AJ342">
        <f>AG342+AH342-AI342</f>
        <v/>
      </c>
      <c r="AK342">
        <f>MIN(AJ342,MAX(0,$B342-((E$5&lt;AI$5)*F342+(K$5&lt;AI$5)*L342+(Q$5&lt;AI$5)*R342+(W$5&lt;AI$5)*X342+(AC$5&lt;AI$5)*AD342+(AO$5&lt;AI$5)*AP342+(AU$5&lt;AI$5)*AV342)))</f>
        <v/>
      </c>
      <c r="AL342">
        <f>IF(AJ342-AK342&lt;0.005,0,AJ342-AK342)</f>
        <v/>
      </c>
      <c r="AM342">
        <f>AR341</f>
        <v/>
      </c>
      <c r="AN342">
        <f>AM342*Plan!D12/100/12</f>
        <v/>
      </c>
      <c r="AO342">
        <f>MIN(Plan!E12,AM342+AN342)</f>
        <v/>
      </c>
      <c r="AP342">
        <f>AM342+AN342-AO342</f>
        <v/>
      </c>
      <c r="AQ342">
        <f>MIN(AP342,MAX(0,$B342-((E$5&lt;AO$5)*F342+(K$5&lt;AO$5)*L342+(Q$5&lt;AO$5)*R342+(W$5&lt;AO$5)*X342+(AC$5&lt;AO$5)*AD342+(AI$5&lt;AO$5)*AJ342+(AU$5&lt;AO$5)*AV342)))</f>
        <v/>
      </c>
      <c r="AR342">
        <f>IF(AP342-AQ342&lt;0.005,0,AP342-AQ342)</f>
        <v/>
      </c>
      <c r="AS342">
        <f>AX341</f>
        <v/>
      </c>
      <c r="AT342">
        <f>AS342*Plan!D13/100/12</f>
        <v/>
      </c>
      <c r="AU342">
        <f>MIN(Plan!E13,AS342+AT342)</f>
        <v/>
      </c>
      <c r="AV342">
        <f>AS342+AT342-AU342</f>
        <v/>
      </c>
      <c r="AW342">
        <f>MIN(AV342,MAX(0,$B342-((E$5&lt;AU$5)*F342+(K$5&lt;AU$5)*L342+(Q$5&lt;AU$5)*R342+(W$5&lt;AU$5)*X342+(AC$5&lt;AU$5)*AD342+(AI$5&lt;AU$5)*AJ342+(AO$5&lt;AU$5)*AP342)))</f>
        <v/>
      </c>
      <c r="AX342">
        <f>IF(AV342-AW342&lt;0.005,0,AV342-AW342)</f>
        <v/>
      </c>
      <c r="BC342">
        <f>H342+N342+T342+Z342+AF342+AL342+AR342+AX342</f>
        <v/>
      </c>
    </row>
    <row r="343">
      <c r="A343" t="n">
        <v>337</v>
      </c>
      <c r="B343" s="19">
        <f>MAX(0,$B$3-(E343+K343+Q343+W343+AC343+AI343+AO343+AU343))</f>
        <v/>
      </c>
      <c r="C343">
        <f>H342</f>
        <v/>
      </c>
      <c r="D343">
        <f>C343*Plan!D6/100/12</f>
        <v/>
      </c>
      <c r="E343">
        <f>MIN(Plan!E6,C343+D343)</f>
        <v/>
      </c>
      <c r="F343">
        <f>C343+D343-E343</f>
        <v/>
      </c>
      <c r="G343">
        <f>MIN(F343,MAX(0,$B343-((K$5&lt;E$5)*L343+(Q$5&lt;E$5)*R343+(W$5&lt;E$5)*X343+(AC$5&lt;E$5)*AD343+(AI$5&lt;E$5)*AJ343+(AO$5&lt;E$5)*AP343+(AU$5&lt;E$5)*AV343)))</f>
        <v/>
      </c>
      <c r="H343">
        <f>IF(F343-G343&lt;0.005,0,F343-G343)</f>
        <v/>
      </c>
      <c r="I343">
        <f>N342</f>
        <v/>
      </c>
      <c r="J343">
        <f>I343*Plan!D7/100/12</f>
        <v/>
      </c>
      <c r="K343">
        <f>MIN(Plan!E7,I343+J343)</f>
        <v/>
      </c>
      <c r="L343">
        <f>I343+J343-K343</f>
        <v/>
      </c>
      <c r="M343">
        <f>MIN(L343,MAX(0,$B343-((E$5&lt;K$5)*F343+(Q$5&lt;K$5)*R343+(W$5&lt;K$5)*X343+(AC$5&lt;K$5)*AD343+(AI$5&lt;K$5)*AJ343+(AO$5&lt;K$5)*AP343+(AU$5&lt;K$5)*AV343)))</f>
        <v/>
      </c>
      <c r="N343">
        <f>IF(L343-M343&lt;0.005,0,L343-M343)</f>
        <v/>
      </c>
      <c r="O343">
        <f>T342</f>
        <v/>
      </c>
      <c r="P343">
        <f>O343*Plan!D8/100/12</f>
        <v/>
      </c>
      <c r="Q343">
        <f>MIN(Plan!E8,O343+P343)</f>
        <v/>
      </c>
      <c r="R343">
        <f>O343+P343-Q343</f>
        <v/>
      </c>
      <c r="S343">
        <f>MIN(R343,MAX(0,$B343-((E$5&lt;Q$5)*F343+(K$5&lt;Q$5)*L343+(W$5&lt;Q$5)*X343+(AC$5&lt;Q$5)*AD343+(AI$5&lt;Q$5)*AJ343+(AO$5&lt;Q$5)*AP343+(AU$5&lt;Q$5)*AV343)))</f>
        <v/>
      </c>
      <c r="T343">
        <f>IF(R343-S343&lt;0.005,0,R343-S343)</f>
        <v/>
      </c>
      <c r="U343">
        <f>Z342</f>
        <v/>
      </c>
      <c r="V343">
        <f>U343*Plan!D9/100/12</f>
        <v/>
      </c>
      <c r="W343">
        <f>MIN(Plan!E9,U343+V343)</f>
        <v/>
      </c>
      <c r="X343">
        <f>U343+V343-W343</f>
        <v/>
      </c>
      <c r="Y343">
        <f>MIN(X343,MAX(0,$B343-((E$5&lt;W$5)*F343+(K$5&lt;W$5)*L343+(Q$5&lt;W$5)*R343+(AC$5&lt;W$5)*AD343+(AI$5&lt;W$5)*AJ343+(AO$5&lt;W$5)*AP343+(AU$5&lt;W$5)*AV343)))</f>
        <v/>
      </c>
      <c r="Z343">
        <f>IF(X343-Y343&lt;0.005,0,X343-Y343)</f>
        <v/>
      </c>
      <c r="AA343">
        <f>AF342</f>
        <v/>
      </c>
      <c r="AB343">
        <f>AA343*Plan!D10/100/12</f>
        <v/>
      </c>
      <c r="AC343">
        <f>MIN(Plan!E10,AA343+AB343)</f>
        <v/>
      </c>
      <c r="AD343">
        <f>AA343+AB343-AC343</f>
        <v/>
      </c>
      <c r="AE343">
        <f>MIN(AD343,MAX(0,$B343-((E$5&lt;AC$5)*F343+(K$5&lt;AC$5)*L343+(Q$5&lt;AC$5)*R343+(W$5&lt;AC$5)*X343+(AI$5&lt;AC$5)*AJ343+(AO$5&lt;AC$5)*AP343+(AU$5&lt;AC$5)*AV343)))</f>
        <v/>
      </c>
      <c r="AF343">
        <f>IF(AD343-AE343&lt;0.005,0,AD343-AE343)</f>
        <v/>
      </c>
      <c r="AG343">
        <f>AL342</f>
        <v/>
      </c>
      <c r="AH343">
        <f>AG343*Plan!D11/100/12</f>
        <v/>
      </c>
      <c r="AI343">
        <f>MIN(Plan!E11,AG343+AH343)</f>
        <v/>
      </c>
      <c r="AJ343">
        <f>AG343+AH343-AI343</f>
        <v/>
      </c>
      <c r="AK343">
        <f>MIN(AJ343,MAX(0,$B343-((E$5&lt;AI$5)*F343+(K$5&lt;AI$5)*L343+(Q$5&lt;AI$5)*R343+(W$5&lt;AI$5)*X343+(AC$5&lt;AI$5)*AD343+(AO$5&lt;AI$5)*AP343+(AU$5&lt;AI$5)*AV343)))</f>
        <v/>
      </c>
      <c r="AL343">
        <f>IF(AJ343-AK343&lt;0.005,0,AJ343-AK343)</f>
        <v/>
      </c>
      <c r="AM343">
        <f>AR342</f>
        <v/>
      </c>
      <c r="AN343">
        <f>AM343*Plan!D12/100/12</f>
        <v/>
      </c>
      <c r="AO343">
        <f>MIN(Plan!E12,AM343+AN343)</f>
        <v/>
      </c>
      <c r="AP343">
        <f>AM343+AN343-AO343</f>
        <v/>
      </c>
      <c r="AQ343">
        <f>MIN(AP343,MAX(0,$B343-((E$5&lt;AO$5)*F343+(K$5&lt;AO$5)*L343+(Q$5&lt;AO$5)*R343+(W$5&lt;AO$5)*X343+(AC$5&lt;AO$5)*AD343+(AI$5&lt;AO$5)*AJ343+(AU$5&lt;AO$5)*AV343)))</f>
        <v/>
      </c>
      <c r="AR343">
        <f>IF(AP343-AQ343&lt;0.005,0,AP343-AQ343)</f>
        <v/>
      </c>
      <c r="AS343">
        <f>AX342</f>
        <v/>
      </c>
      <c r="AT343">
        <f>AS343*Plan!D13/100/12</f>
        <v/>
      </c>
      <c r="AU343">
        <f>MIN(Plan!E13,AS343+AT343)</f>
        <v/>
      </c>
      <c r="AV343">
        <f>AS343+AT343-AU343</f>
        <v/>
      </c>
      <c r="AW343">
        <f>MIN(AV343,MAX(0,$B343-((E$5&lt;AU$5)*F343+(K$5&lt;AU$5)*L343+(Q$5&lt;AU$5)*R343+(W$5&lt;AU$5)*X343+(AC$5&lt;AU$5)*AD343+(AI$5&lt;AU$5)*AJ343+(AO$5&lt;AU$5)*AP343)))</f>
        <v/>
      </c>
      <c r="AX343">
        <f>IF(AV343-AW343&lt;0.005,0,AV343-AW343)</f>
        <v/>
      </c>
      <c r="BC343">
        <f>H343+N343+T343+Z343+AF343+AL343+AR343+AX343</f>
        <v/>
      </c>
    </row>
    <row r="344">
      <c r="A344" t="n">
        <v>338</v>
      </c>
      <c r="B344" s="19">
        <f>MAX(0,$B$3-(E344+K344+Q344+W344+AC344+AI344+AO344+AU344))</f>
        <v/>
      </c>
      <c r="C344">
        <f>H343</f>
        <v/>
      </c>
      <c r="D344">
        <f>C344*Plan!D6/100/12</f>
        <v/>
      </c>
      <c r="E344">
        <f>MIN(Plan!E6,C344+D344)</f>
        <v/>
      </c>
      <c r="F344">
        <f>C344+D344-E344</f>
        <v/>
      </c>
      <c r="G344">
        <f>MIN(F344,MAX(0,$B344-((K$5&lt;E$5)*L344+(Q$5&lt;E$5)*R344+(W$5&lt;E$5)*X344+(AC$5&lt;E$5)*AD344+(AI$5&lt;E$5)*AJ344+(AO$5&lt;E$5)*AP344+(AU$5&lt;E$5)*AV344)))</f>
        <v/>
      </c>
      <c r="H344">
        <f>IF(F344-G344&lt;0.005,0,F344-G344)</f>
        <v/>
      </c>
      <c r="I344">
        <f>N343</f>
        <v/>
      </c>
      <c r="J344">
        <f>I344*Plan!D7/100/12</f>
        <v/>
      </c>
      <c r="K344">
        <f>MIN(Plan!E7,I344+J344)</f>
        <v/>
      </c>
      <c r="L344">
        <f>I344+J344-K344</f>
        <v/>
      </c>
      <c r="M344">
        <f>MIN(L344,MAX(0,$B344-((E$5&lt;K$5)*F344+(Q$5&lt;K$5)*R344+(W$5&lt;K$5)*X344+(AC$5&lt;K$5)*AD344+(AI$5&lt;K$5)*AJ344+(AO$5&lt;K$5)*AP344+(AU$5&lt;K$5)*AV344)))</f>
        <v/>
      </c>
      <c r="N344">
        <f>IF(L344-M344&lt;0.005,0,L344-M344)</f>
        <v/>
      </c>
      <c r="O344">
        <f>T343</f>
        <v/>
      </c>
      <c r="P344">
        <f>O344*Plan!D8/100/12</f>
        <v/>
      </c>
      <c r="Q344">
        <f>MIN(Plan!E8,O344+P344)</f>
        <v/>
      </c>
      <c r="R344">
        <f>O344+P344-Q344</f>
        <v/>
      </c>
      <c r="S344">
        <f>MIN(R344,MAX(0,$B344-((E$5&lt;Q$5)*F344+(K$5&lt;Q$5)*L344+(W$5&lt;Q$5)*X344+(AC$5&lt;Q$5)*AD344+(AI$5&lt;Q$5)*AJ344+(AO$5&lt;Q$5)*AP344+(AU$5&lt;Q$5)*AV344)))</f>
        <v/>
      </c>
      <c r="T344">
        <f>IF(R344-S344&lt;0.005,0,R344-S344)</f>
        <v/>
      </c>
      <c r="U344">
        <f>Z343</f>
        <v/>
      </c>
      <c r="V344">
        <f>U344*Plan!D9/100/12</f>
        <v/>
      </c>
      <c r="W344">
        <f>MIN(Plan!E9,U344+V344)</f>
        <v/>
      </c>
      <c r="X344">
        <f>U344+V344-W344</f>
        <v/>
      </c>
      <c r="Y344">
        <f>MIN(X344,MAX(0,$B344-((E$5&lt;W$5)*F344+(K$5&lt;W$5)*L344+(Q$5&lt;W$5)*R344+(AC$5&lt;W$5)*AD344+(AI$5&lt;W$5)*AJ344+(AO$5&lt;W$5)*AP344+(AU$5&lt;W$5)*AV344)))</f>
        <v/>
      </c>
      <c r="Z344">
        <f>IF(X344-Y344&lt;0.005,0,X344-Y344)</f>
        <v/>
      </c>
      <c r="AA344">
        <f>AF343</f>
        <v/>
      </c>
      <c r="AB344">
        <f>AA344*Plan!D10/100/12</f>
        <v/>
      </c>
      <c r="AC344">
        <f>MIN(Plan!E10,AA344+AB344)</f>
        <v/>
      </c>
      <c r="AD344">
        <f>AA344+AB344-AC344</f>
        <v/>
      </c>
      <c r="AE344">
        <f>MIN(AD344,MAX(0,$B344-((E$5&lt;AC$5)*F344+(K$5&lt;AC$5)*L344+(Q$5&lt;AC$5)*R344+(W$5&lt;AC$5)*X344+(AI$5&lt;AC$5)*AJ344+(AO$5&lt;AC$5)*AP344+(AU$5&lt;AC$5)*AV344)))</f>
        <v/>
      </c>
      <c r="AF344">
        <f>IF(AD344-AE344&lt;0.005,0,AD344-AE344)</f>
        <v/>
      </c>
      <c r="AG344">
        <f>AL343</f>
        <v/>
      </c>
      <c r="AH344">
        <f>AG344*Plan!D11/100/12</f>
        <v/>
      </c>
      <c r="AI344">
        <f>MIN(Plan!E11,AG344+AH344)</f>
        <v/>
      </c>
      <c r="AJ344">
        <f>AG344+AH344-AI344</f>
        <v/>
      </c>
      <c r="AK344">
        <f>MIN(AJ344,MAX(0,$B344-((E$5&lt;AI$5)*F344+(K$5&lt;AI$5)*L344+(Q$5&lt;AI$5)*R344+(W$5&lt;AI$5)*X344+(AC$5&lt;AI$5)*AD344+(AO$5&lt;AI$5)*AP344+(AU$5&lt;AI$5)*AV344)))</f>
        <v/>
      </c>
      <c r="AL344">
        <f>IF(AJ344-AK344&lt;0.005,0,AJ344-AK344)</f>
        <v/>
      </c>
      <c r="AM344">
        <f>AR343</f>
        <v/>
      </c>
      <c r="AN344">
        <f>AM344*Plan!D12/100/12</f>
        <v/>
      </c>
      <c r="AO344">
        <f>MIN(Plan!E12,AM344+AN344)</f>
        <v/>
      </c>
      <c r="AP344">
        <f>AM344+AN344-AO344</f>
        <v/>
      </c>
      <c r="AQ344">
        <f>MIN(AP344,MAX(0,$B344-((E$5&lt;AO$5)*F344+(K$5&lt;AO$5)*L344+(Q$5&lt;AO$5)*R344+(W$5&lt;AO$5)*X344+(AC$5&lt;AO$5)*AD344+(AI$5&lt;AO$5)*AJ344+(AU$5&lt;AO$5)*AV344)))</f>
        <v/>
      </c>
      <c r="AR344">
        <f>IF(AP344-AQ344&lt;0.005,0,AP344-AQ344)</f>
        <v/>
      </c>
      <c r="AS344">
        <f>AX343</f>
        <v/>
      </c>
      <c r="AT344">
        <f>AS344*Plan!D13/100/12</f>
        <v/>
      </c>
      <c r="AU344">
        <f>MIN(Plan!E13,AS344+AT344)</f>
        <v/>
      </c>
      <c r="AV344">
        <f>AS344+AT344-AU344</f>
        <v/>
      </c>
      <c r="AW344">
        <f>MIN(AV344,MAX(0,$B344-((E$5&lt;AU$5)*F344+(K$5&lt;AU$5)*L344+(Q$5&lt;AU$5)*R344+(W$5&lt;AU$5)*X344+(AC$5&lt;AU$5)*AD344+(AI$5&lt;AU$5)*AJ344+(AO$5&lt;AU$5)*AP344)))</f>
        <v/>
      </c>
      <c r="AX344">
        <f>IF(AV344-AW344&lt;0.005,0,AV344-AW344)</f>
        <v/>
      </c>
      <c r="BC344">
        <f>H344+N344+T344+Z344+AF344+AL344+AR344+AX344</f>
        <v/>
      </c>
    </row>
    <row r="345">
      <c r="A345" t="n">
        <v>339</v>
      </c>
      <c r="B345" s="19">
        <f>MAX(0,$B$3-(E345+K345+Q345+W345+AC345+AI345+AO345+AU345))</f>
        <v/>
      </c>
      <c r="C345">
        <f>H344</f>
        <v/>
      </c>
      <c r="D345">
        <f>C345*Plan!D6/100/12</f>
        <v/>
      </c>
      <c r="E345">
        <f>MIN(Plan!E6,C345+D345)</f>
        <v/>
      </c>
      <c r="F345">
        <f>C345+D345-E345</f>
        <v/>
      </c>
      <c r="G345">
        <f>MIN(F345,MAX(0,$B345-((K$5&lt;E$5)*L345+(Q$5&lt;E$5)*R345+(W$5&lt;E$5)*X345+(AC$5&lt;E$5)*AD345+(AI$5&lt;E$5)*AJ345+(AO$5&lt;E$5)*AP345+(AU$5&lt;E$5)*AV345)))</f>
        <v/>
      </c>
      <c r="H345">
        <f>IF(F345-G345&lt;0.005,0,F345-G345)</f>
        <v/>
      </c>
      <c r="I345">
        <f>N344</f>
        <v/>
      </c>
      <c r="J345">
        <f>I345*Plan!D7/100/12</f>
        <v/>
      </c>
      <c r="K345">
        <f>MIN(Plan!E7,I345+J345)</f>
        <v/>
      </c>
      <c r="L345">
        <f>I345+J345-K345</f>
        <v/>
      </c>
      <c r="M345">
        <f>MIN(L345,MAX(0,$B345-((E$5&lt;K$5)*F345+(Q$5&lt;K$5)*R345+(W$5&lt;K$5)*X345+(AC$5&lt;K$5)*AD345+(AI$5&lt;K$5)*AJ345+(AO$5&lt;K$5)*AP345+(AU$5&lt;K$5)*AV345)))</f>
        <v/>
      </c>
      <c r="N345">
        <f>IF(L345-M345&lt;0.005,0,L345-M345)</f>
        <v/>
      </c>
      <c r="O345">
        <f>T344</f>
        <v/>
      </c>
      <c r="P345">
        <f>O345*Plan!D8/100/12</f>
        <v/>
      </c>
      <c r="Q345">
        <f>MIN(Plan!E8,O345+P345)</f>
        <v/>
      </c>
      <c r="R345">
        <f>O345+P345-Q345</f>
        <v/>
      </c>
      <c r="S345">
        <f>MIN(R345,MAX(0,$B345-((E$5&lt;Q$5)*F345+(K$5&lt;Q$5)*L345+(W$5&lt;Q$5)*X345+(AC$5&lt;Q$5)*AD345+(AI$5&lt;Q$5)*AJ345+(AO$5&lt;Q$5)*AP345+(AU$5&lt;Q$5)*AV345)))</f>
        <v/>
      </c>
      <c r="T345">
        <f>IF(R345-S345&lt;0.005,0,R345-S345)</f>
        <v/>
      </c>
      <c r="U345">
        <f>Z344</f>
        <v/>
      </c>
      <c r="V345">
        <f>U345*Plan!D9/100/12</f>
        <v/>
      </c>
      <c r="W345">
        <f>MIN(Plan!E9,U345+V345)</f>
        <v/>
      </c>
      <c r="X345">
        <f>U345+V345-W345</f>
        <v/>
      </c>
      <c r="Y345">
        <f>MIN(X345,MAX(0,$B345-((E$5&lt;W$5)*F345+(K$5&lt;W$5)*L345+(Q$5&lt;W$5)*R345+(AC$5&lt;W$5)*AD345+(AI$5&lt;W$5)*AJ345+(AO$5&lt;W$5)*AP345+(AU$5&lt;W$5)*AV345)))</f>
        <v/>
      </c>
      <c r="Z345">
        <f>IF(X345-Y345&lt;0.005,0,X345-Y345)</f>
        <v/>
      </c>
      <c r="AA345">
        <f>AF344</f>
        <v/>
      </c>
      <c r="AB345">
        <f>AA345*Plan!D10/100/12</f>
        <v/>
      </c>
      <c r="AC345">
        <f>MIN(Plan!E10,AA345+AB345)</f>
        <v/>
      </c>
      <c r="AD345">
        <f>AA345+AB345-AC345</f>
        <v/>
      </c>
      <c r="AE345">
        <f>MIN(AD345,MAX(0,$B345-((E$5&lt;AC$5)*F345+(K$5&lt;AC$5)*L345+(Q$5&lt;AC$5)*R345+(W$5&lt;AC$5)*X345+(AI$5&lt;AC$5)*AJ345+(AO$5&lt;AC$5)*AP345+(AU$5&lt;AC$5)*AV345)))</f>
        <v/>
      </c>
      <c r="AF345">
        <f>IF(AD345-AE345&lt;0.005,0,AD345-AE345)</f>
        <v/>
      </c>
      <c r="AG345">
        <f>AL344</f>
        <v/>
      </c>
      <c r="AH345">
        <f>AG345*Plan!D11/100/12</f>
        <v/>
      </c>
      <c r="AI345">
        <f>MIN(Plan!E11,AG345+AH345)</f>
        <v/>
      </c>
      <c r="AJ345">
        <f>AG345+AH345-AI345</f>
        <v/>
      </c>
      <c r="AK345">
        <f>MIN(AJ345,MAX(0,$B345-((E$5&lt;AI$5)*F345+(K$5&lt;AI$5)*L345+(Q$5&lt;AI$5)*R345+(W$5&lt;AI$5)*X345+(AC$5&lt;AI$5)*AD345+(AO$5&lt;AI$5)*AP345+(AU$5&lt;AI$5)*AV345)))</f>
        <v/>
      </c>
      <c r="AL345">
        <f>IF(AJ345-AK345&lt;0.005,0,AJ345-AK345)</f>
        <v/>
      </c>
      <c r="AM345">
        <f>AR344</f>
        <v/>
      </c>
      <c r="AN345">
        <f>AM345*Plan!D12/100/12</f>
        <v/>
      </c>
      <c r="AO345">
        <f>MIN(Plan!E12,AM345+AN345)</f>
        <v/>
      </c>
      <c r="AP345">
        <f>AM345+AN345-AO345</f>
        <v/>
      </c>
      <c r="AQ345">
        <f>MIN(AP345,MAX(0,$B345-((E$5&lt;AO$5)*F345+(K$5&lt;AO$5)*L345+(Q$5&lt;AO$5)*R345+(W$5&lt;AO$5)*X345+(AC$5&lt;AO$5)*AD345+(AI$5&lt;AO$5)*AJ345+(AU$5&lt;AO$5)*AV345)))</f>
        <v/>
      </c>
      <c r="AR345">
        <f>IF(AP345-AQ345&lt;0.005,0,AP345-AQ345)</f>
        <v/>
      </c>
      <c r="AS345">
        <f>AX344</f>
        <v/>
      </c>
      <c r="AT345">
        <f>AS345*Plan!D13/100/12</f>
        <v/>
      </c>
      <c r="AU345">
        <f>MIN(Plan!E13,AS345+AT345)</f>
        <v/>
      </c>
      <c r="AV345">
        <f>AS345+AT345-AU345</f>
        <v/>
      </c>
      <c r="AW345">
        <f>MIN(AV345,MAX(0,$B345-((E$5&lt;AU$5)*F345+(K$5&lt;AU$5)*L345+(Q$5&lt;AU$5)*R345+(W$5&lt;AU$5)*X345+(AC$5&lt;AU$5)*AD345+(AI$5&lt;AU$5)*AJ345+(AO$5&lt;AU$5)*AP345)))</f>
        <v/>
      </c>
      <c r="AX345">
        <f>IF(AV345-AW345&lt;0.005,0,AV345-AW345)</f>
        <v/>
      </c>
      <c r="BC345">
        <f>H345+N345+T345+Z345+AF345+AL345+AR345+AX345</f>
        <v/>
      </c>
    </row>
    <row r="346">
      <c r="A346" t="n">
        <v>340</v>
      </c>
      <c r="B346" s="19">
        <f>MAX(0,$B$3-(E346+K346+Q346+W346+AC346+AI346+AO346+AU346))</f>
        <v/>
      </c>
      <c r="C346">
        <f>H345</f>
        <v/>
      </c>
      <c r="D346">
        <f>C346*Plan!D6/100/12</f>
        <v/>
      </c>
      <c r="E346">
        <f>MIN(Plan!E6,C346+D346)</f>
        <v/>
      </c>
      <c r="F346">
        <f>C346+D346-E346</f>
        <v/>
      </c>
      <c r="G346">
        <f>MIN(F346,MAX(0,$B346-((K$5&lt;E$5)*L346+(Q$5&lt;E$5)*R346+(W$5&lt;E$5)*X346+(AC$5&lt;E$5)*AD346+(AI$5&lt;E$5)*AJ346+(AO$5&lt;E$5)*AP346+(AU$5&lt;E$5)*AV346)))</f>
        <v/>
      </c>
      <c r="H346">
        <f>IF(F346-G346&lt;0.005,0,F346-G346)</f>
        <v/>
      </c>
      <c r="I346">
        <f>N345</f>
        <v/>
      </c>
      <c r="J346">
        <f>I346*Plan!D7/100/12</f>
        <v/>
      </c>
      <c r="K346">
        <f>MIN(Plan!E7,I346+J346)</f>
        <v/>
      </c>
      <c r="L346">
        <f>I346+J346-K346</f>
        <v/>
      </c>
      <c r="M346">
        <f>MIN(L346,MAX(0,$B346-((E$5&lt;K$5)*F346+(Q$5&lt;K$5)*R346+(W$5&lt;K$5)*X346+(AC$5&lt;K$5)*AD346+(AI$5&lt;K$5)*AJ346+(AO$5&lt;K$5)*AP346+(AU$5&lt;K$5)*AV346)))</f>
        <v/>
      </c>
      <c r="N346">
        <f>IF(L346-M346&lt;0.005,0,L346-M346)</f>
        <v/>
      </c>
      <c r="O346">
        <f>T345</f>
        <v/>
      </c>
      <c r="P346">
        <f>O346*Plan!D8/100/12</f>
        <v/>
      </c>
      <c r="Q346">
        <f>MIN(Plan!E8,O346+P346)</f>
        <v/>
      </c>
      <c r="R346">
        <f>O346+P346-Q346</f>
        <v/>
      </c>
      <c r="S346">
        <f>MIN(R346,MAX(0,$B346-((E$5&lt;Q$5)*F346+(K$5&lt;Q$5)*L346+(W$5&lt;Q$5)*X346+(AC$5&lt;Q$5)*AD346+(AI$5&lt;Q$5)*AJ346+(AO$5&lt;Q$5)*AP346+(AU$5&lt;Q$5)*AV346)))</f>
        <v/>
      </c>
      <c r="T346">
        <f>IF(R346-S346&lt;0.005,0,R346-S346)</f>
        <v/>
      </c>
      <c r="U346">
        <f>Z345</f>
        <v/>
      </c>
      <c r="V346">
        <f>U346*Plan!D9/100/12</f>
        <v/>
      </c>
      <c r="W346">
        <f>MIN(Plan!E9,U346+V346)</f>
        <v/>
      </c>
      <c r="X346">
        <f>U346+V346-W346</f>
        <v/>
      </c>
      <c r="Y346">
        <f>MIN(X346,MAX(0,$B346-((E$5&lt;W$5)*F346+(K$5&lt;W$5)*L346+(Q$5&lt;W$5)*R346+(AC$5&lt;W$5)*AD346+(AI$5&lt;W$5)*AJ346+(AO$5&lt;W$5)*AP346+(AU$5&lt;W$5)*AV346)))</f>
        <v/>
      </c>
      <c r="Z346">
        <f>IF(X346-Y346&lt;0.005,0,X346-Y346)</f>
        <v/>
      </c>
      <c r="AA346">
        <f>AF345</f>
        <v/>
      </c>
      <c r="AB346">
        <f>AA346*Plan!D10/100/12</f>
        <v/>
      </c>
      <c r="AC346">
        <f>MIN(Plan!E10,AA346+AB346)</f>
        <v/>
      </c>
      <c r="AD346">
        <f>AA346+AB346-AC346</f>
        <v/>
      </c>
      <c r="AE346">
        <f>MIN(AD346,MAX(0,$B346-((E$5&lt;AC$5)*F346+(K$5&lt;AC$5)*L346+(Q$5&lt;AC$5)*R346+(W$5&lt;AC$5)*X346+(AI$5&lt;AC$5)*AJ346+(AO$5&lt;AC$5)*AP346+(AU$5&lt;AC$5)*AV346)))</f>
        <v/>
      </c>
      <c r="AF346">
        <f>IF(AD346-AE346&lt;0.005,0,AD346-AE346)</f>
        <v/>
      </c>
      <c r="AG346">
        <f>AL345</f>
        <v/>
      </c>
      <c r="AH346">
        <f>AG346*Plan!D11/100/12</f>
        <v/>
      </c>
      <c r="AI346">
        <f>MIN(Plan!E11,AG346+AH346)</f>
        <v/>
      </c>
      <c r="AJ346">
        <f>AG346+AH346-AI346</f>
        <v/>
      </c>
      <c r="AK346">
        <f>MIN(AJ346,MAX(0,$B346-((E$5&lt;AI$5)*F346+(K$5&lt;AI$5)*L346+(Q$5&lt;AI$5)*R346+(W$5&lt;AI$5)*X346+(AC$5&lt;AI$5)*AD346+(AO$5&lt;AI$5)*AP346+(AU$5&lt;AI$5)*AV346)))</f>
        <v/>
      </c>
      <c r="AL346">
        <f>IF(AJ346-AK346&lt;0.005,0,AJ346-AK346)</f>
        <v/>
      </c>
      <c r="AM346">
        <f>AR345</f>
        <v/>
      </c>
      <c r="AN346">
        <f>AM346*Plan!D12/100/12</f>
        <v/>
      </c>
      <c r="AO346">
        <f>MIN(Plan!E12,AM346+AN346)</f>
        <v/>
      </c>
      <c r="AP346">
        <f>AM346+AN346-AO346</f>
        <v/>
      </c>
      <c r="AQ346">
        <f>MIN(AP346,MAX(0,$B346-((E$5&lt;AO$5)*F346+(K$5&lt;AO$5)*L346+(Q$5&lt;AO$5)*R346+(W$5&lt;AO$5)*X346+(AC$5&lt;AO$5)*AD346+(AI$5&lt;AO$5)*AJ346+(AU$5&lt;AO$5)*AV346)))</f>
        <v/>
      </c>
      <c r="AR346">
        <f>IF(AP346-AQ346&lt;0.005,0,AP346-AQ346)</f>
        <v/>
      </c>
      <c r="AS346">
        <f>AX345</f>
        <v/>
      </c>
      <c r="AT346">
        <f>AS346*Plan!D13/100/12</f>
        <v/>
      </c>
      <c r="AU346">
        <f>MIN(Plan!E13,AS346+AT346)</f>
        <v/>
      </c>
      <c r="AV346">
        <f>AS346+AT346-AU346</f>
        <v/>
      </c>
      <c r="AW346">
        <f>MIN(AV346,MAX(0,$B346-((E$5&lt;AU$5)*F346+(K$5&lt;AU$5)*L346+(Q$5&lt;AU$5)*R346+(W$5&lt;AU$5)*X346+(AC$5&lt;AU$5)*AD346+(AI$5&lt;AU$5)*AJ346+(AO$5&lt;AU$5)*AP346)))</f>
        <v/>
      </c>
      <c r="AX346">
        <f>IF(AV346-AW346&lt;0.005,0,AV346-AW346)</f>
        <v/>
      </c>
      <c r="BC346">
        <f>H346+N346+T346+Z346+AF346+AL346+AR346+AX346</f>
        <v/>
      </c>
    </row>
    <row r="347">
      <c r="A347" t="n">
        <v>341</v>
      </c>
      <c r="B347" s="19">
        <f>MAX(0,$B$3-(E347+K347+Q347+W347+AC347+AI347+AO347+AU347))</f>
        <v/>
      </c>
      <c r="C347">
        <f>H346</f>
        <v/>
      </c>
      <c r="D347">
        <f>C347*Plan!D6/100/12</f>
        <v/>
      </c>
      <c r="E347">
        <f>MIN(Plan!E6,C347+D347)</f>
        <v/>
      </c>
      <c r="F347">
        <f>C347+D347-E347</f>
        <v/>
      </c>
      <c r="G347">
        <f>MIN(F347,MAX(0,$B347-((K$5&lt;E$5)*L347+(Q$5&lt;E$5)*R347+(W$5&lt;E$5)*X347+(AC$5&lt;E$5)*AD347+(AI$5&lt;E$5)*AJ347+(AO$5&lt;E$5)*AP347+(AU$5&lt;E$5)*AV347)))</f>
        <v/>
      </c>
      <c r="H347">
        <f>IF(F347-G347&lt;0.005,0,F347-G347)</f>
        <v/>
      </c>
      <c r="I347">
        <f>N346</f>
        <v/>
      </c>
      <c r="J347">
        <f>I347*Plan!D7/100/12</f>
        <v/>
      </c>
      <c r="K347">
        <f>MIN(Plan!E7,I347+J347)</f>
        <v/>
      </c>
      <c r="L347">
        <f>I347+J347-K347</f>
        <v/>
      </c>
      <c r="M347">
        <f>MIN(L347,MAX(0,$B347-((E$5&lt;K$5)*F347+(Q$5&lt;K$5)*R347+(W$5&lt;K$5)*X347+(AC$5&lt;K$5)*AD347+(AI$5&lt;K$5)*AJ347+(AO$5&lt;K$5)*AP347+(AU$5&lt;K$5)*AV347)))</f>
        <v/>
      </c>
      <c r="N347">
        <f>IF(L347-M347&lt;0.005,0,L347-M347)</f>
        <v/>
      </c>
      <c r="O347">
        <f>T346</f>
        <v/>
      </c>
      <c r="P347">
        <f>O347*Plan!D8/100/12</f>
        <v/>
      </c>
      <c r="Q347">
        <f>MIN(Plan!E8,O347+P347)</f>
        <v/>
      </c>
      <c r="R347">
        <f>O347+P347-Q347</f>
        <v/>
      </c>
      <c r="S347">
        <f>MIN(R347,MAX(0,$B347-((E$5&lt;Q$5)*F347+(K$5&lt;Q$5)*L347+(W$5&lt;Q$5)*X347+(AC$5&lt;Q$5)*AD347+(AI$5&lt;Q$5)*AJ347+(AO$5&lt;Q$5)*AP347+(AU$5&lt;Q$5)*AV347)))</f>
        <v/>
      </c>
      <c r="T347">
        <f>IF(R347-S347&lt;0.005,0,R347-S347)</f>
        <v/>
      </c>
      <c r="U347">
        <f>Z346</f>
        <v/>
      </c>
      <c r="V347">
        <f>U347*Plan!D9/100/12</f>
        <v/>
      </c>
      <c r="W347">
        <f>MIN(Plan!E9,U347+V347)</f>
        <v/>
      </c>
      <c r="X347">
        <f>U347+V347-W347</f>
        <v/>
      </c>
      <c r="Y347">
        <f>MIN(X347,MAX(0,$B347-((E$5&lt;W$5)*F347+(K$5&lt;W$5)*L347+(Q$5&lt;W$5)*R347+(AC$5&lt;W$5)*AD347+(AI$5&lt;W$5)*AJ347+(AO$5&lt;W$5)*AP347+(AU$5&lt;W$5)*AV347)))</f>
        <v/>
      </c>
      <c r="Z347">
        <f>IF(X347-Y347&lt;0.005,0,X347-Y347)</f>
        <v/>
      </c>
      <c r="AA347">
        <f>AF346</f>
        <v/>
      </c>
      <c r="AB347">
        <f>AA347*Plan!D10/100/12</f>
        <v/>
      </c>
      <c r="AC347">
        <f>MIN(Plan!E10,AA347+AB347)</f>
        <v/>
      </c>
      <c r="AD347">
        <f>AA347+AB347-AC347</f>
        <v/>
      </c>
      <c r="AE347">
        <f>MIN(AD347,MAX(0,$B347-((E$5&lt;AC$5)*F347+(K$5&lt;AC$5)*L347+(Q$5&lt;AC$5)*R347+(W$5&lt;AC$5)*X347+(AI$5&lt;AC$5)*AJ347+(AO$5&lt;AC$5)*AP347+(AU$5&lt;AC$5)*AV347)))</f>
        <v/>
      </c>
      <c r="AF347">
        <f>IF(AD347-AE347&lt;0.005,0,AD347-AE347)</f>
        <v/>
      </c>
      <c r="AG347">
        <f>AL346</f>
        <v/>
      </c>
      <c r="AH347">
        <f>AG347*Plan!D11/100/12</f>
        <v/>
      </c>
      <c r="AI347">
        <f>MIN(Plan!E11,AG347+AH347)</f>
        <v/>
      </c>
      <c r="AJ347">
        <f>AG347+AH347-AI347</f>
        <v/>
      </c>
      <c r="AK347">
        <f>MIN(AJ347,MAX(0,$B347-((E$5&lt;AI$5)*F347+(K$5&lt;AI$5)*L347+(Q$5&lt;AI$5)*R347+(W$5&lt;AI$5)*X347+(AC$5&lt;AI$5)*AD347+(AO$5&lt;AI$5)*AP347+(AU$5&lt;AI$5)*AV347)))</f>
        <v/>
      </c>
      <c r="AL347">
        <f>IF(AJ347-AK347&lt;0.005,0,AJ347-AK347)</f>
        <v/>
      </c>
      <c r="AM347">
        <f>AR346</f>
        <v/>
      </c>
      <c r="AN347">
        <f>AM347*Plan!D12/100/12</f>
        <v/>
      </c>
      <c r="AO347">
        <f>MIN(Plan!E12,AM347+AN347)</f>
        <v/>
      </c>
      <c r="AP347">
        <f>AM347+AN347-AO347</f>
        <v/>
      </c>
      <c r="AQ347">
        <f>MIN(AP347,MAX(0,$B347-((E$5&lt;AO$5)*F347+(K$5&lt;AO$5)*L347+(Q$5&lt;AO$5)*R347+(W$5&lt;AO$5)*X347+(AC$5&lt;AO$5)*AD347+(AI$5&lt;AO$5)*AJ347+(AU$5&lt;AO$5)*AV347)))</f>
        <v/>
      </c>
      <c r="AR347">
        <f>IF(AP347-AQ347&lt;0.005,0,AP347-AQ347)</f>
        <v/>
      </c>
      <c r="AS347">
        <f>AX346</f>
        <v/>
      </c>
      <c r="AT347">
        <f>AS347*Plan!D13/100/12</f>
        <v/>
      </c>
      <c r="AU347">
        <f>MIN(Plan!E13,AS347+AT347)</f>
        <v/>
      </c>
      <c r="AV347">
        <f>AS347+AT347-AU347</f>
        <v/>
      </c>
      <c r="AW347">
        <f>MIN(AV347,MAX(0,$B347-((E$5&lt;AU$5)*F347+(K$5&lt;AU$5)*L347+(Q$5&lt;AU$5)*R347+(W$5&lt;AU$5)*X347+(AC$5&lt;AU$5)*AD347+(AI$5&lt;AU$5)*AJ347+(AO$5&lt;AU$5)*AP347)))</f>
        <v/>
      </c>
      <c r="AX347">
        <f>IF(AV347-AW347&lt;0.005,0,AV347-AW347)</f>
        <v/>
      </c>
      <c r="BC347">
        <f>H347+N347+T347+Z347+AF347+AL347+AR347+AX347</f>
        <v/>
      </c>
    </row>
    <row r="348">
      <c r="A348" t="n">
        <v>342</v>
      </c>
      <c r="B348" s="19">
        <f>MAX(0,$B$3-(E348+K348+Q348+W348+AC348+AI348+AO348+AU348))</f>
        <v/>
      </c>
      <c r="C348">
        <f>H347</f>
        <v/>
      </c>
      <c r="D348">
        <f>C348*Plan!D6/100/12</f>
        <v/>
      </c>
      <c r="E348">
        <f>MIN(Plan!E6,C348+D348)</f>
        <v/>
      </c>
      <c r="F348">
        <f>C348+D348-E348</f>
        <v/>
      </c>
      <c r="G348">
        <f>MIN(F348,MAX(0,$B348-((K$5&lt;E$5)*L348+(Q$5&lt;E$5)*R348+(W$5&lt;E$5)*X348+(AC$5&lt;E$5)*AD348+(AI$5&lt;E$5)*AJ348+(AO$5&lt;E$5)*AP348+(AU$5&lt;E$5)*AV348)))</f>
        <v/>
      </c>
      <c r="H348">
        <f>IF(F348-G348&lt;0.005,0,F348-G348)</f>
        <v/>
      </c>
      <c r="I348">
        <f>N347</f>
        <v/>
      </c>
      <c r="J348">
        <f>I348*Plan!D7/100/12</f>
        <v/>
      </c>
      <c r="K348">
        <f>MIN(Plan!E7,I348+J348)</f>
        <v/>
      </c>
      <c r="L348">
        <f>I348+J348-K348</f>
        <v/>
      </c>
      <c r="M348">
        <f>MIN(L348,MAX(0,$B348-((E$5&lt;K$5)*F348+(Q$5&lt;K$5)*R348+(W$5&lt;K$5)*X348+(AC$5&lt;K$5)*AD348+(AI$5&lt;K$5)*AJ348+(AO$5&lt;K$5)*AP348+(AU$5&lt;K$5)*AV348)))</f>
        <v/>
      </c>
      <c r="N348">
        <f>IF(L348-M348&lt;0.005,0,L348-M348)</f>
        <v/>
      </c>
      <c r="O348">
        <f>T347</f>
        <v/>
      </c>
      <c r="P348">
        <f>O348*Plan!D8/100/12</f>
        <v/>
      </c>
      <c r="Q348">
        <f>MIN(Plan!E8,O348+P348)</f>
        <v/>
      </c>
      <c r="R348">
        <f>O348+P348-Q348</f>
        <v/>
      </c>
      <c r="S348">
        <f>MIN(R348,MAX(0,$B348-((E$5&lt;Q$5)*F348+(K$5&lt;Q$5)*L348+(W$5&lt;Q$5)*X348+(AC$5&lt;Q$5)*AD348+(AI$5&lt;Q$5)*AJ348+(AO$5&lt;Q$5)*AP348+(AU$5&lt;Q$5)*AV348)))</f>
        <v/>
      </c>
      <c r="T348">
        <f>IF(R348-S348&lt;0.005,0,R348-S348)</f>
        <v/>
      </c>
      <c r="U348">
        <f>Z347</f>
        <v/>
      </c>
      <c r="V348">
        <f>U348*Plan!D9/100/12</f>
        <v/>
      </c>
      <c r="W348">
        <f>MIN(Plan!E9,U348+V348)</f>
        <v/>
      </c>
      <c r="X348">
        <f>U348+V348-W348</f>
        <v/>
      </c>
      <c r="Y348">
        <f>MIN(X348,MAX(0,$B348-((E$5&lt;W$5)*F348+(K$5&lt;W$5)*L348+(Q$5&lt;W$5)*R348+(AC$5&lt;W$5)*AD348+(AI$5&lt;W$5)*AJ348+(AO$5&lt;W$5)*AP348+(AU$5&lt;W$5)*AV348)))</f>
        <v/>
      </c>
      <c r="Z348">
        <f>IF(X348-Y348&lt;0.005,0,X348-Y348)</f>
        <v/>
      </c>
      <c r="AA348">
        <f>AF347</f>
        <v/>
      </c>
      <c r="AB348">
        <f>AA348*Plan!D10/100/12</f>
        <v/>
      </c>
      <c r="AC348">
        <f>MIN(Plan!E10,AA348+AB348)</f>
        <v/>
      </c>
      <c r="AD348">
        <f>AA348+AB348-AC348</f>
        <v/>
      </c>
      <c r="AE348">
        <f>MIN(AD348,MAX(0,$B348-((E$5&lt;AC$5)*F348+(K$5&lt;AC$5)*L348+(Q$5&lt;AC$5)*R348+(W$5&lt;AC$5)*X348+(AI$5&lt;AC$5)*AJ348+(AO$5&lt;AC$5)*AP348+(AU$5&lt;AC$5)*AV348)))</f>
        <v/>
      </c>
      <c r="AF348">
        <f>IF(AD348-AE348&lt;0.005,0,AD348-AE348)</f>
        <v/>
      </c>
      <c r="AG348">
        <f>AL347</f>
        <v/>
      </c>
      <c r="AH348">
        <f>AG348*Plan!D11/100/12</f>
        <v/>
      </c>
      <c r="AI348">
        <f>MIN(Plan!E11,AG348+AH348)</f>
        <v/>
      </c>
      <c r="AJ348">
        <f>AG348+AH348-AI348</f>
        <v/>
      </c>
      <c r="AK348">
        <f>MIN(AJ348,MAX(0,$B348-((E$5&lt;AI$5)*F348+(K$5&lt;AI$5)*L348+(Q$5&lt;AI$5)*R348+(W$5&lt;AI$5)*X348+(AC$5&lt;AI$5)*AD348+(AO$5&lt;AI$5)*AP348+(AU$5&lt;AI$5)*AV348)))</f>
        <v/>
      </c>
      <c r="AL348">
        <f>IF(AJ348-AK348&lt;0.005,0,AJ348-AK348)</f>
        <v/>
      </c>
      <c r="AM348">
        <f>AR347</f>
        <v/>
      </c>
      <c r="AN348">
        <f>AM348*Plan!D12/100/12</f>
        <v/>
      </c>
      <c r="AO348">
        <f>MIN(Plan!E12,AM348+AN348)</f>
        <v/>
      </c>
      <c r="AP348">
        <f>AM348+AN348-AO348</f>
        <v/>
      </c>
      <c r="AQ348">
        <f>MIN(AP348,MAX(0,$B348-((E$5&lt;AO$5)*F348+(K$5&lt;AO$5)*L348+(Q$5&lt;AO$5)*R348+(W$5&lt;AO$5)*X348+(AC$5&lt;AO$5)*AD348+(AI$5&lt;AO$5)*AJ348+(AU$5&lt;AO$5)*AV348)))</f>
        <v/>
      </c>
      <c r="AR348">
        <f>IF(AP348-AQ348&lt;0.005,0,AP348-AQ348)</f>
        <v/>
      </c>
      <c r="AS348">
        <f>AX347</f>
        <v/>
      </c>
      <c r="AT348">
        <f>AS348*Plan!D13/100/12</f>
        <v/>
      </c>
      <c r="AU348">
        <f>MIN(Plan!E13,AS348+AT348)</f>
        <v/>
      </c>
      <c r="AV348">
        <f>AS348+AT348-AU348</f>
        <v/>
      </c>
      <c r="AW348">
        <f>MIN(AV348,MAX(0,$B348-((E$5&lt;AU$5)*F348+(K$5&lt;AU$5)*L348+(Q$5&lt;AU$5)*R348+(W$5&lt;AU$5)*X348+(AC$5&lt;AU$5)*AD348+(AI$5&lt;AU$5)*AJ348+(AO$5&lt;AU$5)*AP348)))</f>
        <v/>
      </c>
      <c r="AX348">
        <f>IF(AV348-AW348&lt;0.005,0,AV348-AW348)</f>
        <v/>
      </c>
      <c r="BC348">
        <f>H348+N348+T348+Z348+AF348+AL348+AR348+AX348</f>
        <v/>
      </c>
    </row>
    <row r="349">
      <c r="A349" t="n">
        <v>343</v>
      </c>
      <c r="B349" s="19">
        <f>MAX(0,$B$3-(E349+K349+Q349+W349+AC349+AI349+AO349+AU349))</f>
        <v/>
      </c>
      <c r="C349">
        <f>H348</f>
        <v/>
      </c>
      <c r="D349">
        <f>C349*Plan!D6/100/12</f>
        <v/>
      </c>
      <c r="E349">
        <f>MIN(Plan!E6,C349+D349)</f>
        <v/>
      </c>
      <c r="F349">
        <f>C349+D349-E349</f>
        <v/>
      </c>
      <c r="G349">
        <f>MIN(F349,MAX(0,$B349-((K$5&lt;E$5)*L349+(Q$5&lt;E$5)*R349+(W$5&lt;E$5)*X349+(AC$5&lt;E$5)*AD349+(AI$5&lt;E$5)*AJ349+(AO$5&lt;E$5)*AP349+(AU$5&lt;E$5)*AV349)))</f>
        <v/>
      </c>
      <c r="H349">
        <f>IF(F349-G349&lt;0.005,0,F349-G349)</f>
        <v/>
      </c>
      <c r="I349">
        <f>N348</f>
        <v/>
      </c>
      <c r="J349">
        <f>I349*Plan!D7/100/12</f>
        <v/>
      </c>
      <c r="K349">
        <f>MIN(Plan!E7,I349+J349)</f>
        <v/>
      </c>
      <c r="L349">
        <f>I349+J349-K349</f>
        <v/>
      </c>
      <c r="M349">
        <f>MIN(L349,MAX(0,$B349-((E$5&lt;K$5)*F349+(Q$5&lt;K$5)*R349+(W$5&lt;K$5)*X349+(AC$5&lt;K$5)*AD349+(AI$5&lt;K$5)*AJ349+(AO$5&lt;K$5)*AP349+(AU$5&lt;K$5)*AV349)))</f>
        <v/>
      </c>
      <c r="N349">
        <f>IF(L349-M349&lt;0.005,0,L349-M349)</f>
        <v/>
      </c>
      <c r="O349">
        <f>T348</f>
        <v/>
      </c>
      <c r="P349">
        <f>O349*Plan!D8/100/12</f>
        <v/>
      </c>
      <c r="Q349">
        <f>MIN(Plan!E8,O349+P349)</f>
        <v/>
      </c>
      <c r="R349">
        <f>O349+P349-Q349</f>
        <v/>
      </c>
      <c r="S349">
        <f>MIN(R349,MAX(0,$B349-((E$5&lt;Q$5)*F349+(K$5&lt;Q$5)*L349+(W$5&lt;Q$5)*X349+(AC$5&lt;Q$5)*AD349+(AI$5&lt;Q$5)*AJ349+(AO$5&lt;Q$5)*AP349+(AU$5&lt;Q$5)*AV349)))</f>
        <v/>
      </c>
      <c r="T349">
        <f>IF(R349-S349&lt;0.005,0,R349-S349)</f>
        <v/>
      </c>
      <c r="U349">
        <f>Z348</f>
        <v/>
      </c>
      <c r="V349">
        <f>U349*Plan!D9/100/12</f>
        <v/>
      </c>
      <c r="W349">
        <f>MIN(Plan!E9,U349+V349)</f>
        <v/>
      </c>
      <c r="X349">
        <f>U349+V349-W349</f>
        <v/>
      </c>
      <c r="Y349">
        <f>MIN(X349,MAX(0,$B349-((E$5&lt;W$5)*F349+(K$5&lt;W$5)*L349+(Q$5&lt;W$5)*R349+(AC$5&lt;W$5)*AD349+(AI$5&lt;W$5)*AJ349+(AO$5&lt;W$5)*AP349+(AU$5&lt;W$5)*AV349)))</f>
        <v/>
      </c>
      <c r="Z349">
        <f>IF(X349-Y349&lt;0.005,0,X349-Y349)</f>
        <v/>
      </c>
      <c r="AA349">
        <f>AF348</f>
        <v/>
      </c>
      <c r="AB349">
        <f>AA349*Plan!D10/100/12</f>
        <v/>
      </c>
      <c r="AC349">
        <f>MIN(Plan!E10,AA349+AB349)</f>
        <v/>
      </c>
      <c r="AD349">
        <f>AA349+AB349-AC349</f>
        <v/>
      </c>
      <c r="AE349">
        <f>MIN(AD349,MAX(0,$B349-((E$5&lt;AC$5)*F349+(K$5&lt;AC$5)*L349+(Q$5&lt;AC$5)*R349+(W$5&lt;AC$5)*X349+(AI$5&lt;AC$5)*AJ349+(AO$5&lt;AC$5)*AP349+(AU$5&lt;AC$5)*AV349)))</f>
        <v/>
      </c>
      <c r="AF349">
        <f>IF(AD349-AE349&lt;0.005,0,AD349-AE349)</f>
        <v/>
      </c>
      <c r="AG349">
        <f>AL348</f>
        <v/>
      </c>
      <c r="AH349">
        <f>AG349*Plan!D11/100/12</f>
        <v/>
      </c>
      <c r="AI349">
        <f>MIN(Plan!E11,AG349+AH349)</f>
        <v/>
      </c>
      <c r="AJ349">
        <f>AG349+AH349-AI349</f>
        <v/>
      </c>
      <c r="AK349">
        <f>MIN(AJ349,MAX(0,$B349-((E$5&lt;AI$5)*F349+(K$5&lt;AI$5)*L349+(Q$5&lt;AI$5)*R349+(W$5&lt;AI$5)*X349+(AC$5&lt;AI$5)*AD349+(AO$5&lt;AI$5)*AP349+(AU$5&lt;AI$5)*AV349)))</f>
        <v/>
      </c>
      <c r="AL349">
        <f>IF(AJ349-AK349&lt;0.005,0,AJ349-AK349)</f>
        <v/>
      </c>
      <c r="AM349">
        <f>AR348</f>
        <v/>
      </c>
      <c r="AN349">
        <f>AM349*Plan!D12/100/12</f>
        <v/>
      </c>
      <c r="AO349">
        <f>MIN(Plan!E12,AM349+AN349)</f>
        <v/>
      </c>
      <c r="AP349">
        <f>AM349+AN349-AO349</f>
        <v/>
      </c>
      <c r="AQ349">
        <f>MIN(AP349,MAX(0,$B349-((E$5&lt;AO$5)*F349+(K$5&lt;AO$5)*L349+(Q$5&lt;AO$5)*R349+(W$5&lt;AO$5)*X349+(AC$5&lt;AO$5)*AD349+(AI$5&lt;AO$5)*AJ349+(AU$5&lt;AO$5)*AV349)))</f>
        <v/>
      </c>
      <c r="AR349">
        <f>IF(AP349-AQ349&lt;0.005,0,AP349-AQ349)</f>
        <v/>
      </c>
      <c r="AS349">
        <f>AX348</f>
        <v/>
      </c>
      <c r="AT349">
        <f>AS349*Plan!D13/100/12</f>
        <v/>
      </c>
      <c r="AU349">
        <f>MIN(Plan!E13,AS349+AT349)</f>
        <v/>
      </c>
      <c r="AV349">
        <f>AS349+AT349-AU349</f>
        <v/>
      </c>
      <c r="AW349">
        <f>MIN(AV349,MAX(0,$B349-((E$5&lt;AU$5)*F349+(K$5&lt;AU$5)*L349+(Q$5&lt;AU$5)*R349+(W$5&lt;AU$5)*X349+(AC$5&lt;AU$5)*AD349+(AI$5&lt;AU$5)*AJ349+(AO$5&lt;AU$5)*AP349)))</f>
        <v/>
      </c>
      <c r="AX349">
        <f>IF(AV349-AW349&lt;0.005,0,AV349-AW349)</f>
        <v/>
      </c>
      <c r="BC349">
        <f>H349+N349+T349+Z349+AF349+AL349+AR349+AX349</f>
        <v/>
      </c>
    </row>
    <row r="350">
      <c r="A350" t="n">
        <v>344</v>
      </c>
      <c r="B350" s="19">
        <f>MAX(0,$B$3-(E350+K350+Q350+W350+AC350+AI350+AO350+AU350))</f>
        <v/>
      </c>
      <c r="C350">
        <f>H349</f>
        <v/>
      </c>
      <c r="D350">
        <f>C350*Plan!D6/100/12</f>
        <v/>
      </c>
      <c r="E350">
        <f>MIN(Plan!E6,C350+D350)</f>
        <v/>
      </c>
      <c r="F350">
        <f>C350+D350-E350</f>
        <v/>
      </c>
      <c r="G350">
        <f>MIN(F350,MAX(0,$B350-((K$5&lt;E$5)*L350+(Q$5&lt;E$5)*R350+(W$5&lt;E$5)*X350+(AC$5&lt;E$5)*AD350+(AI$5&lt;E$5)*AJ350+(AO$5&lt;E$5)*AP350+(AU$5&lt;E$5)*AV350)))</f>
        <v/>
      </c>
      <c r="H350">
        <f>IF(F350-G350&lt;0.005,0,F350-G350)</f>
        <v/>
      </c>
      <c r="I350">
        <f>N349</f>
        <v/>
      </c>
      <c r="J350">
        <f>I350*Plan!D7/100/12</f>
        <v/>
      </c>
      <c r="K350">
        <f>MIN(Plan!E7,I350+J350)</f>
        <v/>
      </c>
      <c r="L350">
        <f>I350+J350-K350</f>
        <v/>
      </c>
      <c r="M350">
        <f>MIN(L350,MAX(0,$B350-((E$5&lt;K$5)*F350+(Q$5&lt;K$5)*R350+(W$5&lt;K$5)*X350+(AC$5&lt;K$5)*AD350+(AI$5&lt;K$5)*AJ350+(AO$5&lt;K$5)*AP350+(AU$5&lt;K$5)*AV350)))</f>
        <v/>
      </c>
      <c r="N350">
        <f>IF(L350-M350&lt;0.005,0,L350-M350)</f>
        <v/>
      </c>
      <c r="O350">
        <f>T349</f>
        <v/>
      </c>
      <c r="P350">
        <f>O350*Plan!D8/100/12</f>
        <v/>
      </c>
      <c r="Q350">
        <f>MIN(Plan!E8,O350+P350)</f>
        <v/>
      </c>
      <c r="R350">
        <f>O350+P350-Q350</f>
        <v/>
      </c>
      <c r="S350">
        <f>MIN(R350,MAX(0,$B350-((E$5&lt;Q$5)*F350+(K$5&lt;Q$5)*L350+(W$5&lt;Q$5)*X350+(AC$5&lt;Q$5)*AD350+(AI$5&lt;Q$5)*AJ350+(AO$5&lt;Q$5)*AP350+(AU$5&lt;Q$5)*AV350)))</f>
        <v/>
      </c>
      <c r="T350">
        <f>IF(R350-S350&lt;0.005,0,R350-S350)</f>
        <v/>
      </c>
      <c r="U350">
        <f>Z349</f>
        <v/>
      </c>
      <c r="V350">
        <f>U350*Plan!D9/100/12</f>
        <v/>
      </c>
      <c r="W350">
        <f>MIN(Plan!E9,U350+V350)</f>
        <v/>
      </c>
      <c r="X350">
        <f>U350+V350-W350</f>
        <v/>
      </c>
      <c r="Y350">
        <f>MIN(X350,MAX(0,$B350-((E$5&lt;W$5)*F350+(K$5&lt;W$5)*L350+(Q$5&lt;W$5)*R350+(AC$5&lt;W$5)*AD350+(AI$5&lt;W$5)*AJ350+(AO$5&lt;W$5)*AP350+(AU$5&lt;W$5)*AV350)))</f>
        <v/>
      </c>
      <c r="Z350">
        <f>IF(X350-Y350&lt;0.005,0,X350-Y350)</f>
        <v/>
      </c>
      <c r="AA350">
        <f>AF349</f>
        <v/>
      </c>
      <c r="AB350">
        <f>AA350*Plan!D10/100/12</f>
        <v/>
      </c>
      <c r="AC350">
        <f>MIN(Plan!E10,AA350+AB350)</f>
        <v/>
      </c>
      <c r="AD350">
        <f>AA350+AB350-AC350</f>
        <v/>
      </c>
      <c r="AE350">
        <f>MIN(AD350,MAX(0,$B350-((E$5&lt;AC$5)*F350+(K$5&lt;AC$5)*L350+(Q$5&lt;AC$5)*R350+(W$5&lt;AC$5)*X350+(AI$5&lt;AC$5)*AJ350+(AO$5&lt;AC$5)*AP350+(AU$5&lt;AC$5)*AV350)))</f>
        <v/>
      </c>
      <c r="AF350">
        <f>IF(AD350-AE350&lt;0.005,0,AD350-AE350)</f>
        <v/>
      </c>
      <c r="AG350">
        <f>AL349</f>
        <v/>
      </c>
      <c r="AH350">
        <f>AG350*Plan!D11/100/12</f>
        <v/>
      </c>
      <c r="AI350">
        <f>MIN(Plan!E11,AG350+AH350)</f>
        <v/>
      </c>
      <c r="AJ350">
        <f>AG350+AH350-AI350</f>
        <v/>
      </c>
      <c r="AK350">
        <f>MIN(AJ350,MAX(0,$B350-((E$5&lt;AI$5)*F350+(K$5&lt;AI$5)*L350+(Q$5&lt;AI$5)*R350+(W$5&lt;AI$5)*X350+(AC$5&lt;AI$5)*AD350+(AO$5&lt;AI$5)*AP350+(AU$5&lt;AI$5)*AV350)))</f>
        <v/>
      </c>
      <c r="AL350">
        <f>IF(AJ350-AK350&lt;0.005,0,AJ350-AK350)</f>
        <v/>
      </c>
      <c r="AM350">
        <f>AR349</f>
        <v/>
      </c>
      <c r="AN350">
        <f>AM350*Plan!D12/100/12</f>
        <v/>
      </c>
      <c r="AO350">
        <f>MIN(Plan!E12,AM350+AN350)</f>
        <v/>
      </c>
      <c r="AP350">
        <f>AM350+AN350-AO350</f>
        <v/>
      </c>
      <c r="AQ350">
        <f>MIN(AP350,MAX(0,$B350-((E$5&lt;AO$5)*F350+(K$5&lt;AO$5)*L350+(Q$5&lt;AO$5)*R350+(W$5&lt;AO$5)*X350+(AC$5&lt;AO$5)*AD350+(AI$5&lt;AO$5)*AJ350+(AU$5&lt;AO$5)*AV350)))</f>
        <v/>
      </c>
      <c r="AR350">
        <f>IF(AP350-AQ350&lt;0.005,0,AP350-AQ350)</f>
        <v/>
      </c>
      <c r="AS350">
        <f>AX349</f>
        <v/>
      </c>
      <c r="AT350">
        <f>AS350*Plan!D13/100/12</f>
        <v/>
      </c>
      <c r="AU350">
        <f>MIN(Plan!E13,AS350+AT350)</f>
        <v/>
      </c>
      <c r="AV350">
        <f>AS350+AT350-AU350</f>
        <v/>
      </c>
      <c r="AW350">
        <f>MIN(AV350,MAX(0,$B350-((E$5&lt;AU$5)*F350+(K$5&lt;AU$5)*L350+(Q$5&lt;AU$5)*R350+(W$5&lt;AU$5)*X350+(AC$5&lt;AU$5)*AD350+(AI$5&lt;AU$5)*AJ350+(AO$5&lt;AU$5)*AP350)))</f>
        <v/>
      </c>
      <c r="AX350">
        <f>IF(AV350-AW350&lt;0.005,0,AV350-AW350)</f>
        <v/>
      </c>
      <c r="BC350">
        <f>H350+N350+T350+Z350+AF350+AL350+AR350+AX350</f>
        <v/>
      </c>
    </row>
    <row r="351">
      <c r="A351" t="n">
        <v>345</v>
      </c>
      <c r="B351" s="19">
        <f>MAX(0,$B$3-(E351+K351+Q351+W351+AC351+AI351+AO351+AU351))</f>
        <v/>
      </c>
      <c r="C351">
        <f>H350</f>
        <v/>
      </c>
      <c r="D351">
        <f>C351*Plan!D6/100/12</f>
        <v/>
      </c>
      <c r="E351">
        <f>MIN(Plan!E6,C351+D351)</f>
        <v/>
      </c>
      <c r="F351">
        <f>C351+D351-E351</f>
        <v/>
      </c>
      <c r="G351">
        <f>MIN(F351,MAX(0,$B351-((K$5&lt;E$5)*L351+(Q$5&lt;E$5)*R351+(W$5&lt;E$5)*X351+(AC$5&lt;E$5)*AD351+(AI$5&lt;E$5)*AJ351+(AO$5&lt;E$5)*AP351+(AU$5&lt;E$5)*AV351)))</f>
        <v/>
      </c>
      <c r="H351">
        <f>IF(F351-G351&lt;0.005,0,F351-G351)</f>
        <v/>
      </c>
      <c r="I351">
        <f>N350</f>
        <v/>
      </c>
      <c r="J351">
        <f>I351*Plan!D7/100/12</f>
        <v/>
      </c>
      <c r="K351">
        <f>MIN(Plan!E7,I351+J351)</f>
        <v/>
      </c>
      <c r="L351">
        <f>I351+J351-K351</f>
        <v/>
      </c>
      <c r="M351">
        <f>MIN(L351,MAX(0,$B351-((E$5&lt;K$5)*F351+(Q$5&lt;K$5)*R351+(W$5&lt;K$5)*X351+(AC$5&lt;K$5)*AD351+(AI$5&lt;K$5)*AJ351+(AO$5&lt;K$5)*AP351+(AU$5&lt;K$5)*AV351)))</f>
        <v/>
      </c>
      <c r="N351">
        <f>IF(L351-M351&lt;0.005,0,L351-M351)</f>
        <v/>
      </c>
      <c r="O351">
        <f>T350</f>
        <v/>
      </c>
      <c r="P351">
        <f>O351*Plan!D8/100/12</f>
        <v/>
      </c>
      <c r="Q351">
        <f>MIN(Plan!E8,O351+P351)</f>
        <v/>
      </c>
      <c r="R351">
        <f>O351+P351-Q351</f>
        <v/>
      </c>
      <c r="S351">
        <f>MIN(R351,MAX(0,$B351-((E$5&lt;Q$5)*F351+(K$5&lt;Q$5)*L351+(W$5&lt;Q$5)*X351+(AC$5&lt;Q$5)*AD351+(AI$5&lt;Q$5)*AJ351+(AO$5&lt;Q$5)*AP351+(AU$5&lt;Q$5)*AV351)))</f>
        <v/>
      </c>
      <c r="T351">
        <f>IF(R351-S351&lt;0.005,0,R351-S351)</f>
        <v/>
      </c>
      <c r="U351">
        <f>Z350</f>
        <v/>
      </c>
      <c r="V351">
        <f>U351*Plan!D9/100/12</f>
        <v/>
      </c>
      <c r="W351">
        <f>MIN(Plan!E9,U351+V351)</f>
        <v/>
      </c>
      <c r="X351">
        <f>U351+V351-W351</f>
        <v/>
      </c>
      <c r="Y351">
        <f>MIN(X351,MAX(0,$B351-((E$5&lt;W$5)*F351+(K$5&lt;W$5)*L351+(Q$5&lt;W$5)*R351+(AC$5&lt;W$5)*AD351+(AI$5&lt;W$5)*AJ351+(AO$5&lt;W$5)*AP351+(AU$5&lt;W$5)*AV351)))</f>
        <v/>
      </c>
      <c r="Z351">
        <f>IF(X351-Y351&lt;0.005,0,X351-Y351)</f>
        <v/>
      </c>
      <c r="AA351">
        <f>AF350</f>
        <v/>
      </c>
      <c r="AB351">
        <f>AA351*Plan!D10/100/12</f>
        <v/>
      </c>
      <c r="AC351">
        <f>MIN(Plan!E10,AA351+AB351)</f>
        <v/>
      </c>
      <c r="AD351">
        <f>AA351+AB351-AC351</f>
        <v/>
      </c>
      <c r="AE351">
        <f>MIN(AD351,MAX(0,$B351-((E$5&lt;AC$5)*F351+(K$5&lt;AC$5)*L351+(Q$5&lt;AC$5)*R351+(W$5&lt;AC$5)*X351+(AI$5&lt;AC$5)*AJ351+(AO$5&lt;AC$5)*AP351+(AU$5&lt;AC$5)*AV351)))</f>
        <v/>
      </c>
      <c r="AF351">
        <f>IF(AD351-AE351&lt;0.005,0,AD351-AE351)</f>
        <v/>
      </c>
      <c r="AG351">
        <f>AL350</f>
        <v/>
      </c>
      <c r="AH351">
        <f>AG351*Plan!D11/100/12</f>
        <v/>
      </c>
      <c r="AI351">
        <f>MIN(Plan!E11,AG351+AH351)</f>
        <v/>
      </c>
      <c r="AJ351">
        <f>AG351+AH351-AI351</f>
        <v/>
      </c>
      <c r="AK351">
        <f>MIN(AJ351,MAX(0,$B351-((E$5&lt;AI$5)*F351+(K$5&lt;AI$5)*L351+(Q$5&lt;AI$5)*R351+(W$5&lt;AI$5)*X351+(AC$5&lt;AI$5)*AD351+(AO$5&lt;AI$5)*AP351+(AU$5&lt;AI$5)*AV351)))</f>
        <v/>
      </c>
      <c r="AL351">
        <f>IF(AJ351-AK351&lt;0.005,0,AJ351-AK351)</f>
        <v/>
      </c>
      <c r="AM351">
        <f>AR350</f>
        <v/>
      </c>
      <c r="AN351">
        <f>AM351*Plan!D12/100/12</f>
        <v/>
      </c>
      <c r="AO351">
        <f>MIN(Plan!E12,AM351+AN351)</f>
        <v/>
      </c>
      <c r="AP351">
        <f>AM351+AN351-AO351</f>
        <v/>
      </c>
      <c r="AQ351">
        <f>MIN(AP351,MAX(0,$B351-((E$5&lt;AO$5)*F351+(K$5&lt;AO$5)*L351+(Q$5&lt;AO$5)*R351+(W$5&lt;AO$5)*X351+(AC$5&lt;AO$5)*AD351+(AI$5&lt;AO$5)*AJ351+(AU$5&lt;AO$5)*AV351)))</f>
        <v/>
      </c>
      <c r="AR351">
        <f>IF(AP351-AQ351&lt;0.005,0,AP351-AQ351)</f>
        <v/>
      </c>
      <c r="AS351">
        <f>AX350</f>
        <v/>
      </c>
      <c r="AT351">
        <f>AS351*Plan!D13/100/12</f>
        <v/>
      </c>
      <c r="AU351">
        <f>MIN(Plan!E13,AS351+AT351)</f>
        <v/>
      </c>
      <c r="AV351">
        <f>AS351+AT351-AU351</f>
        <v/>
      </c>
      <c r="AW351">
        <f>MIN(AV351,MAX(0,$B351-((E$5&lt;AU$5)*F351+(K$5&lt;AU$5)*L351+(Q$5&lt;AU$5)*R351+(W$5&lt;AU$5)*X351+(AC$5&lt;AU$5)*AD351+(AI$5&lt;AU$5)*AJ351+(AO$5&lt;AU$5)*AP351)))</f>
        <v/>
      </c>
      <c r="AX351">
        <f>IF(AV351-AW351&lt;0.005,0,AV351-AW351)</f>
        <v/>
      </c>
      <c r="BC351">
        <f>H351+N351+T351+Z351+AF351+AL351+AR351+AX351</f>
        <v/>
      </c>
    </row>
    <row r="352">
      <c r="A352" t="n">
        <v>346</v>
      </c>
      <c r="B352" s="19">
        <f>MAX(0,$B$3-(E352+K352+Q352+W352+AC352+AI352+AO352+AU352))</f>
        <v/>
      </c>
      <c r="C352">
        <f>H351</f>
        <v/>
      </c>
      <c r="D352">
        <f>C352*Plan!D6/100/12</f>
        <v/>
      </c>
      <c r="E352">
        <f>MIN(Plan!E6,C352+D352)</f>
        <v/>
      </c>
      <c r="F352">
        <f>C352+D352-E352</f>
        <v/>
      </c>
      <c r="G352">
        <f>MIN(F352,MAX(0,$B352-((K$5&lt;E$5)*L352+(Q$5&lt;E$5)*R352+(W$5&lt;E$5)*X352+(AC$5&lt;E$5)*AD352+(AI$5&lt;E$5)*AJ352+(AO$5&lt;E$5)*AP352+(AU$5&lt;E$5)*AV352)))</f>
        <v/>
      </c>
      <c r="H352">
        <f>IF(F352-G352&lt;0.005,0,F352-G352)</f>
        <v/>
      </c>
      <c r="I352">
        <f>N351</f>
        <v/>
      </c>
      <c r="J352">
        <f>I352*Plan!D7/100/12</f>
        <v/>
      </c>
      <c r="K352">
        <f>MIN(Plan!E7,I352+J352)</f>
        <v/>
      </c>
      <c r="L352">
        <f>I352+J352-K352</f>
        <v/>
      </c>
      <c r="M352">
        <f>MIN(L352,MAX(0,$B352-((E$5&lt;K$5)*F352+(Q$5&lt;K$5)*R352+(W$5&lt;K$5)*X352+(AC$5&lt;K$5)*AD352+(AI$5&lt;K$5)*AJ352+(AO$5&lt;K$5)*AP352+(AU$5&lt;K$5)*AV352)))</f>
        <v/>
      </c>
      <c r="N352">
        <f>IF(L352-M352&lt;0.005,0,L352-M352)</f>
        <v/>
      </c>
      <c r="O352">
        <f>T351</f>
        <v/>
      </c>
      <c r="P352">
        <f>O352*Plan!D8/100/12</f>
        <v/>
      </c>
      <c r="Q352">
        <f>MIN(Plan!E8,O352+P352)</f>
        <v/>
      </c>
      <c r="R352">
        <f>O352+P352-Q352</f>
        <v/>
      </c>
      <c r="S352">
        <f>MIN(R352,MAX(0,$B352-((E$5&lt;Q$5)*F352+(K$5&lt;Q$5)*L352+(W$5&lt;Q$5)*X352+(AC$5&lt;Q$5)*AD352+(AI$5&lt;Q$5)*AJ352+(AO$5&lt;Q$5)*AP352+(AU$5&lt;Q$5)*AV352)))</f>
        <v/>
      </c>
      <c r="T352">
        <f>IF(R352-S352&lt;0.005,0,R352-S352)</f>
        <v/>
      </c>
      <c r="U352">
        <f>Z351</f>
        <v/>
      </c>
      <c r="V352">
        <f>U352*Plan!D9/100/12</f>
        <v/>
      </c>
      <c r="W352">
        <f>MIN(Plan!E9,U352+V352)</f>
        <v/>
      </c>
      <c r="X352">
        <f>U352+V352-W352</f>
        <v/>
      </c>
      <c r="Y352">
        <f>MIN(X352,MAX(0,$B352-((E$5&lt;W$5)*F352+(K$5&lt;W$5)*L352+(Q$5&lt;W$5)*R352+(AC$5&lt;W$5)*AD352+(AI$5&lt;W$5)*AJ352+(AO$5&lt;W$5)*AP352+(AU$5&lt;W$5)*AV352)))</f>
        <v/>
      </c>
      <c r="Z352">
        <f>IF(X352-Y352&lt;0.005,0,X352-Y352)</f>
        <v/>
      </c>
      <c r="AA352">
        <f>AF351</f>
        <v/>
      </c>
      <c r="AB352">
        <f>AA352*Plan!D10/100/12</f>
        <v/>
      </c>
      <c r="AC352">
        <f>MIN(Plan!E10,AA352+AB352)</f>
        <v/>
      </c>
      <c r="AD352">
        <f>AA352+AB352-AC352</f>
        <v/>
      </c>
      <c r="AE352">
        <f>MIN(AD352,MAX(0,$B352-((E$5&lt;AC$5)*F352+(K$5&lt;AC$5)*L352+(Q$5&lt;AC$5)*R352+(W$5&lt;AC$5)*X352+(AI$5&lt;AC$5)*AJ352+(AO$5&lt;AC$5)*AP352+(AU$5&lt;AC$5)*AV352)))</f>
        <v/>
      </c>
      <c r="AF352">
        <f>IF(AD352-AE352&lt;0.005,0,AD352-AE352)</f>
        <v/>
      </c>
      <c r="AG352">
        <f>AL351</f>
        <v/>
      </c>
      <c r="AH352">
        <f>AG352*Plan!D11/100/12</f>
        <v/>
      </c>
      <c r="AI352">
        <f>MIN(Plan!E11,AG352+AH352)</f>
        <v/>
      </c>
      <c r="AJ352">
        <f>AG352+AH352-AI352</f>
        <v/>
      </c>
      <c r="AK352">
        <f>MIN(AJ352,MAX(0,$B352-((E$5&lt;AI$5)*F352+(K$5&lt;AI$5)*L352+(Q$5&lt;AI$5)*R352+(W$5&lt;AI$5)*X352+(AC$5&lt;AI$5)*AD352+(AO$5&lt;AI$5)*AP352+(AU$5&lt;AI$5)*AV352)))</f>
        <v/>
      </c>
      <c r="AL352">
        <f>IF(AJ352-AK352&lt;0.005,0,AJ352-AK352)</f>
        <v/>
      </c>
      <c r="AM352">
        <f>AR351</f>
        <v/>
      </c>
      <c r="AN352">
        <f>AM352*Plan!D12/100/12</f>
        <v/>
      </c>
      <c r="AO352">
        <f>MIN(Plan!E12,AM352+AN352)</f>
        <v/>
      </c>
      <c r="AP352">
        <f>AM352+AN352-AO352</f>
        <v/>
      </c>
      <c r="AQ352">
        <f>MIN(AP352,MAX(0,$B352-((E$5&lt;AO$5)*F352+(K$5&lt;AO$5)*L352+(Q$5&lt;AO$5)*R352+(W$5&lt;AO$5)*X352+(AC$5&lt;AO$5)*AD352+(AI$5&lt;AO$5)*AJ352+(AU$5&lt;AO$5)*AV352)))</f>
        <v/>
      </c>
      <c r="AR352">
        <f>IF(AP352-AQ352&lt;0.005,0,AP352-AQ352)</f>
        <v/>
      </c>
      <c r="AS352">
        <f>AX351</f>
        <v/>
      </c>
      <c r="AT352">
        <f>AS352*Plan!D13/100/12</f>
        <v/>
      </c>
      <c r="AU352">
        <f>MIN(Plan!E13,AS352+AT352)</f>
        <v/>
      </c>
      <c r="AV352">
        <f>AS352+AT352-AU352</f>
        <v/>
      </c>
      <c r="AW352">
        <f>MIN(AV352,MAX(0,$B352-((E$5&lt;AU$5)*F352+(K$5&lt;AU$5)*L352+(Q$5&lt;AU$5)*R352+(W$5&lt;AU$5)*X352+(AC$5&lt;AU$5)*AD352+(AI$5&lt;AU$5)*AJ352+(AO$5&lt;AU$5)*AP352)))</f>
        <v/>
      </c>
      <c r="AX352">
        <f>IF(AV352-AW352&lt;0.005,0,AV352-AW352)</f>
        <v/>
      </c>
      <c r="BC352">
        <f>H352+N352+T352+Z352+AF352+AL352+AR352+AX352</f>
        <v/>
      </c>
    </row>
    <row r="353">
      <c r="A353" t="n">
        <v>347</v>
      </c>
      <c r="B353" s="19">
        <f>MAX(0,$B$3-(E353+K353+Q353+W353+AC353+AI353+AO353+AU353))</f>
        <v/>
      </c>
      <c r="C353">
        <f>H352</f>
        <v/>
      </c>
      <c r="D353">
        <f>C353*Plan!D6/100/12</f>
        <v/>
      </c>
      <c r="E353">
        <f>MIN(Plan!E6,C353+D353)</f>
        <v/>
      </c>
      <c r="F353">
        <f>C353+D353-E353</f>
        <v/>
      </c>
      <c r="G353">
        <f>MIN(F353,MAX(0,$B353-((K$5&lt;E$5)*L353+(Q$5&lt;E$5)*R353+(W$5&lt;E$5)*X353+(AC$5&lt;E$5)*AD353+(AI$5&lt;E$5)*AJ353+(AO$5&lt;E$5)*AP353+(AU$5&lt;E$5)*AV353)))</f>
        <v/>
      </c>
      <c r="H353">
        <f>IF(F353-G353&lt;0.005,0,F353-G353)</f>
        <v/>
      </c>
      <c r="I353">
        <f>N352</f>
        <v/>
      </c>
      <c r="J353">
        <f>I353*Plan!D7/100/12</f>
        <v/>
      </c>
      <c r="K353">
        <f>MIN(Plan!E7,I353+J353)</f>
        <v/>
      </c>
      <c r="L353">
        <f>I353+J353-K353</f>
        <v/>
      </c>
      <c r="M353">
        <f>MIN(L353,MAX(0,$B353-((E$5&lt;K$5)*F353+(Q$5&lt;K$5)*R353+(W$5&lt;K$5)*X353+(AC$5&lt;K$5)*AD353+(AI$5&lt;K$5)*AJ353+(AO$5&lt;K$5)*AP353+(AU$5&lt;K$5)*AV353)))</f>
        <v/>
      </c>
      <c r="N353">
        <f>IF(L353-M353&lt;0.005,0,L353-M353)</f>
        <v/>
      </c>
      <c r="O353">
        <f>T352</f>
        <v/>
      </c>
      <c r="P353">
        <f>O353*Plan!D8/100/12</f>
        <v/>
      </c>
      <c r="Q353">
        <f>MIN(Plan!E8,O353+P353)</f>
        <v/>
      </c>
      <c r="R353">
        <f>O353+P353-Q353</f>
        <v/>
      </c>
      <c r="S353">
        <f>MIN(R353,MAX(0,$B353-((E$5&lt;Q$5)*F353+(K$5&lt;Q$5)*L353+(W$5&lt;Q$5)*X353+(AC$5&lt;Q$5)*AD353+(AI$5&lt;Q$5)*AJ353+(AO$5&lt;Q$5)*AP353+(AU$5&lt;Q$5)*AV353)))</f>
        <v/>
      </c>
      <c r="T353">
        <f>IF(R353-S353&lt;0.005,0,R353-S353)</f>
        <v/>
      </c>
      <c r="U353">
        <f>Z352</f>
        <v/>
      </c>
      <c r="V353">
        <f>U353*Plan!D9/100/12</f>
        <v/>
      </c>
      <c r="W353">
        <f>MIN(Plan!E9,U353+V353)</f>
        <v/>
      </c>
      <c r="X353">
        <f>U353+V353-W353</f>
        <v/>
      </c>
      <c r="Y353">
        <f>MIN(X353,MAX(0,$B353-((E$5&lt;W$5)*F353+(K$5&lt;W$5)*L353+(Q$5&lt;W$5)*R353+(AC$5&lt;W$5)*AD353+(AI$5&lt;W$5)*AJ353+(AO$5&lt;W$5)*AP353+(AU$5&lt;W$5)*AV353)))</f>
        <v/>
      </c>
      <c r="Z353">
        <f>IF(X353-Y353&lt;0.005,0,X353-Y353)</f>
        <v/>
      </c>
      <c r="AA353">
        <f>AF352</f>
        <v/>
      </c>
      <c r="AB353">
        <f>AA353*Plan!D10/100/12</f>
        <v/>
      </c>
      <c r="AC353">
        <f>MIN(Plan!E10,AA353+AB353)</f>
        <v/>
      </c>
      <c r="AD353">
        <f>AA353+AB353-AC353</f>
        <v/>
      </c>
      <c r="AE353">
        <f>MIN(AD353,MAX(0,$B353-((E$5&lt;AC$5)*F353+(K$5&lt;AC$5)*L353+(Q$5&lt;AC$5)*R353+(W$5&lt;AC$5)*X353+(AI$5&lt;AC$5)*AJ353+(AO$5&lt;AC$5)*AP353+(AU$5&lt;AC$5)*AV353)))</f>
        <v/>
      </c>
      <c r="AF353">
        <f>IF(AD353-AE353&lt;0.005,0,AD353-AE353)</f>
        <v/>
      </c>
      <c r="AG353">
        <f>AL352</f>
        <v/>
      </c>
      <c r="AH353">
        <f>AG353*Plan!D11/100/12</f>
        <v/>
      </c>
      <c r="AI353">
        <f>MIN(Plan!E11,AG353+AH353)</f>
        <v/>
      </c>
      <c r="AJ353">
        <f>AG353+AH353-AI353</f>
        <v/>
      </c>
      <c r="AK353">
        <f>MIN(AJ353,MAX(0,$B353-((E$5&lt;AI$5)*F353+(K$5&lt;AI$5)*L353+(Q$5&lt;AI$5)*R353+(W$5&lt;AI$5)*X353+(AC$5&lt;AI$5)*AD353+(AO$5&lt;AI$5)*AP353+(AU$5&lt;AI$5)*AV353)))</f>
        <v/>
      </c>
      <c r="AL353">
        <f>IF(AJ353-AK353&lt;0.005,0,AJ353-AK353)</f>
        <v/>
      </c>
      <c r="AM353">
        <f>AR352</f>
        <v/>
      </c>
      <c r="AN353">
        <f>AM353*Plan!D12/100/12</f>
        <v/>
      </c>
      <c r="AO353">
        <f>MIN(Plan!E12,AM353+AN353)</f>
        <v/>
      </c>
      <c r="AP353">
        <f>AM353+AN353-AO353</f>
        <v/>
      </c>
      <c r="AQ353">
        <f>MIN(AP353,MAX(0,$B353-((E$5&lt;AO$5)*F353+(K$5&lt;AO$5)*L353+(Q$5&lt;AO$5)*R353+(W$5&lt;AO$5)*X353+(AC$5&lt;AO$5)*AD353+(AI$5&lt;AO$5)*AJ353+(AU$5&lt;AO$5)*AV353)))</f>
        <v/>
      </c>
      <c r="AR353">
        <f>IF(AP353-AQ353&lt;0.005,0,AP353-AQ353)</f>
        <v/>
      </c>
      <c r="AS353">
        <f>AX352</f>
        <v/>
      </c>
      <c r="AT353">
        <f>AS353*Plan!D13/100/12</f>
        <v/>
      </c>
      <c r="AU353">
        <f>MIN(Plan!E13,AS353+AT353)</f>
        <v/>
      </c>
      <c r="AV353">
        <f>AS353+AT353-AU353</f>
        <v/>
      </c>
      <c r="AW353">
        <f>MIN(AV353,MAX(0,$B353-((E$5&lt;AU$5)*F353+(K$5&lt;AU$5)*L353+(Q$5&lt;AU$5)*R353+(W$5&lt;AU$5)*X353+(AC$5&lt;AU$5)*AD353+(AI$5&lt;AU$5)*AJ353+(AO$5&lt;AU$5)*AP353)))</f>
        <v/>
      </c>
      <c r="AX353">
        <f>IF(AV353-AW353&lt;0.005,0,AV353-AW353)</f>
        <v/>
      </c>
      <c r="BC353">
        <f>H353+N353+T353+Z353+AF353+AL353+AR353+AX353</f>
        <v/>
      </c>
    </row>
    <row r="354">
      <c r="A354" t="n">
        <v>348</v>
      </c>
      <c r="B354" s="19">
        <f>MAX(0,$B$3-(E354+K354+Q354+W354+AC354+AI354+AO354+AU354))</f>
        <v/>
      </c>
      <c r="C354">
        <f>H353</f>
        <v/>
      </c>
      <c r="D354">
        <f>C354*Plan!D6/100/12</f>
        <v/>
      </c>
      <c r="E354">
        <f>MIN(Plan!E6,C354+D354)</f>
        <v/>
      </c>
      <c r="F354">
        <f>C354+D354-E354</f>
        <v/>
      </c>
      <c r="G354">
        <f>MIN(F354,MAX(0,$B354-((K$5&lt;E$5)*L354+(Q$5&lt;E$5)*R354+(W$5&lt;E$5)*X354+(AC$5&lt;E$5)*AD354+(AI$5&lt;E$5)*AJ354+(AO$5&lt;E$5)*AP354+(AU$5&lt;E$5)*AV354)))</f>
        <v/>
      </c>
      <c r="H354">
        <f>IF(F354-G354&lt;0.005,0,F354-G354)</f>
        <v/>
      </c>
      <c r="I354">
        <f>N353</f>
        <v/>
      </c>
      <c r="J354">
        <f>I354*Plan!D7/100/12</f>
        <v/>
      </c>
      <c r="K354">
        <f>MIN(Plan!E7,I354+J354)</f>
        <v/>
      </c>
      <c r="L354">
        <f>I354+J354-K354</f>
        <v/>
      </c>
      <c r="M354">
        <f>MIN(L354,MAX(0,$B354-((E$5&lt;K$5)*F354+(Q$5&lt;K$5)*R354+(W$5&lt;K$5)*X354+(AC$5&lt;K$5)*AD354+(AI$5&lt;K$5)*AJ354+(AO$5&lt;K$5)*AP354+(AU$5&lt;K$5)*AV354)))</f>
        <v/>
      </c>
      <c r="N354">
        <f>IF(L354-M354&lt;0.005,0,L354-M354)</f>
        <v/>
      </c>
      <c r="O354">
        <f>T353</f>
        <v/>
      </c>
      <c r="P354">
        <f>O354*Plan!D8/100/12</f>
        <v/>
      </c>
      <c r="Q354">
        <f>MIN(Plan!E8,O354+P354)</f>
        <v/>
      </c>
      <c r="R354">
        <f>O354+P354-Q354</f>
        <v/>
      </c>
      <c r="S354">
        <f>MIN(R354,MAX(0,$B354-((E$5&lt;Q$5)*F354+(K$5&lt;Q$5)*L354+(W$5&lt;Q$5)*X354+(AC$5&lt;Q$5)*AD354+(AI$5&lt;Q$5)*AJ354+(AO$5&lt;Q$5)*AP354+(AU$5&lt;Q$5)*AV354)))</f>
        <v/>
      </c>
      <c r="T354">
        <f>IF(R354-S354&lt;0.005,0,R354-S354)</f>
        <v/>
      </c>
      <c r="U354">
        <f>Z353</f>
        <v/>
      </c>
      <c r="V354">
        <f>U354*Plan!D9/100/12</f>
        <v/>
      </c>
      <c r="W354">
        <f>MIN(Plan!E9,U354+V354)</f>
        <v/>
      </c>
      <c r="X354">
        <f>U354+V354-W354</f>
        <v/>
      </c>
      <c r="Y354">
        <f>MIN(X354,MAX(0,$B354-((E$5&lt;W$5)*F354+(K$5&lt;W$5)*L354+(Q$5&lt;W$5)*R354+(AC$5&lt;W$5)*AD354+(AI$5&lt;W$5)*AJ354+(AO$5&lt;W$5)*AP354+(AU$5&lt;W$5)*AV354)))</f>
        <v/>
      </c>
      <c r="Z354">
        <f>IF(X354-Y354&lt;0.005,0,X354-Y354)</f>
        <v/>
      </c>
      <c r="AA354">
        <f>AF353</f>
        <v/>
      </c>
      <c r="AB354">
        <f>AA354*Plan!D10/100/12</f>
        <v/>
      </c>
      <c r="AC354">
        <f>MIN(Plan!E10,AA354+AB354)</f>
        <v/>
      </c>
      <c r="AD354">
        <f>AA354+AB354-AC354</f>
        <v/>
      </c>
      <c r="AE354">
        <f>MIN(AD354,MAX(0,$B354-((E$5&lt;AC$5)*F354+(K$5&lt;AC$5)*L354+(Q$5&lt;AC$5)*R354+(W$5&lt;AC$5)*X354+(AI$5&lt;AC$5)*AJ354+(AO$5&lt;AC$5)*AP354+(AU$5&lt;AC$5)*AV354)))</f>
        <v/>
      </c>
      <c r="AF354">
        <f>IF(AD354-AE354&lt;0.005,0,AD354-AE354)</f>
        <v/>
      </c>
      <c r="AG354">
        <f>AL353</f>
        <v/>
      </c>
      <c r="AH354">
        <f>AG354*Plan!D11/100/12</f>
        <v/>
      </c>
      <c r="AI354">
        <f>MIN(Plan!E11,AG354+AH354)</f>
        <v/>
      </c>
      <c r="AJ354">
        <f>AG354+AH354-AI354</f>
        <v/>
      </c>
      <c r="AK354">
        <f>MIN(AJ354,MAX(0,$B354-((E$5&lt;AI$5)*F354+(K$5&lt;AI$5)*L354+(Q$5&lt;AI$5)*R354+(W$5&lt;AI$5)*X354+(AC$5&lt;AI$5)*AD354+(AO$5&lt;AI$5)*AP354+(AU$5&lt;AI$5)*AV354)))</f>
        <v/>
      </c>
      <c r="AL354">
        <f>IF(AJ354-AK354&lt;0.005,0,AJ354-AK354)</f>
        <v/>
      </c>
      <c r="AM354">
        <f>AR353</f>
        <v/>
      </c>
      <c r="AN354">
        <f>AM354*Plan!D12/100/12</f>
        <v/>
      </c>
      <c r="AO354">
        <f>MIN(Plan!E12,AM354+AN354)</f>
        <v/>
      </c>
      <c r="AP354">
        <f>AM354+AN354-AO354</f>
        <v/>
      </c>
      <c r="AQ354">
        <f>MIN(AP354,MAX(0,$B354-((E$5&lt;AO$5)*F354+(K$5&lt;AO$5)*L354+(Q$5&lt;AO$5)*R354+(W$5&lt;AO$5)*X354+(AC$5&lt;AO$5)*AD354+(AI$5&lt;AO$5)*AJ354+(AU$5&lt;AO$5)*AV354)))</f>
        <v/>
      </c>
      <c r="AR354">
        <f>IF(AP354-AQ354&lt;0.005,0,AP354-AQ354)</f>
        <v/>
      </c>
      <c r="AS354">
        <f>AX353</f>
        <v/>
      </c>
      <c r="AT354">
        <f>AS354*Plan!D13/100/12</f>
        <v/>
      </c>
      <c r="AU354">
        <f>MIN(Plan!E13,AS354+AT354)</f>
        <v/>
      </c>
      <c r="AV354">
        <f>AS354+AT354-AU354</f>
        <v/>
      </c>
      <c r="AW354">
        <f>MIN(AV354,MAX(0,$B354-((E$5&lt;AU$5)*F354+(K$5&lt;AU$5)*L354+(Q$5&lt;AU$5)*R354+(W$5&lt;AU$5)*X354+(AC$5&lt;AU$5)*AD354+(AI$5&lt;AU$5)*AJ354+(AO$5&lt;AU$5)*AP354)))</f>
        <v/>
      </c>
      <c r="AX354">
        <f>IF(AV354-AW354&lt;0.005,0,AV354-AW354)</f>
        <v/>
      </c>
      <c r="BC354">
        <f>H354+N354+T354+Z354+AF354+AL354+AR354+AX354</f>
        <v/>
      </c>
    </row>
    <row r="355">
      <c r="A355" t="n">
        <v>349</v>
      </c>
      <c r="B355" s="19">
        <f>MAX(0,$B$3-(E355+K355+Q355+W355+AC355+AI355+AO355+AU355))</f>
        <v/>
      </c>
      <c r="C355">
        <f>H354</f>
        <v/>
      </c>
      <c r="D355">
        <f>C355*Plan!D6/100/12</f>
        <v/>
      </c>
      <c r="E355">
        <f>MIN(Plan!E6,C355+D355)</f>
        <v/>
      </c>
      <c r="F355">
        <f>C355+D355-E355</f>
        <v/>
      </c>
      <c r="G355">
        <f>MIN(F355,MAX(0,$B355-((K$5&lt;E$5)*L355+(Q$5&lt;E$5)*R355+(W$5&lt;E$5)*X355+(AC$5&lt;E$5)*AD355+(AI$5&lt;E$5)*AJ355+(AO$5&lt;E$5)*AP355+(AU$5&lt;E$5)*AV355)))</f>
        <v/>
      </c>
      <c r="H355">
        <f>IF(F355-G355&lt;0.005,0,F355-G355)</f>
        <v/>
      </c>
      <c r="I355">
        <f>N354</f>
        <v/>
      </c>
      <c r="J355">
        <f>I355*Plan!D7/100/12</f>
        <v/>
      </c>
      <c r="K355">
        <f>MIN(Plan!E7,I355+J355)</f>
        <v/>
      </c>
      <c r="L355">
        <f>I355+J355-K355</f>
        <v/>
      </c>
      <c r="M355">
        <f>MIN(L355,MAX(0,$B355-((E$5&lt;K$5)*F355+(Q$5&lt;K$5)*R355+(W$5&lt;K$5)*X355+(AC$5&lt;K$5)*AD355+(AI$5&lt;K$5)*AJ355+(AO$5&lt;K$5)*AP355+(AU$5&lt;K$5)*AV355)))</f>
        <v/>
      </c>
      <c r="N355">
        <f>IF(L355-M355&lt;0.005,0,L355-M355)</f>
        <v/>
      </c>
      <c r="O355">
        <f>T354</f>
        <v/>
      </c>
      <c r="P355">
        <f>O355*Plan!D8/100/12</f>
        <v/>
      </c>
      <c r="Q355">
        <f>MIN(Plan!E8,O355+P355)</f>
        <v/>
      </c>
      <c r="R355">
        <f>O355+P355-Q355</f>
        <v/>
      </c>
      <c r="S355">
        <f>MIN(R355,MAX(0,$B355-((E$5&lt;Q$5)*F355+(K$5&lt;Q$5)*L355+(W$5&lt;Q$5)*X355+(AC$5&lt;Q$5)*AD355+(AI$5&lt;Q$5)*AJ355+(AO$5&lt;Q$5)*AP355+(AU$5&lt;Q$5)*AV355)))</f>
        <v/>
      </c>
      <c r="T355">
        <f>IF(R355-S355&lt;0.005,0,R355-S355)</f>
        <v/>
      </c>
      <c r="U355">
        <f>Z354</f>
        <v/>
      </c>
      <c r="V355">
        <f>U355*Plan!D9/100/12</f>
        <v/>
      </c>
      <c r="W355">
        <f>MIN(Plan!E9,U355+V355)</f>
        <v/>
      </c>
      <c r="X355">
        <f>U355+V355-W355</f>
        <v/>
      </c>
      <c r="Y355">
        <f>MIN(X355,MAX(0,$B355-((E$5&lt;W$5)*F355+(K$5&lt;W$5)*L355+(Q$5&lt;W$5)*R355+(AC$5&lt;W$5)*AD355+(AI$5&lt;W$5)*AJ355+(AO$5&lt;W$5)*AP355+(AU$5&lt;W$5)*AV355)))</f>
        <v/>
      </c>
      <c r="Z355">
        <f>IF(X355-Y355&lt;0.005,0,X355-Y355)</f>
        <v/>
      </c>
      <c r="AA355">
        <f>AF354</f>
        <v/>
      </c>
      <c r="AB355">
        <f>AA355*Plan!D10/100/12</f>
        <v/>
      </c>
      <c r="AC355">
        <f>MIN(Plan!E10,AA355+AB355)</f>
        <v/>
      </c>
      <c r="AD355">
        <f>AA355+AB355-AC355</f>
        <v/>
      </c>
      <c r="AE355">
        <f>MIN(AD355,MAX(0,$B355-((E$5&lt;AC$5)*F355+(K$5&lt;AC$5)*L355+(Q$5&lt;AC$5)*R355+(W$5&lt;AC$5)*X355+(AI$5&lt;AC$5)*AJ355+(AO$5&lt;AC$5)*AP355+(AU$5&lt;AC$5)*AV355)))</f>
        <v/>
      </c>
      <c r="AF355">
        <f>IF(AD355-AE355&lt;0.005,0,AD355-AE355)</f>
        <v/>
      </c>
      <c r="AG355">
        <f>AL354</f>
        <v/>
      </c>
      <c r="AH355">
        <f>AG355*Plan!D11/100/12</f>
        <v/>
      </c>
      <c r="AI355">
        <f>MIN(Plan!E11,AG355+AH355)</f>
        <v/>
      </c>
      <c r="AJ355">
        <f>AG355+AH355-AI355</f>
        <v/>
      </c>
      <c r="AK355">
        <f>MIN(AJ355,MAX(0,$B355-((E$5&lt;AI$5)*F355+(K$5&lt;AI$5)*L355+(Q$5&lt;AI$5)*R355+(W$5&lt;AI$5)*X355+(AC$5&lt;AI$5)*AD355+(AO$5&lt;AI$5)*AP355+(AU$5&lt;AI$5)*AV355)))</f>
        <v/>
      </c>
      <c r="AL355">
        <f>IF(AJ355-AK355&lt;0.005,0,AJ355-AK355)</f>
        <v/>
      </c>
      <c r="AM355">
        <f>AR354</f>
        <v/>
      </c>
      <c r="AN355">
        <f>AM355*Plan!D12/100/12</f>
        <v/>
      </c>
      <c r="AO355">
        <f>MIN(Plan!E12,AM355+AN355)</f>
        <v/>
      </c>
      <c r="AP355">
        <f>AM355+AN355-AO355</f>
        <v/>
      </c>
      <c r="AQ355">
        <f>MIN(AP355,MAX(0,$B355-((E$5&lt;AO$5)*F355+(K$5&lt;AO$5)*L355+(Q$5&lt;AO$5)*R355+(W$5&lt;AO$5)*X355+(AC$5&lt;AO$5)*AD355+(AI$5&lt;AO$5)*AJ355+(AU$5&lt;AO$5)*AV355)))</f>
        <v/>
      </c>
      <c r="AR355">
        <f>IF(AP355-AQ355&lt;0.005,0,AP355-AQ355)</f>
        <v/>
      </c>
      <c r="AS355">
        <f>AX354</f>
        <v/>
      </c>
      <c r="AT355">
        <f>AS355*Plan!D13/100/12</f>
        <v/>
      </c>
      <c r="AU355">
        <f>MIN(Plan!E13,AS355+AT355)</f>
        <v/>
      </c>
      <c r="AV355">
        <f>AS355+AT355-AU355</f>
        <v/>
      </c>
      <c r="AW355">
        <f>MIN(AV355,MAX(0,$B355-((E$5&lt;AU$5)*F355+(K$5&lt;AU$5)*L355+(Q$5&lt;AU$5)*R355+(W$5&lt;AU$5)*X355+(AC$5&lt;AU$5)*AD355+(AI$5&lt;AU$5)*AJ355+(AO$5&lt;AU$5)*AP355)))</f>
        <v/>
      </c>
      <c r="AX355">
        <f>IF(AV355-AW355&lt;0.005,0,AV355-AW355)</f>
        <v/>
      </c>
      <c r="BC355">
        <f>H355+N355+T355+Z355+AF355+AL355+AR355+AX355</f>
        <v/>
      </c>
    </row>
    <row r="356">
      <c r="A356" t="n">
        <v>350</v>
      </c>
      <c r="B356" s="19">
        <f>MAX(0,$B$3-(E356+K356+Q356+W356+AC356+AI356+AO356+AU356))</f>
        <v/>
      </c>
      <c r="C356">
        <f>H355</f>
        <v/>
      </c>
      <c r="D356">
        <f>C356*Plan!D6/100/12</f>
        <v/>
      </c>
      <c r="E356">
        <f>MIN(Plan!E6,C356+D356)</f>
        <v/>
      </c>
      <c r="F356">
        <f>C356+D356-E356</f>
        <v/>
      </c>
      <c r="G356">
        <f>MIN(F356,MAX(0,$B356-((K$5&lt;E$5)*L356+(Q$5&lt;E$5)*R356+(W$5&lt;E$5)*X356+(AC$5&lt;E$5)*AD356+(AI$5&lt;E$5)*AJ356+(AO$5&lt;E$5)*AP356+(AU$5&lt;E$5)*AV356)))</f>
        <v/>
      </c>
      <c r="H356">
        <f>IF(F356-G356&lt;0.005,0,F356-G356)</f>
        <v/>
      </c>
      <c r="I356">
        <f>N355</f>
        <v/>
      </c>
      <c r="J356">
        <f>I356*Plan!D7/100/12</f>
        <v/>
      </c>
      <c r="K356">
        <f>MIN(Plan!E7,I356+J356)</f>
        <v/>
      </c>
      <c r="L356">
        <f>I356+J356-K356</f>
        <v/>
      </c>
      <c r="M356">
        <f>MIN(L356,MAX(0,$B356-((E$5&lt;K$5)*F356+(Q$5&lt;K$5)*R356+(W$5&lt;K$5)*X356+(AC$5&lt;K$5)*AD356+(AI$5&lt;K$5)*AJ356+(AO$5&lt;K$5)*AP356+(AU$5&lt;K$5)*AV356)))</f>
        <v/>
      </c>
      <c r="N356">
        <f>IF(L356-M356&lt;0.005,0,L356-M356)</f>
        <v/>
      </c>
      <c r="O356">
        <f>T355</f>
        <v/>
      </c>
      <c r="P356">
        <f>O356*Plan!D8/100/12</f>
        <v/>
      </c>
      <c r="Q356">
        <f>MIN(Plan!E8,O356+P356)</f>
        <v/>
      </c>
      <c r="R356">
        <f>O356+P356-Q356</f>
        <v/>
      </c>
      <c r="S356">
        <f>MIN(R356,MAX(0,$B356-((E$5&lt;Q$5)*F356+(K$5&lt;Q$5)*L356+(W$5&lt;Q$5)*X356+(AC$5&lt;Q$5)*AD356+(AI$5&lt;Q$5)*AJ356+(AO$5&lt;Q$5)*AP356+(AU$5&lt;Q$5)*AV356)))</f>
        <v/>
      </c>
      <c r="T356">
        <f>IF(R356-S356&lt;0.005,0,R356-S356)</f>
        <v/>
      </c>
      <c r="U356">
        <f>Z355</f>
        <v/>
      </c>
      <c r="V356">
        <f>U356*Plan!D9/100/12</f>
        <v/>
      </c>
      <c r="W356">
        <f>MIN(Plan!E9,U356+V356)</f>
        <v/>
      </c>
      <c r="X356">
        <f>U356+V356-W356</f>
        <v/>
      </c>
      <c r="Y356">
        <f>MIN(X356,MAX(0,$B356-((E$5&lt;W$5)*F356+(K$5&lt;W$5)*L356+(Q$5&lt;W$5)*R356+(AC$5&lt;W$5)*AD356+(AI$5&lt;W$5)*AJ356+(AO$5&lt;W$5)*AP356+(AU$5&lt;W$5)*AV356)))</f>
        <v/>
      </c>
      <c r="Z356">
        <f>IF(X356-Y356&lt;0.005,0,X356-Y356)</f>
        <v/>
      </c>
      <c r="AA356">
        <f>AF355</f>
        <v/>
      </c>
      <c r="AB356">
        <f>AA356*Plan!D10/100/12</f>
        <v/>
      </c>
      <c r="AC356">
        <f>MIN(Plan!E10,AA356+AB356)</f>
        <v/>
      </c>
      <c r="AD356">
        <f>AA356+AB356-AC356</f>
        <v/>
      </c>
      <c r="AE356">
        <f>MIN(AD356,MAX(0,$B356-((E$5&lt;AC$5)*F356+(K$5&lt;AC$5)*L356+(Q$5&lt;AC$5)*R356+(W$5&lt;AC$5)*X356+(AI$5&lt;AC$5)*AJ356+(AO$5&lt;AC$5)*AP356+(AU$5&lt;AC$5)*AV356)))</f>
        <v/>
      </c>
      <c r="AF356">
        <f>IF(AD356-AE356&lt;0.005,0,AD356-AE356)</f>
        <v/>
      </c>
      <c r="AG356">
        <f>AL355</f>
        <v/>
      </c>
      <c r="AH356">
        <f>AG356*Plan!D11/100/12</f>
        <v/>
      </c>
      <c r="AI356">
        <f>MIN(Plan!E11,AG356+AH356)</f>
        <v/>
      </c>
      <c r="AJ356">
        <f>AG356+AH356-AI356</f>
        <v/>
      </c>
      <c r="AK356">
        <f>MIN(AJ356,MAX(0,$B356-((E$5&lt;AI$5)*F356+(K$5&lt;AI$5)*L356+(Q$5&lt;AI$5)*R356+(W$5&lt;AI$5)*X356+(AC$5&lt;AI$5)*AD356+(AO$5&lt;AI$5)*AP356+(AU$5&lt;AI$5)*AV356)))</f>
        <v/>
      </c>
      <c r="AL356">
        <f>IF(AJ356-AK356&lt;0.005,0,AJ356-AK356)</f>
        <v/>
      </c>
      <c r="AM356">
        <f>AR355</f>
        <v/>
      </c>
      <c r="AN356">
        <f>AM356*Plan!D12/100/12</f>
        <v/>
      </c>
      <c r="AO356">
        <f>MIN(Plan!E12,AM356+AN356)</f>
        <v/>
      </c>
      <c r="AP356">
        <f>AM356+AN356-AO356</f>
        <v/>
      </c>
      <c r="AQ356">
        <f>MIN(AP356,MAX(0,$B356-((E$5&lt;AO$5)*F356+(K$5&lt;AO$5)*L356+(Q$5&lt;AO$5)*R356+(W$5&lt;AO$5)*X356+(AC$5&lt;AO$5)*AD356+(AI$5&lt;AO$5)*AJ356+(AU$5&lt;AO$5)*AV356)))</f>
        <v/>
      </c>
      <c r="AR356">
        <f>IF(AP356-AQ356&lt;0.005,0,AP356-AQ356)</f>
        <v/>
      </c>
      <c r="AS356">
        <f>AX355</f>
        <v/>
      </c>
      <c r="AT356">
        <f>AS356*Plan!D13/100/12</f>
        <v/>
      </c>
      <c r="AU356">
        <f>MIN(Plan!E13,AS356+AT356)</f>
        <v/>
      </c>
      <c r="AV356">
        <f>AS356+AT356-AU356</f>
        <v/>
      </c>
      <c r="AW356">
        <f>MIN(AV356,MAX(0,$B356-((E$5&lt;AU$5)*F356+(K$5&lt;AU$5)*L356+(Q$5&lt;AU$5)*R356+(W$5&lt;AU$5)*X356+(AC$5&lt;AU$5)*AD356+(AI$5&lt;AU$5)*AJ356+(AO$5&lt;AU$5)*AP356)))</f>
        <v/>
      </c>
      <c r="AX356">
        <f>IF(AV356-AW356&lt;0.005,0,AV356-AW356)</f>
        <v/>
      </c>
      <c r="BC356">
        <f>H356+N356+T356+Z356+AF356+AL356+AR356+AX356</f>
        <v/>
      </c>
    </row>
    <row r="357">
      <c r="A357" t="n">
        <v>351</v>
      </c>
      <c r="B357" s="19">
        <f>MAX(0,$B$3-(E357+K357+Q357+W357+AC357+AI357+AO357+AU357))</f>
        <v/>
      </c>
      <c r="C357">
        <f>H356</f>
        <v/>
      </c>
      <c r="D357">
        <f>C357*Plan!D6/100/12</f>
        <v/>
      </c>
      <c r="E357">
        <f>MIN(Plan!E6,C357+D357)</f>
        <v/>
      </c>
      <c r="F357">
        <f>C357+D357-E357</f>
        <v/>
      </c>
      <c r="G357">
        <f>MIN(F357,MAX(0,$B357-((K$5&lt;E$5)*L357+(Q$5&lt;E$5)*R357+(W$5&lt;E$5)*X357+(AC$5&lt;E$5)*AD357+(AI$5&lt;E$5)*AJ357+(AO$5&lt;E$5)*AP357+(AU$5&lt;E$5)*AV357)))</f>
        <v/>
      </c>
      <c r="H357">
        <f>IF(F357-G357&lt;0.005,0,F357-G357)</f>
        <v/>
      </c>
      <c r="I357">
        <f>N356</f>
        <v/>
      </c>
      <c r="J357">
        <f>I357*Plan!D7/100/12</f>
        <v/>
      </c>
      <c r="K357">
        <f>MIN(Plan!E7,I357+J357)</f>
        <v/>
      </c>
      <c r="L357">
        <f>I357+J357-K357</f>
        <v/>
      </c>
      <c r="M357">
        <f>MIN(L357,MAX(0,$B357-((E$5&lt;K$5)*F357+(Q$5&lt;K$5)*R357+(W$5&lt;K$5)*X357+(AC$5&lt;K$5)*AD357+(AI$5&lt;K$5)*AJ357+(AO$5&lt;K$5)*AP357+(AU$5&lt;K$5)*AV357)))</f>
        <v/>
      </c>
      <c r="N357">
        <f>IF(L357-M357&lt;0.005,0,L357-M357)</f>
        <v/>
      </c>
      <c r="O357">
        <f>T356</f>
        <v/>
      </c>
      <c r="P357">
        <f>O357*Plan!D8/100/12</f>
        <v/>
      </c>
      <c r="Q357">
        <f>MIN(Plan!E8,O357+P357)</f>
        <v/>
      </c>
      <c r="R357">
        <f>O357+P357-Q357</f>
        <v/>
      </c>
      <c r="S357">
        <f>MIN(R357,MAX(0,$B357-((E$5&lt;Q$5)*F357+(K$5&lt;Q$5)*L357+(W$5&lt;Q$5)*X357+(AC$5&lt;Q$5)*AD357+(AI$5&lt;Q$5)*AJ357+(AO$5&lt;Q$5)*AP357+(AU$5&lt;Q$5)*AV357)))</f>
        <v/>
      </c>
      <c r="T357">
        <f>IF(R357-S357&lt;0.005,0,R357-S357)</f>
        <v/>
      </c>
      <c r="U357">
        <f>Z356</f>
        <v/>
      </c>
      <c r="V357">
        <f>U357*Plan!D9/100/12</f>
        <v/>
      </c>
      <c r="W357">
        <f>MIN(Plan!E9,U357+V357)</f>
        <v/>
      </c>
      <c r="X357">
        <f>U357+V357-W357</f>
        <v/>
      </c>
      <c r="Y357">
        <f>MIN(X357,MAX(0,$B357-((E$5&lt;W$5)*F357+(K$5&lt;W$5)*L357+(Q$5&lt;W$5)*R357+(AC$5&lt;W$5)*AD357+(AI$5&lt;W$5)*AJ357+(AO$5&lt;W$5)*AP357+(AU$5&lt;W$5)*AV357)))</f>
        <v/>
      </c>
      <c r="Z357">
        <f>IF(X357-Y357&lt;0.005,0,X357-Y357)</f>
        <v/>
      </c>
      <c r="AA357">
        <f>AF356</f>
        <v/>
      </c>
      <c r="AB357">
        <f>AA357*Plan!D10/100/12</f>
        <v/>
      </c>
      <c r="AC357">
        <f>MIN(Plan!E10,AA357+AB357)</f>
        <v/>
      </c>
      <c r="AD357">
        <f>AA357+AB357-AC357</f>
        <v/>
      </c>
      <c r="AE357">
        <f>MIN(AD357,MAX(0,$B357-((E$5&lt;AC$5)*F357+(K$5&lt;AC$5)*L357+(Q$5&lt;AC$5)*R357+(W$5&lt;AC$5)*X357+(AI$5&lt;AC$5)*AJ357+(AO$5&lt;AC$5)*AP357+(AU$5&lt;AC$5)*AV357)))</f>
        <v/>
      </c>
      <c r="AF357">
        <f>IF(AD357-AE357&lt;0.005,0,AD357-AE357)</f>
        <v/>
      </c>
      <c r="AG357">
        <f>AL356</f>
        <v/>
      </c>
      <c r="AH357">
        <f>AG357*Plan!D11/100/12</f>
        <v/>
      </c>
      <c r="AI357">
        <f>MIN(Plan!E11,AG357+AH357)</f>
        <v/>
      </c>
      <c r="AJ357">
        <f>AG357+AH357-AI357</f>
        <v/>
      </c>
      <c r="AK357">
        <f>MIN(AJ357,MAX(0,$B357-((E$5&lt;AI$5)*F357+(K$5&lt;AI$5)*L357+(Q$5&lt;AI$5)*R357+(W$5&lt;AI$5)*X357+(AC$5&lt;AI$5)*AD357+(AO$5&lt;AI$5)*AP357+(AU$5&lt;AI$5)*AV357)))</f>
        <v/>
      </c>
      <c r="AL357">
        <f>IF(AJ357-AK357&lt;0.005,0,AJ357-AK357)</f>
        <v/>
      </c>
      <c r="AM357">
        <f>AR356</f>
        <v/>
      </c>
      <c r="AN357">
        <f>AM357*Plan!D12/100/12</f>
        <v/>
      </c>
      <c r="AO357">
        <f>MIN(Plan!E12,AM357+AN357)</f>
        <v/>
      </c>
      <c r="AP357">
        <f>AM357+AN357-AO357</f>
        <v/>
      </c>
      <c r="AQ357">
        <f>MIN(AP357,MAX(0,$B357-((E$5&lt;AO$5)*F357+(K$5&lt;AO$5)*L357+(Q$5&lt;AO$5)*R357+(W$5&lt;AO$5)*X357+(AC$5&lt;AO$5)*AD357+(AI$5&lt;AO$5)*AJ357+(AU$5&lt;AO$5)*AV357)))</f>
        <v/>
      </c>
      <c r="AR357">
        <f>IF(AP357-AQ357&lt;0.005,0,AP357-AQ357)</f>
        <v/>
      </c>
      <c r="AS357">
        <f>AX356</f>
        <v/>
      </c>
      <c r="AT357">
        <f>AS357*Plan!D13/100/12</f>
        <v/>
      </c>
      <c r="AU357">
        <f>MIN(Plan!E13,AS357+AT357)</f>
        <v/>
      </c>
      <c r="AV357">
        <f>AS357+AT357-AU357</f>
        <v/>
      </c>
      <c r="AW357">
        <f>MIN(AV357,MAX(0,$B357-((E$5&lt;AU$5)*F357+(K$5&lt;AU$5)*L357+(Q$5&lt;AU$5)*R357+(W$5&lt;AU$5)*X357+(AC$5&lt;AU$5)*AD357+(AI$5&lt;AU$5)*AJ357+(AO$5&lt;AU$5)*AP357)))</f>
        <v/>
      </c>
      <c r="AX357">
        <f>IF(AV357-AW357&lt;0.005,0,AV357-AW357)</f>
        <v/>
      </c>
      <c r="BC357">
        <f>H357+N357+T357+Z357+AF357+AL357+AR357+AX357</f>
        <v/>
      </c>
    </row>
    <row r="358">
      <c r="A358" t="n">
        <v>352</v>
      </c>
      <c r="B358" s="19">
        <f>MAX(0,$B$3-(E358+K358+Q358+W358+AC358+AI358+AO358+AU358))</f>
        <v/>
      </c>
      <c r="C358">
        <f>H357</f>
        <v/>
      </c>
      <c r="D358">
        <f>C358*Plan!D6/100/12</f>
        <v/>
      </c>
      <c r="E358">
        <f>MIN(Plan!E6,C358+D358)</f>
        <v/>
      </c>
      <c r="F358">
        <f>C358+D358-E358</f>
        <v/>
      </c>
      <c r="G358">
        <f>MIN(F358,MAX(0,$B358-((K$5&lt;E$5)*L358+(Q$5&lt;E$5)*R358+(W$5&lt;E$5)*X358+(AC$5&lt;E$5)*AD358+(AI$5&lt;E$5)*AJ358+(AO$5&lt;E$5)*AP358+(AU$5&lt;E$5)*AV358)))</f>
        <v/>
      </c>
      <c r="H358">
        <f>IF(F358-G358&lt;0.005,0,F358-G358)</f>
        <v/>
      </c>
      <c r="I358">
        <f>N357</f>
        <v/>
      </c>
      <c r="J358">
        <f>I358*Plan!D7/100/12</f>
        <v/>
      </c>
      <c r="K358">
        <f>MIN(Plan!E7,I358+J358)</f>
        <v/>
      </c>
      <c r="L358">
        <f>I358+J358-K358</f>
        <v/>
      </c>
      <c r="M358">
        <f>MIN(L358,MAX(0,$B358-((E$5&lt;K$5)*F358+(Q$5&lt;K$5)*R358+(W$5&lt;K$5)*X358+(AC$5&lt;K$5)*AD358+(AI$5&lt;K$5)*AJ358+(AO$5&lt;K$5)*AP358+(AU$5&lt;K$5)*AV358)))</f>
        <v/>
      </c>
      <c r="N358">
        <f>IF(L358-M358&lt;0.005,0,L358-M358)</f>
        <v/>
      </c>
      <c r="O358">
        <f>T357</f>
        <v/>
      </c>
      <c r="P358">
        <f>O358*Plan!D8/100/12</f>
        <v/>
      </c>
      <c r="Q358">
        <f>MIN(Plan!E8,O358+P358)</f>
        <v/>
      </c>
      <c r="R358">
        <f>O358+P358-Q358</f>
        <v/>
      </c>
      <c r="S358">
        <f>MIN(R358,MAX(0,$B358-((E$5&lt;Q$5)*F358+(K$5&lt;Q$5)*L358+(W$5&lt;Q$5)*X358+(AC$5&lt;Q$5)*AD358+(AI$5&lt;Q$5)*AJ358+(AO$5&lt;Q$5)*AP358+(AU$5&lt;Q$5)*AV358)))</f>
        <v/>
      </c>
      <c r="T358">
        <f>IF(R358-S358&lt;0.005,0,R358-S358)</f>
        <v/>
      </c>
      <c r="U358">
        <f>Z357</f>
        <v/>
      </c>
      <c r="V358">
        <f>U358*Plan!D9/100/12</f>
        <v/>
      </c>
      <c r="W358">
        <f>MIN(Plan!E9,U358+V358)</f>
        <v/>
      </c>
      <c r="X358">
        <f>U358+V358-W358</f>
        <v/>
      </c>
      <c r="Y358">
        <f>MIN(X358,MAX(0,$B358-((E$5&lt;W$5)*F358+(K$5&lt;W$5)*L358+(Q$5&lt;W$5)*R358+(AC$5&lt;W$5)*AD358+(AI$5&lt;W$5)*AJ358+(AO$5&lt;W$5)*AP358+(AU$5&lt;W$5)*AV358)))</f>
        <v/>
      </c>
      <c r="Z358">
        <f>IF(X358-Y358&lt;0.005,0,X358-Y358)</f>
        <v/>
      </c>
      <c r="AA358">
        <f>AF357</f>
        <v/>
      </c>
      <c r="AB358">
        <f>AA358*Plan!D10/100/12</f>
        <v/>
      </c>
      <c r="AC358">
        <f>MIN(Plan!E10,AA358+AB358)</f>
        <v/>
      </c>
      <c r="AD358">
        <f>AA358+AB358-AC358</f>
        <v/>
      </c>
      <c r="AE358">
        <f>MIN(AD358,MAX(0,$B358-((E$5&lt;AC$5)*F358+(K$5&lt;AC$5)*L358+(Q$5&lt;AC$5)*R358+(W$5&lt;AC$5)*X358+(AI$5&lt;AC$5)*AJ358+(AO$5&lt;AC$5)*AP358+(AU$5&lt;AC$5)*AV358)))</f>
        <v/>
      </c>
      <c r="AF358">
        <f>IF(AD358-AE358&lt;0.005,0,AD358-AE358)</f>
        <v/>
      </c>
      <c r="AG358">
        <f>AL357</f>
        <v/>
      </c>
      <c r="AH358">
        <f>AG358*Plan!D11/100/12</f>
        <v/>
      </c>
      <c r="AI358">
        <f>MIN(Plan!E11,AG358+AH358)</f>
        <v/>
      </c>
      <c r="AJ358">
        <f>AG358+AH358-AI358</f>
        <v/>
      </c>
      <c r="AK358">
        <f>MIN(AJ358,MAX(0,$B358-((E$5&lt;AI$5)*F358+(K$5&lt;AI$5)*L358+(Q$5&lt;AI$5)*R358+(W$5&lt;AI$5)*X358+(AC$5&lt;AI$5)*AD358+(AO$5&lt;AI$5)*AP358+(AU$5&lt;AI$5)*AV358)))</f>
        <v/>
      </c>
      <c r="AL358">
        <f>IF(AJ358-AK358&lt;0.005,0,AJ358-AK358)</f>
        <v/>
      </c>
      <c r="AM358">
        <f>AR357</f>
        <v/>
      </c>
      <c r="AN358">
        <f>AM358*Plan!D12/100/12</f>
        <v/>
      </c>
      <c r="AO358">
        <f>MIN(Plan!E12,AM358+AN358)</f>
        <v/>
      </c>
      <c r="AP358">
        <f>AM358+AN358-AO358</f>
        <v/>
      </c>
      <c r="AQ358">
        <f>MIN(AP358,MAX(0,$B358-((E$5&lt;AO$5)*F358+(K$5&lt;AO$5)*L358+(Q$5&lt;AO$5)*R358+(W$5&lt;AO$5)*X358+(AC$5&lt;AO$5)*AD358+(AI$5&lt;AO$5)*AJ358+(AU$5&lt;AO$5)*AV358)))</f>
        <v/>
      </c>
      <c r="AR358">
        <f>IF(AP358-AQ358&lt;0.005,0,AP358-AQ358)</f>
        <v/>
      </c>
      <c r="AS358">
        <f>AX357</f>
        <v/>
      </c>
      <c r="AT358">
        <f>AS358*Plan!D13/100/12</f>
        <v/>
      </c>
      <c r="AU358">
        <f>MIN(Plan!E13,AS358+AT358)</f>
        <v/>
      </c>
      <c r="AV358">
        <f>AS358+AT358-AU358</f>
        <v/>
      </c>
      <c r="AW358">
        <f>MIN(AV358,MAX(0,$B358-((E$5&lt;AU$5)*F358+(K$5&lt;AU$5)*L358+(Q$5&lt;AU$5)*R358+(W$5&lt;AU$5)*X358+(AC$5&lt;AU$5)*AD358+(AI$5&lt;AU$5)*AJ358+(AO$5&lt;AU$5)*AP358)))</f>
        <v/>
      </c>
      <c r="AX358">
        <f>IF(AV358-AW358&lt;0.005,0,AV358-AW358)</f>
        <v/>
      </c>
      <c r="BC358">
        <f>H358+N358+T358+Z358+AF358+AL358+AR358+AX358</f>
        <v/>
      </c>
    </row>
    <row r="359">
      <c r="A359" t="n">
        <v>353</v>
      </c>
      <c r="B359" s="19">
        <f>MAX(0,$B$3-(E359+K359+Q359+W359+AC359+AI359+AO359+AU359))</f>
        <v/>
      </c>
      <c r="C359">
        <f>H358</f>
        <v/>
      </c>
      <c r="D359">
        <f>C359*Plan!D6/100/12</f>
        <v/>
      </c>
      <c r="E359">
        <f>MIN(Plan!E6,C359+D359)</f>
        <v/>
      </c>
      <c r="F359">
        <f>C359+D359-E359</f>
        <v/>
      </c>
      <c r="G359">
        <f>MIN(F359,MAX(0,$B359-((K$5&lt;E$5)*L359+(Q$5&lt;E$5)*R359+(W$5&lt;E$5)*X359+(AC$5&lt;E$5)*AD359+(AI$5&lt;E$5)*AJ359+(AO$5&lt;E$5)*AP359+(AU$5&lt;E$5)*AV359)))</f>
        <v/>
      </c>
      <c r="H359">
        <f>IF(F359-G359&lt;0.005,0,F359-G359)</f>
        <v/>
      </c>
      <c r="I359">
        <f>N358</f>
        <v/>
      </c>
      <c r="J359">
        <f>I359*Plan!D7/100/12</f>
        <v/>
      </c>
      <c r="K359">
        <f>MIN(Plan!E7,I359+J359)</f>
        <v/>
      </c>
      <c r="L359">
        <f>I359+J359-K359</f>
        <v/>
      </c>
      <c r="M359">
        <f>MIN(L359,MAX(0,$B359-((E$5&lt;K$5)*F359+(Q$5&lt;K$5)*R359+(W$5&lt;K$5)*X359+(AC$5&lt;K$5)*AD359+(AI$5&lt;K$5)*AJ359+(AO$5&lt;K$5)*AP359+(AU$5&lt;K$5)*AV359)))</f>
        <v/>
      </c>
      <c r="N359">
        <f>IF(L359-M359&lt;0.005,0,L359-M359)</f>
        <v/>
      </c>
      <c r="O359">
        <f>T358</f>
        <v/>
      </c>
      <c r="P359">
        <f>O359*Plan!D8/100/12</f>
        <v/>
      </c>
      <c r="Q359">
        <f>MIN(Plan!E8,O359+P359)</f>
        <v/>
      </c>
      <c r="R359">
        <f>O359+P359-Q359</f>
        <v/>
      </c>
      <c r="S359">
        <f>MIN(R359,MAX(0,$B359-((E$5&lt;Q$5)*F359+(K$5&lt;Q$5)*L359+(W$5&lt;Q$5)*X359+(AC$5&lt;Q$5)*AD359+(AI$5&lt;Q$5)*AJ359+(AO$5&lt;Q$5)*AP359+(AU$5&lt;Q$5)*AV359)))</f>
        <v/>
      </c>
      <c r="T359">
        <f>IF(R359-S359&lt;0.005,0,R359-S359)</f>
        <v/>
      </c>
      <c r="U359">
        <f>Z358</f>
        <v/>
      </c>
      <c r="V359">
        <f>U359*Plan!D9/100/12</f>
        <v/>
      </c>
      <c r="W359">
        <f>MIN(Plan!E9,U359+V359)</f>
        <v/>
      </c>
      <c r="X359">
        <f>U359+V359-W359</f>
        <v/>
      </c>
      <c r="Y359">
        <f>MIN(X359,MAX(0,$B359-((E$5&lt;W$5)*F359+(K$5&lt;W$5)*L359+(Q$5&lt;W$5)*R359+(AC$5&lt;W$5)*AD359+(AI$5&lt;W$5)*AJ359+(AO$5&lt;W$5)*AP359+(AU$5&lt;W$5)*AV359)))</f>
        <v/>
      </c>
      <c r="Z359">
        <f>IF(X359-Y359&lt;0.005,0,X359-Y359)</f>
        <v/>
      </c>
      <c r="AA359">
        <f>AF358</f>
        <v/>
      </c>
      <c r="AB359">
        <f>AA359*Plan!D10/100/12</f>
        <v/>
      </c>
      <c r="AC359">
        <f>MIN(Plan!E10,AA359+AB359)</f>
        <v/>
      </c>
      <c r="AD359">
        <f>AA359+AB359-AC359</f>
        <v/>
      </c>
      <c r="AE359">
        <f>MIN(AD359,MAX(0,$B359-((E$5&lt;AC$5)*F359+(K$5&lt;AC$5)*L359+(Q$5&lt;AC$5)*R359+(W$5&lt;AC$5)*X359+(AI$5&lt;AC$5)*AJ359+(AO$5&lt;AC$5)*AP359+(AU$5&lt;AC$5)*AV359)))</f>
        <v/>
      </c>
      <c r="AF359">
        <f>IF(AD359-AE359&lt;0.005,0,AD359-AE359)</f>
        <v/>
      </c>
      <c r="AG359">
        <f>AL358</f>
        <v/>
      </c>
      <c r="AH359">
        <f>AG359*Plan!D11/100/12</f>
        <v/>
      </c>
      <c r="AI359">
        <f>MIN(Plan!E11,AG359+AH359)</f>
        <v/>
      </c>
      <c r="AJ359">
        <f>AG359+AH359-AI359</f>
        <v/>
      </c>
      <c r="AK359">
        <f>MIN(AJ359,MAX(0,$B359-((E$5&lt;AI$5)*F359+(K$5&lt;AI$5)*L359+(Q$5&lt;AI$5)*R359+(W$5&lt;AI$5)*X359+(AC$5&lt;AI$5)*AD359+(AO$5&lt;AI$5)*AP359+(AU$5&lt;AI$5)*AV359)))</f>
        <v/>
      </c>
      <c r="AL359">
        <f>IF(AJ359-AK359&lt;0.005,0,AJ359-AK359)</f>
        <v/>
      </c>
      <c r="AM359">
        <f>AR358</f>
        <v/>
      </c>
      <c r="AN359">
        <f>AM359*Plan!D12/100/12</f>
        <v/>
      </c>
      <c r="AO359">
        <f>MIN(Plan!E12,AM359+AN359)</f>
        <v/>
      </c>
      <c r="AP359">
        <f>AM359+AN359-AO359</f>
        <v/>
      </c>
      <c r="AQ359">
        <f>MIN(AP359,MAX(0,$B359-((E$5&lt;AO$5)*F359+(K$5&lt;AO$5)*L359+(Q$5&lt;AO$5)*R359+(W$5&lt;AO$5)*X359+(AC$5&lt;AO$5)*AD359+(AI$5&lt;AO$5)*AJ359+(AU$5&lt;AO$5)*AV359)))</f>
        <v/>
      </c>
      <c r="AR359">
        <f>IF(AP359-AQ359&lt;0.005,0,AP359-AQ359)</f>
        <v/>
      </c>
      <c r="AS359">
        <f>AX358</f>
        <v/>
      </c>
      <c r="AT359">
        <f>AS359*Plan!D13/100/12</f>
        <v/>
      </c>
      <c r="AU359">
        <f>MIN(Plan!E13,AS359+AT359)</f>
        <v/>
      </c>
      <c r="AV359">
        <f>AS359+AT359-AU359</f>
        <v/>
      </c>
      <c r="AW359">
        <f>MIN(AV359,MAX(0,$B359-((E$5&lt;AU$5)*F359+(K$5&lt;AU$5)*L359+(Q$5&lt;AU$5)*R359+(W$5&lt;AU$5)*X359+(AC$5&lt;AU$5)*AD359+(AI$5&lt;AU$5)*AJ359+(AO$5&lt;AU$5)*AP359)))</f>
        <v/>
      </c>
      <c r="AX359">
        <f>IF(AV359-AW359&lt;0.005,0,AV359-AW359)</f>
        <v/>
      </c>
      <c r="BC359">
        <f>H359+N359+T359+Z359+AF359+AL359+AR359+AX359</f>
        <v/>
      </c>
    </row>
    <row r="360">
      <c r="A360" t="n">
        <v>354</v>
      </c>
      <c r="B360" s="19">
        <f>MAX(0,$B$3-(E360+K360+Q360+W360+AC360+AI360+AO360+AU360))</f>
        <v/>
      </c>
      <c r="C360">
        <f>H359</f>
        <v/>
      </c>
      <c r="D360">
        <f>C360*Plan!D6/100/12</f>
        <v/>
      </c>
      <c r="E360">
        <f>MIN(Plan!E6,C360+D360)</f>
        <v/>
      </c>
      <c r="F360">
        <f>C360+D360-E360</f>
        <v/>
      </c>
      <c r="G360">
        <f>MIN(F360,MAX(0,$B360-((K$5&lt;E$5)*L360+(Q$5&lt;E$5)*R360+(W$5&lt;E$5)*X360+(AC$5&lt;E$5)*AD360+(AI$5&lt;E$5)*AJ360+(AO$5&lt;E$5)*AP360+(AU$5&lt;E$5)*AV360)))</f>
        <v/>
      </c>
      <c r="H360">
        <f>IF(F360-G360&lt;0.005,0,F360-G360)</f>
        <v/>
      </c>
      <c r="I360">
        <f>N359</f>
        <v/>
      </c>
      <c r="J360">
        <f>I360*Plan!D7/100/12</f>
        <v/>
      </c>
      <c r="K360">
        <f>MIN(Plan!E7,I360+J360)</f>
        <v/>
      </c>
      <c r="L360">
        <f>I360+J360-K360</f>
        <v/>
      </c>
      <c r="M360">
        <f>MIN(L360,MAX(0,$B360-((E$5&lt;K$5)*F360+(Q$5&lt;K$5)*R360+(W$5&lt;K$5)*X360+(AC$5&lt;K$5)*AD360+(AI$5&lt;K$5)*AJ360+(AO$5&lt;K$5)*AP360+(AU$5&lt;K$5)*AV360)))</f>
        <v/>
      </c>
      <c r="N360">
        <f>IF(L360-M360&lt;0.005,0,L360-M360)</f>
        <v/>
      </c>
      <c r="O360">
        <f>T359</f>
        <v/>
      </c>
      <c r="P360">
        <f>O360*Plan!D8/100/12</f>
        <v/>
      </c>
      <c r="Q360">
        <f>MIN(Plan!E8,O360+P360)</f>
        <v/>
      </c>
      <c r="R360">
        <f>O360+P360-Q360</f>
        <v/>
      </c>
      <c r="S360">
        <f>MIN(R360,MAX(0,$B360-((E$5&lt;Q$5)*F360+(K$5&lt;Q$5)*L360+(W$5&lt;Q$5)*X360+(AC$5&lt;Q$5)*AD360+(AI$5&lt;Q$5)*AJ360+(AO$5&lt;Q$5)*AP360+(AU$5&lt;Q$5)*AV360)))</f>
        <v/>
      </c>
      <c r="T360">
        <f>IF(R360-S360&lt;0.005,0,R360-S360)</f>
        <v/>
      </c>
      <c r="U360">
        <f>Z359</f>
        <v/>
      </c>
      <c r="V360">
        <f>U360*Plan!D9/100/12</f>
        <v/>
      </c>
      <c r="W360">
        <f>MIN(Plan!E9,U360+V360)</f>
        <v/>
      </c>
      <c r="X360">
        <f>U360+V360-W360</f>
        <v/>
      </c>
      <c r="Y360">
        <f>MIN(X360,MAX(0,$B360-((E$5&lt;W$5)*F360+(K$5&lt;W$5)*L360+(Q$5&lt;W$5)*R360+(AC$5&lt;W$5)*AD360+(AI$5&lt;W$5)*AJ360+(AO$5&lt;W$5)*AP360+(AU$5&lt;W$5)*AV360)))</f>
        <v/>
      </c>
      <c r="Z360">
        <f>IF(X360-Y360&lt;0.005,0,X360-Y360)</f>
        <v/>
      </c>
      <c r="AA360">
        <f>AF359</f>
        <v/>
      </c>
      <c r="AB360">
        <f>AA360*Plan!D10/100/12</f>
        <v/>
      </c>
      <c r="AC360">
        <f>MIN(Plan!E10,AA360+AB360)</f>
        <v/>
      </c>
      <c r="AD360">
        <f>AA360+AB360-AC360</f>
        <v/>
      </c>
      <c r="AE360">
        <f>MIN(AD360,MAX(0,$B360-((E$5&lt;AC$5)*F360+(K$5&lt;AC$5)*L360+(Q$5&lt;AC$5)*R360+(W$5&lt;AC$5)*X360+(AI$5&lt;AC$5)*AJ360+(AO$5&lt;AC$5)*AP360+(AU$5&lt;AC$5)*AV360)))</f>
        <v/>
      </c>
      <c r="AF360">
        <f>IF(AD360-AE360&lt;0.005,0,AD360-AE360)</f>
        <v/>
      </c>
      <c r="AG360">
        <f>AL359</f>
        <v/>
      </c>
      <c r="AH360">
        <f>AG360*Plan!D11/100/12</f>
        <v/>
      </c>
      <c r="AI360">
        <f>MIN(Plan!E11,AG360+AH360)</f>
        <v/>
      </c>
      <c r="AJ360">
        <f>AG360+AH360-AI360</f>
        <v/>
      </c>
      <c r="AK360">
        <f>MIN(AJ360,MAX(0,$B360-((E$5&lt;AI$5)*F360+(K$5&lt;AI$5)*L360+(Q$5&lt;AI$5)*R360+(W$5&lt;AI$5)*X360+(AC$5&lt;AI$5)*AD360+(AO$5&lt;AI$5)*AP360+(AU$5&lt;AI$5)*AV360)))</f>
        <v/>
      </c>
      <c r="AL360">
        <f>IF(AJ360-AK360&lt;0.005,0,AJ360-AK360)</f>
        <v/>
      </c>
      <c r="AM360">
        <f>AR359</f>
        <v/>
      </c>
      <c r="AN360">
        <f>AM360*Plan!D12/100/12</f>
        <v/>
      </c>
      <c r="AO360">
        <f>MIN(Plan!E12,AM360+AN360)</f>
        <v/>
      </c>
      <c r="AP360">
        <f>AM360+AN360-AO360</f>
        <v/>
      </c>
      <c r="AQ360">
        <f>MIN(AP360,MAX(0,$B360-((E$5&lt;AO$5)*F360+(K$5&lt;AO$5)*L360+(Q$5&lt;AO$5)*R360+(W$5&lt;AO$5)*X360+(AC$5&lt;AO$5)*AD360+(AI$5&lt;AO$5)*AJ360+(AU$5&lt;AO$5)*AV360)))</f>
        <v/>
      </c>
      <c r="AR360">
        <f>IF(AP360-AQ360&lt;0.005,0,AP360-AQ360)</f>
        <v/>
      </c>
      <c r="AS360">
        <f>AX359</f>
        <v/>
      </c>
      <c r="AT360">
        <f>AS360*Plan!D13/100/12</f>
        <v/>
      </c>
      <c r="AU360">
        <f>MIN(Plan!E13,AS360+AT360)</f>
        <v/>
      </c>
      <c r="AV360">
        <f>AS360+AT360-AU360</f>
        <v/>
      </c>
      <c r="AW360">
        <f>MIN(AV360,MAX(0,$B360-((E$5&lt;AU$5)*F360+(K$5&lt;AU$5)*L360+(Q$5&lt;AU$5)*R360+(W$5&lt;AU$5)*X360+(AC$5&lt;AU$5)*AD360+(AI$5&lt;AU$5)*AJ360+(AO$5&lt;AU$5)*AP360)))</f>
        <v/>
      </c>
      <c r="AX360">
        <f>IF(AV360-AW360&lt;0.005,0,AV360-AW360)</f>
        <v/>
      </c>
      <c r="BC360">
        <f>H360+N360+T360+Z360+AF360+AL360+AR360+AX360</f>
        <v/>
      </c>
    </row>
    <row r="361">
      <c r="A361" t="n">
        <v>355</v>
      </c>
      <c r="B361" s="19">
        <f>MAX(0,$B$3-(E361+K361+Q361+W361+AC361+AI361+AO361+AU361))</f>
        <v/>
      </c>
      <c r="C361">
        <f>H360</f>
        <v/>
      </c>
      <c r="D361">
        <f>C361*Plan!D6/100/12</f>
        <v/>
      </c>
      <c r="E361">
        <f>MIN(Plan!E6,C361+D361)</f>
        <v/>
      </c>
      <c r="F361">
        <f>C361+D361-E361</f>
        <v/>
      </c>
      <c r="G361">
        <f>MIN(F361,MAX(0,$B361-((K$5&lt;E$5)*L361+(Q$5&lt;E$5)*R361+(W$5&lt;E$5)*X361+(AC$5&lt;E$5)*AD361+(AI$5&lt;E$5)*AJ361+(AO$5&lt;E$5)*AP361+(AU$5&lt;E$5)*AV361)))</f>
        <v/>
      </c>
      <c r="H361">
        <f>IF(F361-G361&lt;0.005,0,F361-G361)</f>
        <v/>
      </c>
      <c r="I361">
        <f>N360</f>
        <v/>
      </c>
      <c r="J361">
        <f>I361*Plan!D7/100/12</f>
        <v/>
      </c>
      <c r="K361">
        <f>MIN(Plan!E7,I361+J361)</f>
        <v/>
      </c>
      <c r="L361">
        <f>I361+J361-K361</f>
        <v/>
      </c>
      <c r="M361">
        <f>MIN(L361,MAX(0,$B361-((E$5&lt;K$5)*F361+(Q$5&lt;K$5)*R361+(W$5&lt;K$5)*X361+(AC$5&lt;K$5)*AD361+(AI$5&lt;K$5)*AJ361+(AO$5&lt;K$5)*AP361+(AU$5&lt;K$5)*AV361)))</f>
        <v/>
      </c>
      <c r="N361">
        <f>IF(L361-M361&lt;0.005,0,L361-M361)</f>
        <v/>
      </c>
      <c r="O361">
        <f>T360</f>
        <v/>
      </c>
      <c r="P361">
        <f>O361*Plan!D8/100/12</f>
        <v/>
      </c>
      <c r="Q361">
        <f>MIN(Plan!E8,O361+P361)</f>
        <v/>
      </c>
      <c r="R361">
        <f>O361+P361-Q361</f>
        <v/>
      </c>
      <c r="S361">
        <f>MIN(R361,MAX(0,$B361-((E$5&lt;Q$5)*F361+(K$5&lt;Q$5)*L361+(W$5&lt;Q$5)*X361+(AC$5&lt;Q$5)*AD361+(AI$5&lt;Q$5)*AJ361+(AO$5&lt;Q$5)*AP361+(AU$5&lt;Q$5)*AV361)))</f>
        <v/>
      </c>
      <c r="T361">
        <f>IF(R361-S361&lt;0.005,0,R361-S361)</f>
        <v/>
      </c>
      <c r="U361">
        <f>Z360</f>
        <v/>
      </c>
      <c r="V361">
        <f>U361*Plan!D9/100/12</f>
        <v/>
      </c>
      <c r="W361">
        <f>MIN(Plan!E9,U361+V361)</f>
        <v/>
      </c>
      <c r="X361">
        <f>U361+V361-W361</f>
        <v/>
      </c>
      <c r="Y361">
        <f>MIN(X361,MAX(0,$B361-((E$5&lt;W$5)*F361+(K$5&lt;W$5)*L361+(Q$5&lt;W$5)*R361+(AC$5&lt;W$5)*AD361+(AI$5&lt;W$5)*AJ361+(AO$5&lt;W$5)*AP361+(AU$5&lt;W$5)*AV361)))</f>
        <v/>
      </c>
      <c r="Z361">
        <f>IF(X361-Y361&lt;0.005,0,X361-Y361)</f>
        <v/>
      </c>
      <c r="AA361">
        <f>AF360</f>
        <v/>
      </c>
      <c r="AB361">
        <f>AA361*Plan!D10/100/12</f>
        <v/>
      </c>
      <c r="AC361">
        <f>MIN(Plan!E10,AA361+AB361)</f>
        <v/>
      </c>
      <c r="AD361">
        <f>AA361+AB361-AC361</f>
        <v/>
      </c>
      <c r="AE361">
        <f>MIN(AD361,MAX(0,$B361-((E$5&lt;AC$5)*F361+(K$5&lt;AC$5)*L361+(Q$5&lt;AC$5)*R361+(W$5&lt;AC$5)*X361+(AI$5&lt;AC$5)*AJ361+(AO$5&lt;AC$5)*AP361+(AU$5&lt;AC$5)*AV361)))</f>
        <v/>
      </c>
      <c r="AF361">
        <f>IF(AD361-AE361&lt;0.005,0,AD361-AE361)</f>
        <v/>
      </c>
      <c r="AG361">
        <f>AL360</f>
        <v/>
      </c>
      <c r="AH361">
        <f>AG361*Plan!D11/100/12</f>
        <v/>
      </c>
      <c r="AI361">
        <f>MIN(Plan!E11,AG361+AH361)</f>
        <v/>
      </c>
      <c r="AJ361">
        <f>AG361+AH361-AI361</f>
        <v/>
      </c>
      <c r="AK361">
        <f>MIN(AJ361,MAX(0,$B361-((E$5&lt;AI$5)*F361+(K$5&lt;AI$5)*L361+(Q$5&lt;AI$5)*R361+(W$5&lt;AI$5)*X361+(AC$5&lt;AI$5)*AD361+(AO$5&lt;AI$5)*AP361+(AU$5&lt;AI$5)*AV361)))</f>
        <v/>
      </c>
      <c r="AL361">
        <f>IF(AJ361-AK361&lt;0.005,0,AJ361-AK361)</f>
        <v/>
      </c>
      <c r="AM361">
        <f>AR360</f>
        <v/>
      </c>
      <c r="AN361">
        <f>AM361*Plan!D12/100/12</f>
        <v/>
      </c>
      <c r="AO361">
        <f>MIN(Plan!E12,AM361+AN361)</f>
        <v/>
      </c>
      <c r="AP361">
        <f>AM361+AN361-AO361</f>
        <v/>
      </c>
      <c r="AQ361">
        <f>MIN(AP361,MAX(0,$B361-((E$5&lt;AO$5)*F361+(K$5&lt;AO$5)*L361+(Q$5&lt;AO$5)*R361+(W$5&lt;AO$5)*X361+(AC$5&lt;AO$5)*AD361+(AI$5&lt;AO$5)*AJ361+(AU$5&lt;AO$5)*AV361)))</f>
        <v/>
      </c>
      <c r="AR361">
        <f>IF(AP361-AQ361&lt;0.005,0,AP361-AQ361)</f>
        <v/>
      </c>
      <c r="AS361">
        <f>AX360</f>
        <v/>
      </c>
      <c r="AT361">
        <f>AS361*Plan!D13/100/12</f>
        <v/>
      </c>
      <c r="AU361">
        <f>MIN(Plan!E13,AS361+AT361)</f>
        <v/>
      </c>
      <c r="AV361">
        <f>AS361+AT361-AU361</f>
        <v/>
      </c>
      <c r="AW361">
        <f>MIN(AV361,MAX(0,$B361-((E$5&lt;AU$5)*F361+(K$5&lt;AU$5)*L361+(Q$5&lt;AU$5)*R361+(W$5&lt;AU$5)*X361+(AC$5&lt;AU$5)*AD361+(AI$5&lt;AU$5)*AJ361+(AO$5&lt;AU$5)*AP361)))</f>
        <v/>
      </c>
      <c r="AX361">
        <f>IF(AV361-AW361&lt;0.005,0,AV361-AW361)</f>
        <v/>
      </c>
      <c r="BC361">
        <f>H361+N361+T361+Z361+AF361+AL361+AR361+AX361</f>
        <v/>
      </c>
    </row>
    <row r="362">
      <c r="A362" t="n">
        <v>356</v>
      </c>
      <c r="B362" s="19">
        <f>MAX(0,$B$3-(E362+K362+Q362+W362+AC362+AI362+AO362+AU362))</f>
        <v/>
      </c>
      <c r="C362">
        <f>H361</f>
        <v/>
      </c>
      <c r="D362">
        <f>C362*Plan!D6/100/12</f>
        <v/>
      </c>
      <c r="E362">
        <f>MIN(Plan!E6,C362+D362)</f>
        <v/>
      </c>
      <c r="F362">
        <f>C362+D362-E362</f>
        <v/>
      </c>
      <c r="G362">
        <f>MIN(F362,MAX(0,$B362-((K$5&lt;E$5)*L362+(Q$5&lt;E$5)*R362+(W$5&lt;E$5)*X362+(AC$5&lt;E$5)*AD362+(AI$5&lt;E$5)*AJ362+(AO$5&lt;E$5)*AP362+(AU$5&lt;E$5)*AV362)))</f>
        <v/>
      </c>
      <c r="H362">
        <f>IF(F362-G362&lt;0.005,0,F362-G362)</f>
        <v/>
      </c>
      <c r="I362">
        <f>N361</f>
        <v/>
      </c>
      <c r="J362">
        <f>I362*Plan!D7/100/12</f>
        <v/>
      </c>
      <c r="K362">
        <f>MIN(Plan!E7,I362+J362)</f>
        <v/>
      </c>
      <c r="L362">
        <f>I362+J362-K362</f>
        <v/>
      </c>
      <c r="M362">
        <f>MIN(L362,MAX(0,$B362-((E$5&lt;K$5)*F362+(Q$5&lt;K$5)*R362+(W$5&lt;K$5)*X362+(AC$5&lt;K$5)*AD362+(AI$5&lt;K$5)*AJ362+(AO$5&lt;K$5)*AP362+(AU$5&lt;K$5)*AV362)))</f>
        <v/>
      </c>
      <c r="N362">
        <f>IF(L362-M362&lt;0.005,0,L362-M362)</f>
        <v/>
      </c>
      <c r="O362">
        <f>T361</f>
        <v/>
      </c>
      <c r="P362">
        <f>O362*Plan!D8/100/12</f>
        <v/>
      </c>
      <c r="Q362">
        <f>MIN(Plan!E8,O362+P362)</f>
        <v/>
      </c>
      <c r="R362">
        <f>O362+P362-Q362</f>
        <v/>
      </c>
      <c r="S362">
        <f>MIN(R362,MAX(0,$B362-((E$5&lt;Q$5)*F362+(K$5&lt;Q$5)*L362+(W$5&lt;Q$5)*X362+(AC$5&lt;Q$5)*AD362+(AI$5&lt;Q$5)*AJ362+(AO$5&lt;Q$5)*AP362+(AU$5&lt;Q$5)*AV362)))</f>
        <v/>
      </c>
      <c r="T362">
        <f>IF(R362-S362&lt;0.005,0,R362-S362)</f>
        <v/>
      </c>
      <c r="U362">
        <f>Z361</f>
        <v/>
      </c>
      <c r="V362">
        <f>U362*Plan!D9/100/12</f>
        <v/>
      </c>
      <c r="W362">
        <f>MIN(Plan!E9,U362+V362)</f>
        <v/>
      </c>
      <c r="X362">
        <f>U362+V362-W362</f>
        <v/>
      </c>
      <c r="Y362">
        <f>MIN(X362,MAX(0,$B362-((E$5&lt;W$5)*F362+(K$5&lt;W$5)*L362+(Q$5&lt;W$5)*R362+(AC$5&lt;W$5)*AD362+(AI$5&lt;W$5)*AJ362+(AO$5&lt;W$5)*AP362+(AU$5&lt;W$5)*AV362)))</f>
        <v/>
      </c>
      <c r="Z362">
        <f>IF(X362-Y362&lt;0.005,0,X362-Y362)</f>
        <v/>
      </c>
      <c r="AA362">
        <f>AF361</f>
        <v/>
      </c>
      <c r="AB362">
        <f>AA362*Plan!D10/100/12</f>
        <v/>
      </c>
      <c r="AC362">
        <f>MIN(Plan!E10,AA362+AB362)</f>
        <v/>
      </c>
      <c r="AD362">
        <f>AA362+AB362-AC362</f>
        <v/>
      </c>
      <c r="AE362">
        <f>MIN(AD362,MAX(0,$B362-((E$5&lt;AC$5)*F362+(K$5&lt;AC$5)*L362+(Q$5&lt;AC$5)*R362+(W$5&lt;AC$5)*X362+(AI$5&lt;AC$5)*AJ362+(AO$5&lt;AC$5)*AP362+(AU$5&lt;AC$5)*AV362)))</f>
        <v/>
      </c>
      <c r="AF362">
        <f>IF(AD362-AE362&lt;0.005,0,AD362-AE362)</f>
        <v/>
      </c>
      <c r="AG362">
        <f>AL361</f>
        <v/>
      </c>
      <c r="AH362">
        <f>AG362*Plan!D11/100/12</f>
        <v/>
      </c>
      <c r="AI362">
        <f>MIN(Plan!E11,AG362+AH362)</f>
        <v/>
      </c>
      <c r="AJ362">
        <f>AG362+AH362-AI362</f>
        <v/>
      </c>
      <c r="AK362">
        <f>MIN(AJ362,MAX(0,$B362-((E$5&lt;AI$5)*F362+(K$5&lt;AI$5)*L362+(Q$5&lt;AI$5)*R362+(W$5&lt;AI$5)*X362+(AC$5&lt;AI$5)*AD362+(AO$5&lt;AI$5)*AP362+(AU$5&lt;AI$5)*AV362)))</f>
        <v/>
      </c>
      <c r="AL362">
        <f>IF(AJ362-AK362&lt;0.005,0,AJ362-AK362)</f>
        <v/>
      </c>
      <c r="AM362">
        <f>AR361</f>
        <v/>
      </c>
      <c r="AN362">
        <f>AM362*Plan!D12/100/12</f>
        <v/>
      </c>
      <c r="AO362">
        <f>MIN(Plan!E12,AM362+AN362)</f>
        <v/>
      </c>
      <c r="AP362">
        <f>AM362+AN362-AO362</f>
        <v/>
      </c>
      <c r="AQ362">
        <f>MIN(AP362,MAX(0,$B362-((E$5&lt;AO$5)*F362+(K$5&lt;AO$5)*L362+(Q$5&lt;AO$5)*R362+(W$5&lt;AO$5)*X362+(AC$5&lt;AO$5)*AD362+(AI$5&lt;AO$5)*AJ362+(AU$5&lt;AO$5)*AV362)))</f>
        <v/>
      </c>
      <c r="AR362">
        <f>IF(AP362-AQ362&lt;0.005,0,AP362-AQ362)</f>
        <v/>
      </c>
      <c r="AS362">
        <f>AX361</f>
        <v/>
      </c>
      <c r="AT362">
        <f>AS362*Plan!D13/100/12</f>
        <v/>
      </c>
      <c r="AU362">
        <f>MIN(Plan!E13,AS362+AT362)</f>
        <v/>
      </c>
      <c r="AV362">
        <f>AS362+AT362-AU362</f>
        <v/>
      </c>
      <c r="AW362">
        <f>MIN(AV362,MAX(0,$B362-((E$5&lt;AU$5)*F362+(K$5&lt;AU$5)*L362+(Q$5&lt;AU$5)*R362+(W$5&lt;AU$5)*X362+(AC$5&lt;AU$5)*AD362+(AI$5&lt;AU$5)*AJ362+(AO$5&lt;AU$5)*AP362)))</f>
        <v/>
      </c>
      <c r="AX362">
        <f>IF(AV362-AW362&lt;0.005,0,AV362-AW362)</f>
        <v/>
      </c>
      <c r="BC362">
        <f>H362+N362+T362+Z362+AF362+AL362+AR362+AX362</f>
        <v/>
      </c>
    </row>
    <row r="363">
      <c r="A363" t="n">
        <v>357</v>
      </c>
      <c r="B363" s="19">
        <f>MAX(0,$B$3-(E363+K363+Q363+W363+AC363+AI363+AO363+AU363))</f>
        <v/>
      </c>
      <c r="C363">
        <f>H362</f>
        <v/>
      </c>
      <c r="D363">
        <f>C363*Plan!D6/100/12</f>
        <v/>
      </c>
      <c r="E363">
        <f>MIN(Plan!E6,C363+D363)</f>
        <v/>
      </c>
      <c r="F363">
        <f>C363+D363-E363</f>
        <v/>
      </c>
      <c r="G363">
        <f>MIN(F363,MAX(0,$B363-((K$5&lt;E$5)*L363+(Q$5&lt;E$5)*R363+(W$5&lt;E$5)*X363+(AC$5&lt;E$5)*AD363+(AI$5&lt;E$5)*AJ363+(AO$5&lt;E$5)*AP363+(AU$5&lt;E$5)*AV363)))</f>
        <v/>
      </c>
      <c r="H363">
        <f>IF(F363-G363&lt;0.005,0,F363-G363)</f>
        <v/>
      </c>
      <c r="I363">
        <f>N362</f>
        <v/>
      </c>
      <c r="J363">
        <f>I363*Plan!D7/100/12</f>
        <v/>
      </c>
      <c r="K363">
        <f>MIN(Plan!E7,I363+J363)</f>
        <v/>
      </c>
      <c r="L363">
        <f>I363+J363-K363</f>
        <v/>
      </c>
      <c r="M363">
        <f>MIN(L363,MAX(0,$B363-((E$5&lt;K$5)*F363+(Q$5&lt;K$5)*R363+(W$5&lt;K$5)*X363+(AC$5&lt;K$5)*AD363+(AI$5&lt;K$5)*AJ363+(AO$5&lt;K$5)*AP363+(AU$5&lt;K$5)*AV363)))</f>
        <v/>
      </c>
      <c r="N363">
        <f>IF(L363-M363&lt;0.005,0,L363-M363)</f>
        <v/>
      </c>
      <c r="O363">
        <f>T362</f>
        <v/>
      </c>
      <c r="P363">
        <f>O363*Plan!D8/100/12</f>
        <v/>
      </c>
      <c r="Q363">
        <f>MIN(Plan!E8,O363+P363)</f>
        <v/>
      </c>
      <c r="R363">
        <f>O363+P363-Q363</f>
        <v/>
      </c>
      <c r="S363">
        <f>MIN(R363,MAX(0,$B363-((E$5&lt;Q$5)*F363+(K$5&lt;Q$5)*L363+(W$5&lt;Q$5)*X363+(AC$5&lt;Q$5)*AD363+(AI$5&lt;Q$5)*AJ363+(AO$5&lt;Q$5)*AP363+(AU$5&lt;Q$5)*AV363)))</f>
        <v/>
      </c>
      <c r="T363">
        <f>IF(R363-S363&lt;0.005,0,R363-S363)</f>
        <v/>
      </c>
      <c r="U363">
        <f>Z362</f>
        <v/>
      </c>
      <c r="V363">
        <f>U363*Plan!D9/100/12</f>
        <v/>
      </c>
      <c r="W363">
        <f>MIN(Plan!E9,U363+V363)</f>
        <v/>
      </c>
      <c r="X363">
        <f>U363+V363-W363</f>
        <v/>
      </c>
      <c r="Y363">
        <f>MIN(X363,MAX(0,$B363-((E$5&lt;W$5)*F363+(K$5&lt;W$5)*L363+(Q$5&lt;W$5)*R363+(AC$5&lt;W$5)*AD363+(AI$5&lt;W$5)*AJ363+(AO$5&lt;W$5)*AP363+(AU$5&lt;W$5)*AV363)))</f>
        <v/>
      </c>
      <c r="Z363">
        <f>IF(X363-Y363&lt;0.005,0,X363-Y363)</f>
        <v/>
      </c>
      <c r="AA363">
        <f>AF362</f>
        <v/>
      </c>
      <c r="AB363">
        <f>AA363*Plan!D10/100/12</f>
        <v/>
      </c>
      <c r="AC363">
        <f>MIN(Plan!E10,AA363+AB363)</f>
        <v/>
      </c>
      <c r="AD363">
        <f>AA363+AB363-AC363</f>
        <v/>
      </c>
      <c r="AE363">
        <f>MIN(AD363,MAX(0,$B363-((E$5&lt;AC$5)*F363+(K$5&lt;AC$5)*L363+(Q$5&lt;AC$5)*R363+(W$5&lt;AC$5)*X363+(AI$5&lt;AC$5)*AJ363+(AO$5&lt;AC$5)*AP363+(AU$5&lt;AC$5)*AV363)))</f>
        <v/>
      </c>
      <c r="AF363">
        <f>IF(AD363-AE363&lt;0.005,0,AD363-AE363)</f>
        <v/>
      </c>
      <c r="AG363">
        <f>AL362</f>
        <v/>
      </c>
      <c r="AH363">
        <f>AG363*Plan!D11/100/12</f>
        <v/>
      </c>
      <c r="AI363">
        <f>MIN(Plan!E11,AG363+AH363)</f>
        <v/>
      </c>
      <c r="AJ363">
        <f>AG363+AH363-AI363</f>
        <v/>
      </c>
      <c r="AK363">
        <f>MIN(AJ363,MAX(0,$B363-((E$5&lt;AI$5)*F363+(K$5&lt;AI$5)*L363+(Q$5&lt;AI$5)*R363+(W$5&lt;AI$5)*X363+(AC$5&lt;AI$5)*AD363+(AO$5&lt;AI$5)*AP363+(AU$5&lt;AI$5)*AV363)))</f>
        <v/>
      </c>
      <c r="AL363">
        <f>IF(AJ363-AK363&lt;0.005,0,AJ363-AK363)</f>
        <v/>
      </c>
      <c r="AM363">
        <f>AR362</f>
        <v/>
      </c>
      <c r="AN363">
        <f>AM363*Plan!D12/100/12</f>
        <v/>
      </c>
      <c r="AO363">
        <f>MIN(Plan!E12,AM363+AN363)</f>
        <v/>
      </c>
      <c r="AP363">
        <f>AM363+AN363-AO363</f>
        <v/>
      </c>
      <c r="AQ363">
        <f>MIN(AP363,MAX(0,$B363-((E$5&lt;AO$5)*F363+(K$5&lt;AO$5)*L363+(Q$5&lt;AO$5)*R363+(W$5&lt;AO$5)*X363+(AC$5&lt;AO$5)*AD363+(AI$5&lt;AO$5)*AJ363+(AU$5&lt;AO$5)*AV363)))</f>
        <v/>
      </c>
      <c r="AR363">
        <f>IF(AP363-AQ363&lt;0.005,0,AP363-AQ363)</f>
        <v/>
      </c>
      <c r="AS363">
        <f>AX362</f>
        <v/>
      </c>
      <c r="AT363">
        <f>AS363*Plan!D13/100/12</f>
        <v/>
      </c>
      <c r="AU363">
        <f>MIN(Plan!E13,AS363+AT363)</f>
        <v/>
      </c>
      <c r="AV363">
        <f>AS363+AT363-AU363</f>
        <v/>
      </c>
      <c r="AW363">
        <f>MIN(AV363,MAX(0,$B363-((E$5&lt;AU$5)*F363+(K$5&lt;AU$5)*L363+(Q$5&lt;AU$5)*R363+(W$5&lt;AU$5)*X363+(AC$5&lt;AU$5)*AD363+(AI$5&lt;AU$5)*AJ363+(AO$5&lt;AU$5)*AP363)))</f>
        <v/>
      </c>
      <c r="AX363">
        <f>IF(AV363-AW363&lt;0.005,0,AV363-AW363)</f>
        <v/>
      </c>
      <c r="BC363">
        <f>H363+N363+T363+Z363+AF363+AL363+AR363+AX363</f>
        <v/>
      </c>
    </row>
    <row r="364">
      <c r="A364" t="n">
        <v>358</v>
      </c>
      <c r="B364" s="19">
        <f>MAX(0,$B$3-(E364+K364+Q364+W364+AC364+AI364+AO364+AU364))</f>
        <v/>
      </c>
      <c r="C364">
        <f>H363</f>
        <v/>
      </c>
      <c r="D364">
        <f>C364*Plan!D6/100/12</f>
        <v/>
      </c>
      <c r="E364">
        <f>MIN(Plan!E6,C364+D364)</f>
        <v/>
      </c>
      <c r="F364">
        <f>C364+D364-E364</f>
        <v/>
      </c>
      <c r="G364">
        <f>MIN(F364,MAX(0,$B364-((K$5&lt;E$5)*L364+(Q$5&lt;E$5)*R364+(W$5&lt;E$5)*X364+(AC$5&lt;E$5)*AD364+(AI$5&lt;E$5)*AJ364+(AO$5&lt;E$5)*AP364+(AU$5&lt;E$5)*AV364)))</f>
        <v/>
      </c>
      <c r="H364">
        <f>IF(F364-G364&lt;0.005,0,F364-G364)</f>
        <v/>
      </c>
      <c r="I364">
        <f>N363</f>
        <v/>
      </c>
      <c r="J364">
        <f>I364*Plan!D7/100/12</f>
        <v/>
      </c>
      <c r="K364">
        <f>MIN(Plan!E7,I364+J364)</f>
        <v/>
      </c>
      <c r="L364">
        <f>I364+J364-K364</f>
        <v/>
      </c>
      <c r="M364">
        <f>MIN(L364,MAX(0,$B364-((E$5&lt;K$5)*F364+(Q$5&lt;K$5)*R364+(W$5&lt;K$5)*X364+(AC$5&lt;K$5)*AD364+(AI$5&lt;K$5)*AJ364+(AO$5&lt;K$5)*AP364+(AU$5&lt;K$5)*AV364)))</f>
        <v/>
      </c>
      <c r="N364">
        <f>IF(L364-M364&lt;0.005,0,L364-M364)</f>
        <v/>
      </c>
      <c r="O364">
        <f>T363</f>
        <v/>
      </c>
      <c r="P364">
        <f>O364*Plan!D8/100/12</f>
        <v/>
      </c>
      <c r="Q364">
        <f>MIN(Plan!E8,O364+P364)</f>
        <v/>
      </c>
      <c r="R364">
        <f>O364+P364-Q364</f>
        <v/>
      </c>
      <c r="S364">
        <f>MIN(R364,MAX(0,$B364-((E$5&lt;Q$5)*F364+(K$5&lt;Q$5)*L364+(W$5&lt;Q$5)*X364+(AC$5&lt;Q$5)*AD364+(AI$5&lt;Q$5)*AJ364+(AO$5&lt;Q$5)*AP364+(AU$5&lt;Q$5)*AV364)))</f>
        <v/>
      </c>
      <c r="T364">
        <f>IF(R364-S364&lt;0.005,0,R364-S364)</f>
        <v/>
      </c>
      <c r="U364">
        <f>Z363</f>
        <v/>
      </c>
      <c r="V364">
        <f>U364*Plan!D9/100/12</f>
        <v/>
      </c>
      <c r="W364">
        <f>MIN(Plan!E9,U364+V364)</f>
        <v/>
      </c>
      <c r="X364">
        <f>U364+V364-W364</f>
        <v/>
      </c>
      <c r="Y364">
        <f>MIN(X364,MAX(0,$B364-((E$5&lt;W$5)*F364+(K$5&lt;W$5)*L364+(Q$5&lt;W$5)*R364+(AC$5&lt;W$5)*AD364+(AI$5&lt;W$5)*AJ364+(AO$5&lt;W$5)*AP364+(AU$5&lt;W$5)*AV364)))</f>
        <v/>
      </c>
      <c r="Z364">
        <f>IF(X364-Y364&lt;0.005,0,X364-Y364)</f>
        <v/>
      </c>
      <c r="AA364">
        <f>AF363</f>
        <v/>
      </c>
      <c r="AB364">
        <f>AA364*Plan!D10/100/12</f>
        <v/>
      </c>
      <c r="AC364">
        <f>MIN(Plan!E10,AA364+AB364)</f>
        <v/>
      </c>
      <c r="AD364">
        <f>AA364+AB364-AC364</f>
        <v/>
      </c>
      <c r="AE364">
        <f>MIN(AD364,MAX(0,$B364-((E$5&lt;AC$5)*F364+(K$5&lt;AC$5)*L364+(Q$5&lt;AC$5)*R364+(W$5&lt;AC$5)*X364+(AI$5&lt;AC$5)*AJ364+(AO$5&lt;AC$5)*AP364+(AU$5&lt;AC$5)*AV364)))</f>
        <v/>
      </c>
      <c r="AF364">
        <f>IF(AD364-AE364&lt;0.005,0,AD364-AE364)</f>
        <v/>
      </c>
      <c r="AG364">
        <f>AL363</f>
        <v/>
      </c>
      <c r="AH364">
        <f>AG364*Plan!D11/100/12</f>
        <v/>
      </c>
      <c r="AI364">
        <f>MIN(Plan!E11,AG364+AH364)</f>
        <v/>
      </c>
      <c r="AJ364">
        <f>AG364+AH364-AI364</f>
        <v/>
      </c>
      <c r="AK364">
        <f>MIN(AJ364,MAX(0,$B364-((E$5&lt;AI$5)*F364+(K$5&lt;AI$5)*L364+(Q$5&lt;AI$5)*R364+(W$5&lt;AI$5)*X364+(AC$5&lt;AI$5)*AD364+(AO$5&lt;AI$5)*AP364+(AU$5&lt;AI$5)*AV364)))</f>
        <v/>
      </c>
      <c r="AL364">
        <f>IF(AJ364-AK364&lt;0.005,0,AJ364-AK364)</f>
        <v/>
      </c>
      <c r="AM364">
        <f>AR363</f>
        <v/>
      </c>
      <c r="AN364">
        <f>AM364*Plan!D12/100/12</f>
        <v/>
      </c>
      <c r="AO364">
        <f>MIN(Plan!E12,AM364+AN364)</f>
        <v/>
      </c>
      <c r="AP364">
        <f>AM364+AN364-AO364</f>
        <v/>
      </c>
      <c r="AQ364">
        <f>MIN(AP364,MAX(0,$B364-((E$5&lt;AO$5)*F364+(K$5&lt;AO$5)*L364+(Q$5&lt;AO$5)*R364+(W$5&lt;AO$5)*X364+(AC$5&lt;AO$5)*AD364+(AI$5&lt;AO$5)*AJ364+(AU$5&lt;AO$5)*AV364)))</f>
        <v/>
      </c>
      <c r="AR364">
        <f>IF(AP364-AQ364&lt;0.005,0,AP364-AQ364)</f>
        <v/>
      </c>
      <c r="AS364">
        <f>AX363</f>
        <v/>
      </c>
      <c r="AT364">
        <f>AS364*Plan!D13/100/12</f>
        <v/>
      </c>
      <c r="AU364">
        <f>MIN(Plan!E13,AS364+AT364)</f>
        <v/>
      </c>
      <c r="AV364">
        <f>AS364+AT364-AU364</f>
        <v/>
      </c>
      <c r="AW364">
        <f>MIN(AV364,MAX(0,$B364-((E$5&lt;AU$5)*F364+(K$5&lt;AU$5)*L364+(Q$5&lt;AU$5)*R364+(W$5&lt;AU$5)*X364+(AC$5&lt;AU$5)*AD364+(AI$5&lt;AU$5)*AJ364+(AO$5&lt;AU$5)*AP364)))</f>
        <v/>
      </c>
      <c r="AX364">
        <f>IF(AV364-AW364&lt;0.005,0,AV364-AW364)</f>
        <v/>
      </c>
      <c r="BC364">
        <f>H364+N364+T364+Z364+AF364+AL364+AR364+AX364</f>
        <v/>
      </c>
    </row>
    <row r="365">
      <c r="A365" t="n">
        <v>359</v>
      </c>
      <c r="B365" s="19">
        <f>MAX(0,$B$3-(E365+K365+Q365+W365+AC365+AI365+AO365+AU365))</f>
        <v/>
      </c>
      <c r="C365">
        <f>H364</f>
        <v/>
      </c>
      <c r="D365">
        <f>C365*Plan!D6/100/12</f>
        <v/>
      </c>
      <c r="E365">
        <f>MIN(Plan!E6,C365+D365)</f>
        <v/>
      </c>
      <c r="F365">
        <f>C365+D365-E365</f>
        <v/>
      </c>
      <c r="G365">
        <f>MIN(F365,MAX(0,$B365-((K$5&lt;E$5)*L365+(Q$5&lt;E$5)*R365+(W$5&lt;E$5)*X365+(AC$5&lt;E$5)*AD365+(AI$5&lt;E$5)*AJ365+(AO$5&lt;E$5)*AP365+(AU$5&lt;E$5)*AV365)))</f>
        <v/>
      </c>
      <c r="H365">
        <f>IF(F365-G365&lt;0.005,0,F365-G365)</f>
        <v/>
      </c>
      <c r="I365">
        <f>N364</f>
        <v/>
      </c>
      <c r="J365">
        <f>I365*Plan!D7/100/12</f>
        <v/>
      </c>
      <c r="K365">
        <f>MIN(Plan!E7,I365+J365)</f>
        <v/>
      </c>
      <c r="L365">
        <f>I365+J365-K365</f>
        <v/>
      </c>
      <c r="M365">
        <f>MIN(L365,MAX(0,$B365-((E$5&lt;K$5)*F365+(Q$5&lt;K$5)*R365+(W$5&lt;K$5)*X365+(AC$5&lt;K$5)*AD365+(AI$5&lt;K$5)*AJ365+(AO$5&lt;K$5)*AP365+(AU$5&lt;K$5)*AV365)))</f>
        <v/>
      </c>
      <c r="N365">
        <f>IF(L365-M365&lt;0.005,0,L365-M365)</f>
        <v/>
      </c>
      <c r="O365">
        <f>T364</f>
        <v/>
      </c>
      <c r="P365">
        <f>O365*Plan!D8/100/12</f>
        <v/>
      </c>
      <c r="Q365">
        <f>MIN(Plan!E8,O365+P365)</f>
        <v/>
      </c>
      <c r="R365">
        <f>O365+P365-Q365</f>
        <v/>
      </c>
      <c r="S365">
        <f>MIN(R365,MAX(0,$B365-((E$5&lt;Q$5)*F365+(K$5&lt;Q$5)*L365+(W$5&lt;Q$5)*X365+(AC$5&lt;Q$5)*AD365+(AI$5&lt;Q$5)*AJ365+(AO$5&lt;Q$5)*AP365+(AU$5&lt;Q$5)*AV365)))</f>
        <v/>
      </c>
      <c r="T365">
        <f>IF(R365-S365&lt;0.005,0,R365-S365)</f>
        <v/>
      </c>
      <c r="U365">
        <f>Z364</f>
        <v/>
      </c>
      <c r="V365">
        <f>U365*Plan!D9/100/12</f>
        <v/>
      </c>
      <c r="W365">
        <f>MIN(Plan!E9,U365+V365)</f>
        <v/>
      </c>
      <c r="X365">
        <f>U365+V365-W365</f>
        <v/>
      </c>
      <c r="Y365">
        <f>MIN(X365,MAX(0,$B365-((E$5&lt;W$5)*F365+(K$5&lt;W$5)*L365+(Q$5&lt;W$5)*R365+(AC$5&lt;W$5)*AD365+(AI$5&lt;W$5)*AJ365+(AO$5&lt;W$5)*AP365+(AU$5&lt;W$5)*AV365)))</f>
        <v/>
      </c>
      <c r="Z365">
        <f>IF(X365-Y365&lt;0.005,0,X365-Y365)</f>
        <v/>
      </c>
      <c r="AA365">
        <f>AF364</f>
        <v/>
      </c>
      <c r="AB365">
        <f>AA365*Plan!D10/100/12</f>
        <v/>
      </c>
      <c r="AC365">
        <f>MIN(Plan!E10,AA365+AB365)</f>
        <v/>
      </c>
      <c r="AD365">
        <f>AA365+AB365-AC365</f>
        <v/>
      </c>
      <c r="AE365">
        <f>MIN(AD365,MAX(0,$B365-((E$5&lt;AC$5)*F365+(K$5&lt;AC$5)*L365+(Q$5&lt;AC$5)*R365+(W$5&lt;AC$5)*X365+(AI$5&lt;AC$5)*AJ365+(AO$5&lt;AC$5)*AP365+(AU$5&lt;AC$5)*AV365)))</f>
        <v/>
      </c>
      <c r="AF365">
        <f>IF(AD365-AE365&lt;0.005,0,AD365-AE365)</f>
        <v/>
      </c>
      <c r="AG365">
        <f>AL364</f>
        <v/>
      </c>
      <c r="AH365">
        <f>AG365*Plan!D11/100/12</f>
        <v/>
      </c>
      <c r="AI365">
        <f>MIN(Plan!E11,AG365+AH365)</f>
        <v/>
      </c>
      <c r="AJ365">
        <f>AG365+AH365-AI365</f>
        <v/>
      </c>
      <c r="AK365">
        <f>MIN(AJ365,MAX(0,$B365-((E$5&lt;AI$5)*F365+(K$5&lt;AI$5)*L365+(Q$5&lt;AI$5)*R365+(W$5&lt;AI$5)*X365+(AC$5&lt;AI$5)*AD365+(AO$5&lt;AI$5)*AP365+(AU$5&lt;AI$5)*AV365)))</f>
        <v/>
      </c>
      <c r="AL365">
        <f>IF(AJ365-AK365&lt;0.005,0,AJ365-AK365)</f>
        <v/>
      </c>
      <c r="AM365">
        <f>AR364</f>
        <v/>
      </c>
      <c r="AN365">
        <f>AM365*Plan!D12/100/12</f>
        <v/>
      </c>
      <c r="AO365">
        <f>MIN(Plan!E12,AM365+AN365)</f>
        <v/>
      </c>
      <c r="AP365">
        <f>AM365+AN365-AO365</f>
        <v/>
      </c>
      <c r="AQ365">
        <f>MIN(AP365,MAX(0,$B365-((E$5&lt;AO$5)*F365+(K$5&lt;AO$5)*L365+(Q$5&lt;AO$5)*R365+(W$5&lt;AO$5)*X365+(AC$5&lt;AO$5)*AD365+(AI$5&lt;AO$5)*AJ365+(AU$5&lt;AO$5)*AV365)))</f>
        <v/>
      </c>
      <c r="AR365">
        <f>IF(AP365-AQ365&lt;0.005,0,AP365-AQ365)</f>
        <v/>
      </c>
      <c r="AS365">
        <f>AX364</f>
        <v/>
      </c>
      <c r="AT365">
        <f>AS365*Plan!D13/100/12</f>
        <v/>
      </c>
      <c r="AU365">
        <f>MIN(Plan!E13,AS365+AT365)</f>
        <v/>
      </c>
      <c r="AV365">
        <f>AS365+AT365-AU365</f>
        <v/>
      </c>
      <c r="AW365">
        <f>MIN(AV365,MAX(0,$B365-((E$5&lt;AU$5)*F365+(K$5&lt;AU$5)*L365+(Q$5&lt;AU$5)*R365+(W$5&lt;AU$5)*X365+(AC$5&lt;AU$5)*AD365+(AI$5&lt;AU$5)*AJ365+(AO$5&lt;AU$5)*AP365)))</f>
        <v/>
      </c>
      <c r="AX365">
        <f>IF(AV365-AW365&lt;0.005,0,AV365-AW365)</f>
        <v/>
      </c>
      <c r="BC365">
        <f>H365+N365+T365+Z365+AF365+AL365+AR365+AX365</f>
        <v/>
      </c>
    </row>
    <row r="366">
      <c r="A366" t="n">
        <v>360</v>
      </c>
      <c r="B366" s="19">
        <f>MAX(0,$B$3-(E366+K366+Q366+W366+AC366+AI366+AO366+AU366))</f>
        <v/>
      </c>
      <c r="C366">
        <f>H365</f>
        <v/>
      </c>
      <c r="D366">
        <f>C366*Plan!D6/100/12</f>
        <v/>
      </c>
      <c r="E366">
        <f>MIN(Plan!E6,C366+D366)</f>
        <v/>
      </c>
      <c r="F366">
        <f>C366+D366-E366</f>
        <v/>
      </c>
      <c r="G366">
        <f>MIN(F366,MAX(0,$B366-((K$5&lt;E$5)*L366+(Q$5&lt;E$5)*R366+(W$5&lt;E$5)*X366+(AC$5&lt;E$5)*AD366+(AI$5&lt;E$5)*AJ366+(AO$5&lt;E$5)*AP366+(AU$5&lt;E$5)*AV366)))</f>
        <v/>
      </c>
      <c r="H366">
        <f>IF(F366-G366&lt;0.005,0,F366-G366)</f>
        <v/>
      </c>
      <c r="I366">
        <f>N365</f>
        <v/>
      </c>
      <c r="J366">
        <f>I366*Plan!D7/100/12</f>
        <v/>
      </c>
      <c r="K366">
        <f>MIN(Plan!E7,I366+J366)</f>
        <v/>
      </c>
      <c r="L366">
        <f>I366+J366-K366</f>
        <v/>
      </c>
      <c r="M366">
        <f>MIN(L366,MAX(0,$B366-((E$5&lt;K$5)*F366+(Q$5&lt;K$5)*R366+(W$5&lt;K$5)*X366+(AC$5&lt;K$5)*AD366+(AI$5&lt;K$5)*AJ366+(AO$5&lt;K$5)*AP366+(AU$5&lt;K$5)*AV366)))</f>
        <v/>
      </c>
      <c r="N366">
        <f>IF(L366-M366&lt;0.005,0,L366-M366)</f>
        <v/>
      </c>
      <c r="O366">
        <f>T365</f>
        <v/>
      </c>
      <c r="P366">
        <f>O366*Plan!D8/100/12</f>
        <v/>
      </c>
      <c r="Q366">
        <f>MIN(Plan!E8,O366+P366)</f>
        <v/>
      </c>
      <c r="R366">
        <f>O366+P366-Q366</f>
        <v/>
      </c>
      <c r="S366">
        <f>MIN(R366,MAX(0,$B366-((E$5&lt;Q$5)*F366+(K$5&lt;Q$5)*L366+(W$5&lt;Q$5)*X366+(AC$5&lt;Q$5)*AD366+(AI$5&lt;Q$5)*AJ366+(AO$5&lt;Q$5)*AP366+(AU$5&lt;Q$5)*AV366)))</f>
        <v/>
      </c>
      <c r="T366">
        <f>IF(R366-S366&lt;0.005,0,R366-S366)</f>
        <v/>
      </c>
      <c r="U366">
        <f>Z365</f>
        <v/>
      </c>
      <c r="V366">
        <f>U366*Plan!D9/100/12</f>
        <v/>
      </c>
      <c r="W366">
        <f>MIN(Plan!E9,U366+V366)</f>
        <v/>
      </c>
      <c r="X366">
        <f>U366+V366-W366</f>
        <v/>
      </c>
      <c r="Y366">
        <f>MIN(X366,MAX(0,$B366-((E$5&lt;W$5)*F366+(K$5&lt;W$5)*L366+(Q$5&lt;W$5)*R366+(AC$5&lt;W$5)*AD366+(AI$5&lt;W$5)*AJ366+(AO$5&lt;W$5)*AP366+(AU$5&lt;W$5)*AV366)))</f>
        <v/>
      </c>
      <c r="Z366">
        <f>IF(X366-Y366&lt;0.005,0,X366-Y366)</f>
        <v/>
      </c>
      <c r="AA366">
        <f>AF365</f>
        <v/>
      </c>
      <c r="AB366">
        <f>AA366*Plan!D10/100/12</f>
        <v/>
      </c>
      <c r="AC366">
        <f>MIN(Plan!E10,AA366+AB366)</f>
        <v/>
      </c>
      <c r="AD366">
        <f>AA366+AB366-AC366</f>
        <v/>
      </c>
      <c r="AE366">
        <f>MIN(AD366,MAX(0,$B366-((E$5&lt;AC$5)*F366+(K$5&lt;AC$5)*L366+(Q$5&lt;AC$5)*R366+(W$5&lt;AC$5)*X366+(AI$5&lt;AC$5)*AJ366+(AO$5&lt;AC$5)*AP366+(AU$5&lt;AC$5)*AV366)))</f>
        <v/>
      </c>
      <c r="AF366">
        <f>IF(AD366-AE366&lt;0.005,0,AD366-AE366)</f>
        <v/>
      </c>
      <c r="AG366">
        <f>AL365</f>
        <v/>
      </c>
      <c r="AH366">
        <f>AG366*Plan!D11/100/12</f>
        <v/>
      </c>
      <c r="AI366">
        <f>MIN(Plan!E11,AG366+AH366)</f>
        <v/>
      </c>
      <c r="AJ366">
        <f>AG366+AH366-AI366</f>
        <v/>
      </c>
      <c r="AK366">
        <f>MIN(AJ366,MAX(0,$B366-((E$5&lt;AI$5)*F366+(K$5&lt;AI$5)*L366+(Q$5&lt;AI$5)*R366+(W$5&lt;AI$5)*X366+(AC$5&lt;AI$5)*AD366+(AO$5&lt;AI$5)*AP366+(AU$5&lt;AI$5)*AV366)))</f>
        <v/>
      </c>
      <c r="AL366">
        <f>IF(AJ366-AK366&lt;0.005,0,AJ366-AK366)</f>
        <v/>
      </c>
      <c r="AM366">
        <f>AR365</f>
        <v/>
      </c>
      <c r="AN366">
        <f>AM366*Plan!D12/100/12</f>
        <v/>
      </c>
      <c r="AO366">
        <f>MIN(Plan!E12,AM366+AN366)</f>
        <v/>
      </c>
      <c r="AP366">
        <f>AM366+AN366-AO366</f>
        <v/>
      </c>
      <c r="AQ366">
        <f>MIN(AP366,MAX(0,$B366-((E$5&lt;AO$5)*F366+(K$5&lt;AO$5)*L366+(Q$5&lt;AO$5)*R366+(W$5&lt;AO$5)*X366+(AC$5&lt;AO$5)*AD366+(AI$5&lt;AO$5)*AJ366+(AU$5&lt;AO$5)*AV366)))</f>
        <v/>
      </c>
      <c r="AR366">
        <f>IF(AP366-AQ366&lt;0.005,0,AP366-AQ366)</f>
        <v/>
      </c>
      <c r="AS366">
        <f>AX365</f>
        <v/>
      </c>
      <c r="AT366">
        <f>AS366*Plan!D13/100/12</f>
        <v/>
      </c>
      <c r="AU366">
        <f>MIN(Plan!E13,AS366+AT366)</f>
        <v/>
      </c>
      <c r="AV366">
        <f>AS366+AT366-AU366</f>
        <v/>
      </c>
      <c r="AW366">
        <f>MIN(AV366,MAX(0,$B366-((E$5&lt;AU$5)*F366+(K$5&lt;AU$5)*L366+(Q$5&lt;AU$5)*R366+(W$5&lt;AU$5)*X366+(AC$5&lt;AU$5)*AD366+(AI$5&lt;AU$5)*AJ366+(AO$5&lt;AU$5)*AP366)))</f>
        <v/>
      </c>
      <c r="AX366">
        <f>IF(AV366-AW366&lt;0.005,0,AV366-AW366)</f>
        <v/>
      </c>
      <c r="BC366">
        <f>H366+N366+T366+Z366+AF366+AL366+AR366+AX366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366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Methode</t>
        </is>
      </c>
      <c r="B1">
        <f>Plan!$C$17</f>
        <v/>
      </c>
      <c r="AZ1" t="inlineStr">
        <is>
          <t>Zinsen total</t>
        </is>
      </c>
      <c r="BA1" s="19">
        <f>SUM(D7:D366)+SUM(J7:J366)+SUM(P7:P366)+SUM(V7:V366)+SUM(AB7:AB366)+SUM(AH7:AH366)+SUM(AN7:AN366)+SUM(AT7:AT366)</f>
        <v/>
      </c>
    </row>
    <row r="2">
      <c r="A2" t="inlineStr">
        <is>
          <t>Extra pro Monat</t>
        </is>
      </c>
      <c r="B2">
        <f>0</f>
        <v/>
      </c>
      <c r="AZ2" t="inlineStr">
        <is>
          <t>Schuldenfrei nach Monaten</t>
        </is>
      </c>
      <c r="BA2">
        <f>IFERROR(MATCH(0,BC7:BC366,0),"über 30 Jahre")</f>
        <v/>
      </c>
    </row>
    <row r="3">
      <c r="A3" t="inlineStr">
        <is>
          <t>Budget pro Monat</t>
        </is>
      </c>
      <c r="B3" s="20">
        <f>SUMPRODUCT((Plan!$C$6:$C$13&gt;0)*Plan!$E$6:$E$13)+B2</f>
        <v/>
      </c>
      <c r="C3" t="inlineStr">
        <is>
          <t>frei ab Monat</t>
        </is>
      </c>
      <c r="D3">
        <f>IF(Plan!C6&lt;=0,"",IFERROR(MATCH(0,H7:H366,0),"über 30 J."))</f>
        <v/>
      </c>
      <c r="I3" t="inlineStr">
        <is>
          <t>frei ab Monat</t>
        </is>
      </c>
      <c r="J3">
        <f>IF(Plan!C7&lt;=0,"",IFERROR(MATCH(0,N7:N366,0),"über 30 J."))</f>
        <v/>
      </c>
      <c r="O3" t="inlineStr">
        <is>
          <t>frei ab Monat</t>
        </is>
      </c>
      <c r="P3">
        <f>IF(Plan!C8&lt;=0,"",IFERROR(MATCH(0,T7:T366,0),"über 30 J."))</f>
        <v/>
      </c>
      <c r="U3" t="inlineStr">
        <is>
          <t>frei ab Monat</t>
        </is>
      </c>
      <c r="V3">
        <f>IF(Plan!C9&lt;=0,"",IFERROR(MATCH(0,Z7:Z366,0),"über 30 J."))</f>
        <v/>
      </c>
      <c r="AA3" t="inlineStr">
        <is>
          <t>frei ab Monat</t>
        </is>
      </c>
      <c r="AB3">
        <f>IF(Plan!C10&lt;=0,"",IFERROR(MATCH(0,AF7:AF366,0),"über 30 J."))</f>
        <v/>
      </c>
      <c r="AG3" t="inlineStr">
        <is>
          <t>frei ab Monat</t>
        </is>
      </c>
      <c r="AH3">
        <f>IF(Plan!C11&lt;=0,"",IFERROR(MATCH(0,AL7:AL366,0),"über 30 J."))</f>
        <v/>
      </c>
      <c r="AM3" t="inlineStr">
        <is>
          <t>frei ab Monat</t>
        </is>
      </c>
      <c r="AN3">
        <f>IF(Plan!C12&lt;=0,"",IFERROR(MATCH(0,AR7:AR366,0),"über 30 J."))</f>
        <v/>
      </c>
      <c r="AS3" t="inlineStr">
        <is>
          <t>frei ab Monat</t>
        </is>
      </c>
      <c r="AT3">
        <f>IF(Plan!C13&lt;=0,"",IFERROR(MATCH(0,AX7:AX366,0),"über 30 J."))</f>
        <v/>
      </c>
    </row>
    <row r="4">
      <c r="C4" s="17">
        <f>Plan!B6</f>
        <v/>
      </c>
      <c r="I4" s="17">
        <f>Plan!B7</f>
        <v/>
      </c>
      <c r="O4" s="17">
        <f>Plan!B8</f>
        <v/>
      </c>
      <c r="U4" s="17">
        <f>Plan!B9</f>
        <v/>
      </c>
      <c r="AA4" s="17">
        <f>Plan!B10</f>
        <v/>
      </c>
      <c r="AG4" s="17">
        <f>Plan!B11</f>
        <v/>
      </c>
      <c r="AM4" s="17">
        <f>Plan!B12</f>
        <v/>
      </c>
      <c r="AS4" s="17">
        <f>Plan!B13</f>
        <v/>
      </c>
    </row>
    <row r="5">
      <c r="C5">
        <f>IF(Plan!C6&lt;=0,-1E+15,IF($B$1="Lawine",Plan!D6*1E+9-Plan!C6,-Plan!C6*1000+Plan!D6))</f>
        <v/>
      </c>
      <c r="D5" t="inlineStr">
        <is>
          <t>Rang</t>
        </is>
      </c>
      <c r="E5">
        <f>1+(C$5&gt;C$5)+(I$5&gt;C$5)+(O$5&gt;C$5)+(U$5&gt;C$5)+(AA$5&gt;C$5)+(AG$5&gt;C$5)+(AM$5&gt;C$5)+(AS$5&gt;C$5)+0</f>
        <v/>
      </c>
      <c r="I5">
        <f>IF(Plan!C7&lt;=0,-1E+15,IF($B$1="Lawine",Plan!D7*1E+9-Plan!C7,-Plan!C7*1000+Plan!D7))</f>
        <v/>
      </c>
      <c r="J5" t="inlineStr">
        <is>
          <t>Rang</t>
        </is>
      </c>
      <c r="K5">
        <f>1+(C$5&gt;I$5)+(I$5&gt;I$5)+(O$5&gt;I$5)+(U$5&gt;I$5)+(AA$5&gt;I$5)+(AG$5&gt;I$5)+(AM$5&gt;I$5)+(AS$5&gt;I$5)+(C$5=I$5)</f>
        <v/>
      </c>
      <c r="O5">
        <f>IF(Plan!C8&lt;=0,-1E+15,IF($B$1="Lawine",Plan!D8*1E+9-Plan!C8,-Plan!C8*1000+Plan!D8))</f>
        <v/>
      </c>
      <c r="P5" t="inlineStr">
        <is>
          <t>Rang</t>
        </is>
      </c>
      <c r="Q5">
        <f>1+(C$5&gt;O$5)+(I$5&gt;O$5)+(O$5&gt;O$5)+(U$5&gt;O$5)+(AA$5&gt;O$5)+(AG$5&gt;O$5)+(AM$5&gt;O$5)+(AS$5&gt;O$5)+(C$5=O$5)+(I$5=O$5)</f>
        <v/>
      </c>
      <c r="U5">
        <f>IF(Plan!C9&lt;=0,-1E+15,IF($B$1="Lawine",Plan!D9*1E+9-Plan!C9,-Plan!C9*1000+Plan!D9))</f>
        <v/>
      </c>
      <c r="V5" t="inlineStr">
        <is>
          <t>Rang</t>
        </is>
      </c>
      <c r="W5">
        <f>1+(C$5&gt;U$5)+(I$5&gt;U$5)+(O$5&gt;U$5)+(U$5&gt;U$5)+(AA$5&gt;U$5)+(AG$5&gt;U$5)+(AM$5&gt;U$5)+(AS$5&gt;U$5)+(C$5=U$5)+(I$5=U$5)+(O$5=U$5)</f>
        <v/>
      </c>
      <c r="AA5">
        <f>IF(Plan!C10&lt;=0,-1E+15,IF($B$1="Lawine",Plan!D10*1E+9-Plan!C10,-Plan!C10*1000+Plan!D10))</f>
        <v/>
      </c>
      <c r="AB5" t="inlineStr">
        <is>
          <t>Rang</t>
        </is>
      </c>
      <c r="AC5">
        <f>1+(C$5&gt;AA$5)+(I$5&gt;AA$5)+(O$5&gt;AA$5)+(U$5&gt;AA$5)+(AA$5&gt;AA$5)+(AG$5&gt;AA$5)+(AM$5&gt;AA$5)+(AS$5&gt;AA$5)+(C$5=AA$5)+(I$5=AA$5)+(O$5=AA$5)+(U$5=AA$5)</f>
        <v/>
      </c>
      <c r="AG5">
        <f>IF(Plan!C11&lt;=0,-1E+15,IF($B$1="Lawine",Plan!D11*1E+9-Plan!C11,-Plan!C11*1000+Plan!D11))</f>
        <v/>
      </c>
      <c r="AH5" t="inlineStr">
        <is>
          <t>Rang</t>
        </is>
      </c>
      <c r="AI5">
        <f>1+(C$5&gt;AG$5)+(I$5&gt;AG$5)+(O$5&gt;AG$5)+(U$5&gt;AG$5)+(AA$5&gt;AG$5)+(AG$5&gt;AG$5)+(AM$5&gt;AG$5)+(AS$5&gt;AG$5)+(C$5=AG$5)+(I$5=AG$5)+(O$5=AG$5)+(U$5=AG$5)+(AA$5=AG$5)</f>
        <v/>
      </c>
      <c r="AM5">
        <f>IF(Plan!C12&lt;=0,-1E+15,IF($B$1="Lawine",Plan!D12*1E+9-Plan!C12,-Plan!C12*1000+Plan!D12))</f>
        <v/>
      </c>
      <c r="AN5" t="inlineStr">
        <is>
          <t>Rang</t>
        </is>
      </c>
      <c r="AO5">
        <f>1+(C$5&gt;AM$5)+(I$5&gt;AM$5)+(O$5&gt;AM$5)+(U$5&gt;AM$5)+(AA$5&gt;AM$5)+(AG$5&gt;AM$5)+(AM$5&gt;AM$5)+(AS$5&gt;AM$5)+(C$5=AM$5)+(I$5=AM$5)+(O$5=AM$5)+(U$5=AM$5)+(AA$5=AM$5)+(AG$5=AM$5)</f>
        <v/>
      </c>
      <c r="AS5">
        <f>IF(Plan!C13&lt;=0,-1E+15,IF($B$1="Lawine",Plan!D13*1E+9-Plan!C13,-Plan!C13*1000+Plan!D13))</f>
        <v/>
      </c>
      <c r="AT5" t="inlineStr">
        <is>
          <t>Rang</t>
        </is>
      </c>
      <c r="AU5">
        <f>1+(C$5&gt;AS$5)+(I$5&gt;AS$5)+(O$5&gt;AS$5)+(U$5&gt;AS$5)+(AA$5&gt;AS$5)+(AG$5&gt;AS$5)+(AM$5&gt;AS$5)+(AS$5&gt;AS$5)+(C$5=AS$5)+(I$5=AS$5)+(O$5=AS$5)+(U$5=AS$5)+(AA$5=AS$5)+(AG$5=AS$5)+(AM$5=AS$5)</f>
        <v/>
      </c>
    </row>
    <row r="6">
      <c r="A6" s="3" t="inlineStr">
        <is>
          <t>Monat</t>
        </is>
      </c>
      <c r="B6" s="3" t="inlineStr">
        <is>
          <t>frei für Extra</t>
        </is>
      </c>
      <c r="C6" s="3" t="inlineStr">
        <is>
          <t>Start</t>
        </is>
      </c>
      <c r="D6" s="3" t="inlineStr">
        <is>
          <t>Zins</t>
        </is>
      </c>
      <c r="E6" s="3" t="inlineStr">
        <is>
          <t>Mindestrate</t>
        </is>
      </c>
      <c r="F6" s="3" t="inlineStr">
        <is>
          <t>Rest</t>
        </is>
      </c>
      <c r="G6" s="3" t="inlineStr">
        <is>
          <t>Extra</t>
        </is>
      </c>
      <c r="H6" s="3" t="inlineStr">
        <is>
          <t>Ende</t>
        </is>
      </c>
      <c r="I6" s="3" t="inlineStr">
        <is>
          <t>Start</t>
        </is>
      </c>
      <c r="J6" s="3" t="inlineStr">
        <is>
          <t>Zins</t>
        </is>
      </c>
      <c r="K6" s="3" t="inlineStr">
        <is>
          <t>Mindestrate</t>
        </is>
      </c>
      <c r="L6" s="3" t="inlineStr">
        <is>
          <t>Rest</t>
        </is>
      </c>
      <c r="M6" s="3" t="inlineStr">
        <is>
          <t>Extra</t>
        </is>
      </c>
      <c r="N6" s="3" t="inlineStr">
        <is>
          <t>Ende</t>
        </is>
      </c>
      <c r="O6" s="3" t="inlineStr">
        <is>
          <t>Start</t>
        </is>
      </c>
      <c r="P6" s="3" t="inlineStr">
        <is>
          <t>Zins</t>
        </is>
      </c>
      <c r="Q6" s="3" t="inlineStr">
        <is>
          <t>Mindestrate</t>
        </is>
      </c>
      <c r="R6" s="3" t="inlineStr">
        <is>
          <t>Rest</t>
        </is>
      </c>
      <c r="S6" s="3" t="inlineStr">
        <is>
          <t>Extra</t>
        </is>
      </c>
      <c r="T6" s="3" t="inlineStr">
        <is>
          <t>Ende</t>
        </is>
      </c>
      <c r="U6" s="3" t="inlineStr">
        <is>
          <t>Start</t>
        </is>
      </c>
      <c r="V6" s="3" t="inlineStr">
        <is>
          <t>Zins</t>
        </is>
      </c>
      <c r="W6" s="3" t="inlineStr">
        <is>
          <t>Mindestrate</t>
        </is>
      </c>
      <c r="X6" s="3" t="inlineStr">
        <is>
          <t>Rest</t>
        </is>
      </c>
      <c r="Y6" s="3" t="inlineStr">
        <is>
          <t>Extra</t>
        </is>
      </c>
      <c r="Z6" s="3" t="inlineStr">
        <is>
          <t>Ende</t>
        </is>
      </c>
      <c r="AA6" s="3" t="inlineStr">
        <is>
          <t>Start</t>
        </is>
      </c>
      <c r="AB6" s="3" t="inlineStr">
        <is>
          <t>Zins</t>
        </is>
      </c>
      <c r="AC6" s="3" t="inlineStr">
        <is>
          <t>Mindestrate</t>
        </is>
      </c>
      <c r="AD6" s="3" t="inlineStr">
        <is>
          <t>Rest</t>
        </is>
      </c>
      <c r="AE6" s="3" t="inlineStr">
        <is>
          <t>Extra</t>
        </is>
      </c>
      <c r="AF6" s="3" t="inlineStr">
        <is>
          <t>Ende</t>
        </is>
      </c>
      <c r="AG6" s="3" t="inlineStr">
        <is>
          <t>Start</t>
        </is>
      </c>
      <c r="AH6" s="3" t="inlineStr">
        <is>
          <t>Zins</t>
        </is>
      </c>
      <c r="AI6" s="3" t="inlineStr">
        <is>
          <t>Mindestrate</t>
        </is>
      </c>
      <c r="AJ6" s="3" t="inlineStr">
        <is>
          <t>Rest</t>
        </is>
      </c>
      <c r="AK6" s="3" t="inlineStr">
        <is>
          <t>Extra</t>
        </is>
      </c>
      <c r="AL6" s="3" t="inlineStr">
        <is>
          <t>Ende</t>
        </is>
      </c>
      <c r="AM6" s="3" t="inlineStr">
        <is>
          <t>Start</t>
        </is>
      </c>
      <c r="AN6" s="3" t="inlineStr">
        <is>
          <t>Zins</t>
        </is>
      </c>
      <c r="AO6" s="3" t="inlineStr">
        <is>
          <t>Mindestrate</t>
        </is>
      </c>
      <c r="AP6" s="3" t="inlineStr">
        <is>
          <t>Rest</t>
        </is>
      </c>
      <c r="AQ6" s="3" t="inlineStr">
        <is>
          <t>Extra</t>
        </is>
      </c>
      <c r="AR6" s="3" t="inlineStr">
        <is>
          <t>Ende</t>
        </is>
      </c>
      <c r="AS6" s="3" t="inlineStr">
        <is>
          <t>Start</t>
        </is>
      </c>
      <c r="AT6" s="3" t="inlineStr">
        <is>
          <t>Zins</t>
        </is>
      </c>
      <c r="AU6" s="3" t="inlineStr">
        <is>
          <t>Mindestrate</t>
        </is>
      </c>
      <c r="AV6" s="3" t="inlineStr">
        <is>
          <t>Rest</t>
        </is>
      </c>
      <c r="AW6" s="3" t="inlineStr">
        <is>
          <t>Extra</t>
        </is>
      </c>
      <c r="AX6" s="3" t="inlineStr">
        <is>
          <t>Ende</t>
        </is>
      </c>
      <c r="BC6" s="17" t="inlineStr">
        <is>
          <t>offen total</t>
        </is>
      </c>
    </row>
    <row r="7">
      <c r="A7" t="n">
        <v>1</v>
      </c>
      <c r="B7" s="19">
        <f>MAX(0,$B$3-(E7+K7+Q7+W7+AC7+AI7+AO7+AU7))</f>
        <v/>
      </c>
      <c r="C7">
        <f>MAX(0,Plan!C6)</f>
        <v/>
      </c>
      <c r="D7">
        <f>C7*Plan!D6/100/12</f>
        <v/>
      </c>
      <c r="E7">
        <f>MIN(Plan!E6,C7+D7)</f>
        <v/>
      </c>
      <c r="F7">
        <f>C7+D7-E7</f>
        <v/>
      </c>
      <c r="G7">
        <f>MIN(F7,MAX(0,$B7-((K$5&lt;E$5)*L7+(Q$5&lt;E$5)*R7+(W$5&lt;E$5)*X7+(AC$5&lt;E$5)*AD7+(AI$5&lt;E$5)*AJ7+(AO$5&lt;E$5)*AP7+(AU$5&lt;E$5)*AV7)))</f>
        <v/>
      </c>
      <c r="H7">
        <f>IF(F7-G7&lt;0.005,0,F7-G7)</f>
        <v/>
      </c>
      <c r="I7">
        <f>MAX(0,Plan!C7)</f>
        <v/>
      </c>
      <c r="J7">
        <f>I7*Plan!D7/100/12</f>
        <v/>
      </c>
      <c r="K7">
        <f>MIN(Plan!E7,I7+J7)</f>
        <v/>
      </c>
      <c r="L7">
        <f>I7+J7-K7</f>
        <v/>
      </c>
      <c r="M7">
        <f>MIN(L7,MAX(0,$B7-((E$5&lt;K$5)*F7+(Q$5&lt;K$5)*R7+(W$5&lt;K$5)*X7+(AC$5&lt;K$5)*AD7+(AI$5&lt;K$5)*AJ7+(AO$5&lt;K$5)*AP7+(AU$5&lt;K$5)*AV7)))</f>
        <v/>
      </c>
      <c r="N7">
        <f>IF(L7-M7&lt;0.005,0,L7-M7)</f>
        <v/>
      </c>
      <c r="O7">
        <f>MAX(0,Plan!C8)</f>
        <v/>
      </c>
      <c r="P7">
        <f>O7*Plan!D8/100/12</f>
        <v/>
      </c>
      <c r="Q7">
        <f>MIN(Plan!E8,O7+P7)</f>
        <v/>
      </c>
      <c r="R7">
        <f>O7+P7-Q7</f>
        <v/>
      </c>
      <c r="S7">
        <f>MIN(R7,MAX(0,$B7-((E$5&lt;Q$5)*F7+(K$5&lt;Q$5)*L7+(W$5&lt;Q$5)*X7+(AC$5&lt;Q$5)*AD7+(AI$5&lt;Q$5)*AJ7+(AO$5&lt;Q$5)*AP7+(AU$5&lt;Q$5)*AV7)))</f>
        <v/>
      </c>
      <c r="T7">
        <f>IF(R7-S7&lt;0.005,0,R7-S7)</f>
        <v/>
      </c>
      <c r="U7">
        <f>MAX(0,Plan!C9)</f>
        <v/>
      </c>
      <c r="V7">
        <f>U7*Plan!D9/100/12</f>
        <v/>
      </c>
      <c r="W7">
        <f>MIN(Plan!E9,U7+V7)</f>
        <v/>
      </c>
      <c r="X7">
        <f>U7+V7-W7</f>
        <v/>
      </c>
      <c r="Y7">
        <f>MIN(X7,MAX(0,$B7-((E$5&lt;W$5)*F7+(K$5&lt;W$5)*L7+(Q$5&lt;W$5)*R7+(AC$5&lt;W$5)*AD7+(AI$5&lt;W$5)*AJ7+(AO$5&lt;W$5)*AP7+(AU$5&lt;W$5)*AV7)))</f>
        <v/>
      </c>
      <c r="Z7">
        <f>IF(X7-Y7&lt;0.005,0,X7-Y7)</f>
        <v/>
      </c>
      <c r="AA7">
        <f>MAX(0,Plan!C10)</f>
        <v/>
      </c>
      <c r="AB7">
        <f>AA7*Plan!D10/100/12</f>
        <v/>
      </c>
      <c r="AC7">
        <f>MIN(Plan!E10,AA7+AB7)</f>
        <v/>
      </c>
      <c r="AD7">
        <f>AA7+AB7-AC7</f>
        <v/>
      </c>
      <c r="AE7">
        <f>MIN(AD7,MAX(0,$B7-((E$5&lt;AC$5)*F7+(K$5&lt;AC$5)*L7+(Q$5&lt;AC$5)*R7+(W$5&lt;AC$5)*X7+(AI$5&lt;AC$5)*AJ7+(AO$5&lt;AC$5)*AP7+(AU$5&lt;AC$5)*AV7)))</f>
        <v/>
      </c>
      <c r="AF7">
        <f>IF(AD7-AE7&lt;0.005,0,AD7-AE7)</f>
        <v/>
      </c>
      <c r="AG7">
        <f>MAX(0,Plan!C11)</f>
        <v/>
      </c>
      <c r="AH7">
        <f>AG7*Plan!D11/100/12</f>
        <v/>
      </c>
      <c r="AI7">
        <f>MIN(Plan!E11,AG7+AH7)</f>
        <v/>
      </c>
      <c r="AJ7">
        <f>AG7+AH7-AI7</f>
        <v/>
      </c>
      <c r="AK7">
        <f>MIN(AJ7,MAX(0,$B7-((E$5&lt;AI$5)*F7+(K$5&lt;AI$5)*L7+(Q$5&lt;AI$5)*R7+(W$5&lt;AI$5)*X7+(AC$5&lt;AI$5)*AD7+(AO$5&lt;AI$5)*AP7+(AU$5&lt;AI$5)*AV7)))</f>
        <v/>
      </c>
      <c r="AL7">
        <f>IF(AJ7-AK7&lt;0.005,0,AJ7-AK7)</f>
        <v/>
      </c>
      <c r="AM7">
        <f>MAX(0,Plan!C12)</f>
        <v/>
      </c>
      <c r="AN7">
        <f>AM7*Plan!D12/100/12</f>
        <v/>
      </c>
      <c r="AO7">
        <f>MIN(Plan!E12,AM7+AN7)</f>
        <v/>
      </c>
      <c r="AP7">
        <f>AM7+AN7-AO7</f>
        <v/>
      </c>
      <c r="AQ7">
        <f>MIN(AP7,MAX(0,$B7-((E$5&lt;AO$5)*F7+(K$5&lt;AO$5)*L7+(Q$5&lt;AO$5)*R7+(W$5&lt;AO$5)*X7+(AC$5&lt;AO$5)*AD7+(AI$5&lt;AO$5)*AJ7+(AU$5&lt;AO$5)*AV7)))</f>
        <v/>
      </c>
      <c r="AR7">
        <f>IF(AP7-AQ7&lt;0.005,0,AP7-AQ7)</f>
        <v/>
      </c>
      <c r="AS7">
        <f>MAX(0,Plan!C13)</f>
        <v/>
      </c>
      <c r="AT7">
        <f>AS7*Plan!D13/100/12</f>
        <v/>
      </c>
      <c r="AU7">
        <f>MIN(Plan!E13,AS7+AT7)</f>
        <v/>
      </c>
      <c r="AV7">
        <f>AS7+AT7-AU7</f>
        <v/>
      </c>
      <c r="AW7">
        <f>MIN(AV7,MAX(0,$B7-((E$5&lt;AU$5)*F7+(K$5&lt;AU$5)*L7+(Q$5&lt;AU$5)*R7+(W$5&lt;AU$5)*X7+(AC$5&lt;AU$5)*AD7+(AI$5&lt;AU$5)*AJ7+(AO$5&lt;AU$5)*AP7)))</f>
        <v/>
      </c>
      <c r="AX7">
        <f>IF(AV7-AW7&lt;0.005,0,AV7-AW7)</f>
        <v/>
      </c>
      <c r="BC7">
        <f>H7+N7+T7+Z7+AF7+AL7+AR7+AX7</f>
        <v/>
      </c>
    </row>
    <row r="8">
      <c r="A8" t="n">
        <v>2</v>
      </c>
      <c r="B8" s="19">
        <f>MAX(0,$B$3-(E8+K8+Q8+W8+AC8+AI8+AO8+AU8))</f>
        <v/>
      </c>
      <c r="C8">
        <f>H7</f>
        <v/>
      </c>
      <c r="D8">
        <f>C8*Plan!D6/100/12</f>
        <v/>
      </c>
      <c r="E8">
        <f>MIN(Plan!E6,C8+D8)</f>
        <v/>
      </c>
      <c r="F8">
        <f>C8+D8-E8</f>
        <v/>
      </c>
      <c r="G8">
        <f>MIN(F8,MAX(0,$B8-((K$5&lt;E$5)*L8+(Q$5&lt;E$5)*R8+(W$5&lt;E$5)*X8+(AC$5&lt;E$5)*AD8+(AI$5&lt;E$5)*AJ8+(AO$5&lt;E$5)*AP8+(AU$5&lt;E$5)*AV8)))</f>
        <v/>
      </c>
      <c r="H8">
        <f>IF(F8-G8&lt;0.005,0,F8-G8)</f>
        <v/>
      </c>
      <c r="I8">
        <f>N7</f>
        <v/>
      </c>
      <c r="J8">
        <f>I8*Plan!D7/100/12</f>
        <v/>
      </c>
      <c r="K8">
        <f>MIN(Plan!E7,I8+J8)</f>
        <v/>
      </c>
      <c r="L8">
        <f>I8+J8-K8</f>
        <v/>
      </c>
      <c r="M8">
        <f>MIN(L8,MAX(0,$B8-((E$5&lt;K$5)*F8+(Q$5&lt;K$5)*R8+(W$5&lt;K$5)*X8+(AC$5&lt;K$5)*AD8+(AI$5&lt;K$5)*AJ8+(AO$5&lt;K$5)*AP8+(AU$5&lt;K$5)*AV8)))</f>
        <v/>
      </c>
      <c r="N8">
        <f>IF(L8-M8&lt;0.005,0,L8-M8)</f>
        <v/>
      </c>
      <c r="O8">
        <f>T7</f>
        <v/>
      </c>
      <c r="P8">
        <f>O8*Plan!D8/100/12</f>
        <v/>
      </c>
      <c r="Q8">
        <f>MIN(Plan!E8,O8+P8)</f>
        <v/>
      </c>
      <c r="R8">
        <f>O8+P8-Q8</f>
        <v/>
      </c>
      <c r="S8">
        <f>MIN(R8,MAX(0,$B8-((E$5&lt;Q$5)*F8+(K$5&lt;Q$5)*L8+(W$5&lt;Q$5)*X8+(AC$5&lt;Q$5)*AD8+(AI$5&lt;Q$5)*AJ8+(AO$5&lt;Q$5)*AP8+(AU$5&lt;Q$5)*AV8)))</f>
        <v/>
      </c>
      <c r="T8">
        <f>IF(R8-S8&lt;0.005,0,R8-S8)</f>
        <v/>
      </c>
      <c r="U8">
        <f>Z7</f>
        <v/>
      </c>
      <c r="V8">
        <f>U8*Plan!D9/100/12</f>
        <v/>
      </c>
      <c r="W8">
        <f>MIN(Plan!E9,U8+V8)</f>
        <v/>
      </c>
      <c r="X8">
        <f>U8+V8-W8</f>
        <v/>
      </c>
      <c r="Y8">
        <f>MIN(X8,MAX(0,$B8-((E$5&lt;W$5)*F8+(K$5&lt;W$5)*L8+(Q$5&lt;W$5)*R8+(AC$5&lt;W$5)*AD8+(AI$5&lt;W$5)*AJ8+(AO$5&lt;W$5)*AP8+(AU$5&lt;W$5)*AV8)))</f>
        <v/>
      </c>
      <c r="Z8">
        <f>IF(X8-Y8&lt;0.005,0,X8-Y8)</f>
        <v/>
      </c>
      <c r="AA8">
        <f>AF7</f>
        <v/>
      </c>
      <c r="AB8">
        <f>AA8*Plan!D10/100/12</f>
        <v/>
      </c>
      <c r="AC8">
        <f>MIN(Plan!E10,AA8+AB8)</f>
        <v/>
      </c>
      <c r="AD8">
        <f>AA8+AB8-AC8</f>
        <v/>
      </c>
      <c r="AE8">
        <f>MIN(AD8,MAX(0,$B8-((E$5&lt;AC$5)*F8+(K$5&lt;AC$5)*L8+(Q$5&lt;AC$5)*R8+(W$5&lt;AC$5)*X8+(AI$5&lt;AC$5)*AJ8+(AO$5&lt;AC$5)*AP8+(AU$5&lt;AC$5)*AV8)))</f>
        <v/>
      </c>
      <c r="AF8">
        <f>IF(AD8-AE8&lt;0.005,0,AD8-AE8)</f>
        <v/>
      </c>
      <c r="AG8">
        <f>AL7</f>
        <v/>
      </c>
      <c r="AH8">
        <f>AG8*Plan!D11/100/12</f>
        <v/>
      </c>
      <c r="AI8">
        <f>MIN(Plan!E11,AG8+AH8)</f>
        <v/>
      </c>
      <c r="AJ8">
        <f>AG8+AH8-AI8</f>
        <v/>
      </c>
      <c r="AK8">
        <f>MIN(AJ8,MAX(0,$B8-((E$5&lt;AI$5)*F8+(K$5&lt;AI$5)*L8+(Q$5&lt;AI$5)*R8+(W$5&lt;AI$5)*X8+(AC$5&lt;AI$5)*AD8+(AO$5&lt;AI$5)*AP8+(AU$5&lt;AI$5)*AV8)))</f>
        <v/>
      </c>
      <c r="AL8">
        <f>IF(AJ8-AK8&lt;0.005,0,AJ8-AK8)</f>
        <v/>
      </c>
      <c r="AM8">
        <f>AR7</f>
        <v/>
      </c>
      <c r="AN8">
        <f>AM8*Plan!D12/100/12</f>
        <v/>
      </c>
      <c r="AO8">
        <f>MIN(Plan!E12,AM8+AN8)</f>
        <v/>
      </c>
      <c r="AP8">
        <f>AM8+AN8-AO8</f>
        <v/>
      </c>
      <c r="AQ8">
        <f>MIN(AP8,MAX(0,$B8-((E$5&lt;AO$5)*F8+(K$5&lt;AO$5)*L8+(Q$5&lt;AO$5)*R8+(W$5&lt;AO$5)*X8+(AC$5&lt;AO$5)*AD8+(AI$5&lt;AO$5)*AJ8+(AU$5&lt;AO$5)*AV8)))</f>
        <v/>
      </c>
      <c r="AR8">
        <f>IF(AP8-AQ8&lt;0.005,0,AP8-AQ8)</f>
        <v/>
      </c>
      <c r="AS8">
        <f>AX7</f>
        <v/>
      </c>
      <c r="AT8">
        <f>AS8*Plan!D13/100/12</f>
        <v/>
      </c>
      <c r="AU8">
        <f>MIN(Plan!E13,AS8+AT8)</f>
        <v/>
      </c>
      <c r="AV8">
        <f>AS8+AT8-AU8</f>
        <v/>
      </c>
      <c r="AW8">
        <f>MIN(AV8,MAX(0,$B8-((E$5&lt;AU$5)*F8+(K$5&lt;AU$5)*L8+(Q$5&lt;AU$5)*R8+(W$5&lt;AU$5)*X8+(AC$5&lt;AU$5)*AD8+(AI$5&lt;AU$5)*AJ8+(AO$5&lt;AU$5)*AP8)))</f>
        <v/>
      </c>
      <c r="AX8">
        <f>IF(AV8-AW8&lt;0.005,0,AV8-AW8)</f>
        <v/>
      </c>
      <c r="BC8">
        <f>H8+N8+T8+Z8+AF8+AL8+AR8+AX8</f>
        <v/>
      </c>
    </row>
    <row r="9">
      <c r="A9" t="n">
        <v>3</v>
      </c>
      <c r="B9" s="19">
        <f>MAX(0,$B$3-(E9+K9+Q9+W9+AC9+AI9+AO9+AU9))</f>
        <v/>
      </c>
      <c r="C9">
        <f>H8</f>
        <v/>
      </c>
      <c r="D9">
        <f>C9*Plan!D6/100/12</f>
        <v/>
      </c>
      <c r="E9">
        <f>MIN(Plan!E6,C9+D9)</f>
        <v/>
      </c>
      <c r="F9">
        <f>C9+D9-E9</f>
        <v/>
      </c>
      <c r="G9">
        <f>MIN(F9,MAX(0,$B9-((K$5&lt;E$5)*L9+(Q$5&lt;E$5)*R9+(W$5&lt;E$5)*X9+(AC$5&lt;E$5)*AD9+(AI$5&lt;E$5)*AJ9+(AO$5&lt;E$5)*AP9+(AU$5&lt;E$5)*AV9)))</f>
        <v/>
      </c>
      <c r="H9">
        <f>IF(F9-G9&lt;0.005,0,F9-G9)</f>
        <v/>
      </c>
      <c r="I9">
        <f>N8</f>
        <v/>
      </c>
      <c r="J9">
        <f>I9*Plan!D7/100/12</f>
        <v/>
      </c>
      <c r="K9">
        <f>MIN(Plan!E7,I9+J9)</f>
        <v/>
      </c>
      <c r="L9">
        <f>I9+J9-K9</f>
        <v/>
      </c>
      <c r="M9">
        <f>MIN(L9,MAX(0,$B9-((E$5&lt;K$5)*F9+(Q$5&lt;K$5)*R9+(W$5&lt;K$5)*X9+(AC$5&lt;K$5)*AD9+(AI$5&lt;K$5)*AJ9+(AO$5&lt;K$5)*AP9+(AU$5&lt;K$5)*AV9)))</f>
        <v/>
      </c>
      <c r="N9">
        <f>IF(L9-M9&lt;0.005,0,L9-M9)</f>
        <v/>
      </c>
      <c r="O9">
        <f>T8</f>
        <v/>
      </c>
      <c r="P9">
        <f>O9*Plan!D8/100/12</f>
        <v/>
      </c>
      <c r="Q9">
        <f>MIN(Plan!E8,O9+P9)</f>
        <v/>
      </c>
      <c r="R9">
        <f>O9+P9-Q9</f>
        <v/>
      </c>
      <c r="S9">
        <f>MIN(R9,MAX(0,$B9-((E$5&lt;Q$5)*F9+(K$5&lt;Q$5)*L9+(W$5&lt;Q$5)*X9+(AC$5&lt;Q$5)*AD9+(AI$5&lt;Q$5)*AJ9+(AO$5&lt;Q$5)*AP9+(AU$5&lt;Q$5)*AV9)))</f>
        <v/>
      </c>
      <c r="T9">
        <f>IF(R9-S9&lt;0.005,0,R9-S9)</f>
        <v/>
      </c>
      <c r="U9">
        <f>Z8</f>
        <v/>
      </c>
      <c r="V9">
        <f>U9*Plan!D9/100/12</f>
        <v/>
      </c>
      <c r="W9">
        <f>MIN(Plan!E9,U9+V9)</f>
        <v/>
      </c>
      <c r="X9">
        <f>U9+V9-W9</f>
        <v/>
      </c>
      <c r="Y9">
        <f>MIN(X9,MAX(0,$B9-((E$5&lt;W$5)*F9+(K$5&lt;W$5)*L9+(Q$5&lt;W$5)*R9+(AC$5&lt;W$5)*AD9+(AI$5&lt;W$5)*AJ9+(AO$5&lt;W$5)*AP9+(AU$5&lt;W$5)*AV9)))</f>
        <v/>
      </c>
      <c r="Z9">
        <f>IF(X9-Y9&lt;0.005,0,X9-Y9)</f>
        <v/>
      </c>
      <c r="AA9">
        <f>AF8</f>
        <v/>
      </c>
      <c r="AB9">
        <f>AA9*Plan!D10/100/12</f>
        <v/>
      </c>
      <c r="AC9">
        <f>MIN(Plan!E10,AA9+AB9)</f>
        <v/>
      </c>
      <c r="AD9">
        <f>AA9+AB9-AC9</f>
        <v/>
      </c>
      <c r="AE9">
        <f>MIN(AD9,MAX(0,$B9-((E$5&lt;AC$5)*F9+(K$5&lt;AC$5)*L9+(Q$5&lt;AC$5)*R9+(W$5&lt;AC$5)*X9+(AI$5&lt;AC$5)*AJ9+(AO$5&lt;AC$5)*AP9+(AU$5&lt;AC$5)*AV9)))</f>
        <v/>
      </c>
      <c r="AF9">
        <f>IF(AD9-AE9&lt;0.005,0,AD9-AE9)</f>
        <v/>
      </c>
      <c r="AG9">
        <f>AL8</f>
        <v/>
      </c>
      <c r="AH9">
        <f>AG9*Plan!D11/100/12</f>
        <v/>
      </c>
      <c r="AI9">
        <f>MIN(Plan!E11,AG9+AH9)</f>
        <v/>
      </c>
      <c r="AJ9">
        <f>AG9+AH9-AI9</f>
        <v/>
      </c>
      <c r="AK9">
        <f>MIN(AJ9,MAX(0,$B9-((E$5&lt;AI$5)*F9+(K$5&lt;AI$5)*L9+(Q$5&lt;AI$5)*R9+(W$5&lt;AI$5)*X9+(AC$5&lt;AI$5)*AD9+(AO$5&lt;AI$5)*AP9+(AU$5&lt;AI$5)*AV9)))</f>
        <v/>
      </c>
      <c r="AL9">
        <f>IF(AJ9-AK9&lt;0.005,0,AJ9-AK9)</f>
        <v/>
      </c>
      <c r="AM9">
        <f>AR8</f>
        <v/>
      </c>
      <c r="AN9">
        <f>AM9*Plan!D12/100/12</f>
        <v/>
      </c>
      <c r="AO9">
        <f>MIN(Plan!E12,AM9+AN9)</f>
        <v/>
      </c>
      <c r="AP9">
        <f>AM9+AN9-AO9</f>
        <v/>
      </c>
      <c r="AQ9">
        <f>MIN(AP9,MAX(0,$B9-((E$5&lt;AO$5)*F9+(K$5&lt;AO$5)*L9+(Q$5&lt;AO$5)*R9+(W$5&lt;AO$5)*X9+(AC$5&lt;AO$5)*AD9+(AI$5&lt;AO$5)*AJ9+(AU$5&lt;AO$5)*AV9)))</f>
        <v/>
      </c>
      <c r="AR9">
        <f>IF(AP9-AQ9&lt;0.005,0,AP9-AQ9)</f>
        <v/>
      </c>
      <c r="AS9">
        <f>AX8</f>
        <v/>
      </c>
      <c r="AT9">
        <f>AS9*Plan!D13/100/12</f>
        <v/>
      </c>
      <c r="AU9">
        <f>MIN(Plan!E13,AS9+AT9)</f>
        <v/>
      </c>
      <c r="AV9">
        <f>AS9+AT9-AU9</f>
        <v/>
      </c>
      <c r="AW9">
        <f>MIN(AV9,MAX(0,$B9-((E$5&lt;AU$5)*F9+(K$5&lt;AU$5)*L9+(Q$5&lt;AU$5)*R9+(W$5&lt;AU$5)*X9+(AC$5&lt;AU$5)*AD9+(AI$5&lt;AU$5)*AJ9+(AO$5&lt;AU$5)*AP9)))</f>
        <v/>
      </c>
      <c r="AX9">
        <f>IF(AV9-AW9&lt;0.005,0,AV9-AW9)</f>
        <v/>
      </c>
      <c r="BC9">
        <f>H9+N9+T9+Z9+AF9+AL9+AR9+AX9</f>
        <v/>
      </c>
    </row>
    <row r="10">
      <c r="A10" t="n">
        <v>4</v>
      </c>
      <c r="B10" s="19">
        <f>MAX(0,$B$3-(E10+K10+Q10+W10+AC10+AI10+AO10+AU10))</f>
        <v/>
      </c>
      <c r="C10">
        <f>H9</f>
        <v/>
      </c>
      <c r="D10">
        <f>C10*Plan!D6/100/12</f>
        <v/>
      </c>
      <c r="E10">
        <f>MIN(Plan!E6,C10+D10)</f>
        <v/>
      </c>
      <c r="F10">
        <f>C10+D10-E10</f>
        <v/>
      </c>
      <c r="G10">
        <f>MIN(F10,MAX(0,$B10-((K$5&lt;E$5)*L10+(Q$5&lt;E$5)*R10+(W$5&lt;E$5)*X10+(AC$5&lt;E$5)*AD10+(AI$5&lt;E$5)*AJ10+(AO$5&lt;E$5)*AP10+(AU$5&lt;E$5)*AV10)))</f>
        <v/>
      </c>
      <c r="H10">
        <f>IF(F10-G10&lt;0.005,0,F10-G10)</f>
        <v/>
      </c>
      <c r="I10">
        <f>N9</f>
        <v/>
      </c>
      <c r="J10">
        <f>I10*Plan!D7/100/12</f>
        <v/>
      </c>
      <c r="K10">
        <f>MIN(Plan!E7,I10+J10)</f>
        <v/>
      </c>
      <c r="L10">
        <f>I10+J10-K10</f>
        <v/>
      </c>
      <c r="M10">
        <f>MIN(L10,MAX(0,$B10-((E$5&lt;K$5)*F10+(Q$5&lt;K$5)*R10+(W$5&lt;K$5)*X10+(AC$5&lt;K$5)*AD10+(AI$5&lt;K$5)*AJ10+(AO$5&lt;K$5)*AP10+(AU$5&lt;K$5)*AV10)))</f>
        <v/>
      </c>
      <c r="N10">
        <f>IF(L10-M10&lt;0.005,0,L10-M10)</f>
        <v/>
      </c>
      <c r="O10">
        <f>T9</f>
        <v/>
      </c>
      <c r="P10">
        <f>O10*Plan!D8/100/12</f>
        <v/>
      </c>
      <c r="Q10">
        <f>MIN(Plan!E8,O10+P10)</f>
        <v/>
      </c>
      <c r="R10">
        <f>O10+P10-Q10</f>
        <v/>
      </c>
      <c r="S10">
        <f>MIN(R10,MAX(0,$B10-((E$5&lt;Q$5)*F10+(K$5&lt;Q$5)*L10+(W$5&lt;Q$5)*X10+(AC$5&lt;Q$5)*AD10+(AI$5&lt;Q$5)*AJ10+(AO$5&lt;Q$5)*AP10+(AU$5&lt;Q$5)*AV10)))</f>
        <v/>
      </c>
      <c r="T10">
        <f>IF(R10-S10&lt;0.005,0,R10-S10)</f>
        <v/>
      </c>
      <c r="U10">
        <f>Z9</f>
        <v/>
      </c>
      <c r="V10">
        <f>U10*Plan!D9/100/12</f>
        <v/>
      </c>
      <c r="W10">
        <f>MIN(Plan!E9,U10+V10)</f>
        <v/>
      </c>
      <c r="X10">
        <f>U10+V10-W10</f>
        <v/>
      </c>
      <c r="Y10">
        <f>MIN(X10,MAX(0,$B10-((E$5&lt;W$5)*F10+(K$5&lt;W$5)*L10+(Q$5&lt;W$5)*R10+(AC$5&lt;W$5)*AD10+(AI$5&lt;W$5)*AJ10+(AO$5&lt;W$5)*AP10+(AU$5&lt;W$5)*AV10)))</f>
        <v/>
      </c>
      <c r="Z10">
        <f>IF(X10-Y10&lt;0.005,0,X10-Y10)</f>
        <v/>
      </c>
      <c r="AA10">
        <f>AF9</f>
        <v/>
      </c>
      <c r="AB10">
        <f>AA10*Plan!D10/100/12</f>
        <v/>
      </c>
      <c r="AC10">
        <f>MIN(Plan!E10,AA10+AB10)</f>
        <v/>
      </c>
      <c r="AD10">
        <f>AA10+AB10-AC10</f>
        <v/>
      </c>
      <c r="AE10">
        <f>MIN(AD10,MAX(0,$B10-((E$5&lt;AC$5)*F10+(K$5&lt;AC$5)*L10+(Q$5&lt;AC$5)*R10+(W$5&lt;AC$5)*X10+(AI$5&lt;AC$5)*AJ10+(AO$5&lt;AC$5)*AP10+(AU$5&lt;AC$5)*AV10)))</f>
        <v/>
      </c>
      <c r="AF10">
        <f>IF(AD10-AE10&lt;0.005,0,AD10-AE10)</f>
        <v/>
      </c>
      <c r="AG10">
        <f>AL9</f>
        <v/>
      </c>
      <c r="AH10">
        <f>AG10*Plan!D11/100/12</f>
        <v/>
      </c>
      <c r="AI10">
        <f>MIN(Plan!E11,AG10+AH10)</f>
        <v/>
      </c>
      <c r="AJ10">
        <f>AG10+AH10-AI10</f>
        <v/>
      </c>
      <c r="AK10">
        <f>MIN(AJ10,MAX(0,$B10-((E$5&lt;AI$5)*F10+(K$5&lt;AI$5)*L10+(Q$5&lt;AI$5)*R10+(W$5&lt;AI$5)*X10+(AC$5&lt;AI$5)*AD10+(AO$5&lt;AI$5)*AP10+(AU$5&lt;AI$5)*AV10)))</f>
        <v/>
      </c>
      <c r="AL10">
        <f>IF(AJ10-AK10&lt;0.005,0,AJ10-AK10)</f>
        <v/>
      </c>
      <c r="AM10">
        <f>AR9</f>
        <v/>
      </c>
      <c r="AN10">
        <f>AM10*Plan!D12/100/12</f>
        <v/>
      </c>
      <c r="AO10">
        <f>MIN(Plan!E12,AM10+AN10)</f>
        <v/>
      </c>
      <c r="AP10">
        <f>AM10+AN10-AO10</f>
        <v/>
      </c>
      <c r="AQ10">
        <f>MIN(AP10,MAX(0,$B10-((E$5&lt;AO$5)*F10+(K$5&lt;AO$5)*L10+(Q$5&lt;AO$5)*R10+(W$5&lt;AO$5)*X10+(AC$5&lt;AO$5)*AD10+(AI$5&lt;AO$5)*AJ10+(AU$5&lt;AO$5)*AV10)))</f>
        <v/>
      </c>
      <c r="AR10">
        <f>IF(AP10-AQ10&lt;0.005,0,AP10-AQ10)</f>
        <v/>
      </c>
      <c r="AS10">
        <f>AX9</f>
        <v/>
      </c>
      <c r="AT10">
        <f>AS10*Plan!D13/100/12</f>
        <v/>
      </c>
      <c r="AU10">
        <f>MIN(Plan!E13,AS10+AT10)</f>
        <v/>
      </c>
      <c r="AV10">
        <f>AS10+AT10-AU10</f>
        <v/>
      </c>
      <c r="AW10">
        <f>MIN(AV10,MAX(0,$B10-((E$5&lt;AU$5)*F10+(K$5&lt;AU$5)*L10+(Q$5&lt;AU$5)*R10+(W$5&lt;AU$5)*X10+(AC$5&lt;AU$5)*AD10+(AI$5&lt;AU$5)*AJ10+(AO$5&lt;AU$5)*AP10)))</f>
        <v/>
      </c>
      <c r="AX10">
        <f>IF(AV10-AW10&lt;0.005,0,AV10-AW10)</f>
        <v/>
      </c>
      <c r="BC10">
        <f>H10+N10+T10+Z10+AF10+AL10+AR10+AX10</f>
        <v/>
      </c>
    </row>
    <row r="11">
      <c r="A11" t="n">
        <v>5</v>
      </c>
      <c r="B11" s="19">
        <f>MAX(0,$B$3-(E11+K11+Q11+W11+AC11+AI11+AO11+AU11))</f>
        <v/>
      </c>
      <c r="C11">
        <f>H10</f>
        <v/>
      </c>
      <c r="D11">
        <f>C11*Plan!D6/100/12</f>
        <v/>
      </c>
      <c r="E11">
        <f>MIN(Plan!E6,C11+D11)</f>
        <v/>
      </c>
      <c r="F11">
        <f>C11+D11-E11</f>
        <v/>
      </c>
      <c r="G11">
        <f>MIN(F11,MAX(0,$B11-((K$5&lt;E$5)*L11+(Q$5&lt;E$5)*R11+(W$5&lt;E$5)*X11+(AC$5&lt;E$5)*AD11+(AI$5&lt;E$5)*AJ11+(AO$5&lt;E$5)*AP11+(AU$5&lt;E$5)*AV11)))</f>
        <v/>
      </c>
      <c r="H11">
        <f>IF(F11-G11&lt;0.005,0,F11-G11)</f>
        <v/>
      </c>
      <c r="I11">
        <f>N10</f>
        <v/>
      </c>
      <c r="J11">
        <f>I11*Plan!D7/100/12</f>
        <v/>
      </c>
      <c r="K11">
        <f>MIN(Plan!E7,I11+J11)</f>
        <v/>
      </c>
      <c r="L11">
        <f>I11+J11-K11</f>
        <v/>
      </c>
      <c r="M11">
        <f>MIN(L11,MAX(0,$B11-((E$5&lt;K$5)*F11+(Q$5&lt;K$5)*R11+(W$5&lt;K$5)*X11+(AC$5&lt;K$5)*AD11+(AI$5&lt;K$5)*AJ11+(AO$5&lt;K$5)*AP11+(AU$5&lt;K$5)*AV11)))</f>
        <v/>
      </c>
      <c r="N11">
        <f>IF(L11-M11&lt;0.005,0,L11-M11)</f>
        <v/>
      </c>
      <c r="O11">
        <f>T10</f>
        <v/>
      </c>
      <c r="P11">
        <f>O11*Plan!D8/100/12</f>
        <v/>
      </c>
      <c r="Q11">
        <f>MIN(Plan!E8,O11+P11)</f>
        <v/>
      </c>
      <c r="R11">
        <f>O11+P11-Q11</f>
        <v/>
      </c>
      <c r="S11">
        <f>MIN(R11,MAX(0,$B11-((E$5&lt;Q$5)*F11+(K$5&lt;Q$5)*L11+(W$5&lt;Q$5)*X11+(AC$5&lt;Q$5)*AD11+(AI$5&lt;Q$5)*AJ11+(AO$5&lt;Q$5)*AP11+(AU$5&lt;Q$5)*AV11)))</f>
        <v/>
      </c>
      <c r="T11">
        <f>IF(R11-S11&lt;0.005,0,R11-S11)</f>
        <v/>
      </c>
      <c r="U11">
        <f>Z10</f>
        <v/>
      </c>
      <c r="V11">
        <f>U11*Plan!D9/100/12</f>
        <v/>
      </c>
      <c r="W11">
        <f>MIN(Plan!E9,U11+V11)</f>
        <v/>
      </c>
      <c r="X11">
        <f>U11+V11-W11</f>
        <v/>
      </c>
      <c r="Y11">
        <f>MIN(X11,MAX(0,$B11-((E$5&lt;W$5)*F11+(K$5&lt;W$5)*L11+(Q$5&lt;W$5)*R11+(AC$5&lt;W$5)*AD11+(AI$5&lt;W$5)*AJ11+(AO$5&lt;W$5)*AP11+(AU$5&lt;W$5)*AV11)))</f>
        <v/>
      </c>
      <c r="Z11">
        <f>IF(X11-Y11&lt;0.005,0,X11-Y11)</f>
        <v/>
      </c>
      <c r="AA11">
        <f>AF10</f>
        <v/>
      </c>
      <c r="AB11">
        <f>AA11*Plan!D10/100/12</f>
        <v/>
      </c>
      <c r="AC11">
        <f>MIN(Plan!E10,AA11+AB11)</f>
        <v/>
      </c>
      <c r="AD11">
        <f>AA11+AB11-AC11</f>
        <v/>
      </c>
      <c r="AE11">
        <f>MIN(AD11,MAX(0,$B11-((E$5&lt;AC$5)*F11+(K$5&lt;AC$5)*L11+(Q$5&lt;AC$5)*R11+(W$5&lt;AC$5)*X11+(AI$5&lt;AC$5)*AJ11+(AO$5&lt;AC$5)*AP11+(AU$5&lt;AC$5)*AV11)))</f>
        <v/>
      </c>
      <c r="AF11">
        <f>IF(AD11-AE11&lt;0.005,0,AD11-AE11)</f>
        <v/>
      </c>
      <c r="AG11">
        <f>AL10</f>
        <v/>
      </c>
      <c r="AH11">
        <f>AG11*Plan!D11/100/12</f>
        <v/>
      </c>
      <c r="AI11">
        <f>MIN(Plan!E11,AG11+AH11)</f>
        <v/>
      </c>
      <c r="AJ11">
        <f>AG11+AH11-AI11</f>
        <v/>
      </c>
      <c r="AK11">
        <f>MIN(AJ11,MAX(0,$B11-((E$5&lt;AI$5)*F11+(K$5&lt;AI$5)*L11+(Q$5&lt;AI$5)*R11+(W$5&lt;AI$5)*X11+(AC$5&lt;AI$5)*AD11+(AO$5&lt;AI$5)*AP11+(AU$5&lt;AI$5)*AV11)))</f>
        <v/>
      </c>
      <c r="AL11">
        <f>IF(AJ11-AK11&lt;0.005,0,AJ11-AK11)</f>
        <v/>
      </c>
      <c r="AM11">
        <f>AR10</f>
        <v/>
      </c>
      <c r="AN11">
        <f>AM11*Plan!D12/100/12</f>
        <v/>
      </c>
      <c r="AO11">
        <f>MIN(Plan!E12,AM11+AN11)</f>
        <v/>
      </c>
      <c r="AP11">
        <f>AM11+AN11-AO11</f>
        <v/>
      </c>
      <c r="AQ11">
        <f>MIN(AP11,MAX(0,$B11-((E$5&lt;AO$5)*F11+(K$5&lt;AO$5)*L11+(Q$5&lt;AO$5)*R11+(W$5&lt;AO$5)*X11+(AC$5&lt;AO$5)*AD11+(AI$5&lt;AO$5)*AJ11+(AU$5&lt;AO$5)*AV11)))</f>
        <v/>
      </c>
      <c r="AR11">
        <f>IF(AP11-AQ11&lt;0.005,0,AP11-AQ11)</f>
        <v/>
      </c>
      <c r="AS11">
        <f>AX10</f>
        <v/>
      </c>
      <c r="AT11">
        <f>AS11*Plan!D13/100/12</f>
        <v/>
      </c>
      <c r="AU11">
        <f>MIN(Plan!E13,AS11+AT11)</f>
        <v/>
      </c>
      <c r="AV11">
        <f>AS11+AT11-AU11</f>
        <v/>
      </c>
      <c r="AW11">
        <f>MIN(AV11,MAX(0,$B11-((E$5&lt;AU$5)*F11+(K$5&lt;AU$5)*L11+(Q$5&lt;AU$5)*R11+(W$5&lt;AU$5)*X11+(AC$5&lt;AU$5)*AD11+(AI$5&lt;AU$5)*AJ11+(AO$5&lt;AU$5)*AP11)))</f>
        <v/>
      </c>
      <c r="AX11">
        <f>IF(AV11-AW11&lt;0.005,0,AV11-AW11)</f>
        <v/>
      </c>
      <c r="BC11">
        <f>H11+N11+T11+Z11+AF11+AL11+AR11+AX11</f>
        <v/>
      </c>
    </row>
    <row r="12">
      <c r="A12" t="n">
        <v>6</v>
      </c>
      <c r="B12" s="19">
        <f>MAX(0,$B$3-(E12+K12+Q12+W12+AC12+AI12+AO12+AU12))</f>
        <v/>
      </c>
      <c r="C12">
        <f>H11</f>
        <v/>
      </c>
      <c r="D12">
        <f>C12*Plan!D6/100/12</f>
        <v/>
      </c>
      <c r="E12">
        <f>MIN(Plan!E6,C12+D12)</f>
        <v/>
      </c>
      <c r="F12">
        <f>C12+D12-E12</f>
        <v/>
      </c>
      <c r="G12">
        <f>MIN(F12,MAX(0,$B12-((K$5&lt;E$5)*L12+(Q$5&lt;E$5)*R12+(W$5&lt;E$5)*X12+(AC$5&lt;E$5)*AD12+(AI$5&lt;E$5)*AJ12+(AO$5&lt;E$5)*AP12+(AU$5&lt;E$5)*AV12)))</f>
        <v/>
      </c>
      <c r="H12">
        <f>IF(F12-G12&lt;0.005,0,F12-G12)</f>
        <v/>
      </c>
      <c r="I12">
        <f>N11</f>
        <v/>
      </c>
      <c r="J12">
        <f>I12*Plan!D7/100/12</f>
        <v/>
      </c>
      <c r="K12">
        <f>MIN(Plan!E7,I12+J12)</f>
        <v/>
      </c>
      <c r="L12">
        <f>I12+J12-K12</f>
        <v/>
      </c>
      <c r="M12">
        <f>MIN(L12,MAX(0,$B12-((E$5&lt;K$5)*F12+(Q$5&lt;K$5)*R12+(W$5&lt;K$5)*X12+(AC$5&lt;K$5)*AD12+(AI$5&lt;K$5)*AJ12+(AO$5&lt;K$5)*AP12+(AU$5&lt;K$5)*AV12)))</f>
        <v/>
      </c>
      <c r="N12">
        <f>IF(L12-M12&lt;0.005,0,L12-M12)</f>
        <v/>
      </c>
      <c r="O12">
        <f>T11</f>
        <v/>
      </c>
      <c r="P12">
        <f>O12*Plan!D8/100/12</f>
        <v/>
      </c>
      <c r="Q12">
        <f>MIN(Plan!E8,O12+P12)</f>
        <v/>
      </c>
      <c r="R12">
        <f>O12+P12-Q12</f>
        <v/>
      </c>
      <c r="S12">
        <f>MIN(R12,MAX(0,$B12-((E$5&lt;Q$5)*F12+(K$5&lt;Q$5)*L12+(W$5&lt;Q$5)*X12+(AC$5&lt;Q$5)*AD12+(AI$5&lt;Q$5)*AJ12+(AO$5&lt;Q$5)*AP12+(AU$5&lt;Q$5)*AV12)))</f>
        <v/>
      </c>
      <c r="T12">
        <f>IF(R12-S12&lt;0.005,0,R12-S12)</f>
        <v/>
      </c>
      <c r="U12">
        <f>Z11</f>
        <v/>
      </c>
      <c r="V12">
        <f>U12*Plan!D9/100/12</f>
        <v/>
      </c>
      <c r="W12">
        <f>MIN(Plan!E9,U12+V12)</f>
        <v/>
      </c>
      <c r="X12">
        <f>U12+V12-W12</f>
        <v/>
      </c>
      <c r="Y12">
        <f>MIN(X12,MAX(0,$B12-((E$5&lt;W$5)*F12+(K$5&lt;W$5)*L12+(Q$5&lt;W$5)*R12+(AC$5&lt;W$5)*AD12+(AI$5&lt;W$5)*AJ12+(AO$5&lt;W$5)*AP12+(AU$5&lt;W$5)*AV12)))</f>
        <v/>
      </c>
      <c r="Z12">
        <f>IF(X12-Y12&lt;0.005,0,X12-Y12)</f>
        <v/>
      </c>
      <c r="AA12">
        <f>AF11</f>
        <v/>
      </c>
      <c r="AB12">
        <f>AA12*Plan!D10/100/12</f>
        <v/>
      </c>
      <c r="AC12">
        <f>MIN(Plan!E10,AA12+AB12)</f>
        <v/>
      </c>
      <c r="AD12">
        <f>AA12+AB12-AC12</f>
        <v/>
      </c>
      <c r="AE12">
        <f>MIN(AD12,MAX(0,$B12-((E$5&lt;AC$5)*F12+(K$5&lt;AC$5)*L12+(Q$5&lt;AC$5)*R12+(W$5&lt;AC$5)*X12+(AI$5&lt;AC$5)*AJ12+(AO$5&lt;AC$5)*AP12+(AU$5&lt;AC$5)*AV12)))</f>
        <v/>
      </c>
      <c r="AF12">
        <f>IF(AD12-AE12&lt;0.005,0,AD12-AE12)</f>
        <v/>
      </c>
      <c r="AG12">
        <f>AL11</f>
        <v/>
      </c>
      <c r="AH12">
        <f>AG12*Plan!D11/100/12</f>
        <v/>
      </c>
      <c r="AI12">
        <f>MIN(Plan!E11,AG12+AH12)</f>
        <v/>
      </c>
      <c r="AJ12">
        <f>AG12+AH12-AI12</f>
        <v/>
      </c>
      <c r="AK12">
        <f>MIN(AJ12,MAX(0,$B12-((E$5&lt;AI$5)*F12+(K$5&lt;AI$5)*L12+(Q$5&lt;AI$5)*R12+(W$5&lt;AI$5)*X12+(AC$5&lt;AI$5)*AD12+(AO$5&lt;AI$5)*AP12+(AU$5&lt;AI$5)*AV12)))</f>
        <v/>
      </c>
      <c r="AL12">
        <f>IF(AJ12-AK12&lt;0.005,0,AJ12-AK12)</f>
        <v/>
      </c>
      <c r="AM12">
        <f>AR11</f>
        <v/>
      </c>
      <c r="AN12">
        <f>AM12*Plan!D12/100/12</f>
        <v/>
      </c>
      <c r="AO12">
        <f>MIN(Plan!E12,AM12+AN12)</f>
        <v/>
      </c>
      <c r="AP12">
        <f>AM12+AN12-AO12</f>
        <v/>
      </c>
      <c r="AQ12">
        <f>MIN(AP12,MAX(0,$B12-((E$5&lt;AO$5)*F12+(K$5&lt;AO$5)*L12+(Q$5&lt;AO$5)*R12+(W$5&lt;AO$5)*X12+(AC$5&lt;AO$5)*AD12+(AI$5&lt;AO$5)*AJ12+(AU$5&lt;AO$5)*AV12)))</f>
        <v/>
      </c>
      <c r="AR12">
        <f>IF(AP12-AQ12&lt;0.005,0,AP12-AQ12)</f>
        <v/>
      </c>
      <c r="AS12">
        <f>AX11</f>
        <v/>
      </c>
      <c r="AT12">
        <f>AS12*Plan!D13/100/12</f>
        <v/>
      </c>
      <c r="AU12">
        <f>MIN(Plan!E13,AS12+AT12)</f>
        <v/>
      </c>
      <c r="AV12">
        <f>AS12+AT12-AU12</f>
        <v/>
      </c>
      <c r="AW12">
        <f>MIN(AV12,MAX(0,$B12-((E$5&lt;AU$5)*F12+(K$5&lt;AU$5)*L12+(Q$5&lt;AU$5)*R12+(W$5&lt;AU$5)*X12+(AC$5&lt;AU$5)*AD12+(AI$5&lt;AU$5)*AJ12+(AO$5&lt;AU$5)*AP12)))</f>
        <v/>
      </c>
      <c r="AX12">
        <f>IF(AV12-AW12&lt;0.005,0,AV12-AW12)</f>
        <v/>
      </c>
      <c r="BC12">
        <f>H12+N12+T12+Z12+AF12+AL12+AR12+AX12</f>
        <v/>
      </c>
    </row>
    <row r="13">
      <c r="A13" t="n">
        <v>7</v>
      </c>
      <c r="B13" s="19">
        <f>MAX(0,$B$3-(E13+K13+Q13+W13+AC13+AI13+AO13+AU13))</f>
        <v/>
      </c>
      <c r="C13">
        <f>H12</f>
        <v/>
      </c>
      <c r="D13">
        <f>C13*Plan!D6/100/12</f>
        <v/>
      </c>
      <c r="E13">
        <f>MIN(Plan!E6,C13+D13)</f>
        <v/>
      </c>
      <c r="F13">
        <f>C13+D13-E13</f>
        <v/>
      </c>
      <c r="G13">
        <f>MIN(F13,MAX(0,$B13-((K$5&lt;E$5)*L13+(Q$5&lt;E$5)*R13+(W$5&lt;E$5)*X13+(AC$5&lt;E$5)*AD13+(AI$5&lt;E$5)*AJ13+(AO$5&lt;E$5)*AP13+(AU$5&lt;E$5)*AV13)))</f>
        <v/>
      </c>
      <c r="H13">
        <f>IF(F13-G13&lt;0.005,0,F13-G13)</f>
        <v/>
      </c>
      <c r="I13">
        <f>N12</f>
        <v/>
      </c>
      <c r="J13">
        <f>I13*Plan!D7/100/12</f>
        <v/>
      </c>
      <c r="K13">
        <f>MIN(Plan!E7,I13+J13)</f>
        <v/>
      </c>
      <c r="L13">
        <f>I13+J13-K13</f>
        <v/>
      </c>
      <c r="M13">
        <f>MIN(L13,MAX(0,$B13-((E$5&lt;K$5)*F13+(Q$5&lt;K$5)*R13+(W$5&lt;K$5)*X13+(AC$5&lt;K$5)*AD13+(AI$5&lt;K$5)*AJ13+(AO$5&lt;K$5)*AP13+(AU$5&lt;K$5)*AV13)))</f>
        <v/>
      </c>
      <c r="N13">
        <f>IF(L13-M13&lt;0.005,0,L13-M13)</f>
        <v/>
      </c>
      <c r="O13">
        <f>T12</f>
        <v/>
      </c>
      <c r="P13">
        <f>O13*Plan!D8/100/12</f>
        <v/>
      </c>
      <c r="Q13">
        <f>MIN(Plan!E8,O13+P13)</f>
        <v/>
      </c>
      <c r="R13">
        <f>O13+P13-Q13</f>
        <v/>
      </c>
      <c r="S13">
        <f>MIN(R13,MAX(0,$B13-((E$5&lt;Q$5)*F13+(K$5&lt;Q$5)*L13+(W$5&lt;Q$5)*X13+(AC$5&lt;Q$5)*AD13+(AI$5&lt;Q$5)*AJ13+(AO$5&lt;Q$5)*AP13+(AU$5&lt;Q$5)*AV13)))</f>
        <v/>
      </c>
      <c r="T13">
        <f>IF(R13-S13&lt;0.005,0,R13-S13)</f>
        <v/>
      </c>
      <c r="U13">
        <f>Z12</f>
        <v/>
      </c>
      <c r="V13">
        <f>U13*Plan!D9/100/12</f>
        <v/>
      </c>
      <c r="W13">
        <f>MIN(Plan!E9,U13+V13)</f>
        <v/>
      </c>
      <c r="X13">
        <f>U13+V13-W13</f>
        <v/>
      </c>
      <c r="Y13">
        <f>MIN(X13,MAX(0,$B13-((E$5&lt;W$5)*F13+(K$5&lt;W$5)*L13+(Q$5&lt;W$5)*R13+(AC$5&lt;W$5)*AD13+(AI$5&lt;W$5)*AJ13+(AO$5&lt;W$5)*AP13+(AU$5&lt;W$5)*AV13)))</f>
        <v/>
      </c>
      <c r="Z13">
        <f>IF(X13-Y13&lt;0.005,0,X13-Y13)</f>
        <v/>
      </c>
      <c r="AA13">
        <f>AF12</f>
        <v/>
      </c>
      <c r="AB13">
        <f>AA13*Plan!D10/100/12</f>
        <v/>
      </c>
      <c r="AC13">
        <f>MIN(Plan!E10,AA13+AB13)</f>
        <v/>
      </c>
      <c r="AD13">
        <f>AA13+AB13-AC13</f>
        <v/>
      </c>
      <c r="AE13">
        <f>MIN(AD13,MAX(0,$B13-((E$5&lt;AC$5)*F13+(K$5&lt;AC$5)*L13+(Q$5&lt;AC$5)*R13+(W$5&lt;AC$5)*X13+(AI$5&lt;AC$5)*AJ13+(AO$5&lt;AC$5)*AP13+(AU$5&lt;AC$5)*AV13)))</f>
        <v/>
      </c>
      <c r="AF13">
        <f>IF(AD13-AE13&lt;0.005,0,AD13-AE13)</f>
        <v/>
      </c>
      <c r="AG13">
        <f>AL12</f>
        <v/>
      </c>
      <c r="AH13">
        <f>AG13*Plan!D11/100/12</f>
        <v/>
      </c>
      <c r="AI13">
        <f>MIN(Plan!E11,AG13+AH13)</f>
        <v/>
      </c>
      <c r="AJ13">
        <f>AG13+AH13-AI13</f>
        <v/>
      </c>
      <c r="AK13">
        <f>MIN(AJ13,MAX(0,$B13-((E$5&lt;AI$5)*F13+(K$5&lt;AI$5)*L13+(Q$5&lt;AI$5)*R13+(W$5&lt;AI$5)*X13+(AC$5&lt;AI$5)*AD13+(AO$5&lt;AI$5)*AP13+(AU$5&lt;AI$5)*AV13)))</f>
        <v/>
      </c>
      <c r="AL13">
        <f>IF(AJ13-AK13&lt;0.005,0,AJ13-AK13)</f>
        <v/>
      </c>
      <c r="AM13">
        <f>AR12</f>
        <v/>
      </c>
      <c r="AN13">
        <f>AM13*Plan!D12/100/12</f>
        <v/>
      </c>
      <c r="AO13">
        <f>MIN(Plan!E12,AM13+AN13)</f>
        <v/>
      </c>
      <c r="AP13">
        <f>AM13+AN13-AO13</f>
        <v/>
      </c>
      <c r="AQ13">
        <f>MIN(AP13,MAX(0,$B13-((E$5&lt;AO$5)*F13+(K$5&lt;AO$5)*L13+(Q$5&lt;AO$5)*R13+(W$5&lt;AO$5)*X13+(AC$5&lt;AO$5)*AD13+(AI$5&lt;AO$5)*AJ13+(AU$5&lt;AO$5)*AV13)))</f>
        <v/>
      </c>
      <c r="AR13">
        <f>IF(AP13-AQ13&lt;0.005,0,AP13-AQ13)</f>
        <v/>
      </c>
      <c r="AS13">
        <f>AX12</f>
        <v/>
      </c>
      <c r="AT13">
        <f>AS13*Plan!D13/100/12</f>
        <v/>
      </c>
      <c r="AU13">
        <f>MIN(Plan!E13,AS13+AT13)</f>
        <v/>
      </c>
      <c r="AV13">
        <f>AS13+AT13-AU13</f>
        <v/>
      </c>
      <c r="AW13">
        <f>MIN(AV13,MAX(0,$B13-((E$5&lt;AU$5)*F13+(K$5&lt;AU$5)*L13+(Q$5&lt;AU$5)*R13+(W$5&lt;AU$5)*X13+(AC$5&lt;AU$5)*AD13+(AI$5&lt;AU$5)*AJ13+(AO$5&lt;AU$5)*AP13)))</f>
        <v/>
      </c>
      <c r="AX13">
        <f>IF(AV13-AW13&lt;0.005,0,AV13-AW13)</f>
        <v/>
      </c>
      <c r="BC13">
        <f>H13+N13+T13+Z13+AF13+AL13+AR13+AX13</f>
        <v/>
      </c>
    </row>
    <row r="14">
      <c r="A14" t="n">
        <v>8</v>
      </c>
      <c r="B14" s="19">
        <f>MAX(0,$B$3-(E14+K14+Q14+W14+AC14+AI14+AO14+AU14))</f>
        <v/>
      </c>
      <c r="C14">
        <f>H13</f>
        <v/>
      </c>
      <c r="D14">
        <f>C14*Plan!D6/100/12</f>
        <v/>
      </c>
      <c r="E14">
        <f>MIN(Plan!E6,C14+D14)</f>
        <v/>
      </c>
      <c r="F14">
        <f>C14+D14-E14</f>
        <v/>
      </c>
      <c r="G14">
        <f>MIN(F14,MAX(0,$B14-((K$5&lt;E$5)*L14+(Q$5&lt;E$5)*R14+(W$5&lt;E$5)*X14+(AC$5&lt;E$5)*AD14+(AI$5&lt;E$5)*AJ14+(AO$5&lt;E$5)*AP14+(AU$5&lt;E$5)*AV14)))</f>
        <v/>
      </c>
      <c r="H14">
        <f>IF(F14-G14&lt;0.005,0,F14-G14)</f>
        <v/>
      </c>
      <c r="I14">
        <f>N13</f>
        <v/>
      </c>
      <c r="J14">
        <f>I14*Plan!D7/100/12</f>
        <v/>
      </c>
      <c r="K14">
        <f>MIN(Plan!E7,I14+J14)</f>
        <v/>
      </c>
      <c r="L14">
        <f>I14+J14-K14</f>
        <v/>
      </c>
      <c r="M14">
        <f>MIN(L14,MAX(0,$B14-((E$5&lt;K$5)*F14+(Q$5&lt;K$5)*R14+(W$5&lt;K$5)*X14+(AC$5&lt;K$5)*AD14+(AI$5&lt;K$5)*AJ14+(AO$5&lt;K$5)*AP14+(AU$5&lt;K$5)*AV14)))</f>
        <v/>
      </c>
      <c r="N14">
        <f>IF(L14-M14&lt;0.005,0,L14-M14)</f>
        <v/>
      </c>
      <c r="O14">
        <f>T13</f>
        <v/>
      </c>
      <c r="P14">
        <f>O14*Plan!D8/100/12</f>
        <v/>
      </c>
      <c r="Q14">
        <f>MIN(Plan!E8,O14+P14)</f>
        <v/>
      </c>
      <c r="R14">
        <f>O14+P14-Q14</f>
        <v/>
      </c>
      <c r="S14">
        <f>MIN(R14,MAX(0,$B14-((E$5&lt;Q$5)*F14+(K$5&lt;Q$5)*L14+(W$5&lt;Q$5)*X14+(AC$5&lt;Q$5)*AD14+(AI$5&lt;Q$5)*AJ14+(AO$5&lt;Q$5)*AP14+(AU$5&lt;Q$5)*AV14)))</f>
        <v/>
      </c>
      <c r="T14">
        <f>IF(R14-S14&lt;0.005,0,R14-S14)</f>
        <v/>
      </c>
      <c r="U14">
        <f>Z13</f>
        <v/>
      </c>
      <c r="V14">
        <f>U14*Plan!D9/100/12</f>
        <v/>
      </c>
      <c r="W14">
        <f>MIN(Plan!E9,U14+V14)</f>
        <v/>
      </c>
      <c r="X14">
        <f>U14+V14-W14</f>
        <v/>
      </c>
      <c r="Y14">
        <f>MIN(X14,MAX(0,$B14-((E$5&lt;W$5)*F14+(K$5&lt;W$5)*L14+(Q$5&lt;W$5)*R14+(AC$5&lt;W$5)*AD14+(AI$5&lt;W$5)*AJ14+(AO$5&lt;W$5)*AP14+(AU$5&lt;W$5)*AV14)))</f>
        <v/>
      </c>
      <c r="Z14">
        <f>IF(X14-Y14&lt;0.005,0,X14-Y14)</f>
        <v/>
      </c>
      <c r="AA14">
        <f>AF13</f>
        <v/>
      </c>
      <c r="AB14">
        <f>AA14*Plan!D10/100/12</f>
        <v/>
      </c>
      <c r="AC14">
        <f>MIN(Plan!E10,AA14+AB14)</f>
        <v/>
      </c>
      <c r="AD14">
        <f>AA14+AB14-AC14</f>
        <v/>
      </c>
      <c r="AE14">
        <f>MIN(AD14,MAX(0,$B14-((E$5&lt;AC$5)*F14+(K$5&lt;AC$5)*L14+(Q$5&lt;AC$5)*R14+(W$5&lt;AC$5)*X14+(AI$5&lt;AC$5)*AJ14+(AO$5&lt;AC$5)*AP14+(AU$5&lt;AC$5)*AV14)))</f>
        <v/>
      </c>
      <c r="AF14">
        <f>IF(AD14-AE14&lt;0.005,0,AD14-AE14)</f>
        <v/>
      </c>
      <c r="AG14">
        <f>AL13</f>
        <v/>
      </c>
      <c r="AH14">
        <f>AG14*Plan!D11/100/12</f>
        <v/>
      </c>
      <c r="AI14">
        <f>MIN(Plan!E11,AG14+AH14)</f>
        <v/>
      </c>
      <c r="AJ14">
        <f>AG14+AH14-AI14</f>
        <v/>
      </c>
      <c r="AK14">
        <f>MIN(AJ14,MAX(0,$B14-((E$5&lt;AI$5)*F14+(K$5&lt;AI$5)*L14+(Q$5&lt;AI$5)*R14+(W$5&lt;AI$5)*X14+(AC$5&lt;AI$5)*AD14+(AO$5&lt;AI$5)*AP14+(AU$5&lt;AI$5)*AV14)))</f>
        <v/>
      </c>
      <c r="AL14">
        <f>IF(AJ14-AK14&lt;0.005,0,AJ14-AK14)</f>
        <v/>
      </c>
      <c r="AM14">
        <f>AR13</f>
        <v/>
      </c>
      <c r="AN14">
        <f>AM14*Plan!D12/100/12</f>
        <v/>
      </c>
      <c r="AO14">
        <f>MIN(Plan!E12,AM14+AN14)</f>
        <v/>
      </c>
      <c r="AP14">
        <f>AM14+AN14-AO14</f>
        <v/>
      </c>
      <c r="AQ14">
        <f>MIN(AP14,MAX(0,$B14-((E$5&lt;AO$5)*F14+(K$5&lt;AO$5)*L14+(Q$5&lt;AO$5)*R14+(W$5&lt;AO$5)*X14+(AC$5&lt;AO$5)*AD14+(AI$5&lt;AO$5)*AJ14+(AU$5&lt;AO$5)*AV14)))</f>
        <v/>
      </c>
      <c r="AR14">
        <f>IF(AP14-AQ14&lt;0.005,0,AP14-AQ14)</f>
        <v/>
      </c>
      <c r="AS14">
        <f>AX13</f>
        <v/>
      </c>
      <c r="AT14">
        <f>AS14*Plan!D13/100/12</f>
        <v/>
      </c>
      <c r="AU14">
        <f>MIN(Plan!E13,AS14+AT14)</f>
        <v/>
      </c>
      <c r="AV14">
        <f>AS14+AT14-AU14</f>
        <v/>
      </c>
      <c r="AW14">
        <f>MIN(AV14,MAX(0,$B14-((E$5&lt;AU$5)*F14+(K$5&lt;AU$5)*L14+(Q$5&lt;AU$5)*R14+(W$5&lt;AU$5)*X14+(AC$5&lt;AU$5)*AD14+(AI$5&lt;AU$5)*AJ14+(AO$5&lt;AU$5)*AP14)))</f>
        <v/>
      </c>
      <c r="AX14">
        <f>IF(AV14-AW14&lt;0.005,0,AV14-AW14)</f>
        <v/>
      </c>
      <c r="BC14">
        <f>H14+N14+T14+Z14+AF14+AL14+AR14+AX14</f>
        <v/>
      </c>
    </row>
    <row r="15">
      <c r="A15" t="n">
        <v>9</v>
      </c>
      <c r="B15" s="19">
        <f>MAX(0,$B$3-(E15+K15+Q15+W15+AC15+AI15+AO15+AU15))</f>
        <v/>
      </c>
      <c r="C15">
        <f>H14</f>
        <v/>
      </c>
      <c r="D15">
        <f>C15*Plan!D6/100/12</f>
        <v/>
      </c>
      <c r="E15">
        <f>MIN(Plan!E6,C15+D15)</f>
        <v/>
      </c>
      <c r="F15">
        <f>C15+D15-E15</f>
        <v/>
      </c>
      <c r="G15">
        <f>MIN(F15,MAX(0,$B15-((K$5&lt;E$5)*L15+(Q$5&lt;E$5)*R15+(W$5&lt;E$5)*X15+(AC$5&lt;E$5)*AD15+(AI$5&lt;E$5)*AJ15+(AO$5&lt;E$5)*AP15+(AU$5&lt;E$5)*AV15)))</f>
        <v/>
      </c>
      <c r="H15">
        <f>IF(F15-G15&lt;0.005,0,F15-G15)</f>
        <v/>
      </c>
      <c r="I15">
        <f>N14</f>
        <v/>
      </c>
      <c r="J15">
        <f>I15*Plan!D7/100/12</f>
        <v/>
      </c>
      <c r="K15">
        <f>MIN(Plan!E7,I15+J15)</f>
        <v/>
      </c>
      <c r="L15">
        <f>I15+J15-K15</f>
        <v/>
      </c>
      <c r="M15">
        <f>MIN(L15,MAX(0,$B15-((E$5&lt;K$5)*F15+(Q$5&lt;K$5)*R15+(W$5&lt;K$5)*X15+(AC$5&lt;K$5)*AD15+(AI$5&lt;K$5)*AJ15+(AO$5&lt;K$5)*AP15+(AU$5&lt;K$5)*AV15)))</f>
        <v/>
      </c>
      <c r="N15">
        <f>IF(L15-M15&lt;0.005,0,L15-M15)</f>
        <v/>
      </c>
      <c r="O15">
        <f>T14</f>
        <v/>
      </c>
      <c r="P15">
        <f>O15*Plan!D8/100/12</f>
        <v/>
      </c>
      <c r="Q15">
        <f>MIN(Plan!E8,O15+P15)</f>
        <v/>
      </c>
      <c r="R15">
        <f>O15+P15-Q15</f>
        <v/>
      </c>
      <c r="S15">
        <f>MIN(R15,MAX(0,$B15-((E$5&lt;Q$5)*F15+(K$5&lt;Q$5)*L15+(W$5&lt;Q$5)*X15+(AC$5&lt;Q$5)*AD15+(AI$5&lt;Q$5)*AJ15+(AO$5&lt;Q$5)*AP15+(AU$5&lt;Q$5)*AV15)))</f>
        <v/>
      </c>
      <c r="T15">
        <f>IF(R15-S15&lt;0.005,0,R15-S15)</f>
        <v/>
      </c>
      <c r="U15">
        <f>Z14</f>
        <v/>
      </c>
      <c r="V15">
        <f>U15*Plan!D9/100/12</f>
        <v/>
      </c>
      <c r="W15">
        <f>MIN(Plan!E9,U15+V15)</f>
        <v/>
      </c>
      <c r="X15">
        <f>U15+V15-W15</f>
        <v/>
      </c>
      <c r="Y15">
        <f>MIN(X15,MAX(0,$B15-((E$5&lt;W$5)*F15+(K$5&lt;W$5)*L15+(Q$5&lt;W$5)*R15+(AC$5&lt;W$5)*AD15+(AI$5&lt;W$5)*AJ15+(AO$5&lt;W$5)*AP15+(AU$5&lt;W$5)*AV15)))</f>
        <v/>
      </c>
      <c r="Z15">
        <f>IF(X15-Y15&lt;0.005,0,X15-Y15)</f>
        <v/>
      </c>
      <c r="AA15">
        <f>AF14</f>
        <v/>
      </c>
      <c r="AB15">
        <f>AA15*Plan!D10/100/12</f>
        <v/>
      </c>
      <c r="AC15">
        <f>MIN(Plan!E10,AA15+AB15)</f>
        <v/>
      </c>
      <c r="AD15">
        <f>AA15+AB15-AC15</f>
        <v/>
      </c>
      <c r="AE15">
        <f>MIN(AD15,MAX(0,$B15-((E$5&lt;AC$5)*F15+(K$5&lt;AC$5)*L15+(Q$5&lt;AC$5)*R15+(W$5&lt;AC$5)*X15+(AI$5&lt;AC$5)*AJ15+(AO$5&lt;AC$5)*AP15+(AU$5&lt;AC$5)*AV15)))</f>
        <v/>
      </c>
      <c r="AF15">
        <f>IF(AD15-AE15&lt;0.005,0,AD15-AE15)</f>
        <v/>
      </c>
      <c r="AG15">
        <f>AL14</f>
        <v/>
      </c>
      <c r="AH15">
        <f>AG15*Plan!D11/100/12</f>
        <v/>
      </c>
      <c r="AI15">
        <f>MIN(Plan!E11,AG15+AH15)</f>
        <v/>
      </c>
      <c r="AJ15">
        <f>AG15+AH15-AI15</f>
        <v/>
      </c>
      <c r="AK15">
        <f>MIN(AJ15,MAX(0,$B15-((E$5&lt;AI$5)*F15+(K$5&lt;AI$5)*L15+(Q$5&lt;AI$5)*R15+(W$5&lt;AI$5)*X15+(AC$5&lt;AI$5)*AD15+(AO$5&lt;AI$5)*AP15+(AU$5&lt;AI$5)*AV15)))</f>
        <v/>
      </c>
      <c r="AL15">
        <f>IF(AJ15-AK15&lt;0.005,0,AJ15-AK15)</f>
        <v/>
      </c>
      <c r="AM15">
        <f>AR14</f>
        <v/>
      </c>
      <c r="AN15">
        <f>AM15*Plan!D12/100/12</f>
        <v/>
      </c>
      <c r="AO15">
        <f>MIN(Plan!E12,AM15+AN15)</f>
        <v/>
      </c>
      <c r="AP15">
        <f>AM15+AN15-AO15</f>
        <v/>
      </c>
      <c r="AQ15">
        <f>MIN(AP15,MAX(0,$B15-((E$5&lt;AO$5)*F15+(K$5&lt;AO$5)*L15+(Q$5&lt;AO$5)*R15+(W$5&lt;AO$5)*X15+(AC$5&lt;AO$5)*AD15+(AI$5&lt;AO$5)*AJ15+(AU$5&lt;AO$5)*AV15)))</f>
        <v/>
      </c>
      <c r="AR15">
        <f>IF(AP15-AQ15&lt;0.005,0,AP15-AQ15)</f>
        <v/>
      </c>
      <c r="AS15">
        <f>AX14</f>
        <v/>
      </c>
      <c r="AT15">
        <f>AS15*Plan!D13/100/12</f>
        <v/>
      </c>
      <c r="AU15">
        <f>MIN(Plan!E13,AS15+AT15)</f>
        <v/>
      </c>
      <c r="AV15">
        <f>AS15+AT15-AU15</f>
        <v/>
      </c>
      <c r="AW15">
        <f>MIN(AV15,MAX(0,$B15-((E$5&lt;AU$5)*F15+(K$5&lt;AU$5)*L15+(Q$5&lt;AU$5)*R15+(W$5&lt;AU$5)*X15+(AC$5&lt;AU$5)*AD15+(AI$5&lt;AU$5)*AJ15+(AO$5&lt;AU$5)*AP15)))</f>
        <v/>
      </c>
      <c r="AX15">
        <f>IF(AV15-AW15&lt;0.005,0,AV15-AW15)</f>
        <v/>
      </c>
      <c r="BC15">
        <f>H15+N15+T15+Z15+AF15+AL15+AR15+AX15</f>
        <v/>
      </c>
    </row>
    <row r="16">
      <c r="A16" t="n">
        <v>10</v>
      </c>
      <c r="B16" s="19">
        <f>MAX(0,$B$3-(E16+K16+Q16+W16+AC16+AI16+AO16+AU16))</f>
        <v/>
      </c>
      <c r="C16">
        <f>H15</f>
        <v/>
      </c>
      <c r="D16">
        <f>C16*Plan!D6/100/12</f>
        <v/>
      </c>
      <c r="E16">
        <f>MIN(Plan!E6,C16+D16)</f>
        <v/>
      </c>
      <c r="F16">
        <f>C16+D16-E16</f>
        <v/>
      </c>
      <c r="G16">
        <f>MIN(F16,MAX(0,$B16-((K$5&lt;E$5)*L16+(Q$5&lt;E$5)*R16+(W$5&lt;E$5)*X16+(AC$5&lt;E$5)*AD16+(AI$5&lt;E$5)*AJ16+(AO$5&lt;E$5)*AP16+(AU$5&lt;E$5)*AV16)))</f>
        <v/>
      </c>
      <c r="H16">
        <f>IF(F16-G16&lt;0.005,0,F16-G16)</f>
        <v/>
      </c>
      <c r="I16">
        <f>N15</f>
        <v/>
      </c>
      <c r="J16">
        <f>I16*Plan!D7/100/12</f>
        <v/>
      </c>
      <c r="K16">
        <f>MIN(Plan!E7,I16+J16)</f>
        <v/>
      </c>
      <c r="L16">
        <f>I16+J16-K16</f>
        <v/>
      </c>
      <c r="M16">
        <f>MIN(L16,MAX(0,$B16-((E$5&lt;K$5)*F16+(Q$5&lt;K$5)*R16+(W$5&lt;K$5)*X16+(AC$5&lt;K$5)*AD16+(AI$5&lt;K$5)*AJ16+(AO$5&lt;K$5)*AP16+(AU$5&lt;K$5)*AV16)))</f>
        <v/>
      </c>
      <c r="N16">
        <f>IF(L16-M16&lt;0.005,0,L16-M16)</f>
        <v/>
      </c>
      <c r="O16">
        <f>T15</f>
        <v/>
      </c>
      <c r="P16">
        <f>O16*Plan!D8/100/12</f>
        <v/>
      </c>
      <c r="Q16">
        <f>MIN(Plan!E8,O16+P16)</f>
        <v/>
      </c>
      <c r="R16">
        <f>O16+P16-Q16</f>
        <v/>
      </c>
      <c r="S16">
        <f>MIN(R16,MAX(0,$B16-((E$5&lt;Q$5)*F16+(K$5&lt;Q$5)*L16+(W$5&lt;Q$5)*X16+(AC$5&lt;Q$5)*AD16+(AI$5&lt;Q$5)*AJ16+(AO$5&lt;Q$5)*AP16+(AU$5&lt;Q$5)*AV16)))</f>
        <v/>
      </c>
      <c r="T16">
        <f>IF(R16-S16&lt;0.005,0,R16-S16)</f>
        <v/>
      </c>
      <c r="U16">
        <f>Z15</f>
        <v/>
      </c>
      <c r="V16">
        <f>U16*Plan!D9/100/12</f>
        <v/>
      </c>
      <c r="W16">
        <f>MIN(Plan!E9,U16+V16)</f>
        <v/>
      </c>
      <c r="X16">
        <f>U16+V16-W16</f>
        <v/>
      </c>
      <c r="Y16">
        <f>MIN(X16,MAX(0,$B16-((E$5&lt;W$5)*F16+(K$5&lt;W$5)*L16+(Q$5&lt;W$5)*R16+(AC$5&lt;W$5)*AD16+(AI$5&lt;W$5)*AJ16+(AO$5&lt;W$5)*AP16+(AU$5&lt;W$5)*AV16)))</f>
        <v/>
      </c>
      <c r="Z16">
        <f>IF(X16-Y16&lt;0.005,0,X16-Y16)</f>
        <v/>
      </c>
      <c r="AA16">
        <f>AF15</f>
        <v/>
      </c>
      <c r="AB16">
        <f>AA16*Plan!D10/100/12</f>
        <v/>
      </c>
      <c r="AC16">
        <f>MIN(Plan!E10,AA16+AB16)</f>
        <v/>
      </c>
      <c r="AD16">
        <f>AA16+AB16-AC16</f>
        <v/>
      </c>
      <c r="AE16">
        <f>MIN(AD16,MAX(0,$B16-((E$5&lt;AC$5)*F16+(K$5&lt;AC$5)*L16+(Q$5&lt;AC$5)*R16+(W$5&lt;AC$5)*X16+(AI$5&lt;AC$5)*AJ16+(AO$5&lt;AC$5)*AP16+(AU$5&lt;AC$5)*AV16)))</f>
        <v/>
      </c>
      <c r="AF16">
        <f>IF(AD16-AE16&lt;0.005,0,AD16-AE16)</f>
        <v/>
      </c>
      <c r="AG16">
        <f>AL15</f>
        <v/>
      </c>
      <c r="AH16">
        <f>AG16*Plan!D11/100/12</f>
        <v/>
      </c>
      <c r="AI16">
        <f>MIN(Plan!E11,AG16+AH16)</f>
        <v/>
      </c>
      <c r="AJ16">
        <f>AG16+AH16-AI16</f>
        <v/>
      </c>
      <c r="AK16">
        <f>MIN(AJ16,MAX(0,$B16-((E$5&lt;AI$5)*F16+(K$5&lt;AI$5)*L16+(Q$5&lt;AI$5)*R16+(W$5&lt;AI$5)*X16+(AC$5&lt;AI$5)*AD16+(AO$5&lt;AI$5)*AP16+(AU$5&lt;AI$5)*AV16)))</f>
        <v/>
      </c>
      <c r="AL16">
        <f>IF(AJ16-AK16&lt;0.005,0,AJ16-AK16)</f>
        <v/>
      </c>
      <c r="AM16">
        <f>AR15</f>
        <v/>
      </c>
      <c r="AN16">
        <f>AM16*Plan!D12/100/12</f>
        <v/>
      </c>
      <c r="AO16">
        <f>MIN(Plan!E12,AM16+AN16)</f>
        <v/>
      </c>
      <c r="AP16">
        <f>AM16+AN16-AO16</f>
        <v/>
      </c>
      <c r="AQ16">
        <f>MIN(AP16,MAX(0,$B16-((E$5&lt;AO$5)*F16+(K$5&lt;AO$5)*L16+(Q$5&lt;AO$5)*R16+(W$5&lt;AO$5)*X16+(AC$5&lt;AO$5)*AD16+(AI$5&lt;AO$5)*AJ16+(AU$5&lt;AO$5)*AV16)))</f>
        <v/>
      </c>
      <c r="AR16">
        <f>IF(AP16-AQ16&lt;0.005,0,AP16-AQ16)</f>
        <v/>
      </c>
      <c r="AS16">
        <f>AX15</f>
        <v/>
      </c>
      <c r="AT16">
        <f>AS16*Plan!D13/100/12</f>
        <v/>
      </c>
      <c r="AU16">
        <f>MIN(Plan!E13,AS16+AT16)</f>
        <v/>
      </c>
      <c r="AV16">
        <f>AS16+AT16-AU16</f>
        <v/>
      </c>
      <c r="AW16">
        <f>MIN(AV16,MAX(0,$B16-((E$5&lt;AU$5)*F16+(K$5&lt;AU$5)*L16+(Q$5&lt;AU$5)*R16+(W$5&lt;AU$5)*X16+(AC$5&lt;AU$5)*AD16+(AI$5&lt;AU$5)*AJ16+(AO$5&lt;AU$5)*AP16)))</f>
        <v/>
      </c>
      <c r="AX16">
        <f>IF(AV16-AW16&lt;0.005,0,AV16-AW16)</f>
        <v/>
      </c>
      <c r="BC16">
        <f>H16+N16+T16+Z16+AF16+AL16+AR16+AX16</f>
        <v/>
      </c>
    </row>
    <row r="17">
      <c r="A17" t="n">
        <v>11</v>
      </c>
      <c r="B17" s="19">
        <f>MAX(0,$B$3-(E17+K17+Q17+W17+AC17+AI17+AO17+AU17))</f>
        <v/>
      </c>
      <c r="C17">
        <f>H16</f>
        <v/>
      </c>
      <c r="D17">
        <f>C17*Plan!D6/100/12</f>
        <v/>
      </c>
      <c r="E17">
        <f>MIN(Plan!E6,C17+D17)</f>
        <v/>
      </c>
      <c r="F17">
        <f>C17+D17-E17</f>
        <v/>
      </c>
      <c r="G17">
        <f>MIN(F17,MAX(0,$B17-((K$5&lt;E$5)*L17+(Q$5&lt;E$5)*R17+(W$5&lt;E$5)*X17+(AC$5&lt;E$5)*AD17+(AI$5&lt;E$5)*AJ17+(AO$5&lt;E$5)*AP17+(AU$5&lt;E$5)*AV17)))</f>
        <v/>
      </c>
      <c r="H17">
        <f>IF(F17-G17&lt;0.005,0,F17-G17)</f>
        <v/>
      </c>
      <c r="I17">
        <f>N16</f>
        <v/>
      </c>
      <c r="J17">
        <f>I17*Plan!D7/100/12</f>
        <v/>
      </c>
      <c r="K17">
        <f>MIN(Plan!E7,I17+J17)</f>
        <v/>
      </c>
      <c r="L17">
        <f>I17+J17-K17</f>
        <v/>
      </c>
      <c r="M17">
        <f>MIN(L17,MAX(0,$B17-((E$5&lt;K$5)*F17+(Q$5&lt;K$5)*R17+(W$5&lt;K$5)*X17+(AC$5&lt;K$5)*AD17+(AI$5&lt;K$5)*AJ17+(AO$5&lt;K$5)*AP17+(AU$5&lt;K$5)*AV17)))</f>
        <v/>
      </c>
      <c r="N17">
        <f>IF(L17-M17&lt;0.005,0,L17-M17)</f>
        <v/>
      </c>
      <c r="O17">
        <f>T16</f>
        <v/>
      </c>
      <c r="P17">
        <f>O17*Plan!D8/100/12</f>
        <v/>
      </c>
      <c r="Q17">
        <f>MIN(Plan!E8,O17+P17)</f>
        <v/>
      </c>
      <c r="R17">
        <f>O17+P17-Q17</f>
        <v/>
      </c>
      <c r="S17">
        <f>MIN(R17,MAX(0,$B17-((E$5&lt;Q$5)*F17+(K$5&lt;Q$5)*L17+(W$5&lt;Q$5)*X17+(AC$5&lt;Q$5)*AD17+(AI$5&lt;Q$5)*AJ17+(AO$5&lt;Q$5)*AP17+(AU$5&lt;Q$5)*AV17)))</f>
        <v/>
      </c>
      <c r="T17">
        <f>IF(R17-S17&lt;0.005,0,R17-S17)</f>
        <v/>
      </c>
      <c r="U17">
        <f>Z16</f>
        <v/>
      </c>
      <c r="V17">
        <f>U17*Plan!D9/100/12</f>
        <v/>
      </c>
      <c r="W17">
        <f>MIN(Plan!E9,U17+V17)</f>
        <v/>
      </c>
      <c r="X17">
        <f>U17+V17-W17</f>
        <v/>
      </c>
      <c r="Y17">
        <f>MIN(X17,MAX(0,$B17-((E$5&lt;W$5)*F17+(K$5&lt;W$5)*L17+(Q$5&lt;W$5)*R17+(AC$5&lt;W$5)*AD17+(AI$5&lt;W$5)*AJ17+(AO$5&lt;W$5)*AP17+(AU$5&lt;W$5)*AV17)))</f>
        <v/>
      </c>
      <c r="Z17">
        <f>IF(X17-Y17&lt;0.005,0,X17-Y17)</f>
        <v/>
      </c>
      <c r="AA17">
        <f>AF16</f>
        <v/>
      </c>
      <c r="AB17">
        <f>AA17*Plan!D10/100/12</f>
        <v/>
      </c>
      <c r="AC17">
        <f>MIN(Plan!E10,AA17+AB17)</f>
        <v/>
      </c>
      <c r="AD17">
        <f>AA17+AB17-AC17</f>
        <v/>
      </c>
      <c r="AE17">
        <f>MIN(AD17,MAX(0,$B17-((E$5&lt;AC$5)*F17+(K$5&lt;AC$5)*L17+(Q$5&lt;AC$5)*R17+(W$5&lt;AC$5)*X17+(AI$5&lt;AC$5)*AJ17+(AO$5&lt;AC$5)*AP17+(AU$5&lt;AC$5)*AV17)))</f>
        <v/>
      </c>
      <c r="AF17">
        <f>IF(AD17-AE17&lt;0.005,0,AD17-AE17)</f>
        <v/>
      </c>
      <c r="AG17">
        <f>AL16</f>
        <v/>
      </c>
      <c r="AH17">
        <f>AG17*Plan!D11/100/12</f>
        <v/>
      </c>
      <c r="AI17">
        <f>MIN(Plan!E11,AG17+AH17)</f>
        <v/>
      </c>
      <c r="AJ17">
        <f>AG17+AH17-AI17</f>
        <v/>
      </c>
      <c r="AK17">
        <f>MIN(AJ17,MAX(0,$B17-((E$5&lt;AI$5)*F17+(K$5&lt;AI$5)*L17+(Q$5&lt;AI$5)*R17+(W$5&lt;AI$5)*X17+(AC$5&lt;AI$5)*AD17+(AO$5&lt;AI$5)*AP17+(AU$5&lt;AI$5)*AV17)))</f>
        <v/>
      </c>
      <c r="AL17">
        <f>IF(AJ17-AK17&lt;0.005,0,AJ17-AK17)</f>
        <v/>
      </c>
      <c r="AM17">
        <f>AR16</f>
        <v/>
      </c>
      <c r="AN17">
        <f>AM17*Plan!D12/100/12</f>
        <v/>
      </c>
      <c r="AO17">
        <f>MIN(Plan!E12,AM17+AN17)</f>
        <v/>
      </c>
      <c r="AP17">
        <f>AM17+AN17-AO17</f>
        <v/>
      </c>
      <c r="AQ17">
        <f>MIN(AP17,MAX(0,$B17-((E$5&lt;AO$5)*F17+(K$5&lt;AO$5)*L17+(Q$5&lt;AO$5)*R17+(W$5&lt;AO$5)*X17+(AC$5&lt;AO$5)*AD17+(AI$5&lt;AO$5)*AJ17+(AU$5&lt;AO$5)*AV17)))</f>
        <v/>
      </c>
      <c r="AR17">
        <f>IF(AP17-AQ17&lt;0.005,0,AP17-AQ17)</f>
        <v/>
      </c>
      <c r="AS17">
        <f>AX16</f>
        <v/>
      </c>
      <c r="AT17">
        <f>AS17*Plan!D13/100/12</f>
        <v/>
      </c>
      <c r="AU17">
        <f>MIN(Plan!E13,AS17+AT17)</f>
        <v/>
      </c>
      <c r="AV17">
        <f>AS17+AT17-AU17</f>
        <v/>
      </c>
      <c r="AW17">
        <f>MIN(AV17,MAX(0,$B17-((E$5&lt;AU$5)*F17+(K$5&lt;AU$5)*L17+(Q$5&lt;AU$5)*R17+(W$5&lt;AU$5)*X17+(AC$5&lt;AU$5)*AD17+(AI$5&lt;AU$5)*AJ17+(AO$5&lt;AU$5)*AP17)))</f>
        <v/>
      </c>
      <c r="AX17">
        <f>IF(AV17-AW17&lt;0.005,0,AV17-AW17)</f>
        <v/>
      </c>
      <c r="BC17">
        <f>H17+N17+T17+Z17+AF17+AL17+AR17+AX17</f>
        <v/>
      </c>
    </row>
    <row r="18">
      <c r="A18" t="n">
        <v>12</v>
      </c>
      <c r="B18" s="19">
        <f>MAX(0,$B$3-(E18+K18+Q18+W18+AC18+AI18+AO18+AU18))</f>
        <v/>
      </c>
      <c r="C18">
        <f>H17</f>
        <v/>
      </c>
      <c r="D18">
        <f>C18*Plan!D6/100/12</f>
        <v/>
      </c>
      <c r="E18">
        <f>MIN(Plan!E6,C18+D18)</f>
        <v/>
      </c>
      <c r="F18">
        <f>C18+D18-E18</f>
        <v/>
      </c>
      <c r="G18">
        <f>MIN(F18,MAX(0,$B18-((K$5&lt;E$5)*L18+(Q$5&lt;E$5)*R18+(W$5&lt;E$5)*X18+(AC$5&lt;E$5)*AD18+(AI$5&lt;E$5)*AJ18+(AO$5&lt;E$5)*AP18+(AU$5&lt;E$5)*AV18)))</f>
        <v/>
      </c>
      <c r="H18">
        <f>IF(F18-G18&lt;0.005,0,F18-G18)</f>
        <v/>
      </c>
      <c r="I18">
        <f>N17</f>
        <v/>
      </c>
      <c r="J18">
        <f>I18*Plan!D7/100/12</f>
        <v/>
      </c>
      <c r="K18">
        <f>MIN(Plan!E7,I18+J18)</f>
        <v/>
      </c>
      <c r="L18">
        <f>I18+J18-K18</f>
        <v/>
      </c>
      <c r="M18">
        <f>MIN(L18,MAX(0,$B18-((E$5&lt;K$5)*F18+(Q$5&lt;K$5)*R18+(W$5&lt;K$5)*X18+(AC$5&lt;K$5)*AD18+(AI$5&lt;K$5)*AJ18+(AO$5&lt;K$5)*AP18+(AU$5&lt;K$5)*AV18)))</f>
        <v/>
      </c>
      <c r="N18">
        <f>IF(L18-M18&lt;0.005,0,L18-M18)</f>
        <v/>
      </c>
      <c r="O18">
        <f>T17</f>
        <v/>
      </c>
      <c r="P18">
        <f>O18*Plan!D8/100/12</f>
        <v/>
      </c>
      <c r="Q18">
        <f>MIN(Plan!E8,O18+P18)</f>
        <v/>
      </c>
      <c r="R18">
        <f>O18+P18-Q18</f>
        <v/>
      </c>
      <c r="S18">
        <f>MIN(R18,MAX(0,$B18-((E$5&lt;Q$5)*F18+(K$5&lt;Q$5)*L18+(W$5&lt;Q$5)*X18+(AC$5&lt;Q$5)*AD18+(AI$5&lt;Q$5)*AJ18+(AO$5&lt;Q$5)*AP18+(AU$5&lt;Q$5)*AV18)))</f>
        <v/>
      </c>
      <c r="T18">
        <f>IF(R18-S18&lt;0.005,0,R18-S18)</f>
        <v/>
      </c>
      <c r="U18">
        <f>Z17</f>
        <v/>
      </c>
      <c r="V18">
        <f>U18*Plan!D9/100/12</f>
        <v/>
      </c>
      <c r="W18">
        <f>MIN(Plan!E9,U18+V18)</f>
        <v/>
      </c>
      <c r="X18">
        <f>U18+V18-W18</f>
        <v/>
      </c>
      <c r="Y18">
        <f>MIN(X18,MAX(0,$B18-((E$5&lt;W$5)*F18+(K$5&lt;W$5)*L18+(Q$5&lt;W$5)*R18+(AC$5&lt;W$5)*AD18+(AI$5&lt;W$5)*AJ18+(AO$5&lt;W$5)*AP18+(AU$5&lt;W$5)*AV18)))</f>
        <v/>
      </c>
      <c r="Z18">
        <f>IF(X18-Y18&lt;0.005,0,X18-Y18)</f>
        <v/>
      </c>
      <c r="AA18">
        <f>AF17</f>
        <v/>
      </c>
      <c r="AB18">
        <f>AA18*Plan!D10/100/12</f>
        <v/>
      </c>
      <c r="AC18">
        <f>MIN(Plan!E10,AA18+AB18)</f>
        <v/>
      </c>
      <c r="AD18">
        <f>AA18+AB18-AC18</f>
        <v/>
      </c>
      <c r="AE18">
        <f>MIN(AD18,MAX(0,$B18-((E$5&lt;AC$5)*F18+(K$5&lt;AC$5)*L18+(Q$5&lt;AC$5)*R18+(W$5&lt;AC$5)*X18+(AI$5&lt;AC$5)*AJ18+(AO$5&lt;AC$5)*AP18+(AU$5&lt;AC$5)*AV18)))</f>
        <v/>
      </c>
      <c r="AF18">
        <f>IF(AD18-AE18&lt;0.005,0,AD18-AE18)</f>
        <v/>
      </c>
      <c r="AG18">
        <f>AL17</f>
        <v/>
      </c>
      <c r="AH18">
        <f>AG18*Plan!D11/100/12</f>
        <v/>
      </c>
      <c r="AI18">
        <f>MIN(Plan!E11,AG18+AH18)</f>
        <v/>
      </c>
      <c r="AJ18">
        <f>AG18+AH18-AI18</f>
        <v/>
      </c>
      <c r="AK18">
        <f>MIN(AJ18,MAX(0,$B18-((E$5&lt;AI$5)*F18+(K$5&lt;AI$5)*L18+(Q$5&lt;AI$5)*R18+(W$5&lt;AI$5)*X18+(AC$5&lt;AI$5)*AD18+(AO$5&lt;AI$5)*AP18+(AU$5&lt;AI$5)*AV18)))</f>
        <v/>
      </c>
      <c r="AL18">
        <f>IF(AJ18-AK18&lt;0.005,0,AJ18-AK18)</f>
        <v/>
      </c>
      <c r="AM18">
        <f>AR17</f>
        <v/>
      </c>
      <c r="AN18">
        <f>AM18*Plan!D12/100/12</f>
        <v/>
      </c>
      <c r="AO18">
        <f>MIN(Plan!E12,AM18+AN18)</f>
        <v/>
      </c>
      <c r="AP18">
        <f>AM18+AN18-AO18</f>
        <v/>
      </c>
      <c r="AQ18">
        <f>MIN(AP18,MAX(0,$B18-((E$5&lt;AO$5)*F18+(K$5&lt;AO$5)*L18+(Q$5&lt;AO$5)*R18+(W$5&lt;AO$5)*X18+(AC$5&lt;AO$5)*AD18+(AI$5&lt;AO$5)*AJ18+(AU$5&lt;AO$5)*AV18)))</f>
        <v/>
      </c>
      <c r="AR18">
        <f>IF(AP18-AQ18&lt;0.005,0,AP18-AQ18)</f>
        <v/>
      </c>
      <c r="AS18">
        <f>AX17</f>
        <v/>
      </c>
      <c r="AT18">
        <f>AS18*Plan!D13/100/12</f>
        <v/>
      </c>
      <c r="AU18">
        <f>MIN(Plan!E13,AS18+AT18)</f>
        <v/>
      </c>
      <c r="AV18">
        <f>AS18+AT18-AU18</f>
        <v/>
      </c>
      <c r="AW18">
        <f>MIN(AV18,MAX(0,$B18-((E$5&lt;AU$5)*F18+(K$5&lt;AU$5)*L18+(Q$5&lt;AU$5)*R18+(W$5&lt;AU$5)*X18+(AC$5&lt;AU$5)*AD18+(AI$5&lt;AU$5)*AJ18+(AO$5&lt;AU$5)*AP18)))</f>
        <v/>
      </c>
      <c r="AX18">
        <f>IF(AV18-AW18&lt;0.005,0,AV18-AW18)</f>
        <v/>
      </c>
      <c r="BC18">
        <f>H18+N18+T18+Z18+AF18+AL18+AR18+AX18</f>
        <v/>
      </c>
    </row>
    <row r="19">
      <c r="A19" t="n">
        <v>13</v>
      </c>
      <c r="B19" s="19">
        <f>MAX(0,$B$3-(E19+K19+Q19+W19+AC19+AI19+AO19+AU19))</f>
        <v/>
      </c>
      <c r="C19">
        <f>H18</f>
        <v/>
      </c>
      <c r="D19">
        <f>C19*Plan!D6/100/12</f>
        <v/>
      </c>
      <c r="E19">
        <f>MIN(Plan!E6,C19+D19)</f>
        <v/>
      </c>
      <c r="F19">
        <f>C19+D19-E19</f>
        <v/>
      </c>
      <c r="G19">
        <f>MIN(F19,MAX(0,$B19-((K$5&lt;E$5)*L19+(Q$5&lt;E$5)*R19+(W$5&lt;E$5)*X19+(AC$5&lt;E$5)*AD19+(AI$5&lt;E$5)*AJ19+(AO$5&lt;E$5)*AP19+(AU$5&lt;E$5)*AV19)))</f>
        <v/>
      </c>
      <c r="H19">
        <f>IF(F19-G19&lt;0.005,0,F19-G19)</f>
        <v/>
      </c>
      <c r="I19">
        <f>N18</f>
        <v/>
      </c>
      <c r="J19">
        <f>I19*Plan!D7/100/12</f>
        <v/>
      </c>
      <c r="K19">
        <f>MIN(Plan!E7,I19+J19)</f>
        <v/>
      </c>
      <c r="L19">
        <f>I19+J19-K19</f>
        <v/>
      </c>
      <c r="M19">
        <f>MIN(L19,MAX(0,$B19-((E$5&lt;K$5)*F19+(Q$5&lt;K$5)*R19+(W$5&lt;K$5)*X19+(AC$5&lt;K$5)*AD19+(AI$5&lt;K$5)*AJ19+(AO$5&lt;K$5)*AP19+(AU$5&lt;K$5)*AV19)))</f>
        <v/>
      </c>
      <c r="N19">
        <f>IF(L19-M19&lt;0.005,0,L19-M19)</f>
        <v/>
      </c>
      <c r="O19">
        <f>T18</f>
        <v/>
      </c>
      <c r="P19">
        <f>O19*Plan!D8/100/12</f>
        <v/>
      </c>
      <c r="Q19">
        <f>MIN(Plan!E8,O19+P19)</f>
        <v/>
      </c>
      <c r="R19">
        <f>O19+P19-Q19</f>
        <v/>
      </c>
      <c r="S19">
        <f>MIN(R19,MAX(0,$B19-((E$5&lt;Q$5)*F19+(K$5&lt;Q$5)*L19+(W$5&lt;Q$5)*X19+(AC$5&lt;Q$5)*AD19+(AI$5&lt;Q$5)*AJ19+(AO$5&lt;Q$5)*AP19+(AU$5&lt;Q$5)*AV19)))</f>
        <v/>
      </c>
      <c r="T19">
        <f>IF(R19-S19&lt;0.005,0,R19-S19)</f>
        <v/>
      </c>
      <c r="U19">
        <f>Z18</f>
        <v/>
      </c>
      <c r="V19">
        <f>U19*Plan!D9/100/12</f>
        <v/>
      </c>
      <c r="W19">
        <f>MIN(Plan!E9,U19+V19)</f>
        <v/>
      </c>
      <c r="X19">
        <f>U19+V19-W19</f>
        <v/>
      </c>
      <c r="Y19">
        <f>MIN(X19,MAX(0,$B19-((E$5&lt;W$5)*F19+(K$5&lt;W$5)*L19+(Q$5&lt;W$5)*R19+(AC$5&lt;W$5)*AD19+(AI$5&lt;W$5)*AJ19+(AO$5&lt;W$5)*AP19+(AU$5&lt;W$5)*AV19)))</f>
        <v/>
      </c>
      <c r="Z19">
        <f>IF(X19-Y19&lt;0.005,0,X19-Y19)</f>
        <v/>
      </c>
      <c r="AA19">
        <f>AF18</f>
        <v/>
      </c>
      <c r="AB19">
        <f>AA19*Plan!D10/100/12</f>
        <v/>
      </c>
      <c r="AC19">
        <f>MIN(Plan!E10,AA19+AB19)</f>
        <v/>
      </c>
      <c r="AD19">
        <f>AA19+AB19-AC19</f>
        <v/>
      </c>
      <c r="AE19">
        <f>MIN(AD19,MAX(0,$B19-((E$5&lt;AC$5)*F19+(K$5&lt;AC$5)*L19+(Q$5&lt;AC$5)*R19+(W$5&lt;AC$5)*X19+(AI$5&lt;AC$5)*AJ19+(AO$5&lt;AC$5)*AP19+(AU$5&lt;AC$5)*AV19)))</f>
        <v/>
      </c>
      <c r="AF19">
        <f>IF(AD19-AE19&lt;0.005,0,AD19-AE19)</f>
        <v/>
      </c>
      <c r="AG19">
        <f>AL18</f>
        <v/>
      </c>
      <c r="AH19">
        <f>AG19*Plan!D11/100/12</f>
        <v/>
      </c>
      <c r="AI19">
        <f>MIN(Plan!E11,AG19+AH19)</f>
        <v/>
      </c>
      <c r="AJ19">
        <f>AG19+AH19-AI19</f>
        <v/>
      </c>
      <c r="AK19">
        <f>MIN(AJ19,MAX(0,$B19-((E$5&lt;AI$5)*F19+(K$5&lt;AI$5)*L19+(Q$5&lt;AI$5)*R19+(W$5&lt;AI$5)*X19+(AC$5&lt;AI$5)*AD19+(AO$5&lt;AI$5)*AP19+(AU$5&lt;AI$5)*AV19)))</f>
        <v/>
      </c>
      <c r="AL19">
        <f>IF(AJ19-AK19&lt;0.005,0,AJ19-AK19)</f>
        <v/>
      </c>
      <c r="AM19">
        <f>AR18</f>
        <v/>
      </c>
      <c r="AN19">
        <f>AM19*Plan!D12/100/12</f>
        <v/>
      </c>
      <c r="AO19">
        <f>MIN(Plan!E12,AM19+AN19)</f>
        <v/>
      </c>
      <c r="AP19">
        <f>AM19+AN19-AO19</f>
        <v/>
      </c>
      <c r="AQ19">
        <f>MIN(AP19,MAX(0,$B19-((E$5&lt;AO$5)*F19+(K$5&lt;AO$5)*L19+(Q$5&lt;AO$5)*R19+(W$5&lt;AO$5)*X19+(AC$5&lt;AO$5)*AD19+(AI$5&lt;AO$5)*AJ19+(AU$5&lt;AO$5)*AV19)))</f>
        <v/>
      </c>
      <c r="AR19">
        <f>IF(AP19-AQ19&lt;0.005,0,AP19-AQ19)</f>
        <v/>
      </c>
      <c r="AS19">
        <f>AX18</f>
        <v/>
      </c>
      <c r="AT19">
        <f>AS19*Plan!D13/100/12</f>
        <v/>
      </c>
      <c r="AU19">
        <f>MIN(Plan!E13,AS19+AT19)</f>
        <v/>
      </c>
      <c r="AV19">
        <f>AS19+AT19-AU19</f>
        <v/>
      </c>
      <c r="AW19">
        <f>MIN(AV19,MAX(0,$B19-((E$5&lt;AU$5)*F19+(K$5&lt;AU$5)*L19+(Q$5&lt;AU$5)*R19+(W$5&lt;AU$5)*X19+(AC$5&lt;AU$5)*AD19+(AI$5&lt;AU$5)*AJ19+(AO$5&lt;AU$5)*AP19)))</f>
        <v/>
      </c>
      <c r="AX19">
        <f>IF(AV19-AW19&lt;0.005,0,AV19-AW19)</f>
        <v/>
      </c>
      <c r="BC19">
        <f>H19+N19+T19+Z19+AF19+AL19+AR19+AX19</f>
        <v/>
      </c>
    </row>
    <row r="20">
      <c r="A20" t="n">
        <v>14</v>
      </c>
      <c r="B20" s="19">
        <f>MAX(0,$B$3-(E20+K20+Q20+W20+AC20+AI20+AO20+AU20))</f>
        <v/>
      </c>
      <c r="C20">
        <f>H19</f>
        <v/>
      </c>
      <c r="D20">
        <f>C20*Plan!D6/100/12</f>
        <v/>
      </c>
      <c r="E20">
        <f>MIN(Plan!E6,C20+D20)</f>
        <v/>
      </c>
      <c r="F20">
        <f>C20+D20-E20</f>
        <v/>
      </c>
      <c r="G20">
        <f>MIN(F20,MAX(0,$B20-((K$5&lt;E$5)*L20+(Q$5&lt;E$5)*R20+(W$5&lt;E$5)*X20+(AC$5&lt;E$5)*AD20+(AI$5&lt;E$5)*AJ20+(AO$5&lt;E$5)*AP20+(AU$5&lt;E$5)*AV20)))</f>
        <v/>
      </c>
      <c r="H20">
        <f>IF(F20-G20&lt;0.005,0,F20-G20)</f>
        <v/>
      </c>
      <c r="I20">
        <f>N19</f>
        <v/>
      </c>
      <c r="J20">
        <f>I20*Plan!D7/100/12</f>
        <v/>
      </c>
      <c r="K20">
        <f>MIN(Plan!E7,I20+J20)</f>
        <v/>
      </c>
      <c r="L20">
        <f>I20+J20-K20</f>
        <v/>
      </c>
      <c r="M20">
        <f>MIN(L20,MAX(0,$B20-((E$5&lt;K$5)*F20+(Q$5&lt;K$5)*R20+(W$5&lt;K$5)*X20+(AC$5&lt;K$5)*AD20+(AI$5&lt;K$5)*AJ20+(AO$5&lt;K$5)*AP20+(AU$5&lt;K$5)*AV20)))</f>
        <v/>
      </c>
      <c r="N20">
        <f>IF(L20-M20&lt;0.005,0,L20-M20)</f>
        <v/>
      </c>
      <c r="O20">
        <f>T19</f>
        <v/>
      </c>
      <c r="P20">
        <f>O20*Plan!D8/100/12</f>
        <v/>
      </c>
      <c r="Q20">
        <f>MIN(Plan!E8,O20+P20)</f>
        <v/>
      </c>
      <c r="R20">
        <f>O20+P20-Q20</f>
        <v/>
      </c>
      <c r="S20">
        <f>MIN(R20,MAX(0,$B20-((E$5&lt;Q$5)*F20+(K$5&lt;Q$5)*L20+(W$5&lt;Q$5)*X20+(AC$5&lt;Q$5)*AD20+(AI$5&lt;Q$5)*AJ20+(AO$5&lt;Q$5)*AP20+(AU$5&lt;Q$5)*AV20)))</f>
        <v/>
      </c>
      <c r="T20">
        <f>IF(R20-S20&lt;0.005,0,R20-S20)</f>
        <v/>
      </c>
      <c r="U20">
        <f>Z19</f>
        <v/>
      </c>
      <c r="V20">
        <f>U20*Plan!D9/100/12</f>
        <v/>
      </c>
      <c r="W20">
        <f>MIN(Plan!E9,U20+V20)</f>
        <v/>
      </c>
      <c r="X20">
        <f>U20+V20-W20</f>
        <v/>
      </c>
      <c r="Y20">
        <f>MIN(X20,MAX(0,$B20-((E$5&lt;W$5)*F20+(K$5&lt;W$5)*L20+(Q$5&lt;W$5)*R20+(AC$5&lt;W$5)*AD20+(AI$5&lt;W$5)*AJ20+(AO$5&lt;W$5)*AP20+(AU$5&lt;W$5)*AV20)))</f>
        <v/>
      </c>
      <c r="Z20">
        <f>IF(X20-Y20&lt;0.005,0,X20-Y20)</f>
        <v/>
      </c>
      <c r="AA20">
        <f>AF19</f>
        <v/>
      </c>
      <c r="AB20">
        <f>AA20*Plan!D10/100/12</f>
        <v/>
      </c>
      <c r="AC20">
        <f>MIN(Plan!E10,AA20+AB20)</f>
        <v/>
      </c>
      <c r="AD20">
        <f>AA20+AB20-AC20</f>
        <v/>
      </c>
      <c r="AE20">
        <f>MIN(AD20,MAX(0,$B20-((E$5&lt;AC$5)*F20+(K$5&lt;AC$5)*L20+(Q$5&lt;AC$5)*R20+(W$5&lt;AC$5)*X20+(AI$5&lt;AC$5)*AJ20+(AO$5&lt;AC$5)*AP20+(AU$5&lt;AC$5)*AV20)))</f>
        <v/>
      </c>
      <c r="AF20">
        <f>IF(AD20-AE20&lt;0.005,0,AD20-AE20)</f>
        <v/>
      </c>
      <c r="AG20">
        <f>AL19</f>
        <v/>
      </c>
      <c r="AH20">
        <f>AG20*Plan!D11/100/12</f>
        <v/>
      </c>
      <c r="AI20">
        <f>MIN(Plan!E11,AG20+AH20)</f>
        <v/>
      </c>
      <c r="AJ20">
        <f>AG20+AH20-AI20</f>
        <v/>
      </c>
      <c r="AK20">
        <f>MIN(AJ20,MAX(0,$B20-((E$5&lt;AI$5)*F20+(K$5&lt;AI$5)*L20+(Q$5&lt;AI$5)*R20+(W$5&lt;AI$5)*X20+(AC$5&lt;AI$5)*AD20+(AO$5&lt;AI$5)*AP20+(AU$5&lt;AI$5)*AV20)))</f>
        <v/>
      </c>
      <c r="AL20">
        <f>IF(AJ20-AK20&lt;0.005,0,AJ20-AK20)</f>
        <v/>
      </c>
      <c r="AM20">
        <f>AR19</f>
        <v/>
      </c>
      <c r="AN20">
        <f>AM20*Plan!D12/100/12</f>
        <v/>
      </c>
      <c r="AO20">
        <f>MIN(Plan!E12,AM20+AN20)</f>
        <v/>
      </c>
      <c r="AP20">
        <f>AM20+AN20-AO20</f>
        <v/>
      </c>
      <c r="AQ20">
        <f>MIN(AP20,MAX(0,$B20-((E$5&lt;AO$5)*F20+(K$5&lt;AO$5)*L20+(Q$5&lt;AO$5)*R20+(W$5&lt;AO$5)*X20+(AC$5&lt;AO$5)*AD20+(AI$5&lt;AO$5)*AJ20+(AU$5&lt;AO$5)*AV20)))</f>
        <v/>
      </c>
      <c r="AR20">
        <f>IF(AP20-AQ20&lt;0.005,0,AP20-AQ20)</f>
        <v/>
      </c>
      <c r="AS20">
        <f>AX19</f>
        <v/>
      </c>
      <c r="AT20">
        <f>AS20*Plan!D13/100/12</f>
        <v/>
      </c>
      <c r="AU20">
        <f>MIN(Plan!E13,AS20+AT20)</f>
        <v/>
      </c>
      <c r="AV20">
        <f>AS20+AT20-AU20</f>
        <v/>
      </c>
      <c r="AW20">
        <f>MIN(AV20,MAX(0,$B20-((E$5&lt;AU$5)*F20+(K$5&lt;AU$5)*L20+(Q$5&lt;AU$5)*R20+(W$5&lt;AU$5)*X20+(AC$5&lt;AU$5)*AD20+(AI$5&lt;AU$5)*AJ20+(AO$5&lt;AU$5)*AP20)))</f>
        <v/>
      </c>
      <c r="AX20">
        <f>IF(AV20-AW20&lt;0.005,0,AV20-AW20)</f>
        <v/>
      </c>
      <c r="BC20">
        <f>H20+N20+T20+Z20+AF20+AL20+AR20+AX20</f>
        <v/>
      </c>
    </row>
    <row r="21">
      <c r="A21" t="n">
        <v>15</v>
      </c>
      <c r="B21" s="19">
        <f>MAX(0,$B$3-(E21+K21+Q21+W21+AC21+AI21+AO21+AU21))</f>
        <v/>
      </c>
      <c r="C21">
        <f>H20</f>
        <v/>
      </c>
      <c r="D21">
        <f>C21*Plan!D6/100/12</f>
        <v/>
      </c>
      <c r="E21">
        <f>MIN(Plan!E6,C21+D21)</f>
        <v/>
      </c>
      <c r="F21">
        <f>C21+D21-E21</f>
        <v/>
      </c>
      <c r="G21">
        <f>MIN(F21,MAX(0,$B21-((K$5&lt;E$5)*L21+(Q$5&lt;E$5)*R21+(W$5&lt;E$5)*X21+(AC$5&lt;E$5)*AD21+(AI$5&lt;E$5)*AJ21+(AO$5&lt;E$5)*AP21+(AU$5&lt;E$5)*AV21)))</f>
        <v/>
      </c>
      <c r="H21">
        <f>IF(F21-G21&lt;0.005,0,F21-G21)</f>
        <v/>
      </c>
      <c r="I21">
        <f>N20</f>
        <v/>
      </c>
      <c r="J21">
        <f>I21*Plan!D7/100/12</f>
        <v/>
      </c>
      <c r="K21">
        <f>MIN(Plan!E7,I21+J21)</f>
        <v/>
      </c>
      <c r="L21">
        <f>I21+J21-K21</f>
        <v/>
      </c>
      <c r="M21">
        <f>MIN(L21,MAX(0,$B21-((E$5&lt;K$5)*F21+(Q$5&lt;K$5)*R21+(W$5&lt;K$5)*X21+(AC$5&lt;K$5)*AD21+(AI$5&lt;K$5)*AJ21+(AO$5&lt;K$5)*AP21+(AU$5&lt;K$5)*AV21)))</f>
        <v/>
      </c>
      <c r="N21">
        <f>IF(L21-M21&lt;0.005,0,L21-M21)</f>
        <v/>
      </c>
      <c r="O21">
        <f>T20</f>
        <v/>
      </c>
      <c r="P21">
        <f>O21*Plan!D8/100/12</f>
        <v/>
      </c>
      <c r="Q21">
        <f>MIN(Plan!E8,O21+P21)</f>
        <v/>
      </c>
      <c r="R21">
        <f>O21+P21-Q21</f>
        <v/>
      </c>
      <c r="S21">
        <f>MIN(R21,MAX(0,$B21-((E$5&lt;Q$5)*F21+(K$5&lt;Q$5)*L21+(W$5&lt;Q$5)*X21+(AC$5&lt;Q$5)*AD21+(AI$5&lt;Q$5)*AJ21+(AO$5&lt;Q$5)*AP21+(AU$5&lt;Q$5)*AV21)))</f>
        <v/>
      </c>
      <c r="T21">
        <f>IF(R21-S21&lt;0.005,0,R21-S21)</f>
        <v/>
      </c>
      <c r="U21">
        <f>Z20</f>
        <v/>
      </c>
      <c r="V21">
        <f>U21*Plan!D9/100/12</f>
        <v/>
      </c>
      <c r="W21">
        <f>MIN(Plan!E9,U21+V21)</f>
        <v/>
      </c>
      <c r="X21">
        <f>U21+V21-W21</f>
        <v/>
      </c>
      <c r="Y21">
        <f>MIN(X21,MAX(0,$B21-((E$5&lt;W$5)*F21+(K$5&lt;W$5)*L21+(Q$5&lt;W$5)*R21+(AC$5&lt;W$5)*AD21+(AI$5&lt;W$5)*AJ21+(AO$5&lt;W$5)*AP21+(AU$5&lt;W$5)*AV21)))</f>
        <v/>
      </c>
      <c r="Z21">
        <f>IF(X21-Y21&lt;0.005,0,X21-Y21)</f>
        <v/>
      </c>
      <c r="AA21">
        <f>AF20</f>
        <v/>
      </c>
      <c r="AB21">
        <f>AA21*Plan!D10/100/12</f>
        <v/>
      </c>
      <c r="AC21">
        <f>MIN(Plan!E10,AA21+AB21)</f>
        <v/>
      </c>
      <c r="AD21">
        <f>AA21+AB21-AC21</f>
        <v/>
      </c>
      <c r="AE21">
        <f>MIN(AD21,MAX(0,$B21-((E$5&lt;AC$5)*F21+(K$5&lt;AC$5)*L21+(Q$5&lt;AC$5)*R21+(W$5&lt;AC$5)*X21+(AI$5&lt;AC$5)*AJ21+(AO$5&lt;AC$5)*AP21+(AU$5&lt;AC$5)*AV21)))</f>
        <v/>
      </c>
      <c r="AF21">
        <f>IF(AD21-AE21&lt;0.005,0,AD21-AE21)</f>
        <v/>
      </c>
      <c r="AG21">
        <f>AL20</f>
        <v/>
      </c>
      <c r="AH21">
        <f>AG21*Plan!D11/100/12</f>
        <v/>
      </c>
      <c r="AI21">
        <f>MIN(Plan!E11,AG21+AH21)</f>
        <v/>
      </c>
      <c r="AJ21">
        <f>AG21+AH21-AI21</f>
        <v/>
      </c>
      <c r="AK21">
        <f>MIN(AJ21,MAX(0,$B21-((E$5&lt;AI$5)*F21+(K$5&lt;AI$5)*L21+(Q$5&lt;AI$5)*R21+(W$5&lt;AI$5)*X21+(AC$5&lt;AI$5)*AD21+(AO$5&lt;AI$5)*AP21+(AU$5&lt;AI$5)*AV21)))</f>
        <v/>
      </c>
      <c r="AL21">
        <f>IF(AJ21-AK21&lt;0.005,0,AJ21-AK21)</f>
        <v/>
      </c>
      <c r="AM21">
        <f>AR20</f>
        <v/>
      </c>
      <c r="AN21">
        <f>AM21*Plan!D12/100/12</f>
        <v/>
      </c>
      <c r="AO21">
        <f>MIN(Plan!E12,AM21+AN21)</f>
        <v/>
      </c>
      <c r="AP21">
        <f>AM21+AN21-AO21</f>
        <v/>
      </c>
      <c r="AQ21">
        <f>MIN(AP21,MAX(0,$B21-((E$5&lt;AO$5)*F21+(K$5&lt;AO$5)*L21+(Q$5&lt;AO$5)*R21+(W$5&lt;AO$5)*X21+(AC$5&lt;AO$5)*AD21+(AI$5&lt;AO$5)*AJ21+(AU$5&lt;AO$5)*AV21)))</f>
        <v/>
      </c>
      <c r="AR21">
        <f>IF(AP21-AQ21&lt;0.005,0,AP21-AQ21)</f>
        <v/>
      </c>
      <c r="AS21">
        <f>AX20</f>
        <v/>
      </c>
      <c r="AT21">
        <f>AS21*Plan!D13/100/12</f>
        <v/>
      </c>
      <c r="AU21">
        <f>MIN(Plan!E13,AS21+AT21)</f>
        <v/>
      </c>
      <c r="AV21">
        <f>AS21+AT21-AU21</f>
        <v/>
      </c>
      <c r="AW21">
        <f>MIN(AV21,MAX(0,$B21-((E$5&lt;AU$5)*F21+(K$5&lt;AU$5)*L21+(Q$5&lt;AU$5)*R21+(W$5&lt;AU$5)*X21+(AC$5&lt;AU$5)*AD21+(AI$5&lt;AU$5)*AJ21+(AO$5&lt;AU$5)*AP21)))</f>
        <v/>
      </c>
      <c r="AX21">
        <f>IF(AV21-AW21&lt;0.005,0,AV21-AW21)</f>
        <v/>
      </c>
      <c r="BC21">
        <f>H21+N21+T21+Z21+AF21+AL21+AR21+AX21</f>
        <v/>
      </c>
    </row>
    <row r="22">
      <c r="A22" t="n">
        <v>16</v>
      </c>
      <c r="B22" s="19">
        <f>MAX(0,$B$3-(E22+K22+Q22+W22+AC22+AI22+AO22+AU22))</f>
        <v/>
      </c>
      <c r="C22">
        <f>H21</f>
        <v/>
      </c>
      <c r="D22">
        <f>C22*Plan!D6/100/12</f>
        <v/>
      </c>
      <c r="E22">
        <f>MIN(Plan!E6,C22+D22)</f>
        <v/>
      </c>
      <c r="F22">
        <f>C22+D22-E22</f>
        <v/>
      </c>
      <c r="G22">
        <f>MIN(F22,MAX(0,$B22-((K$5&lt;E$5)*L22+(Q$5&lt;E$5)*R22+(W$5&lt;E$5)*X22+(AC$5&lt;E$5)*AD22+(AI$5&lt;E$5)*AJ22+(AO$5&lt;E$5)*AP22+(AU$5&lt;E$5)*AV22)))</f>
        <v/>
      </c>
      <c r="H22">
        <f>IF(F22-G22&lt;0.005,0,F22-G22)</f>
        <v/>
      </c>
      <c r="I22">
        <f>N21</f>
        <v/>
      </c>
      <c r="J22">
        <f>I22*Plan!D7/100/12</f>
        <v/>
      </c>
      <c r="K22">
        <f>MIN(Plan!E7,I22+J22)</f>
        <v/>
      </c>
      <c r="L22">
        <f>I22+J22-K22</f>
        <v/>
      </c>
      <c r="M22">
        <f>MIN(L22,MAX(0,$B22-((E$5&lt;K$5)*F22+(Q$5&lt;K$5)*R22+(W$5&lt;K$5)*X22+(AC$5&lt;K$5)*AD22+(AI$5&lt;K$5)*AJ22+(AO$5&lt;K$5)*AP22+(AU$5&lt;K$5)*AV22)))</f>
        <v/>
      </c>
      <c r="N22">
        <f>IF(L22-M22&lt;0.005,0,L22-M22)</f>
        <v/>
      </c>
      <c r="O22">
        <f>T21</f>
        <v/>
      </c>
      <c r="P22">
        <f>O22*Plan!D8/100/12</f>
        <v/>
      </c>
      <c r="Q22">
        <f>MIN(Plan!E8,O22+P22)</f>
        <v/>
      </c>
      <c r="R22">
        <f>O22+P22-Q22</f>
        <v/>
      </c>
      <c r="S22">
        <f>MIN(R22,MAX(0,$B22-((E$5&lt;Q$5)*F22+(K$5&lt;Q$5)*L22+(W$5&lt;Q$5)*X22+(AC$5&lt;Q$5)*AD22+(AI$5&lt;Q$5)*AJ22+(AO$5&lt;Q$5)*AP22+(AU$5&lt;Q$5)*AV22)))</f>
        <v/>
      </c>
      <c r="T22">
        <f>IF(R22-S22&lt;0.005,0,R22-S22)</f>
        <v/>
      </c>
      <c r="U22">
        <f>Z21</f>
        <v/>
      </c>
      <c r="V22">
        <f>U22*Plan!D9/100/12</f>
        <v/>
      </c>
      <c r="W22">
        <f>MIN(Plan!E9,U22+V22)</f>
        <v/>
      </c>
      <c r="X22">
        <f>U22+V22-W22</f>
        <v/>
      </c>
      <c r="Y22">
        <f>MIN(X22,MAX(0,$B22-((E$5&lt;W$5)*F22+(K$5&lt;W$5)*L22+(Q$5&lt;W$5)*R22+(AC$5&lt;W$5)*AD22+(AI$5&lt;W$5)*AJ22+(AO$5&lt;W$5)*AP22+(AU$5&lt;W$5)*AV22)))</f>
        <v/>
      </c>
      <c r="Z22">
        <f>IF(X22-Y22&lt;0.005,0,X22-Y22)</f>
        <v/>
      </c>
      <c r="AA22">
        <f>AF21</f>
        <v/>
      </c>
      <c r="AB22">
        <f>AA22*Plan!D10/100/12</f>
        <v/>
      </c>
      <c r="AC22">
        <f>MIN(Plan!E10,AA22+AB22)</f>
        <v/>
      </c>
      <c r="AD22">
        <f>AA22+AB22-AC22</f>
        <v/>
      </c>
      <c r="AE22">
        <f>MIN(AD22,MAX(0,$B22-((E$5&lt;AC$5)*F22+(K$5&lt;AC$5)*L22+(Q$5&lt;AC$5)*R22+(W$5&lt;AC$5)*X22+(AI$5&lt;AC$5)*AJ22+(AO$5&lt;AC$5)*AP22+(AU$5&lt;AC$5)*AV22)))</f>
        <v/>
      </c>
      <c r="AF22">
        <f>IF(AD22-AE22&lt;0.005,0,AD22-AE22)</f>
        <v/>
      </c>
      <c r="AG22">
        <f>AL21</f>
        <v/>
      </c>
      <c r="AH22">
        <f>AG22*Plan!D11/100/12</f>
        <v/>
      </c>
      <c r="AI22">
        <f>MIN(Plan!E11,AG22+AH22)</f>
        <v/>
      </c>
      <c r="AJ22">
        <f>AG22+AH22-AI22</f>
        <v/>
      </c>
      <c r="AK22">
        <f>MIN(AJ22,MAX(0,$B22-((E$5&lt;AI$5)*F22+(K$5&lt;AI$5)*L22+(Q$5&lt;AI$5)*R22+(W$5&lt;AI$5)*X22+(AC$5&lt;AI$5)*AD22+(AO$5&lt;AI$5)*AP22+(AU$5&lt;AI$5)*AV22)))</f>
        <v/>
      </c>
      <c r="AL22">
        <f>IF(AJ22-AK22&lt;0.005,0,AJ22-AK22)</f>
        <v/>
      </c>
      <c r="AM22">
        <f>AR21</f>
        <v/>
      </c>
      <c r="AN22">
        <f>AM22*Plan!D12/100/12</f>
        <v/>
      </c>
      <c r="AO22">
        <f>MIN(Plan!E12,AM22+AN22)</f>
        <v/>
      </c>
      <c r="AP22">
        <f>AM22+AN22-AO22</f>
        <v/>
      </c>
      <c r="AQ22">
        <f>MIN(AP22,MAX(0,$B22-((E$5&lt;AO$5)*F22+(K$5&lt;AO$5)*L22+(Q$5&lt;AO$5)*R22+(W$5&lt;AO$5)*X22+(AC$5&lt;AO$5)*AD22+(AI$5&lt;AO$5)*AJ22+(AU$5&lt;AO$5)*AV22)))</f>
        <v/>
      </c>
      <c r="AR22">
        <f>IF(AP22-AQ22&lt;0.005,0,AP22-AQ22)</f>
        <v/>
      </c>
      <c r="AS22">
        <f>AX21</f>
        <v/>
      </c>
      <c r="AT22">
        <f>AS22*Plan!D13/100/12</f>
        <v/>
      </c>
      <c r="AU22">
        <f>MIN(Plan!E13,AS22+AT22)</f>
        <v/>
      </c>
      <c r="AV22">
        <f>AS22+AT22-AU22</f>
        <v/>
      </c>
      <c r="AW22">
        <f>MIN(AV22,MAX(0,$B22-((E$5&lt;AU$5)*F22+(K$5&lt;AU$5)*L22+(Q$5&lt;AU$5)*R22+(W$5&lt;AU$5)*X22+(AC$5&lt;AU$5)*AD22+(AI$5&lt;AU$5)*AJ22+(AO$5&lt;AU$5)*AP22)))</f>
        <v/>
      </c>
      <c r="AX22">
        <f>IF(AV22-AW22&lt;0.005,0,AV22-AW22)</f>
        <v/>
      </c>
      <c r="BC22">
        <f>H22+N22+T22+Z22+AF22+AL22+AR22+AX22</f>
        <v/>
      </c>
    </row>
    <row r="23">
      <c r="A23" t="n">
        <v>17</v>
      </c>
      <c r="B23" s="19">
        <f>MAX(0,$B$3-(E23+K23+Q23+W23+AC23+AI23+AO23+AU23))</f>
        <v/>
      </c>
      <c r="C23">
        <f>H22</f>
        <v/>
      </c>
      <c r="D23">
        <f>C23*Plan!D6/100/12</f>
        <v/>
      </c>
      <c r="E23">
        <f>MIN(Plan!E6,C23+D23)</f>
        <v/>
      </c>
      <c r="F23">
        <f>C23+D23-E23</f>
        <v/>
      </c>
      <c r="G23">
        <f>MIN(F23,MAX(0,$B23-((K$5&lt;E$5)*L23+(Q$5&lt;E$5)*R23+(W$5&lt;E$5)*X23+(AC$5&lt;E$5)*AD23+(AI$5&lt;E$5)*AJ23+(AO$5&lt;E$5)*AP23+(AU$5&lt;E$5)*AV23)))</f>
        <v/>
      </c>
      <c r="H23">
        <f>IF(F23-G23&lt;0.005,0,F23-G23)</f>
        <v/>
      </c>
      <c r="I23">
        <f>N22</f>
        <v/>
      </c>
      <c r="J23">
        <f>I23*Plan!D7/100/12</f>
        <v/>
      </c>
      <c r="K23">
        <f>MIN(Plan!E7,I23+J23)</f>
        <v/>
      </c>
      <c r="L23">
        <f>I23+J23-K23</f>
        <v/>
      </c>
      <c r="M23">
        <f>MIN(L23,MAX(0,$B23-((E$5&lt;K$5)*F23+(Q$5&lt;K$5)*R23+(W$5&lt;K$5)*X23+(AC$5&lt;K$5)*AD23+(AI$5&lt;K$5)*AJ23+(AO$5&lt;K$5)*AP23+(AU$5&lt;K$5)*AV23)))</f>
        <v/>
      </c>
      <c r="N23">
        <f>IF(L23-M23&lt;0.005,0,L23-M23)</f>
        <v/>
      </c>
      <c r="O23">
        <f>T22</f>
        <v/>
      </c>
      <c r="P23">
        <f>O23*Plan!D8/100/12</f>
        <v/>
      </c>
      <c r="Q23">
        <f>MIN(Plan!E8,O23+P23)</f>
        <v/>
      </c>
      <c r="R23">
        <f>O23+P23-Q23</f>
        <v/>
      </c>
      <c r="S23">
        <f>MIN(R23,MAX(0,$B23-((E$5&lt;Q$5)*F23+(K$5&lt;Q$5)*L23+(W$5&lt;Q$5)*X23+(AC$5&lt;Q$5)*AD23+(AI$5&lt;Q$5)*AJ23+(AO$5&lt;Q$5)*AP23+(AU$5&lt;Q$5)*AV23)))</f>
        <v/>
      </c>
      <c r="T23">
        <f>IF(R23-S23&lt;0.005,0,R23-S23)</f>
        <v/>
      </c>
      <c r="U23">
        <f>Z22</f>
        <v/>
      </c>
      <c r="V23">
        <f>U23*Plan!D9/100/12</f>
        <v/>
      </c>
      <c r="W23">
        <f>MIN(Plan!E9,U23+V23)</f>
        <v/>
      </c>
      <c r="X23">
        <f>U23+V23-W23</f>
        <v/>
      </c>
      <c r="Y23">
        <f>MIN(X23,MAX(0,$B23-((E$5&lt;W$5)*F23+(K$5&lt;W$5)*L23+(Q$5&lt;W$5)*R23+(AC$5&lt;W$5)*AD23+(AI$5&lt;W$5)*AJ23+(AO$5&lt;W$5)*AP23+(AU$5&lt;W$5)*AV23)))</f>
        <v/>
      </c>
      <c r="Z23">
        <f>IF(X23-Y23&lt;0.005,0,X23-Y23)</f>
        <v/>
      </c>
      <c r="AA23">
        <f>AF22</f>
        <v/>
      </c>
      <c r="AB23">
        <f>AA23*Plan!D10/100/12</f>
        <v/>
      </c>
      <c r="AC23">
        <f>MIN(Plan!E10,AA23+AB23)</f>
        <v/>
      </c>
      <c r="AD23">
        <f>AA23+AB23-AC23</f>
        <v/>
      </c>
      <c r="AE23">
        <f>MIN(AD23,MAX(0,$B23-((E$5&lt;AC$5)*F23+(K$5&lt;AC$5)*L23+(Q$5&lt;AC$5)*R23+(W$5&lt;AC$5)*X23+(AI$5&lt;AC$5)*AJ23+(AO$5&lt;AC$5)*AP23+(AU$5&lt;AC$5)*AV23)))</f>
        <v/>
      </c>
      <c r="AF23">
        <f>IF(AD23-AE23&lt;0.005,0,AD23-AE23)</f>
        <v/>
      </c>
      <c r="AG23">
        <f>AL22</f>
        <v/>
      </c>
      <c r="AH23">
        <f>AG23*Plan!D11/100/12</f>
        <v/>
      </c>
      <c r="AI23">
        <f>MIN(Plan!E11,AG23+AH23)</f>
        <v/>
      </c>
      <c r="AJ23">
        <f>AG23+AH23-AI23</f>
        <v/>
      </c>
      <c r="AK23">
        <f>MIN(AJ23,MAX(0,$B23-((E$5&lt;AI$5)*F23+(K$5&lt;AI$5)*L23+(Q$5&lt;AI$5)*R23+(W$5&lt;AI$5)*X23+(AC$5&lt;AI$5)*AD23+(AO$5&lt;AI$5)*AP23+(AU$5&lt;AI$5)*AV23)))</f>
        <v/>
      </c>
      <c r="AL23">
        <f>IF(AJ23-AK23&lt;0.005,0,AJ23-AK23)</f>
        <v/>
      </c>
      <c r="AM23">
        <f>AR22</f>
        <v/>
      </c>
      <c r="AN23">
        <f>AM23*Plan!D12/100/12</f>
        <v/>
      </c>
      <c r="AO23">
        <f>MIN(Plan!E12,AM23+AN23)</f>
        <v/>
      </c>
      <c r="AP23">
        <f>AM23+AN23-AO23</f>
        <v/>
      </c>
      <c r="AQ23">
        <f>MIN(AP23,MAX(0,$B23-((E$5&lt;AO$5)*F23+(K$5&lt;AO$5)*L23+(Q$5&lt;AO$5)*R23+(W$5&lt;AO$5)*X23+(AC$5&lt;AO$5)*AD23+(AI$5&lt;AO$5)*AJ23+(AU$5&lt;AO$5)*AV23)))</f>
        <v/>
      </c>
      <c r="AR23">
        <f>IF(AP23-AQ23&lt;0.005,0,AP23-AQ23)</f>
        <v/>
      </c>
      <c r="AS23">
        <f>AX22</f>
        <v/>
      </c>
      <c r="AT23">
        <f>AS23*Plan!D13/100/12</f>
        <v/>
      </c>
      <c r="AU23">
        <f>MIN(Plan!E13,AS23+AT23)</f>
        <v/>
      </c>
      <c r="AV23">
        <f>AS23+AT23-AU23</f>
        <v/>
      </c>
      <c r="AW23">
        <f>MIN(AV23,MAX(0,$B23-((E$5&lt;AU$5)*F23+(K$5&lt;AU$5)*L23+(Q$5&lt;AU$5)*R23+(W$5&lt;AU$5)*X23+(AC$5&lt;AU$5)*AD23+(AI$5&lt;AU$5)*AJ23+(AO$5&lt;AU$5)*AP23)))</f>
        <v/>
      </c>
      <c r="AX23">
        <f>IF(AV23-AW23&lt;0.005,0,AV23-AW23)</f>
        <v/>
      </c>
      <c r="BC23">
        <f>H23+N23+T23+Z23+AF23+AL23+AR23+AX23</f>
        <v/>
      </c>
    </row>
    <row r="24">
      <c r="A24" t="n">
        <v>18</v>
      </c>
      <c r="B24" s="19">
        <f>MAX(0,$B$3-(E24+K24+Q24+W24+AC24+AI24+AO24+AU24))</f>
        <v/>
      </c>
      <c r="C24">
        <f>H23</f>
        <v/>
      </c>
      <c r="D24">
        <f>C24*Plan!D6/100/12</f>
        <v/>
      </c>
      <c r="E24">
        <f>MIN(Plan!E6,C24+D24)</f>
        <v/>
      </c>
      <c r="F24">
        <f>C24+D24-E24</f>
        <v/>
      </c>
      <c r="G24">
        <f>MIN(F24,MAX(0,$B24-((K$5&lt;E$5)*L24+(Q$5&lt;E$5)*R24+(W$5&lt;E$5)*X24+(AC$5&lt;E$5)*AD24+(AI$5&lt;E$5)*AJ24+(AO$5&lt;E$5)*AP24+(AU$5&lt;E$5)*AV24)))</f>
        <v/>
      </c>
      <c r="H24">
        <f>IF(F24-G24&lt;0.005,0,F24-G24)</f>
        <v/>
      </c>
      <c r="I24">
        <f>N23</f>
        <v/>
      </c>
      <c r="J24">
        <f>I24*Plan!D7/100/12</f>
        <v/>
      </c>
      <c r="K24">
        <f>MIN(Plan!E7,I24+J24)</f>
        <v/>
      </c>
      <c r="L24">
        <f>I24+J24-K24</f>
        <v/>
      </c>
      <c r="M24">
        <f>MIN(L24,MAX(0,$B24-((E$5&lt;K$5)*F24+(Q$5&lt;K$5)*R24+(W$5&lt;K$5)*X24+(AC$5&lt;K$5)*AD24+(AI$5&lt;K$5)*AJ24+(AO$5&lt;K$5)*AP24+(AU$5&lt;K$5)*AV24)))</f>
        <v/>
      </c>
      <c r="N24">
        <f>IF(L24-M24&lt;0.005,0,L24-M24)</f>
        <v/>
      </c>
      <c r="O24">
        <f>T23</f>
        <v/>
      </c>
      <c r="P24">
        <f>O24*Plan!D8/100/12</f>
        <v/>
      </c>
      <c r="Q24">
        <f>MIN(Plan!E8,O24+P24)</f>
        <v/>
      </c>
      <c r="R24">
        <f>O24+P24-Q24</f>
        <v/>
      </c>
      <c r="S24">
        <f>MIN(R24,MAX(0,$B24-((E$5&lt;Q$5)*F24+(K$5&lt;Q$5)*L24+(W$5&lt;Q$5)*X24+(AC$5&lt;Q$5)*AD24+(AI$5&lt;Q$5)*AJ24+(AO$5&lt;Q$5)*AP24+(AU$5&lt;Q$5)*AV24)))</f>
        <v/>
      </c>
      <c r="T24">
        <f>IF(R24-S24&lt;0.005,0,R24-S24)</f>
        <v/>
      </c>
      <c r="U24">
        <f>Z23</f>
        <v/>
      </c>
      <c r="V24">
        <f>U24*Plan!D9/100/12</f>
        <v/>
      </c>
      <c r="W24">
        <f>MIN(Plan!E9,U24+V24)</f>
        <v/>
      </c>
      <c r="X24">
        <f>U24+V24-W24</f>
        <v/>
      </c>
      <c r="Y24">
        <f>MIN(X24,MAX(0,$B24-((E$5&lt;W$5)*F24+(K$5&lt;W$5)*L24+(Q$5&lt;W$5)*R24+(AC$5&lt;W$5)*AD24+(AI$5&lt;W$5)*AJ24+(AO$5&lt;W$5)*AP24+(AU$5&lt;W$5)*AV24)))</f>
        <v/>
      </c>
      <c r="Z24">
        <f>IF(X24-Y24&lt;0.005,0,X24-Y24)</f>
        <v/>
      </c>
      <c r="AA24">
        <f>AF23</f>
        <v/>
      </c>
      <c r="AB24">
        <f>AA24*Plan!D10/100/12</f>
        <v/>
      </c>
      <c r="AC24">
        <f>MIN(Plan!E10,AA24+AB24)</f>
        <v/>
      </c>
      <c r="AD24">
        <f>AA24+AB24-AC24</f>
        <v/>
      </c>
      <c r="AE24">
        <f>MIN(AD24,MAX(0,$B24-((E$5&lt;AC$5)*F24+(K$5&lt;AC$5)*L24+(Q$5&lt;AC$5)*R24+(W$5&lt;AC$5)*X24+(AI$5&lt;AC$5)*AJ24+(AO$5&lt;AC$5)*AP24+(AU$5&lt;AC$5)*AV24)))</f>
        <v/>
      </c>
      <c r="AF24">
        <f>IF(AD24-AE24&lt;0.005,0,AD24-AE24)</f>
        <v/>
      </c>
      <c r="AG24">
        <f>AL23</f>
        <v/>
      </c>
      <c r="AH24">
        <f>AG24*Plan!D11/100/12</f>
        <v/>
      </c>
      <c r="AI24">
        <f>MIN(Plan!E11,AG24+AH24)</f>
        <v/>
      </c>
      <c r="AJ24">
        <f>AG24+AH24-AI24</f>
        <v/>
      </c>
      <c r="AK24">
        <f>MIN(AJ24,MAX(0,$B24-((E$5&lt;AI$5)*F24+(K$5&lt;AI$5)*L24+(Q$5&lt;AI$5)*R24+(W$5&lt;AI$5)*X24+(AC$5&lt;AI$5)*AD24+(AO$5&lt;AI$5)*AP24+(AU$5&lt;AI$5)*AV24)))</f>
        <v/>
      </c>
      <c r="AL24">
        <f>IF(AJ24-AK24&lt;0.005,0,AJ24-AK24)</f>
        <v/>
      </c>
      <c r="AM24">
        <f>AR23</f>
        <v/>
      </c>
      <c r="AN24">
        <f>AM24*Plan!D12/100/12</f>
        <v/>
      </c>
      <c r="AO24">
        <f>MIN(Plan!E12,AM24+AN24)</f>
        <v/>
      </c>
      <c r="AP24">
        <f>AM24+AN24-AO24</f>
        <v/>
      </c>
      <c r="AQ24">
        <f>MIN(AP24,MAX(0,$B24-((E$5&lt;AO$5)*F24+(K$5&lt;AO$5)*L24+(Q$5&lt;AO$5)*R24+(W$5&lt;AO$5)*X24+(AC$5&lt;AO$5)*AD24+(AI$5&lt;AO$5)*AJ24+(AU$5&lt;AO$5)*AV24)))</f>
        <v/>
      </c>
      <c r="AR24">
        <f>IF(AP24-AQ24&lt;0.005,0,AP24-AQ24)</f>
        <v/>
      </c>
      <c r="AS24">
        <f>AX23</f>
        <v/>
      </c>
      <c r="AT24">
        <f>AS24*Plan!D13/100/12</f>
        <v/>
      </c>
      <c r="AU24">
        <f>MIN(Plan!E13,AS24+AT24)</f>
        <v/>
      </c>
      <c r="AV24">
        <f>AS24+AT24-AU24</f>
        <v/>
      </c>
      <c r="AW24">
        <f>MIN(AV24,MAX(0,$B24-((E$5&lt;AU$5)*F24+(K$5&lt;AU$5)*L24+(Q$5&lt;AU$5)*R24+(W$5&lt;AU$5)*X24+(AC$5&lt;AU$5)*AD24+(AI$5&lt;AU$5)*AJ24+(AO$5&lt;AU$5)*AP24)))</f>
        <v/>
      </c>
      <c r="AX24">
        <f>IF(AV24-AW24&lt;0.005,0,AV24-AW24)</f>
        <v/>
      </c>
      <c r="BC24">
        <f>H24+N24+T24+Z24+AF24+AL24+AR24+AX24</f>
        <v/>
      </c>
    </row>
    <row r="25">
      <c r="A25" t="n">
        <v>19</v>
      </c>
      <c r="B25" s="19">
        <f>MAX(0,$B$3-(E25+K25+Q25+W25+AC25+AI25+AO25+AU25))</f>
        <v/>
      </c>
      <c r="C25">
        <f>H24</f>
        <v/>
      </c>
      <c r="D25">
        <f>C25*Plan!D6/100/12</f>
        <v/>
      </c>
      <c r="E25">
        <f>MIN(Plan!E6,C25+D25)</f>
        <v/>
      </c>
      <c r="F25">
        <f>C25+D25-E25</f>
        <v/>
      </c>
      <c r="G25">
        <f>MIN(F25,MAX(0,$B25-((K$5&lt;E$5)*L25+(Q$5&lt;E$5)*R25+(W$5&lt;E$5)*X25+(AC$5&lt;E$5)*AD25+(AI$5&lt;E$5)*AJ25+(AO$5&lt;E$5)*AP25+(AU$5&lt;E$5)*AV25)))</f>
        <v/>
      </c>
      <c r="H25">
        <f>IF(F25-G25&lt;0.005,0,F25-G25)</f>
        <v/>
      </c>
      <c r="I25">
        <f>N24</f>
        <v/>
      </c>
      <c r="J25">
        <f>I25*Plan!D7/100/12</f>
        <v/>
      </c>
      <c r="K25">
        <f>MIN(Plan!E7,I25+J25)</f>
        <v/>
      </c>
      <c r="L25">
        <f>I25+J25-K25</f>
        <v/>
      </c>
      <c r="M25">
        <f>MIN(L25,MAX(0,$B25-((E$5&lt;K$5)*F25+(Q$5&lt;K$5)*R25+(W$5&lt;K$5)*X25+(AC$5&lt;K$5)*AD25+(AI$5&lt;K$5)*AJ25+(AO$5&lt;K$5)*AP25+(AU$5&lt;K$5)*AV25)))</f>
        <v/>
      </c>
      <c r="N25">
        <f>IF(L25-M25&lt;0.005,0,L25-M25)</f>
        <v/>
      </c>
      <c r="O25">
        <f>T24</f>
        <v/>
      </c>
      <c r="P25">
        <f>O25*Plan!D8/100/12</f>
        <v/>
      </c>
      <c r="Q25">
        <f>MIN(Plan!E8,O25+P25)</f>
        <v/>
      </c>
      <c r="R25">
        <f>O25+P25-Q25</f>
        <v/>
      </c>
      <c r="S25">
        <f>MIN(R25,MAX(0,$B25-((E$5&lt;Q$5)*F25+(K$5&lt;Q$5)*L25+(W$5&lt;Q$5)*X25+(AC$5&lt;Q$5)*AD25+(AI$5&lt;Q$5)*AJ25+(AO$5&lt;Q$5)*AP25+(AU$5&lt;Q$5)*AV25)))</f>
        <v/>
      </c>
      <c r="T25">
        <f>IF(R25-S25&lt;0.005,0,R25-S25)</f>
        <v/>
      </c>
      <c r="U25">
        <f>Z24</f>
        <v/>
      </c>
      <c r="V25">
        <f>U25*Plan!D9/100/12</f>
        <v/>
      </c>
      <c r="W25">
        <f>MIN(Plan!E9,U25+V25)</f>
        <v/>
      </c>
      <c r="X25">
        <f>U25+V25-W25</f>
        <v/>
      </c>
      <c r="Y25">
        <f>MIN(X25,MAX(0,$B25-((E$5&lt;W$5)*F25+(K$5&lt;W$5)*L25+(Q$5&lt;W$5)*R25+(AC$5&lt;W$5)*AD25+(AI$5&lt;W$5)*AJ25+(AO$5&lt;W$5)*AP25+(AU$5&lt;W$5)*AV25)))</f>
        <v/>
      </c>
      <c r="Z25">
        <f>IF(X25-Y25&lt;0.005,0,X25-Y25)</f>
        <v/>
      </c>
      <c r="AA25">
        <f>AF24</f>
        <v/>
      </c>
      <c r="AB25">
        <f>AA25*Plan!D10/100/12</f>
        <v/>
      </c>
      <c r="AC25">
        <f>MIN(Plan!E10,AA25+AB25)</f>
        <v/>
      </c>
      <c r="AD25">
        <f>AA25+AB25-AC25</f>
        <v/>
      </c>
      <c r="AE25">
        <f>MIN(AD25,MAX(0,$B25-((E$5&lt;AC$5)*F25+(K$5&lt;AC$5)*L25+(Q$5&lt;AC$5)*R25+(W$5&lt;AC$5)*X25+(AI$5&lt;AC$5)*AJ25+(AO$5&lt;AC$5)*AP25+(AU$5&lt;AC$5)*AV25)))</f>
        <v/>
      </c>
      <c r="AF25">
        <f>IF(AD25-AE25&lt;0.005,0,AD25-AE25)</f>
        <v/>
      </c>
      <c r="AG25">
        <f>AL24</f>
        <v/>
      </c>
      <c r="AH25">
        <f>AG25*Plan!D11/100/12</f>
        <v/>
      </c>
      <c r="AI25">
        <f>MIN(Plan!E11,AG25+AH25)</f>
        <v/>
      </c>
      <c r="AJ25">
        <f>AG25+AH25-AI25</f>
        <v/>
      </c>
      <c r="AK25">
        <f>MIN(AJ25,MAX(0,$B25-((E$5&lt;AI$5)*F25+(K$5&lt;AI$5)*L25+(Q$5&lt;AI$5)*R25+(W$5&lt;AI$5)*X25+(AC$5&lt;AI$5)*AD25+(AO$5&lt;AI$5)*AP25+(AU$5&lt;AI$5)*AV25)))</f>
        <v/>
      </c>
      <c r="AL25">
        <f>IF(AJ25-AK25&lt;0.005,0,AJ25-AK25)</f>
        <v/>
      </c>
      <c r="AM25">
        <f>AR24</f>
        <v/>
      </c>
      <c r="AN25">
        <f>AM25*Plan!D12/100/12</f>
        <v/>
      </c>
      <c r="AO25">
        <f>MIN(Plan!E12,AM25+AN25)</f>
        <v/>
      </c>
      <c r="AP25">
        <f>AM25+AN25-AO25</f>
        <v/>
      </c>
      <c r="AQ25">
        <f>MIN(AP25,MAX(0,$B25-((E$5&lt;AO$5)*F25+(K$5&lt;AO$5)*L25+(Q$5&lt;AO$5)*R25+(W$5&lt;AO$5)*X25+(AC$5&lt;AO$5)*AD25+(AI$5&lt;AO$5)*AJ25+(AU$5&lt;AO$5)*AV25)))</f>
        <v/>
      </c>
      <c r="AR25">
        <f>IF(AP25-AQ25&lt;0.005,0,AP25-AQ25)</f>
        <v/>
      </c>
      <c r="AS25">
        <f>AX24</f>
        <v/>
      </c>
      <c r="AT25">
        <f>AS25*Plan!D13/100/12</f>
        <v/>
      </c>
      <c r="AU25">
        <f>MIN(Plan!E13,AS25+AT25)</f>
        <v/>
      </c>
      <c r="AV25">
        <f>AS25+AT25-AU25</f>
        <v/>
      </c>
      <c r="AW25">
        <f>MIN(AV25,MAX(0,$B25-((E$5&lt;AU$5)*F25+(K$5&lt;AU$5)*L25+(Q$5&lt;AU$5)*R25+(W$5&lt;AU$5)*X25+(AC$5&lt;AU$5)*AD25+(AI$5&lt;AU$5)*AJ25+(AO$5&lt;AU$5)*AP25)))</f>
        <v/>
      </c>
      <c r="AX25">
        <f>IF(AV25-AW25&lt;0.005,0,AV25-AW25)</f>
        <v/>
      </c>
      <c r="BC25">
        <f>H25+N25+T25+Z25+AF25+AL25+AR25+AX25</f>
        <v/>
      </c>
    </row>
    <row r="26">
      <c r="A26" t="n">
        <v>20</v>
      </c>
      <c r="B26" s="19">
        <f>MAX(0,$B$3-(E26+K26+Q26+W26+AC26+AI26+AO26+AU26))</f>
        <v/>
      </c>
      <c r="C26">
        <f>H25</f>
        <v/>
      </c>
      <c r="D26">
        <f>C26*Plan!D6/100/12</f>
        <v/>
      </c>
      <c r="E26">
        <f>MIN(Plan!E6,C26+D26)</f>
        <v/>
      </c>
      <c r="F26">
        <f>C26+D26-E26</f>
        <v/>
      </c>
      <c r="G26">
        <f>MIN(F26,MAX(0,$B26-((K$5&lt;E$5)*L26+(Q$5&lt;E$5)*R26+(W$5&lt;E$5)*X26+(AC$5&lt;E$5)*AD26+(AI$5&lt;E$5)*AJ26+(AO$5&lt;E$5)*AP26+(AU$5&lt;E$5)*AV26)))</f>
        <v/>
      </c>
      <c r="H26">
        <f>IF(F26-G26&lt;0.005,0,F26-G26)</f>
        <v/>
      </c>
      <c r="I26">
        <f>N25</f>
        <v/>
      </c>
      <c r="J26">
        <f>I26*Plan!D7/100/12</f>
        <v/>
      </c>
      <c r="K26">
        <f>MIN(Plan!E7,I26+J26)</f>
        <v/>
      </c>
      <c r="L26">
        <f>I26+J26-K26</f>
        <v/>
      </c>
      <c r="M26">
        <f>MIN(L26,MAX(0,$B26-((E$5&lt;K$5)*F26+(Q$5&lt;K$5)*R26+(W$5&lt;K$5)*X26+(AC$5&lt;K$5)*AD26+(AI$5&lt;K$5)*AJ26+(AO$5&lt;K$5)*AP26+(AU$5&lt;K$5)*AV26)))</f>
        <v/>
      </c>
      <c r="N26">
        <f>IF(L26-M26&lt;0.005,0,L26-M26)</f>
        <v/>
      </c>
      <c r="O26">
        <f>T25</f>
        <v/>
      </c>
      <c r="P26">
        <f>O26*Plan!D8/100/12</f>
        <v/>
      </c>
      <c r="Q26">
        <f>MIN(Plan!E8,O26+P26)</f>
        <v/>
      </c>
      <c r="R26">
        <f>O26+P26-Q26</f>
        <v/>
      </c>
      <c r="S26">
        <f>MIN(R26,MAX(0,$B26-((E$5&lt;Q$5)*F26+(K$5&lt;Q$5)*L26+(W$5&lt;Q$5)*X26+(AC$5&lt;Q$5)*AD26+(AI$5&lt;Q$5)*AJ26+(AO$5&lt;Q$5)*AP26+(AU$5&lt;Q$5)*AV26)))</f>
        <v/>
      </c>
      <c r="T26">
        <f>IF(R26-S26&lt;0.005,0,R26-S26)</f>
        <v/>
      </c>
      <c r="U26">
        <f>Z25</f>
        <v/>
      </c>
      <c r="V26">
        <f>U26*Plan!D9/100/12</f>
        <v/>
      </c>
      <c r="W26">
        <f>MIN(Plan!E9,U26+V26)</f>
        <v/>
      </c>
      <c r="X26">
        <f>U26+V26-W26</f>
        <v/>
      </c>
      <c r="Y26">
        <f>MIN(X26,MAX(0,$B26-((E$5&lt;W$5)*F26+(K$5&lt;W$5)*L26+(Q$5&lt;W$5)*R26+(AC$5&lt;W$5)*AD26+(AI$5&lt;W$5)*AJ26+(AO$5&lt;W$5)*AP26+(AU$5&lt;W$5)*AV26)))</f>
        <v/>
      </c>
      <c r="Z26">
        <f>IF(X26-Y26&lt;0.005,0,X26-Y26)</f>
        <v/>
      </c>
      <c r="AA26">
        <f>AF25</f>
        <v/>
      </c>
      <c r="AB26">
        <f>AA26*Plan!D10/100/12</f>
        <v/>
      </c>
      <c r="AC26">
        <f>MIN(Plan!E10,AA26+AB26)</f>
        <v/>
      </c>
      <c r="AD26">
        <f>AA26+AB26-AC26</f>
        <v/>
      </c>
      <c r="AE26">
        <f>MIN(AD26,MAX(0,$B26-((E$5&lt;AC$5)*F26+(K$5&lt;AC$5)*L26+(Q$5&lt;AC$5)*R26+(W$5&lt;AC$5)*X26+(AI$5&lt;AC$5)*AJ26+(AO$5&lt;AC$5)*AP26+(AU$5&lt;AC$5)*AV26)))</f>
        <v/>
      </c>
      <c r="AF26">
        <f>IF(AD26-AE26&lt;0.005,0,AD26-AE26)</f>
        <v/>
      </c>
      <c r="AG26">
        <f>AL25</f>
        <v/>
      </c>
      <c r="AH26">
        <f>AG26*Plan!D11/100/12</f>
        <v/>
      </c>
      <c r="AI26">
        <f>MIN(Plan!E11,AG26+AH26)</f>
        <v/>
      </c>
      <c r="AJ26">
        <f>AG26+AH26-AI26</f>
        <v/>
      </c>
      <c r="AK26">
        <f>MIN(AJ26,MAX(0,$B26-((E$5&lt;AI$5)*F26+(K$5&lt;AI$5)*L26+(Q$5&lt;AI$5)*R26+(W$5&lt;AI$5)*X26+(AC$5&lt;AI$5)*AD26+(AO$5&lt;AI$5)*AP26+(AU$5&lt;AI$5)*AV26)))</f>
        <v/>
      </c>
      <c r="AL26">
        <f>IF(AJ26-AK26&lt;0.005,0,AJ26-AK26)</f>
        <v/>
      </c>
      <c r="AM26">
        <f>AR25</f>
        <v/>
      </c>
      <c r="AN26">
        <f>AM26*Plan!D12/100/12</f>
        <v/>
      </c>
      <c r="AO26">
        <f>MIN(Plan!E12,AM26+AN26)</f>
        <v/>
      </c>
      <c r="AP26">
        <f>AM26+AN26-AO26</f>
        <v/>
      </c>
      <c r="AQ26">
        <f>MIN(AP26,MAX(0,$B26-((E$5&lt;AO$5)*F26+(K$5&lt;AO$5)*L26+(Q$5&lt;AO$5)*R26+(W$5&lt;AO$5)*X26+(AC$5&lt;AO$5)*AD26+(AI$5&lt;AO$5)*AJ26+(AU$5&lt;AO$5)*AV26)))</f>
        <v/>
      </c>
      <c r="AR26">
        <f>IF(AP26-AQ26&lt;0.005,0,AP26-AQ26)</f>
        <v/>
      </c>
      <c r="AS26">
        <f>AX25</f>
        <v/>
      </c>
      <c r="AT26">
        <f>AS26*Plan!D13/100/12</f>
        <v/>
      </c>
      <c r="AU26">
        <f>MIN(Plan!E13,AS26+AT26)</f>
        <v/>
      </c>
      <c r="AV26">
        <f>AS26+AT26-AU26</f>
        <v/>
      </c>
      <c r="AW26">
        <f>MIN(AV26,MAX(0,$B26-((E$5&lt;AU$5)*F26+(K$5&lt;AU$5)*L26+(Q$5&lt;AU$5)*R26+(W$5&lt;AU$5)*X26+(AC$5&lt;AU$5)*AD26+(AI$5&lt;AU$5)*AJ26+(AO$5&lt;AU$5)*AP26)))</f>
        <v/>
      </c>
      <c r="AX26">
        <f>IF(AV26-AW26&lt;0.005,0,AV26-AW26)</f>
        <v/>
      </c>
      <c r="BC26">
        <f>H26+N26+T26+Z26+AF26+AL26+AR26+AX26</f>
        <v/>
      </c>
    </row>
    <row r="27">
      <c r="A27" t="n">
        <v>21</v>
      </c>
      <c r="B27" s="19">
        <f>MAX(0,$B$3-(E27+K27+Q27+W27+AC27+AI27+AO27+AU27))</f>
        <v/>
      </c>
      <c r="C27">
        <f>H26</f>
        <v/>
      </c>
      <c r="D27">
        <f>C27*Plan!D6/100/12</f>
        <v/>
      </c>
      <c r="E27">
        <f>MIN(Plan!E6,C27+D27)</f>
        <v/>
      </c>
      <c r="F27">
        <f>C27+D27-E27</f>
        <v/>
      </c>
      <c r="G27">
        <f>MIN(F27,MAX(0,$B27-((K$5&lt;E$5)*L27+(Q$5&lt;E$5)*R27+(W$5&lt;E$5)*X27+(AC$5&lt;E$5)*AD27+(AI$5&lt;E$5)*AJ27+(AO$5&lt;E$5)*AP27+(AU$5&lt;E$5)*AV27)))</f>
        <v/>
      </c>
      <c r="H27">
        <f>IF(F27-G27&lt;0.005,0,F27-G27)</f>
        <v/>
      </c>
      <c r="I27">
        <f>N26</f>
        <v/>
      </c>
      <c r="J27">
        <f>I27*Plan!D7/100/12</f>
        <v/>
      </c>
      <c r="K27">
        <f>MIN(Plan!E7,I27+J27)</f>
        <v/>
      </c>
      <c r="L27">
        <f>I27+J27-K27</f>
        <v/>
      </c>
      <c r="M27">
        <f>MIN(L27,MAX(0,$B27-((E$5&lt;K$5)*F27+(Q$5&lt;K$5)*R27+(W$5&lt;K$5)*X27+(AC$5&lt;K$5)*AD27+(AI$5&lt;K$5)*AJ27+(AO$5&lt;K$5)*AP27+(AU$5&lt;K$5)*AV27)))</f>
        <v/>
      </c>
      <c r="N27">
        <f>IF(L27-M27&lt;0.005,0,L27-M27)</f>
        <v/>
      </c>
      <c r="O27">
        <f>T26</f>
        <v/>
      </c>
      <c r="P27">
        <f>O27*Plan!D8/100/12</f>
        <v/>
      </c>
      <c r="Q27">
        <f>MIN(Plan!E8,O27+P27)</f>
        <v/>
      </c>
      <c r="R27">
        <f>O27+P27-Q27</f>
        <v/>
      </c>
      <c r="S27">
        <f>MIN(R27,MAX(0,$B27-((E$5&lt;Q$5)*F27+(K$5&lt;Q$5)*L27+(W$5&lt;Q$5)*X27+(AC$5&lt;Q$5)*AD27+(AI$5&lt;Q$5)*AJ27+(AO$5&lt;Q$5)*AP27+(AU$5&lt;Q$5)*AV27)))</f>
        <v/>
      </c>
      <c r="T27">
        <f>IF(R27-S27&lt;0.005,0,R27-S27)</f>
        <v/>
      </c>
      <c r="U27">
        <f>Z26</f>
        <v/>
      </c>
      <c r="V27">
        <f>U27*Plan!D9/100/12</f>
        <v/>
      </c>
      <c r="W27">
        <f>MIN(Plan!E9,U27+V27)</f>
        <v/>
      </c>
      <c r="X27">
        <f>U27+V27-W27</f>
        <v/>
      </c>
      <c r="Y27">
        <f>MIN(X27,MAX(0,$B27-((E$5&lt;W$5)*F27+(K$5&lt;W$5)*L27+(Q$5&lt;W$5)*R27+(AC$5&lt;W$5)*AD27+(AI$5&lt;W$5)*AJ27+(AO$5&lt;W$5)*AP27+(AU$5&lt;W$5)*AV27)))</f>
        <v/>
      </c>
      <c r="Z27">
        <f>IF(X27-Y27&lt;0.005,0,X27-Y27)</f>
        <v/>
      </c>
      <c r="AA27">
        <f>AF26</f>
        <v/>
      </c>
      <c r="AB27">
        <f>AA27*Plan!D10/100/12</f>
        <v/>
      </c>
      <c r="AC27">
        <f>MIN(Plan!E10,AA27+AB27)</f>
        <v/>
      </c>
      <c r="AD27">
        <f>AA27+AB27-AC27</f>
        <v/>
      </c>
      <c r="AE27">
        <f>MIN(AD27,MAX(0,$B27-((E$5&lt;AC$5)*F27+(K$5&lt;AC$5)*L27+(Q$5&lt;AC$5)*R27+(W$5&lt;AC$5)*X27+(AI$5&lt;AC$5)*AJ27+(AO$5&lt;AC$5)*AP27+(AU$5&lt;AC$5)*AV27)))</f>
        <v/>
      </c>
      <c r="AF27">
        <f>IF(AD27-AE27&lt;0.005,0,AD27-AE27)</f>
        <v/>
      </c>
      <c r="AG27">
        <f>AL26</f>
        <v/>
      </c>
      <c r="AH27">
        <f>AG27*Plan!D11/100/12</f>
        <v/>
      </c>
      <c r="AI27">
        <f>MIN(Plan!E11,AG27+AH27)</f>
        <v/>
      </c>
      <c r="AJ27">
        <f>AG27+AH27-AI27</f>
        <v/>
      </c>
      <c r="AK27">
        <f>MIN(AJ27,MAX(0,$B27-((E$5&lt;AI$5)*F27+(K$5&lt;AI$5)*L27+(Q$5&lt;AI$5)*R27+(W$5&lt;AI$5)*X27+(AC$5&lt;AI$5)*AD27+(AO$5&lt;AI$5)*AP27+(AU$5&lt;AI$5)*AV27)))</f>
        <v/>
      </c>
      <c r="AL27">
        <f>IF(AJ27-AK27&lt;0.005,0,AJ27-AK27)</f>
        <v/>
      </c>
      <c r="AM27">
        <f>AR26</f>
        <v/>
      </c>
      <c r="AN27">
        <f>AM27*Plan!D12/100/12</f>
        <v/>
      </c>
      <c r="AO27">
        <f>MIN(Plan!E12,AM27+AN27)</f>
        <v/>
      </c>
      <c r="AP27">
        <f>AM27+AN27-AO27</f>
        <v/>
      </c>
      <c r="AQ27">
        <f>MIN(AP27,MAX(0,$B27-((E$5&lt;AO$5)*F27+(K$5&lt;AO$5)*L27+(Q$5&lt;AO$5)*R27+(W$5&lt;AO$5)*X27+(AC$5&lt;AO$5)*AD27+(AI$5&lt;AO$5)*AJ27+(AU$5&lt;AO$5)*AV27)))</f>
        <v/>
      </c>
      <c r="AR27">
        <f>IF(AP27-AQ27&lt;0.005,0,AP27-AQ27)</f>
        <v/>
      </c>
      <c r="AS27">
        <f>AX26</f>
        <v/>
      </c>
      <c r="AT27">
        <f>AS27*Plan!D13/100/12</f>
        <v/>
      </c>
      <c r="AU27">
        <f>MIN(Plan!E13,AS27+AT27)</f>
        <v/>
      </c>
      <c r="AV27">
        <f>AS27+AT27-AU27</f>
        <v/>
      </c>
      <c r="AW27">
        <f>MIN(AV27,MAX(0,$B27-((E$5&lt;AU$5)*F27+(K$5&lt;AU$5)*L27+(Q$5&lt;AU$5)*R27+(W$5&lt;AU$5)*X27+(AC$5&lt;AU$5)*AD27+(AI$5&lt;AU$5)*AJ27+(AO$5&lt;AU$5)*AP27)))</f>
        <v/>
      </c>
      <c r="AX27">
        <f>IF(AV27-AW27&lt;0.005,0,AV27-AW27)</f>
        <v/>
      </c>
      <c r="BC27">
        <f>H27+N27+T27+Z27+AF27+AL27+AR27+AX27</f>
        <v/>
      </c>
    </row>
    <row r="28">
      <c r="A28" t="n">
        <v>22</v>
      </c>
      <c r="B28" s="19">
        <f>MAX(0,$B$3-(E28+K28+Q28+W28+AC28+AI28+AO28+AU28))</f>
        <v/>
      </c>
      <c r="C28">
        <f>H27</f>
        <v/>
      </c>
      <c r="D28">
        <f>C28*Plan!D6/100/12</f>
        <v/>
      </c>
      <c r="E28">
        <f>MIN(Plan!E6,C28+D28)</f>
        <v/>
      </c>
      <c r="F28">
        <f>C28+D28-E28</f>
        <v/>
      </c>
      <c r="G28">
        <f>MIN(F28,MAX(0,$B28-((K$5&lt;E$5)*L28+(Q$5&lt;E$5)*R28+(W$5&lt;E$5)*X28+(AC$5&lt;E$5)*AD28+(AI$5&lt;E$5)*AJ28+(AO$5&lt;E$5)*AP28+(AU$5&lt;E$5)*AV28)))</f>
        <v/>
      </c>
      <c r="H28">
        <f>IF(F28-G28&lt;0.005,0,F28-G28)</f>
        <v/>
      </c>
      <c r="I28">
        <f>N27</f>
        <v/>
      </c>
      <c r="J28">
        <f>I28*Plan!D7/100/12</f>
        <v/>
      </c>
      <c r="K28">
        <f>MIN(Plan!E7,I28+J28)</f>
        <v/>
      </c>
      <c r="L28">
        <f>I28+J28-K28</f>
        <v/>
      </c>
      <c r="M28">
        <f>MIN(L28,MAX(0,$B28-((E$5&lt;K$5)*F28+(Q$5&lt;K$5)*R28+(W$5&lt;K$5)*X28+(AC$5&lt;K$5)*AD28+(AI$5&lt;K$5)*AJ28+(AO$5&lt;K$5)*AP28+(AU$5&lt;K$5)*AV28)))</f>
        <v/>
      </c>
      <c r="N28">
        <f>IF(L28-M28&lt;0.005,0,L28-M28)</f>
        <v/>
      </c>
      <c r="O28">
        <f>T27</f>
        <v/>
      </c>
      <c r="P28">
        <f>O28*Plan!D8/100/12</f>
        <v/>
      </c>
      <c r="Q28">
        <f>MIN(Plan!E8,O28+P28)</f>
        <v/>
      </c>
      <c r="R28">
        <f>O28+P28-Q28</f>
        <v/>
      </c>
      <c r="S28">
        <f>MIN(R28,MAX(0,$B28-((E$5&lt;Q$5)*F28+(K$5&lt;Q$5)*L28+(W$5&lt;Q$5)*X28+(AC$5&lt;Q$5)*AD28+(AI$5&lt;Q$5)*AJ28+(AO$5&lt;Q$5)*AP28+(AU$5&lt;Q$5)*AV28)))</f>
        <v/>
      </c>
      <c r="T28">
        <f>IF(R28-S28&lt;0.005,0,R28-S28)</f>
        <v/>
      </c>
      <c r="U28">
        <f>Z27</f>
        <v/>
      </c>
      <c r="V28">
        <f>U28*Plan!D9/100/12</f>
        <v/>
      </c>
      <c r="W28">
        <f>MIN(Plan!E9,U28+V28)</f>
        <v/>
      </c>
      <c r="X28">
        <f>U28+V28-W28</f>
        <v/>
      </c>
      <c r="Y28">
        <f>MIN(X28,MAX(0,$B28-((E$5&lt;W$5)*F28+(K$5&lt;W$5)*L28+(Q$5&lt;W$5)*R28+(AC$5&lt;W$5)*AD28+(AI$5&lt;W$5)*AJ28+(AO$5&lt;W$5)*AP28+(AU$5&lt;W$5)*AV28)))</f>
        <v/>
      </c>
      <c r="Z28">
        <f>IF(X28-Y28&lt;0.005,0,X28-Y28)</f>
        <v/>
      </c>
      <c r="AA28">
        <f>AF27</f>
        <v/>
      </c>
      <c r="AB28">
        <f>AA28*Plan!D10/100/12</f>
        <v/>
      </c>
      <c r="AC28">
        <f>MIN(Plan!E10,AA28+AB28)</f>
        <v/>
      </c>
      <c r="AD28">
        <f>AA28+AB28-AC28</f>
        <v/>
      </c>
      <c r="AE28">
        <f>MIN(AD28,MAX(0,$B28-((E$5&lt;AC$5)*F28+(K$5&lt;AC$5)*L28+(Q$5&lt;AC$5)*R28+(W$5&lt;AC$5)*X28+(AI$5&lt;AC$5)*AJ28+(AO$5&lt;AC$5)*AP28+(AU$5&lt;AC$5)*AV28)))</f>
        <v/>
      </c>
      <c r="AF28">
        <f>IF(AD28-AE28&lt;0.005,0,AD28-AE28)</f>
        <v/>
      </c>
      <c r="AG28">
        <f>AL27</f>
        <v/>
      </c>
      <c r="AH28">
        <f>AG28*Plan!D11/100/12</f>
        <v/>
      </c>
      <c r="AI28">
        <f>MIN(Plan!E11,AG28+AH28)</f>
        <v/>
      </c>
      <c r="AJ28">
        <f>AG28+AH28-AI28</f>
        <v/>
      </c>
      <c r="AK28">
        <f>MIN(AJ28,MAX(0,$B28-((E$5&lt;AI$5)*F28+(K$5&lt;AI$5)*L28+(Q$5&lt;AI$5)*R28+(W$5&lt;AI$5)*X28+(AC$5&lt;AI$5)*AD28+(AO$5&lt;AI$5)*AP28+(AU$5&lt;AI$5)*AV28)))</f>
        <v/>
      </c>
      <c r="AL28">
        <f>IF(AJ28-AK28&lt;0.005,0,AJ28-AK28)</f>
        <v/>
      </c>
      <c r="AM28">
        <f>AR27</f>
        <v/>
      </c>
      <c r="AN28">
        <f>AM28*Plan!D12/100/12</f>
        <v/>
      </c>
      <c r="AO28">
        <f>MIN(Plan!E12,AM28+AN28)</f>
        <v/>
      </c>
      <c r="AP28">
        <f>AM28+AN28-AO28</f>
        <v/>
      </c>
      <c r="AQ28">
        <f>MIN(AP28,MAX(0,$B28-((E$5&lt;AO$5)*F28+(K$5&lt;AO$5)*L28+(Q$5&lt;AO$5)*R28+(W$5&lt;AO$5)*X28+(AC$5&lt;AO$5)*AD28+(AI$5&lt;AO$5)*AJ28+(AU$5&lt;AO$5)*AV28)))</f>
        <v/>
      </c>
      <c r="AR28">
        <f>IF(AP28-AQ28&lt;0.005,0,AP28-AQ28)</f>
        <v/>
      </c>
      <c r="AS28">
        <f>AX27</f>
        <v/>
      </c>
      <c r="AT28">
        <f>AS28*Plan!D13/100/12</f>
        <v/>
      </c>
      <c r="AU28">
        <f>MIN(Plan!E13,AS28+AT28)</f>
        <v/>
      </c>
      <c r="AV28">
        <f>AS28+AT28-AU28</f>
        <v/>
      </c>
      <c r="AW28">
        <f>MIN(AV28,MAX(0,$B28-((E$5&lt;AU$5)*F28+(K$5&lt;AU$5)*L28+(Q$5&lt;AU$5)*R28+(W$5&lt;AU$5)*X28+(AC$5&lt;AU$5)*AD28+(AI$5&lt;AU$5)*AJ28+(AO$5&lt;AU$5)*AP28)))</f>
        <v/>
      </c>
      <c r="AX28">
        <f>IF(AV28-AW28&lt;0.005,0,AV28-AW28)</f>
        <v/>
      </c>
      <c r="BC28">
        <f>H28+N28+T28+Z28+AF28+AL28+AR28+AX28</f>
        <v/>
      </c>
    </row>
    <row r="29">
      <c r="A29" t="n">
        <v>23</v>
      </c>
      <c r="B29" s="19">
        <f>MAX(0,$B$3-(E29+K29+Q29+W29+AC29+AI29+AO29+AU29))</f>
        <v/>
      </c>
      <c r="C29">
        <f>H28</f>
        <v/>
      </c>
      <c r="D29">
        <f>C29*Plan!D6/100/12</f>
        <v/>
      </c>
      <c r="E29">
        <f>MIN(Plan!E6,C29+D29)</f>
        <v/>
      </c>
      <c r="F29">
        <f>C29+D29-E29</f>
        <v/>
      </c>
      <c r="G29">
        <f>MIN(F29,MAX(0,$B29-((K$5&lt;E$5)*L29+(Q$5&lt;E$5)*R29+(W$5&lt;E$5)*X29+(AC$5&lt;E$5)*AD29+(AI$5&lt;E$5)*AJ29+(AO$5&lt;E$5)*AP29+(AU$5&lt;E$5)*AV29)))</f>
        <v/>
      </c>
      <c r="H29">
        <f>IF(F29-G29&lt;0.005,0,F29-G29)</f>
        <v/>
      </c>
      <c r="I29">
        <f>N28</f>
        <v/>
      </c>
      <c r="J29">
        <f>I29*Plan!D7/100/12</f>
        <v/>
      </c>
      <c r="K29">
        <f>MIN(Plan!E7,I29+J29)</f>
        <v/>
      </c>
      <c r="L29">
        <f>I29+J29-K29</f>
        <v/>
      </c>
      <c r="M29">
        <f>MIN(L29,MAX(0,$B29-((E$5&lt;K$5)*F29+(Q$5&lt;K$5)*R29+(W$5&lt;K$5)*X29+(AC$5&lt;K$5)*AD29+(AI$5&lt;K$5)*AJ29+(AO$5&lt;K$5)*AP29+(AU$5&lt;K$5)*AV29)))</f>
        <v/>
      </c>
      <c r="N29">
        <f>IF(L29-M29&lt;0.005,0,L29-M29)</f>
        <v/>
      </c>
      <c r="O29">
        <f>T28</f>
        <v/>
      </c>
      <c r="P29">
        <f>O29*Plan!D8/100/12</f>
        <v/>
      </c>
      <c r="Q29">
        <f>MIN(Plan!E8,O29+P29)</f>
        <v/>
      </c>
      <c r="R29">
        <f>O29+P29-Q29</f>
        <v/>
      </c>
      <c r="S29">
        <f>MIN(R29,MAX(0,$B29-((E$5&lt;Q$5)*F29+(K$5&lt;Q$5)*L29+(W$5&lt;Q$5)*X29+(AC$5&lt;Q$5)*AD29+(AI$5&lt;Q$5)*AJ29+(AO$5&lt;Q$5)*AP29+(AU$5&lt;Q$5)*AV29)))</f>
        <v/>
      </c>
      <c r="T29">
        <f>IF(R29-S29&lt;0.005,0,R29-S29)</f>
        <v/>
      </c>
      <c r="U29">
        <f>Z28</f>
        <v/>
      </c>
      <c r="V29">
        <f>U29*Plan!D9/100/12</f>
        <v/>
      </c>
      <c r="W29">
        <f>MIN(Plan!E9,U29+V29)</f>
        <v/>
      </c>
      <c r="X29">
        <f>U29+V29-W29</f>
        <v/>
      </c>
      <c r="Y29">
        <f>MIN(X29,MAX(0,$B29-((E$5&lt;W$5)*F29+(K$5&lt;W$5)*L29+(Q$5&lt;W$5)*R29+(AC$5&lt;W$5)*AD29+(AI$5&lt;W$5)*AJ29+(AO$5&lt;W$5)*AP29+(AU$5&lt;W$5)*AV29)))</f>
        <v/>
      </c>
      <c r="Z29">
        <f>IF(X29-Y29&lt;0.005,0,X29-Y29)</f>
        <v/>
      </c>
      <c r="AA29">
        <f>AF28</f>
        <v/>
      </c>
      <c r="AB29">
        <f>AA29*Plan!D10/100/12</f>
        <v/>
      </c>
      <c r="AC29">
        <f>MIN(Plan!E10,AA29+AB29)</f>
        <v/>
      </c>
      <c r="AD29">
        <f>AA29+AB29-AC29</f>
        <v/>
      </c>
      <c r="AE29">
        <f>MIN(AD29,MAX(0,$B29-((E$5&lt;AC$5)*F29+(K$5&lt;AC$5)*L29+(Q$5&lt;AC$5)*R29+(W$5&lt;AC$5)*X29+(AI$5&lt;AC$5)*AJ29+(AO$5&lt;AC$5)*AP29+(AU$5&lt;AC$5)*AV29)))</f>
        <v/>
      </c>
      <c r="AF29">
        <f>IF(AD29-AE29&lt;0.005,0,AD29-AE29)</f>
        <v/>
      </c>
      <c r="AG29">
        <f>AL28</f>
        <v/>
      </c>
      <c r="AH29">
        <f>AG29*Plan!D11/100/12</f>
        <v/>
      </c>
      <c r="AI29">
        <f>MIN(Plan!E11,AG29+AH29)</f>
        <v/>
      </c>
      <c r="AJ29">
        <f>AG29+AH29-AI29</f>
        <v/>
      </c>
      <c r="AK29">
        <f>MIN(AJ29,MAX(0,$B29-((E$5&lt;AI$5)*F29+(K$5&lt;AI$5)*L29+(Q$5&lt;AI$5)*R29+(W$5&lt;AI$5)*X29+(AC$5&lt;AI$5)*AD29+(AO$5&lt;AI$5)*AP29+(AU$5&lt;AI$5)*AV29)))</f>
        <v/>
      </c>
      <c r="AL29">
        <f>IF(AJ29-AK29&lt;0.005,0,AJ29-AK29)</f>
        <v/>
      </c>
      <c r="AM29">
        <f>AR28</f>
        <v/>
      </c>
      <c r="AN29">
        <f>AM29*Plan!D12/100/12</f>
        <v/>
      </c>
      <c r="AO29">
        <f>MIN(Plan!E12,AM29+AN29)</f>
        <v/>
      </c>
      <c r="AP29">
        <f>AM29+AN29-AO29</f>
        <v/>
      </c>
      <c r="AQ29">
        <f>MIN(AP29,MAX(0,$B29-((E$5&lt;AO$5)*F29+(K$5&lt;AO$5)*L29+(Q$5&lt;AO$5)*R29+(W$5&lt;AO$5)*X29+(AC$5&lt;AO$5)*AD29+(AI$5&lt;AO$5)*AJ29+(AU$5&lt;AO$5)*AV29)))</f>
        <v/>
      </c>
      <c r="AR29">
        <f>IF(AP29-AQ29&lt;0.005,0,AP29-AQ29)</f>
        <v/>
      </c>
      <c r="AS29">
        <f>AX28</f>
        <v/>
      </c>
      <c r="AT29">
        <f>AS29*Plan!D13/100/12</f>
        <v/>
      </c>
      <c r="AU29">
        <f>MIN(Plan!E13,AS29+AT29)</f>
        <v/>
      </c>
      <c r="AV29">
        <f>AS29+AT29-AU29</f>
        <v/>
      </c>
      <c r="AW29">
        <f>MIN(AV29,MAX(0,$B29-((E$5&lt;AU$5)*F29+(K$5&lt;AU$5)*L29+(Q$5&lt;AU$5)*R29+(W$5&lt;AU$5)*X29+(AC$5&lt;AU$5)*AD29+(AI$5&lt;AU$5)*AJ29+(AO$5&lt;AU$5)*AP29)))</f>
        <v/>
      </c>
      <c r="AX29">
        <f>IF(AV29-AW29&lt;0.005,0,AV29-AW29)</f>
        <v/>
      </c>
      <c r="BC29">
        <f>H29+N29+T29+Z29+AF29+AL29+AR29+AX29</f>
        <v/>
      </c>
    </row>
    <row r="30">
      <c r="A30" t="n">
        <v>24</v>
      </c>
      <c r="B30" s="19">
        <f>MAX(0,$B$3-(E30+K30+Q30+W30+AC30+AI30+AO30+AU30))</f>
        <v/>
      </c>
      <c r="C30">
        <f>H29</f>
        <v/>
      </c>
      <c r="D30">
        <f>C30*Plan!D6/100/12</f>
        <v/>
      </c>
      <c r="E30">
        <f>MIN(Plan!E6,C30+D30)</f>
        <v/>
      </c>
      <c r="F30">
        <f>C30+D30-E30</f>
        <v/>
      </c>
      <c r="G30">
        <f>MIN(F30,MAX(0,$B30-((K$5&lt;E$5)*L30+(Q$5&lt;E$5)*R30+(W$5&lt;E$5)*X30+(AC$5&lt;E$5)*AD30+(AI$5&lt;E$5)*AJ30+(AO$5&lt;E$5)*AP30+(AU$5&lt;E$5)*AV30)))</f>
        <v/>
      </c>
      <c r="H30">
        <f>IF(F30-G30&lt;0.005,0,F30-G30)</f>
        <v/>
      </c>
      <c r="I30">
        <f>N29</f>
        <v/>
      </c>
      <c r="J30">
        <f>I30*Plan!D7/100/12</f>
        <v/>
      </c>
      <c r="K30">
        <f>MIN(Plan!E7,I30+J30)</f>
        <v/>
      </c>
      <c r="L30">
        <f>I30+J30-K30</f>
        <v/>
      </c>
      <c r="M30">
        <f>MIN(L30,MAX(0,$B30-((E$5&lt;K$5)*F30+(Q$5&lt;K$5)*R30+(W$5&lt;K$5)*X30+(AC$5&lt;K$5)*AD30+(AI$5&lt;K$5)*AJ30+(AO$5&lt;K$5)*AP30+(AU$5&lt;K$5)*AV30)))</f>
        <v/>
      </c>
      <c r="N30">
        <f>IF(L30-M30&lt;0.005,0,L30-M30)</f>
        <v/>
      </c>
      <c r="O30">
        <f>T29</f>
        <v/>
      </c>
      <c r="P30">
        <f>O30*Plan!D8/100/12</f>
        <v/>
      </c>
      <c r="Q30">
        <f>MIN(Plan!E8,O30+P30)</f>
        <v/>
      </c>
      <c r="R30">
        <f>O30+P30-Q30</f>
        <v/>
      </c>
      <c r="S30">
        <f>MIN(R30,MAX(0,$B30-((E$5&lt;Q$5)*F30+(K$5&lt;Q$5)*L30+(W$5&lt;Q$5)*X30+(AC$5&lt;Q$5)*AD30+(AI$5&lt;Q$5)*AJ30+(AO$5&lt;Q$5)*AP30+(AU$5&lt;Q$5)*AV30)))</f>
        <v/>
      </c>
      <c r="T30">
        <f>IF(R30-S30&lt;0.005,0,R30-S30)</f>
        <v/>
      </c>
      <c r="U30">
        <f>Z29</f>
        <v/>
      </c>
      <c r="V30">
        <f>U30*Plan!D9/100/12</f>
        <v/>
      </c>
      <c r="W30">
        <f>MIN(Plan!E9,U30+V30)</f>
        <v/>
      </c>
      <c r="X30">
        <f>U30+V30-W30</f>
        <v/>
      </c>
      <c r="Y30">
        <f>MIN(X30,MAX(0,$B30-((E$5&lt;W$5)*F30+(K$5&lt;W$5)*L30+(Q$5&lt;W$5)*R30+(AC$5&lt;W$5)*AD30+(AI$5&lt;W$5)*AJ30+(AO$5&lt;W$5)*AP30+(AU$5&lt;W$5)*AV30)))</f>
        <v/>
      </c>
      <c r="Z30">
        <f>IF(X30-Y30&lt;0.005,0,X30-Y30)</f>
        <v/>
      </c>
      <c r="AA30">
        <f>AF29</f>
        <v/>
      </c>
      <c r="AB30">
        <f>AA30*Plan!D10/100/12</f>
        <v/>
      </c>
      <c r="AC30">
        <f>MIN(Plan!E10,AA30+AB30)</f>
        <v/>
      </c>
      <c r="AD30">
        <f>AA30+AB30-AC30</f>
        <v/>
      </c>
      <c r="AE30">
        <f>MIN(AD30,MAX(0,$B30-((E$5&lt;AC$5)*F30+(K$5&lt;AC$5)*L30+(Q$5&lt;AC$5)*R30+(W$5&lt;AC$5)*X30+(AI$5&lt;AC$5)*AJ30+(AO$5&lt;AC$5)*AP30+(AU$5&lt;AC$5)*AV30)))</f>
        <v/>
      </c>
      <c r="AF30">
        <f>IF(AD30-AE30&lt;0.005,0,AD30-AE30)</f>
        <v/>
      </c>
      <c r="AG30">
        <f>AL29</f>
        <v/>
      </c>
      <c r="AH30">
        <f>AG30*Plan!D11/100/12</f>
        <v/>
      </c>
      <c r="AI30">
        <f>MIN(Plan!E11,AG30+AH30)</f>
        <v/>
      </c>
      <c r="AJ30">
        <f>AG30+AH30-AI30</f>
        <v/>
      </c>
      <c r="AK30">
        <f>MIN(AJ30,MAX(0,$B30-((E$5&lt;AI$5)*F30+(K$5&lt;AI$5)*L30+(Q$5&lt;AI$5)*R30+(W$5&lt;AI$5)*X30+(AC$5&lt;AI$5)*AD30+(AO$5&lt;AI$5)*AP30+(AU$5&lt;AI$5)*AV30)))</f>
        <v/>
      </c>
      <c r="AL30">
        <f>IF(AJ30-AK30&lt;0.005,0,AJ30-AK30)</f>
        <v/>
      </c>
      <c r="AM30">
        <f>AR29</f>
        <v/>
      </c>
      <c r="AN30">
        <f>AM30*Plan!D12/100/12</f>
        <v/>
      </c>
      <c r="AO30">
        <f>MIN(Plan!E12,AM30+AN30)</f>
        <v/>
      </c>
      <c r="AP30">
        <f>AM30+AN30-AO30</f>
        <v/>
      </c>
      <c r="AQ30">
        <f>MIN(AP30,MAX(0,$B30-((E$5&lt;AO$5)*F30+(K$5&lt;AO$5)*L30+(Q$5&lt;AO$5)*R30+(W$5&lt;AO$5)*X30+(AC$5&lt;AO$5)*AD30+(AI$5&lt;AO$5)*AJ30+(AU$5&lt;AO$5)*AV30)))</f>
        <v/>
      </c>
      <c r="AR30">
        <f>IF(AP30-AQ30&lt;0.005,0,AP30-AQ30)</f>
        <v/>
      </c>
      <c r="AS30">
        <f>AX29</f>
        <v/>
      </c>
      <c r="AT30">
        <f>AS30*Plan!D13/100/12</f>
        <v/>
      </c>
      <c r="AU30">
        <f>MIN(Plan!E13,AS30+AT30)</f>
        <v/>
      </c>
      <c r="AV30">
        <f>AS30+AT30-AU30</f>
        <v/>
      </c>
      <c r="AW30">
        <f>MIN(AV30,MAX(0,$B30-((E$5&lt;AU$5)*F30+(K$5&lt;AU$5)*L30+(Q$5&lt;AU$5)*R30+(W$5&lt;AU$5)*X30+(AC$5&lt;AU$5)*AD30+(AI$5&lt;AU$5)*AJ30+(AO$5&lt;AU$5)*AP30)))</f>
        <v/>
      </c>
      <c r="AX30">
        <f>IF(AV30-AW30&lt;0.005,0,AV30-AW30)</f>
        <v/>
      </c>
      <c r="BC30">
        <f>H30+N30+T30+Z30+AF30+AL30+AR30+AX30</f>
        <v/>
      </c>
    </row>
    <row r="31">
      <c r="A31" t="n">
        <v>25</v>
      </c>
      <c r="B31" s="19">
        <f>MAX(0,$B$3-(E31+K31+Q31+W31+AC31+AI31+AO31+AU31))</f>
        <v/>
      </c>
      <c r="C31">
        <f>H30</f>
        <v/>
      </c>
      <c r="D31">
        <f>C31*Plan!D6/100/12</f>
        <v/>
      </c>
      <c r="E31">
        <f>MIN(Plan!E6,C31+D31)</f>
        <v/>
      </c>
      <c r="F31">
        <f>C31+D31-E31</f>
        <v/>
      </c>
      <c r="G31">
        <f>MIN(F31,MAX(0,$B31-((K$5&lt;E$5)*L31+(Q$5&lt;E$5)*R31+(W$5&lt;E$5)*X31+(AC$5&lt;E$5)*AD31+(AI$5&lt;E$5)*AJ31+(AO$5&lt;E$5)*AP31+(AU$5&lt;E$5)*AV31)))</f>
        <v/>
      </c>
      <c r="H31">
        <f>IF(F31-G31&lt;0.005,0,F31-G31)</f>
        <v/>
      </c>
      <c r="I31">
        <f>N30</f>
        <v/>
      </c>
      <c r="J31">
        <f>I31*Plan!D7/100/12</f>
        <v/>
      </c>
      <c r="K31">
        <f>MIN(Plan!E7,I31+J31)</f>
        <v/>
      </c>
      <c r="L31">
        <f>I31+J31-K31</f>
        <v/>
      </c>
      <c r="M31">
        <f>MIN(L31,MAX(0,$B31-((E$5&lt;K$5)*F31+(Q$5&lt;K$5)*R31+(W$5&lt;K$5)*X31+(AC$5&lt;K$5)*AD31+(AI$5&lt;K$5)*AJ31+(AO$5&lt;K$5)*AP31+(AU$5&lt;K$5)*AV31)))</f>
        <v/>
      </c>
      <c r="N31">
        <f>IF(L31-M31&lt;0.005,0,L31-M31)</f>
        <v/>
      </c>
      <c r="O31">
        <f>T30</f>
        <v/>
      </c>
      <c r="P31">
        <f>O31*Plan!D8/100/12</f>
        <v/>
      </c>
      <c r="Q31">
        <f>MIN(Plan!E8,O31+P31)</f>
        <v/>
      </c>
      <c r="R31">
        <f>O31+P31-Q31</f>
        <v/>
      </c>
      <c r="S31">
        <f>MIN(R31,MAX(0,$B31-((E$5&lt;Q$5)*F31+(K$5&lt;Q$5)*L31+(W$5&lt;Q$5)*X31+(AC$5&lt;Q$5)*AD31+(AI$5&lt;Q$5)*AJ31+(AO$5&lt;Q$5)*AP31+(AU$5&lt;Q$5)*AV31)))</f>
        <v/>
      </c>
      <c r="T31">
        <f>IF(R31-S31&lt;0.005,0,R31-S31)</f>
        <v/>
      </c>
      <c r="U31">
        <f>Z30</f>
        <v/>
      </c>
      <c r="V31">
        <f>U31*Plan!D9/100/12</f>
        <v/>
      </c>
      <c r="W31">
        <f>MIN(Plan!E9,U31+V31)</f>
        <v/>
      </c>
      <c r="X31">
        <f>U31+V31-W31</f>
        <v/>
      </c>
      <c r="Y31">
        <f>MIN(X31,MAX(0,$B31-((E$5&lt;W$5)*F31+(K$5&lt;W$5)*L31+(Q$5&lt;W$5)*R31+(AC$5&lt;W$5)*AD31+(AI$5&lt;W$5)*AJ31+(AO$5&lt;W$5)*AP31+(AU$5&lt;W$5)*AV31)))</f>
        <v/>
      </c>
      <c r="Z31">
        <f>IF(X31-Y31&lt;0.005,0,X31-Y31)</f>
        <v/>
      </c>
      <c r="AA31">
        <f>AF30</f>
        <v/>
      </c>
      <c r="AB31">
        <f>AA31*Plan!D10/100/12</f>
        <v/>
      </c>
      <c r="AC31">
        <f>MIN(Plan!E10,AA31+AB31)</f>
        <v/>
      </c>
      <c r="AD31">
        <f>AA31+AB31-AC31</f>
        <v/>
      </c>
      <c r="AE31">
        <f>MIN(AD31,MAX(0,$B31-((E$5&lt;AC$5)*F31+(K$5&lt;AC$5)*L31+(Q$5&lt;AC$5)*R31+(W$5&lt;AC$5)*X31+(AI$5&lt;AC$5)*AJ31+(AO$5&lt;AC$5)*AP31+(AU$5&lt;AC$5)*AV31)))</f>
        <v/>
      </c>
      <c r="AF31">
        <f>IF(AD31-AE31&lt;0.005,0,AD31-AE31)</f>
        <v/>
      </c>
      <c r="AG31">
        <f>AL30</f>
        <v/>
      </c>
      <c r="AH31">
        <f>AG31*Plan!D11/100/12</f>
        <v/>
      </c>
      <c r="AI31">
        <f>MIN(Plan!E11,AG31+AH31)</f>
        <v/>
      </c>
      <c r="AJ31">
        <f>AG31+AH31-AI31</f>
        <v/>
      </c>
      <c r="AK31">
        <f>MIN(AJ31,MAX(0,$B31-((E$5&lt;AI$5)*F31+(K$5&lt;AI$5)*L31+(Q$5&lt;AI$5)*R31+(W$5&lt;AI$5)*X31+(AC$5&lt;AI$5)*AD31+(AO$5&lt;AI$5)*AP31+(AU$5&lt;AI$5)*AV31)))</f>
        <v/>
      </c>
      <c r="AL31">
        <f>IF(AJ31-AK31&lt;0.005,0,AJ31-AK31)</f>
        <v/>
      </c>
      <c r="AM31">
        <f>AR30</f>
        <v/>
      </c>
      <c r="AN31">
        <f>AM31*Plan!D12/100/12</f>
        <v/>
      </c>
      <c r="AO31">
        <f>MIN(Plan!E12,AM31+AN31)</f>
        <v/>
      </c>
      <c r="AP31">
        <f>AM31+AN31-AO31</f>
        <v/>
      </c>
      <c r="AQ31">
        <f>MIN(AP31,MAX(0,$B31-((E$5&lt;AO$5)*F31+(K$5&lt;AO$5)*L31+(Q$5&lt;AO$5)*R31+(W$5&lt;AO$5)*X31+(AC$5&lt;AO$5)*AD31+(AI$5&lt;AO$5)*AJ31+(AU$5&lt;AO$5)*AV31)))</f>
        <v/>
      </c>
      <c r="AR31">
        <f>IF(AP31-AQ31&lt;0.005,0,AP31-AQ31)</f>
        <v/>
      </c>
      <c r="AS31">
        <f>AX30</f>
        <v/>
      </c>
      <c r="AT31">
        <f>AS31*Plan!D13/100/12</f>
        <v/>
      </c>
      <c r="AU31">
        <f>MIN(Plan!E13,AS31+AT31)</f>
        <v/>
      </c>
      <c r="AV31">
        <f>AS31+AT31-AU31</f>
        <v/>
      </c>
      <c r="AW31">
        <f>MIN(AV31,MAX(0,$B31-((E$5&lt;AU$5)*F31+(K$5&lt;AU$5)*L31+(Q$5&lt;AU$5)*R31+(W$5&lt;AU$5)*X31+(AC$5&lt;AU$5)*AD31+(AI$5&lt;AU$5)*AJ31+(AO$5&lt;AU$5)*AP31)))</f>
        <v/>
      </c>
      <c r="AX31">
        <f>IF(AV31-AW31&lt;0.005,0,AV31-AW31)</f>
        <v/>
      </c>
      <c r="BC31">
        <f>H31+N31+T31+Z31+AF31+AL31+AR31+AX31</f>
        <v/>
      </c>
    </row>
    <row r="32">
      <c r="A32" t="n">
        <v>26</v>
      </c>
      <c r="B32" s="19">
        <f>MAX(0,$B$3-(E32+K32+Q32+W32+AC32+AI32+AO32+AU32))</f>
        <v/>
      </c>
      <c r="C32">
        <f>H31</f>
        <v/>
      </c>
      <c r="D32">
        <f>C32*Plan!D6/100/12</f>
        <v/>
      </c>
      <c r="E32">
        <f>MIN(Plan!E6,C32+D32)</f>
        <v/>
      </c>
      <c r="F32">
        <f>C32+D32-E32</f>
        <v/>
      </c>
      <c r="G32">
        <f>MIN(F32,MAX(0,$B32-((K$5&lt;E$5)*L32+(Q$5&lt;E$5)*R32+(W$5&lt;E$5)*X32+(AC$5&lt;E$5)*AD32+(AI$5&lt;E$5)*AJ32+(AO$5&lt;E$5)*AP32+(AU$5&lt;E$5)*AV32)))</f>
        <v/>
      </c>
      <c r="H32">
        <f>IF(F32-G32&lt;0.005,0,F32-G32)</f>
        <v/>
      </c>
      <c r="I32">
        <f>N31</f>
        <v/>
      </c>
      <c r="J32">
        <f>I32*Plan!D7/100/12</f>
        <v/>
      </c>
      <c r="K32">
        <f>MIN(Plan!E7,I32+J32)</f>
        <v/>
      </c>
      <c r="L32">
        <f>I32+J32-K32</f>
        <v/>
      </c>
      <c r="M32">
        <f>MIN(L32,MAX(0,$B32-((E$5&lt;K$5)*F32+(Q$5&lt;K$5)*R32+(W$5&lt;K$5)*X32+(AC$5&lt;K$5)*AD32+(AI$5&lt;K$5)*AJ32+(AO$5&lt;K$5)*AP32+(AU$5&lt;K$5)*AV32)))</f>
        <v/>
      </c>
      <c r="N32">
        <f>IF(L32-M32&lt;0.005,0,L32-M32)</f>
        <v/>
      </c>
      <c r="O32">
        <f>T31</f>
        <v/>
      </c>
      <c r="P32">
        <f>O32*Plan!D8/100/12</f>
        <v/>
      </c>
      <c r="Q32">
        <f>MIN(Plan!E8,O32+P32)</f>
        <v/>
      </c>
      <c r="R32">
        <f>O32+P32-Q32</f>
        <v/>
      </c>
      <c r="S32">
        <f>MIN(R32,MAX(0,$B32-((E$5&lt;Q$5)*F32+(K$5&lt;Q$5)*L32+(W$5&lt;Q$5)*X32+(AC$5&lt;Q$5)*AD32+(AI$5&lt;Q$5)*AJ32+(AO$5&lt;Q$5)*AP32+(AU$5&lt;Q$5)*AV32)))</f>
        <v/>
      </c>
      <c r="T32">
        <f>IF(R32-S32&lt;0.005,0,R32-S32)</f>
        <v/>
      </c>
      <c r="U32">
        <f>Z31</f>
        <v/>
      </c>
      <c r="V32">
        <f>U32*Plan!D9/100/12</f>
        <v/>
      </c>
      <c r="W32">
        <f>MIN(Plan!E9,U32+V32)</f>
        <v/>
      </c>
      <c r="X32">
        <f>U32+V32-W32</f>
        <v/>
      </c>
      <c r="Y32">
        <f>MIN(X32,MAX(0,$B32-((E$5&lt;W$5)*F32+(K$5&lt;W$5)*L32+(Q$5&lt;W$5)*R32+(AC$5&lt;W$5)*AD32+(AI$5&lt;W$5)*AJ32+(AO$5&lt;W$5)*AP32+(AU$5&lt;W$5)*AV32)))</f>
        <v/>
      </c>
      <c r="Z32">
        <f>IF(X32-Y32&lt;0.005,0,X32-Y32)</f>
        <v/>
      </c>
      <c r="AA32">
        <f>AF31</f>
        <v/>
      </c>
      <c r="AB32">
        <f>AA32*Plan!D10/100/12</f>
        <v/>
      </c>
      <c r="AC32">
        <f>MIN(Plan!E10,AA32+AB32)</f>
        <v/>
      </c>
      <c r="AD32">
        <f>AA32+AB32-AC32</f>
        <v/>
      </c>
      <c r="AE32">
        <f>MIN(AD32,MAX(0,$B32-((E$5&lt;AC$5)*F32+(K$5&lt;AC$5)*L32+(Q$5&lt;AC$5)*R32+(W$5&lt;AC$5)*X32+(AI$5&lt;AC$5)*AJ32+(AO$5&lt;AC$5)*AP32+(AU$5&lt;AC$5)*AV32)))</f>
        <v/>
      </c>
      <c r="AF32">
        <f>IF(AD32-AE32&lt;0.005,0,AD32-AE32)</f>
        <v/>
      </c>
      <c r="AG32">
        <f>AL31</f>
        <v/>
      </c>
      <c r="AH32">
        <f>AG32*Plan!D11/100/12</f>
        <v/>
      </c>
      <c r="AI32">
        <f>MIN(Plan!E11,AG32+AH32)</f>
        <v/>
      </c>
      <c r="AJ32">
        <f>AG32+AH32-AI32</f>
        <v/>
      </c>
      <c r="AK32">
        <f>MIN(AJ32,MAX(0,$B32-((E$5&lt;AI$5)*F32+(K$5&lt;AI$5)*L32+(Q$5&lt;AI$5)*R32+(W$5&lt;AI$5)*X32+(AC$5&lt;AI$5)*AD32+(AO$5&lt;AI$5)*AP32+(AU$5&lt;AI$5)*AV32)))</f>
        <v/>
      </c>
      <c r="AL32">
        <f>IF(AJ32-AK32&lt;0.005,0,AJ32-AK32)</f>
        <v/>
      </c>
      <c r="AM32">
        <f>AR31</f>
        <v/>
      </c>
      <c r="AN32">
        <f>AM32*Plan!D12/100/12</f>
        <v/>
      </c>
      <c r="AO32">
        <f>MIN(Plan!E12,AM32+AN32)</f>
        <v/>
      </c>
      <c r="AP32">
        <f>AM32+AN32-AO32</f>
        <v/>
      </c>
      <c r="AQ32">
        <f>MIN(AP32,MAX(0,$B32-((E$5&lt;AO$5)*F32+(K$5&lt;AO$5)*L32+(Q$5&lt;AO$5)*R32+(W$5&lt;AO$5)*X32+(AC$5&lt;AO$5)*AD32+(AI$5&lt;AO$5)*AJ32+(AU$5&lt;AO$5)*AV32)))</f>
        <v/>
      </c>
      <c r="AR32">
        <f>IF(AP32-AQ32&lt;0.005,0,AP32-AQ32)</f>
        <v/>
      </c>
      <c r="AS32">
        <f>AX31</f>
        <v/>
      </c>
      <c r="AT32">
        <f>AS32*Plan!D13/100/12</f>
        <v/>
      </c>
      <c r="AU32">
        <f>MIN(Plan!E13,AS32+AT32)</f>
        <v/>
      </c>
      <c r="AV32">
        <f>AS32+AT32-AU32</f>
        <v/>
      </c>
      <c r="AW32">
        <f>MIN(AV32,MAX(0,$B32-((E$5&lt;AU$5)*F32+(K$5&lt;AU$5)*L32+(Q$5&lt;AU$5)*R32+(W$5&lt;AU$5)*X32+(AC$5&lt;AU$5)*AD32+(AI$5&lt;AU$5)*AJ32+(AO$5&lt;AU$5)*AP32)))</f>
        <v/>
      </c>
      <c r="AX32">
        <f>IF(AV32-AW32&lt;0.005,0,AV32-AW32)</f>
        <v/>
      </c>
      <c r="BC32">
        <f>H32+N32+T32+Z32+AF32+AL32+AR32+AX32</f>
        <v/>
      </c>
    </row>
    <row r="33">
      <c r="A33" t="n">
        <v>27</v>
      </c>
      <c r="B33" s="19">
        <f>MAX(0,$B$3-(E33+K33+Q33+W33+AC33+AI33+AO33+AU33))</f>
        <v/>
      </c>
      <c r="C33">
        <f>H32</f>
        <v/>
      </c>
      <c r="D33">
        <f>C33*Plan!D6/100/12</f>
        <v/>
      </c>
      <c r="E33">
        <f>MIN(Plan!E6,C33+D33)</f>
        <v/>
      </c>
      <c r="F33">
        <f>C33+D33-E33</f>
        <v/>
      </c>
      <c r="G33">
        <f>MIN(F33,MAX(0,$B33-((K$5&lt;E$5)*L33+(Q$5&lt;E$5)*R33+(W$5&lt;E$5)*X33+(AC$5&lt;E$5)*AD33+(AI$5&lt;E$5)*AJ33+(AO$5&lt;E$5)*AP33+(AU$5&lt;E$5)*AV33)))</f>
        <v/>
      </c>
      <c r="H33">
        <f>IF(F33-G33&lt;0.005,0,F33-G33)</f>
        <v/>
      </c>
      <c r="I33">
        <f>N32</f>
        <v/>
      </c>
      <c r="J33">
        <f>I33*Plan!D7/100/12</f>
        <v/>
      </c>
      <c r="K33">
        <f>MIN(Plan!E7,I33+J33)</f>
        <v/>
      </c>
      <c r="L33">
        <f>I33+J33-K33</f>
        <v/>
      </c>
      <c r="M33">
        <f>MIN(L33,MAX(0,$B33-((E$5&lt;K$5)*F33+(Q$5&lt;K$5)*R33+(W$5&lt;K$5)*X33+(AC$5&lt;K$5)*AD33+(AI$5&lt;K$5)*AJ33+(AO$5&lt;K$5)*AP33+(AU$5&lt;K$5)*AV33)))</f>
        <v/>
      </c>
      <c r="N33">
        <f>IF(L33-M33&lt;0.005,0,L33-M33)</f>
        <v/>
      </c>
      <c r="O33">
        <f>T32</f>
        <v/>
      </c>
      <c r="P33">
        <f>O33*Plan!D8/100/12</f>
        <v/>
      </c>
      <c r="Q33">
        <f>MIN(Plan!E8,O33+P33)</f>
        <v/>
      </c>
      <c r="R33">
        <f>O33+P33-Q33</f>
        <v/>
      </c>
      <c r="S33">
        <f>MIN(R33,MAX(0,$B33-((E$5&lt;Q$5)*F33+(K$5&lt;Q$5)*L33+(W$5&lt;Q$5)*X33+(AC$5&lt;Q$5)*AD33+(AI$5&lt;Q$5)*AJ33+(AO$5&lt;Q$5)*AP33+(AU$5&lt;Q$5)*AV33)))</f>
        <v/>
      </c>
      <c r="T33">
        <f>IF(R33-S33&lt;0.005,0,R33-S33)</f>
        <v/>
      </c>
      <c r="U33">
        <f>Z32</f>
        <v/>
      </c>
      <c r="V33">
        <f>U33*Plan!D9/100/12</f>
        <v/>
      </c>
      <c r="W33">
        <f>MIN(Plan!E9,U33+V33)</f>
        <v/>
      </c>
      <c r="X33">
        <f>U33+V33-W33</f>
        <v/>
      </c>
      <c r="Y33">
        <f>MIN(X33,MAX(0,$B33-((E$5&lt;W$5)*F33+(K$5&lt;W$5)*L33+(Q$5&lt;W$5)*R33+(AC$5&lt;W$5)*AD33+(AI$5&lt;W$5)*AJ33+(AO$5&lt;W$5)*AP33+(AU$5&lt;W$5)*AV33)))</f>
        <v/>
      </c>
      <c r="Z33">
        <f>IF(X33-Y33&lt;0.005,0,X33-Y33)</f>
        <v/>
      </c>
      <c r="AA33">
        <f>AF32</f>
        <v/>
      </c>
      <c r="AB33">
        <f>AA33*Plan!D10/100/12</f>
        <v/>
      </c>
      <c r="AC33">
        <f>MIN(Plan!E10,AA33+AB33)</f>
        <v/>
      </c>
      <c r="AD33">
        <f>AA33+AB33-AC33</f>
        <v/>
      </c>
      <c r="AE33">
        <f>MIN(AD33,MAX(0,$B33-((E$5&lt;AC$5)*F33+(K$5&lt;AC$5)*L33+(Q$5&lt;AC$5)*R33+(W$5&lt;AC$5)*X33+(AI$5&lt;AC$5)*AJ33+(AO$5&lt;AC$5)*AP33+(AU$5&lt;AC$5)*AV33)))</f>
        <v/>
      </c>
      <c r="AF33">
        <f>IF(AD33-AE33&lt;0.005,0,AD33-AE33)</f>
        <v/>
      </c>
      <c r="AG33">
        <f>AL32</f>
        <v/>
      </c>
      <c r="AH33">
        <f>AG33*Plan!D11/100/12</f>
        <v/>
      </c>
      <c r="AI33">
        <f>MIN(Plan!E11,AG33+AH33)</f>
        <v/>
      </c>
      <c r="AJ33">
        <f>AG33+AH33-AI33</f>
        <v/>
      </c>
      <c r="AK33">
        <f>MIN(AJ33,MAX(0,$B33-((E$5&lt;AI$5)*F33+(K$5&lt;AI$5)*L33+(Q$5&lt;AI$5)*R33+(W$5&lt;AI$5)*X33+(AC$5&lt;AI$5)*AD33+(AO$5&lt;AI$5)*AP33+(AU$5&lt;AI$5)*AV33)))</f>
        <v/>
      </c>
      <c r="AL33">
        <f>IF(AJ33-AK33&lt;0.005,0,AJ33-AK33)</f>
        <v/>
      </c>
      <c r="AM33">
        <f>AR32</f>
        <v/>
      </c>
      <c r="AN33">
        <f>AM33*Plan!D12/100/12</f>
        <v/>
      </c>
      <c r="AO33">
        <f>MIN(Plan!E12,AM33+AN33)</f>
        <v/>
      </c>
      <c r="AP33">
        <f>AM33+AN33-AO33</f>
        <v/>
      </c>
      <c r="AQ33">
        <f>MIN(AP33,MAX(0,$B33-((E$5&lt;AO$5)*F33+(K$5&lt;AO$5)*L33+(Q$5&lt;AO$5)*R33+(W$5&lt;AO$5)*X33+(AC$5&lt;AO$5)*AD33+(AI$5&lt;AO$5)*AJ33+(AU$5&lt;AO$5)*AV33)))</f>
        <v/>
      </c>
      <c r="AR33">
        <f>IF(AP33-AQ33&lt;0.005,0,AP33-AQ33)</f>
        <v/>
      </c>
      <c r="AS33">
        <f>AX32</f>
        <v/>
      </c>
      <c r="AT33">
        <f>AS33*Plan!D13/100/12</f>
        <v/>
      </c>
      <c r="AU33">
        <f>MIN(Plan!E13,AS33+AT33)</f>
        <v/>
      </c>
      <c r="AV33">
        <f>AS33+AT33-AU33</f>
        <v/>
      </c>
      <c r="AW33">
        <f>MIN(AV33,MAX(0,$B33-((E$5&lt;AU$5)*F33+(K$5&lt;AU$5)*L33+(Q$5&lt;AU$5)*R33+(W$5&lt;AU$5)*X33+(AC$5&lt;AU$5)*AD33+(AI$5&lt;AU$5)*AJ33+(AO$5&lt;AU$5)*AP33)))</f>
        <v/>
      </c>
      <c r="AX33">
        <f>IF(AV33-AW33&lt;0.005,0,AV33-AW33)</f>
        <v/>
      </c>
      <c r="BC33">
        <f>H33+N33+T33+Z33+AF33+AL33+AR33+AX33</f>
        <v/>
      </c>
    </row>
    <row r="34">
      <c r="A34" t="n">
        <v>28</v>
      </c>
      <c r="B34" s="19">
        <f>MAX(0,$B$3-(E34+K34+Q34+W34+AC34+AI34+AO34+AU34))</f>
        <v/>
      </c>
      <c r="C34">
        <f>H33</f>
        <v/>
      </c>
      <c r="D34">
        <f>C34*Plan!D6/100/12</f>
        <v/>
      </c>
      <c r="E34">
        <f>MIN(Plan!E6,C34+D34)</f>
        <v/>
      </c>
      <c r="F34">
        <f>C34+D34-E34</f>
        <v/>
      </c>
      <c r="G34">
        <f>MIN(F34,MAX(0,$B34-((K$5&lt;E$5)*L34+(Q$5&lt;E$5)*R34+(W$5&lt;E$5)*X34+(AC$5&lt;E$5)*AD34+(AI$5&lt;E$5)*AJ34+(AO$5&lt;E$5)*AP34+(AU$5&lt;E$5)*AV34)))</f>
        <v/>
      </c>
      <c r="H34">
        <f>IF(F34-G34&lt;0.005,0,F34-G34)</f>
        <v/>
      </c>
      <c r="I34">
        <f>N33</f>
        <v/>
      </c>
      <c r="J34">
        <f>I34*Plan!D7/100/12</f>
        <v/>
      </c>
      <c r="K34">
        <f>MIN(Plan!E7,I34+J34)</f>
        <v/>
      </c>
      <c r="L34">
        <f>I34+J34-K34</f>
        <v/>
      </c>
      <c r="M34">
        <f>MIN(L34,MAX(0,$B34-((E$5&lt;K$5)*F34+(Q$5&lt;K$5)*R34+(W$5&lt;K$5)*X34+(AC$5&lt;K$5)*AD34+(AI$5&lt;K$5)*AJ34+(AO$5&lt;K$5)*AP34+(AU$5&lt;K$5)*AV34)))</f>
        <v/>
      </c>
      <c r="N34">
        <f>IF(L34-M34&lt;0.005,0,L34-M34)</f>
        <v/>
      </c>
      <c r="O34">
        <f>T33</f>
        <v/>
      </c>
      <c r="P34">
        <f>O34*Plan!D8/100/12</f>
        <v/>
      </c>
      <c r="Q34">
        <f>MIN(Plan!E8,O34+P34)</f>
        <v/>
      </c>
      <c r="R34">
        <f>O34+P34-Q34</f>
        <v/>
      </c>
      <c r="S34">
        <f>MIN(R34,MAX(0,$B34-((E$5&lt;Q$5)*F34+(K$5&lt;Q$5)*L34+(W$5&lt;Q$5)*X34+(AC$5&lt;Q$5)*AD34+(AI$5&lt;Q$5)*AJ34+(AO$5&lt;Q$5)*AP34+(AU$5&lt;Q$5)*AV34)))</f>
        <v/>
      </c>
      <c r="T34">
        <f>IF(R34-S34&lt;0.005,0,R34-S34)</f>
        <v/>
      </c>
      <c r="U34">
        <f>Z33</f>
        <v/>
      </c>
      <c r="V34">
        <f>U34*Plan!D9/100/12</f>
        <v/>
      </c>
      <c r="W34">
        <f>MIN(Plan!E9,U34+V34)</f>
        <v/>
      </c>
      <c r="X34">
        <f>U34+V34-W34</f>
        <v/>
      </c>
      <c r="Y34">
        <f>MIN(X34,MAX(0,$B34-((E$5&lt;W$5)*F34+(K$5&lt;W$5)*L34+(Q$5&lt;W$5)*R34+(AC$5&lt;W$5)*AD34+(AI$5&lt;W$5)*AJ34+(AO$5&lt;W$5)*AP34+(AU$5&lt;W$5)*AV34)))</f>
        <v/>
      </c>
      <c r="Z34">
        <f>IF(X34-Y34&lt;0.005,0,X34-Y34)</f>
        <v/>
      </c>
      <c r="AA34">
        <f>AF33</f>
        <v/>
      </c>
      <c r="AB34">
        <f>AA34*Plan!D10/100/12</f>
        <v/>
      </c>
      <c r="AC34">
        <f>MIN(Plan!E10,AA34+AB34)</f>
        <v/>
      </c>
      <c r="AD34">
        <f>AA34+AB34-AC34</f>
        <v/>
      </c>
      <c r="AE34">
        <f>MIN(AD34,MAX(0,$B34-((E$5&lt;AC$5)*F34+(K$5&lt;AC$5)*L34+(Q$5&lt;AC$5)*R34+(W$5&lt;AC$5)*X34+(AI$5&lt;AC$5)*AJ34+(AO$5&lt;AC$5)*AP34+(AU$5&lt;AC$5)*AV34)))</f>
        <v/>
      </c>
      <c r="AF34">
        <f>IF(AD34-AE34&lt;0.005,0,AD34-AE34)</f>
        <v/>
      </c>
      <c r="AG34">
        <f>AL33</f>
        <v/>
      </c>
      <c r="AH34">
        <f>AG34*Plan!D11/100/12</f>
        <v/>
      </c>
      <c r="AI34">
        <f>MIN(Plan!E11,AG34+AH34)</f>
        <v/>
      </c>
      <c r="AJ34">
        <f>AG34+AH34-AI34</f>
        <v/>
      </c>
      <c r="AK34">
        <f>MIN(AJ34,MAX(0,$B34-((E$5&lt;AI$5)*F34+(K$5&lt;AI$5)*L34+(Q$5&lt;AI$5)*R34+(W$5&lt;AI$5)*X34+(AC$5&lt;AI$5)*AD34+(AO$5&lt;AI$5)*AP34+(AU$5&lt;AI$5)*AV34)))</f>
        <v/>
      </c>
      <c r="AL34">
        <f>IF(AJ34-AK34&lt;0.005,0,AJ34-AK34)</f>
        <v/>
      </c>
      <c r="AM34">
        <f>AR33</f>
        <v/>
      </c>
      <c r="AN34">
        <f>AM34*Plan!D12/100/12</f>
        <v/>
      </c>
      <c r="AO34">
        <f>MIN(Plan!E12,AM34+AN34)</f>
        <v/>
      </c>
      <c r="AP34">
        <f>AM34+AN34-AO34</f>
        <v/>
      </c>
      <c r="AQ34">
        <f>MIN(AP34,MAX(0,$B34-((E$5&lt;AO$5)*F34+(K$5&lt;AO$5)*L34+(Q$5&lt;AO$5)*R34+(W$5&lt;AO$5)*X34+(AC$5&lt;AO$5)*AD34+(AI$5&lt;AO$5)*AJ34+(AU$5&lt;AO$5)*AV34)))</f>
        <v/>
      </c>
      <c r="AR34">
        <f>IF(AP34-AQ34&lt;0.005,0,AP34-AQ34)</f>
        <v/>
      </c>
      <c r="AS34">
        <f>AX33</f>
        <v/>
      </c>
      <c r="AT34">
        <f>AS34*Plan!D13/100/12</f>
        <v/>
      </c>
      <c r="AU34">
        <f>MIN(Plan!E13,AS34+AT34)</f>
        <v/>
      </c>
      <c r="AV34">
        <f>AS34+AT34-AU34</f>
        <v/>
      </c>
      <c r="AW34">
        <f>MIN(AV34,MAX(0,$B34-((E$5&lt;AU$5)*F34+(K$5&lt;AU$5)*L34+(Q$5&lt;AU$5)*R34+(W$5&lt;AU$5)*X34+(AC$5&lt;AU$5)*AD34+(AI$5&lt;AU$5)*AJ34+(AO$5&lt;AU$5)*AP34)))</f>
        <v/>
      </c>
      <c r="AX34">
        <f>IF(AV34-AW34&lt;0.005,0,AV34-AW34)</f>
        <v/>
      </c>
      <c r="BC34">
        <f>H34+N34+T34+Z34+AF34+AL34+AR34+AX34</f>
        <v/>
      </c>
    </row>
    <row r="35">
      <c r="A35" t="n">
        <v>29</v>
      </c>
      <c r="B35" s="19">
        <f>MAX(0,$B$3-(E35+K35+Q35+W35+AC35+AI35+AO35+AU35))</f>
        <v/>
      </c>
      <c r="C35">
        <f>H34</f>
        <v/>
      </c>
      <c r="D35">
        <f>C35*Plan!D6/100/12</f>
        <v/>
      </c>
      <c r="E35">
        <f>MIN(Plan!E6,C35+D35)</f>
        <v/>
      </c>
      <c r="F35">
        <f>C35+D35-E35</f>
        <v/>
      </c>
      <c r="G35">
        <f>MIN(F35,MAX(0,$B35-((K$5&lt;E$5)*L35+(Q$5&lt;E$5)*R35+(W$5&lt;E$5)*X35+(AC$5&lt;E$5)*AD35+(AI$5&lt;E$5)*AJ35+(AO$5&lt;E$5)*AP35+(AU$5&lt;E$5)*AV35)))</f>
        <v/>
      </c>
      <c r="H35">
        <f>IF(F35-G35&lt;0.005,0,F35-G35)</f>
        <v/>
      </c>
      <c r="I35">
        <f>N34</f>
        <v/>
      </c>
      <c r="J35">
        <f>I35*Plan!D7/100/12</f>
        <v/>
      </c>
      <c r="K35">
        <f>MIN(Plan!E7,I35+J35)</f>
        <v/>
      </c>
      <c r="L35">
        <f>I35+J35-K35</f>
        <v/>
      </c>
      <c r="M35">
        <f>MIN(L35,MAX(0,$B35-((E$5&lt;K$5)*F35+(Q$5&lt;K$5)*R35+(W$5&lt;K$5)*X35+(AC$5&lt;K$5)*AD35+(AI$5&lt;K$5)*AJ35+(AO$5&lt;K$5)*AP35+(AU$5&lt;K$5)*AV35)))</f>
        <v/>
      </c>
      <c r="N35">
        <f>IF(L35-M35&lt;0.005,0,L35-M35)</f>
        <v/>
      </c>
      <c r="O35">
        <f>T34</f>
        <v/>
      </c>
      <c r="P35">
        <f>O35*Plan!D8/100/12</f>
        <v/>
      </c>
      <c r="Q35">
        <f>MIN(Plan!E8,O35+P35)</f>
        <v/>
      </c>
      <c r="R35">
        <f>O35+P35-Q35</f>
        <v/>
      </c>
      <c r="S35">
        <f>MIN(R35,MAX(0,$B35-((E$5&lt;Q$5)*F35+(K$5&lt;Q$5)*L35+(W$5&lt;Q$5)*X35+(AC$5&lt;Q$5)*AD35+(AI$5&lt;Q$5)*AJ35+(AO$5&lt;Q$5)*AP35+(AU$5&lt;Q$5)*AV35)))</f>
        <v/>
      </c>
      <c r="T35">
        <f>IF(R35-S35&lt;0.005,0,R35-S35)</f>
        <v/>
      </c>
      <c r="U35">
        <f>Z34</f>
        <v/>
      </c>
      <c r="V35">
        <f>U35*Plan!D9/100/12</f>
        <v/>
      </c>
      <c r="W35">
        <f>MIN(Plan!E9,U35+V35)</f>
        <v/>
      </c>
      <c r="X35">
        <f>U35+V35-W35</f>
        <v/>
      </c>
      <c r="Y35">
        <f>MIN(X35,MAX(0,$B35-((E$5&lt;W$5)*F35+(K$5&lt;W$5)*L35+(Q$5&lt;W$5)*R35+(AC$5&lt;W$5)*AD35+(AI$5&lt;W$5)*AJ35+(AO$5&lt;W$5)*AP35+(AU$5&lt;W$5)*AV35)))</f>
        <v/>
      </c>
      <c r="Z35">
        <f>IF(X35-Y35&lt;0.005,0,X35-Y35)</f>
        <v/>
      </c>
      <c r="AA35">
        <f>AF34</f>
        <v/>
      </c>
      <c r="AB35">
        <f>AA35*Plan!D10/100/12</f>
        <v/>
      </c>
      <c r="AC35">
        <f>MIN(Plan!E10,AA35+AB35)</f>
        <v/>
      </c>
      <c r="AD35">
        <f>AA35+AB35-AC35</f>
        <v/>
      </c>
      <c r="AE35">
        <f>MIN(AD35,MAX(0,$B35-((E$5&lt;AC$5)*F35+(K$5&lt;AC$5)*L35+(Q$5&lt;AC$5)*R35+(W$5&lt;AC$5)*X35+(AI$5&lt;AC$5)*AJ35+(AO$5&lt;AC$5)*AP35+(AU$5&lt;AC$5)*AV35)))</f>
        <v/>
      </c>
      <c r="AF35">
        <f>IF(AD35-AE35&lt;0.005,0,AD35-AE35)</f>
        <v/>
      </c>
      <c r="AG35">
        <f>AL34</f>
        <v/>
      </c>
      <c r="AH35">
        <f>AG35*Plan!D11/100/12</f>
        <v/>
      </c>
      <c r="AI35">
        <f>MIN(Plan!E11,AG35+AH35)</f>
        <v/>
      </c>
      <c r="AJ35">
        <f>AG35+AH35-AI35</f>
        <v/>
      </c>
      <c r="AK35">
        <f>MIN(AJ35,MAX(0,$B35-((E$5&lt;AI$5)*F35+(K$5&lt;AI$5)*L35+(Q$5&lt;AI$5)*R35+(W$5&lt;AI$5)*X35+(AC$5&lt;AI$5)*AD35+(AO$5&lt;AI$5)*AP35+(AU$5&lt;AI$5)*AV35)))</f>
        <v/>
      </c>
      <c r="AL35">
        <f>IF(AJ35-AK35&lt;0.005,0,AJ35-AK35)</f>
        <v/>
      </c>
      <c r="AM35">
        <f>AR34</f>
        <v/>
      </c>
      <c r="AN35">
        <f>AM35*Plan!D12/100/12</f>
        <v/>
      </c>
      <c r="AO35">
        <f>MIN(Plan!E12,AM35+AN35)</f>
        <v/>
      </c>
      <c r="AP35">
        <f>AM35+AN35-AO35</f>
        <v/>
      </c>
      <c r="AQ35">
        <f>MIN(AP35,MAX(0,$B35-((E$5&lt;AO$5)*F35+(K$5&lt;AO$5)*L35+(Q$5&lt;AO$5)*R35+(W$5&lt;AO$5)*X35+(AC$5&lt;AO$5)*AD35+(AI$5&lt;AO$5)*AJ35+(AU$5&lt;AO$5)*AV35)))</f>
        <v/>
      </c>
      <c r="AR35">
        <f>IF(AP35-AQ35&lt;0.005,0,AP35-AQ35)</f>
        <v/>
      </c>
      <c r="AS35">
        <f>AX34</f>
        <v/>
      </c>
      <c r="AT35">
        <f>AS35*Plan!D13/100/12</f>
        <v/>
      </c>
      <c r="AU35">
        <f>MIN(Plan!E13,AS35+AT35)</f>
        <v/>
      </c>
      <c r="AV35">
        <f>AS35+AT35-AU35</f>
        <v/>
      </c>
      <c r="AW35">
        <f>MIN(AV35,MAX(0,$B35-((E$5&lt;AU$5)*F35+(K$5&lt;AU$5)*L35+(Q$5&lt;AU$5)*R35+(W$5&lt;AU$5)*X35+(AC$5&lt;AU$5)*AD35+(AI$5&lt;AU$5)*AJ35+(AO$5&lt;AU$5)*AP35)))</f>
        <v/>
      </c>
      <c r="AX35">
        <f>IF(AV35-AW35&lt;0.005,0,AV35-AW35)</f>
        <v/>
      </c>
      <c r="BC35">
        <f>H35+N35+T35+Z35+AF35+AL35+AR35+AX35</f>
        <v/>
      </c>
    </row>
    <row r="36">
      <c r="A36" t="n">
        <v>30</v>
      </c>
      <c r="B36" s="19">
        <f>MAX(0,$B$3-(E36+K36+Q36+W36+AC36+AI36+AO36+AU36))</f>
        <v/>
      </c>
      <c r="C36">
        <f>H35</f>
        <v/>
      </c>
      <c r="D36">
        <f>C36*Plan!D6/100/12</f>
        <v/>
      </c>
      <c r="E36">
        <f>MIN(Plan!E6,C36+D36)</f>
        <v/>
      </c>
      <c r="F36">
        <f>C36+D36-E36</f>
        <v/>
      </c>
      <c r="G36">
        <f>MIN(F36,MAX(0,$B36-((K$5&lt;E$5)*L36+(Q$5&lt;E$5)*R36+(W$5&lt;E$5)*X36+(AC$5&lt;E$5)*AD36+(AI$5&lt;E$5)*AJ36+(AO$5&lt;E$5)*AP36+(AU$5&lt;E$5)*AV36)))</f>
        <v/>
      </c>
      <c r="H36">
        <f>IF(F36-G36&lt;0.005,0,F36-G36)</f>
        <v/>
      </c>
      <c r="I36">
        <f>N35</f>
        <v/>
      </c>
      <c r="J36">
        <f>I36*Plan!D7/100/12</f>
        <v/>
      </c>
      <c r="K36">
        <f>MIN(Plan!E7,I36+J36)</f>
        <v/>
      </c>
      <c r="L36">
        <f>I36+J36-K36</f>
        <v/>
      </c>
      <c r="M36">
        <f>MIN(L36,MAX(0,$B36-((E$5&lt;K$5)*F36+(Q$5&lt;K$5)*R36+(W$5&lt;K$5)*X36+(AC$5&lt;K$5)*AD36+(AI$5&lt;K$5)*AJ36+(AO$5&lt;K$5)*AP36+(AU$5&lt;K$5)*AV36)))</f>
        <v/>
      </c>
      <c r="N36">
        <f>IF(L36-M36&lt;0.005,0,L36-M36)</f>
        <v/>
      </c>
      <c r="O36">
        <f>T35</f>
        <v/>
      </c>
      <c r="P36">
        <f>O36*Plan!D8/100/12</f>
        <v/>
      </c>
      <c r="Q36">
        <f>MIN(Plan!E8,O36+P36)</f>
        <v/>
      </c>
      <c r="R36">
        <f>O36+P36-Q36</f>
        <v/>
      </c>
      <c r="S36">
        <f>MIN(R36,MAX(0,$B36-((E$5&lt;Q$5)*F36+(K$5&lt;Q$5)*L36+(W$5&lt;Q$5)*X36+(AC$5&lt;Q$5)*AD36+(AI$5&lt;Q$5)*AJ36+(AO$5&lt;Q$5)*AP36+(AU$5&lt;Q$5)*AV36)))</f>
        <v/>
      </c>
      <c r="T36">
        <f>IF(R36-S36&lt;0.005,0,R36-S36)</f>
        <v/>
      </c>
      <c r="U36">
        <f>Z35</f>
        <v/>
      </c>
      <c r="V36">
        <f>U36*Plan!D9/100/12</f>
        <v/>
      </c>
      <c r="W36">
        <f>MIN(Plan!E9,U36+V36)</f>
        <v/>
      </c>
      <c r="X36">
        <f>U36+V36-W36</f>
        <v/>
      </c>
      <c r="Y36">
        <f>MIN(X36,MAX(0,$B36-((E$5&lt;W$5)*F36+(K$5&lt;W$5)*L36+(Q$5&lt;W$5)*R36+(AC$5&lt;W$5)*AD36+(AI$5&lt;W$5)*AJ36+(AO$5&lt;W$5)*AP36+(AU$5&lt;W$5)*AV36)))</f>
        <v/>
      </c>
      <c r="Z36">
        <f>IF(X36-Y36&lt;0.005,0,X36-Y36)</f>
        <v/>
      </c>
      <c r="AA36">
        <f>AF35</f>
        <v/>
      </c>
      <c r="AB36">
        <f>AA36*Plan!D10/100/12</f>
        <v/>
      </c>
      <c r="AC36">
        <f>MIN(Plan!E10,AA36+AB36)</f>
        <v/>
      </c>
      <c r="AD36">
        <f>AA36+AB36-AC36</f>
        <v/>
      </c>
      <c r="AE36">
        <f>MIN(AD36,MAX(0,$B36-((E$5&lt;AC$5)*F36+(K$5&lt;AC$5)*L36+(Q$5&lt;AC$5)*R36+(W$5&lt;AC$5)*X36+(AI$5&lt;AC$5)*AJ36+(AO$5&lt;AC$5)*AP36+(AU$5&lt;AC$5)*AV36)))</f>
        <v/>
      </c>
      <c r="AF36">
        <f>IF(AD36-AE36&lt;0.005,0,AD36-AE36)</f>
        <v/>
      </c>
      <c r="AG36">
        <f>AL35</f>
        <v/>
      </c>
      <c r="AH36">
        <f>AG36*Plan!D11/100/12</f>
        <v/>
      </c>
      <c r="AI36">
        <f>MIN(Plan!E11,AG36+AH36)</f>
        <v/>
      </c>
      <c r="AJ36">
        <f>AG36+AH36-AI36</f>
        <v/>
      </c>
      <c r="AK36">
        <f>MIN(AJ36,MAX(0,$B36-((E$5&lt;AI$5)*F36+(K$5&lt;AI$5)*L36+(Q$5&lt;AI$5)*R36+(W$5&lt;AI$5)*X36+(AC$5&lt;AI$5)*AD36+(AO$5&lt;AI$5)*AP36+(AU$5&lt;AI$5)*AV36)))</f>
        <v/>
      </c>
      <c r="AL36">
        <f>IF(AJ36-AK36&lt;0.005,0,AJ36-AK36)</f>
        <v/>
      </c>
      <c r="AM36">
        <f>AR35</f>
        <v/>
      </c>
      <c r="AN36">
        <f>AM36*Plan!D12/100/12</f>
        <v/>
      </c>
      <c r="AO36">
        <f>MIN(Plan!E12,AM36+AN36)</f>
        <v/>
      </c>
      <c r="AP36">
        <f>AM36+AN36-AO36</f>
        <v/>
      </c>
      <c r="AQ36">
        <f>MIN(AP36,MAX(0,$B36-((E$5&lt;AO$5)*F36+(K$5&lt;AO$5)*L36+(Q$5&lt;AO$5)*R36+(W$5&lt;AO$5)*X36+(AC$5&lt;AO$5)*AD36+(AI$5&lt;AO$5)*AJ36+(AU$5&lt;AO$5)*AV36)))</f>
        <v/>
      </c>
      <c r="AR36">
        <f>IF(AP36-AQ36&lt;0.005,0,AP36-AQ36)</f>
        <v/>
      </c>
      <c r="AS36">
        <f>AX35</f>
        <v/>
      </c>
      <c r="AT36">
        <f>AS36*Plan!D13/100/12</f>
        <v/>
      </c>
      <c r="AU36">
        <f>MIN(Plan!E13,AS36+AT36)</f>
        <v/>
      </c>
      <c r="AV36">
        <f>AS36+AT36-AU36</f>
        <v/>
      </c>
      <c r="AW36">
        <f>MIN(AV36,MAX(0,$B36-((E$5&lt;AU$5)*F36+(K$5&lt;AU$5)*L36+(Q$5&lt;AU$5)*R36+(W$5&lt;AU$5)*X36+(AC$5&lt;AU$5)*AD36+(AI$5&lt;AU$5)*AJ36+(AO$5&lt;AU$5)*AP36)))</f>
        <v/>
      </c>
      <c r="AX36">
        <f>IF(AV36-AW36&lt;0.005,0,AV36-AW36)</f>
        <v/>
      </c>
      <c r="BC36">
        <f>H36+N36+T36+Z36+AF36+AL36+AR36+AX36</f>
        <v/>
      </c>
    </row>
    <row r="37">
      <c r="A37" t="n">
        <v>31</v>
      </c>
      <c r="B37" s="19">
        <f>MAX(0,$B$3-(E37+K37+Q37+W37+AC37+AI37+AO37+AU37))</f>
        <v/>
      </c>
      <c r="C37">
        <f>H36</f>
        <v/>
      </c>
      <c r="D37">
        <f>C37*Plan!D6/100/12</f>
        <v/>
      </c>
      <c r="E37">
        <f>MIN(Plan!E6,C37+D37)</f>
        <v/>
      </c>
      <c r="F37">
        <f>C37+D37-E37</f>
        <v/>
      </c>
      <c r="G37">
        <f>MIN(F37,MAX(0,$B37-((K$5&lt;E$5)*L37+(Q$5&lt;E$5)*R37+(W$5&lt;E$5)*X37+(AC$5&lt;E$5)*AD37+(AI$5&lt;E$5)*AJ37+(AO$5&lt;E$5)*AP37+(AU$5&lt;E$5)*AV37)))</f>
        <v/>
      </c>
      <c r="H37">
        <f>IF(F37-G37&lt;0.005,0,F37-G37)</f>
        <v/>
      </c>
      <c r="I37">
        <f>N36</f>
        <v/>
      </c>
      <c r="J37">
        <f>I37*Plan!D7/100/12</f>
        <v/>
      </c>
      <c r="K37">
        <f>MIN(Plan!E7,I37+J37)</f>
        <v/>
      </c>
      <c r="L37">
        <f>I37+J37-K37</f>
        <v/>
      </c>
      <c r="M37">
        <f>MIN(L37,MAX(0,$B37-((E$5&lt;K$5)*F37+(Q$5&lt;K$5)*R37+(W$5&lt;K$5)*X37+(AC$5&lt;K$5)*AD37+(AI$5&lt;K$5)*AJ37+(AO$5&lt;K$5)*AP37+(AU$5&lt;K$5)*AV37)))</f>
        <v/>
      </c>
      <c r="N37">
        <f>IF(L37-M37&lt;0.005,0,L37-M37)</f>
        <v/>
      </c>
      <c r="O37">
        <f>T36</f>
        <v/>
      </c>
      <c r="P37">
        <f>O37*Plan!D8/100/12</f>
        <v/>
      </c>
      <c r="Q37">
        <f>MIN(Plan!E8,O37+P37)</f>
        <v/>
      </c>
      <c r="R37">
        <f>O37+P37-Q37</f>
        <v/>
      </c>
      <c r="S37">
        <f>MIN(R37,MAX(0,$B37-((E$5&lt;Q$5)*F37+(K$5&lt;Q$5)*L37+(W$5&lt;Q$5)*X37+(AC$5&lt;Q$5)*AD37+(AI$5&lt;Q$5)*AJ37+(AO$5&lt;Q$5)*AP37+(AU$5&lt;Q$5)*AV37)))</f>
        <v/>
      </c>
      <c r="T37">
        <f>IF(R37-S37&lt;0.005,0,R37-S37)</f>
        <v/>
      </c>
      <c r="U37">
        <f>Z36</f>
        <v/>
      </c>
      <c r="V37">
        <f>U37*Plan!D9/100/12</f>
        <v/>
      </c>
      <c r="W37">
        <f>MIN(Plan!E9,U37+V37)</f>
        <v/>
      </c>
      <c r="X37">
        <f>U37+V37-W37</f>
        <v/>
      </c>
      <c r="Y37">
        <f>MIN(X37,MAX(0,$B37-((E$5&lt;W$5)*F37+(K$5&lt;W$5)*L37+(Q$5&lt;W$5)*R37+(AC$5&lt;W$5)*AD37+(AI$5&lt;W$5)*AJ37+(AO$5&lt;W$5)*AP37+(AU$5&lt;W$5)*AV37)))</f>
        <v/>
      </c>
      <c r="Z37">
        <f>IF(X37-Y37&lt;0.005,0,X37-Y37)</f>
        <v/>
      </c>
      <c r="AA37">
        <f>AF36</f>
        <v/>
      </c>
      <c r="AB37">
        <f>AA37*Plan!D10/100/12</f>
        <v/>
      </c>
      <c r="AC37">
        <f>MIN(Plan!E10,AA37+AB37)</f>
        <v/>
      </c>
      <c r="AD37">
        <f>AA37+AB37-AC37</f>
        <v/>
      </c>
      <c r="AE37">
        <f>MIN(AD37,MAX(0,$B37-((E$5&lt;AC$5)*F37+(K$5&lt;AC$5)*L37+(Q$5&lt;AC$5)*R37+(W$5&lt;AC$5)*X37+(AI$5&lt;AC$5)*AJ37+(AO$5&lt;AC$5)*AP37+(AU$5&lt;AC$5)*AV37)))</f>
        <v/>
      </c>
      <c r="AF37">
        <f>IF(AD37-AE37&lt;0.005,0,AD37-AE37)</f>
        <v/>
      </c>
      <c r="AG37">
        <f>AL36</f>
        <v/>
      </c>
      <c r="AH37">
        <f>AG37*Plan!D11/100/12</f>
        <v/>
      </c>
      <c r="AI37">
        <f>MIN(Plan!E11,AG37+AH37)</f>
        <v/>
      </c>
      <c r="AJ37">
        <f>AG37+AH37-AI37</f>
        <v/>
      </c>
      <c r="AK37">
        <f>MIN(AJ37,MAX(0,$B37-((E$5&lt;AI$5)*F37+(K$5&lt;AI$5)*L37+(Q$5&lt;AI$5)*R37+(W$5&lt;AI$5)*X37+(AC$5&lt;AI$5)*AD37+(AO$5&lt;AI$5)*AP37+(AU$5&lt;AI$5)*AV37)))</f>
        <v/>
      </c>
      <c r="AL37">
        <f>IF(AJ37-AK37&lt;0.005,0,AJ37-AK37)</f>
        <v/>
      </c>
      <c r="AM37">
        <f>AR36</f>
        <v/>
      </c>
      <c r="AN37">
        <f>AM37*Plan!D12/100/12</f>
        <v/>
      </c>
      <c r="AO37">
        <f>MIN(Plan!E12,AM37+AN37)</f>
        <v/>
      </c>
      <c r="AP37">
        <f>AM37+AN37-AO37</f>
        <v/>
      </c>
      <c r="AQ37">
        <f>MIN(AP37,MAX(0,$B37-((E$5&lt;AO$5)*F37+(K$5&lt;AO$5)*L37+(Q$5&lt;AO$5)*R37+(W$5&lt;AO$5)*X37+(AC$5&lt;AO$5)*AD37+(AI$5&lt;AO$5)*AJ37+(AU$5&lt;AO$5)*AV37)))</f>
        <v/>
      </c>
      <c r="AR37">
        <f>IF(AP37-AQ37&lt;0.005,0,AP37-AQ37)</f>
        <v/>
      </c>
      <c r="AS37">
        <f>AX36</f>
        <v/>
      </c>
      <c r="AT37">
        <f>AS37*Plan!D13/100/12</f>
        <v/>
      </c>
      <c r="AU37">
        <f>MIN(Plan!E13,AS37+AT37)</f>
        <v/>
      </c>
      <c r="AV37">
        <f>AS37+AT37-AU37</f>
        <v/>
      </c>
      <c r="AW37">
        <f>MIN(AV37,MAX(0,$B37-((E$5&lt;AU$5)*F37+(K$5&lt;AU$5)*L37+(Q$5&lt;AU$5)*R37+(W$5&lt;AU$5)*X37+(AC$5&lt;AU$5)*AD37+(AI$5&lt;AU$5)*AJ37+(AO$5&lt;AU$5)*AP37)))</f>
        <v/>
      </c>
      <c r="AX37">
        <f>IF(AV37-AW37&lt;0.005,0,AV37-AW37)</f>
        <v/>
      </c>
      <c r="BC37">
        <f>H37+N37+T37+Z37+AF37+AL37+AR37+AX37</f>
        <v/>
      </c>
    </row>
    <row r="38">
      <c r="A38" t="n">
        <v>32</v>
      </c>
      <c r="B38" s="19">
        <f>MAX(0,$B$3-(E38+K38+Q38+W38+AC38+AI38+AO38+AU38))</f>
        <v/>
      </c>
      <c r="C38">
        <f>H37</f>
        <v/>
      </c>
      <c r="D38">
        <f>C38*Plan!D6/100/12</f>
        <v/>
      </c>
      <c r="E38">
        <f>MIN(Plan!E6,C38+D38)</f>
        <v/>
      </c>
      <c r="F38">
        <f>C38+D38-E38</f>
        <v/>
      </c>
      <c r="G38">
        <f>MIN(F38,MAX(0,$B38-((K$5&lt;E$5)*L38+(Q$5&lt;E$5)*R38+(W$5&lt;E$5)*X38+(AC$5&lt;E$5)*AD38+(AI$5&lt;E$5)*AJ38+(AO$5&lt;E$5)*AP38+(AU$5&lt;E$5)*AV38)))</f>
        <v/>
      </c>
      <c r="H38">
        <f>IF(F38-G38&lt;0.005,0,F38-G38)</f>
        <v/>
      </c>
      <c r="I38">
        <f>N37</f>
        <v/>
      </c>
      <c r="J38">
        <f>I38*Plan!D7/100/12</f>
        <v/>
      </c>
      <c r="K38">
        <f>MIN(Plan!E7,I38+J38)</f>
        <v/>
      </c>
      <c r="L38">
        <f>I38+J38-K38</f>
        <v/>
      </c>
      <c r="M38">
        <f>MIN(L38,MAX(0,$B38-((E$5&lt;K$5)*F38+(Q$5&lt;K$5)*R38+(W$5&lt;K$5)*X38+(AC$5&lt;K$5)*AD38+(AI$5&lt;K$5)*AJ38+(AO$5&lt;K$5)*AP38+(AU$5&lt;K$5)*AV38)))</f>
        <v/>
      </c>
      <c r="N38">
        <f>IF(L38-M38&lt;0.005,0,L38-M38)</f>
        <v/>
      </c>
      <c r="O38">
        <f>T37</f>
        <v/>
      </c>
      <c r="P38">
        <f>O38*Plan!D8/100/12</f>
        <v/>
      </c>
      <c r="Q38">
        <f>MIN(Plan!E8,O38+P38)</f>
        <v/>
      </c>
      <c r="R38">
        <f>O38+P38-Q38</f>
        <v/>
      </c>
      <c r="S38">
        <f>MIN(R38,MAX(0,$B38-((E$5&lt;Q$5)*F38+(K$5&lt;Q$5)*L38+(W$5&lt;Q$5)*X38+(AC$5&lt;Q$5)*AD38+(AI$5&lt;Q$5)*AJ38+(AO$5&lt;Q$5)*AP38+(AU$5&lt;Q$5)*AV38)))</f>
        <v/>
      </c>
      <c r="T38">
        <f>IF(R38-S38&lt;0.005,0,R38-S38)</f>
        <v/>
      </c>
      <c r="U38">
        <f>Z37</f>
        <v/>
      </c>
      <c r="V38">
        <f>U38*Plan!D9/100/12</f>
        <v/>
      </c>
      <c r="W38">
        <f>MIN(Plan!E9,U38+V38)</f>
        <v/>
      </c>
      <c r="X38">
        <f>U38+V38-W38</f>
        <v/>
      </c>
      <c r="Y38">
        <f>MIN(X38,MAX(0,$B38-((E$5&lt;W$5)*F38+(K$5&lt;W$5)*L38+(Q$5&lt;W$5)*R38+(AC$5&lt;W$5)*AD38+(AI$5&lt;W$5)*AJ38+(AO$5&lt;W$5)*AP38+(AU$5&lt;W$5)*AV38)))</f>
        <v/>
      </c>
      <c r="Z38">
        <f>IF(X38-Y38&lt;0.005,0,X38-Y38)</f>
        <v/>
      </c>
      <c r="AA38">
        <f>AF37</f>
        <v/>
      </c>
      <c r="AB38">
        <f>AA38*Plan!D10/100/12</f>
        <v/>
      </c>
      <c r="AC38">
        <f>MIN(Plan!E10,AA38+AB38)</f>
        <v/>
      </c>
      <c r="AD38">
        <f>AA38+AB38-AC38</f>
        <v/>
      </c>
      <c r="AE38">
        <f>MIN(AD38,MAX(0,$B38-((E$5&lt;AC$5)*F38+(K$5&lt;AC$5)*L38+(Q$5&lt;AC$5)*R38+(W$5&lt;AC$5)*X38+(AI$5&lt;AC$5)*AJ38+(AO$5&lt;AC$5)*AP38+(AU$5&lt;AC$5)*AV38)))</f>
        <v/>
      </c>
      <c r="AF38">
        <f>IF(AD38-AE38&lt;0.005,0,AD38-AE38)</f>
        <v/>
      </c>
      <c r="AG38">
        <f>AL37</f>
        <v/>
      </c>
      <c r="AH38">
        <f>AG38*Plan!D11/100/12</f>
        <v/>
      </c>
      <c r="AI38">
        <f>MIN(Plan!E11,AG38+AH38)</f>
        <v/>
      </c>
      <c r="AJ38">
        <f>AG38+AH38-AI38</f>
        <v/>
      </c>
      <c r="AK38">
        <f>MIN(AJ38,MAX(0,$B38-((E$5&lt;AI$5)*F38+(K$5&lt;AI$5)*L38+(Q$5&lt;AI$5)*R38+(W$5&lt;AI$5)*X38+(AC$5&lt;AI$5)*AD38+(AO$5&lt;AI$5)*AP38+(AU$5&lt;AI$5)*AV38)))</f>
        <v/>
      </c>
      <c r="AL38">
        <f>IF(AJ38-AK38&lt;0.005,0,AJ38-AK38)</f>
        <v/>
      </c>
      <c r="AM38">
        <f>AR37</f>
        <v/>
      </c>
      <c r="AN38">
        <f>AM38*Plan!D12/100/12</f>
        <v/>
      </c>
      <c r="AO38">
        <f>MIN(Plan!E12,AM38+AN38)</f>
        <v/>
      </c>
      <c r="AP38">
        <f>AM38+AN38-AO38</f>
        <v/>
      </c>
      <c r="AQ38">
        <f>MIN(AP38,MAX(0,$B38-((E$5&lt;AO$5)*F38+(K$5&lt;AO$5)*L38+(Q$5&lt;AO$5)*R38+(W$5&lt;AO$5)*X38+(AC$5&lt;AO$5)*AD38+(AI$5&lt;AO$5)*AJ38+(AU$5&lt;AO$5)*AV38)))</f>
        <v/>
      </c>
      <c r="AR38">
        <f>IF(AP38-AQ38&lt;0.005,0,AP38-AQ38)</f>
        <v/>
      </c>
      <c r="AS38">
        <f>AX37</f>
        <v/>
      </c>
      <c r="AT38">
        <f>AS38*Plan!D13/100/12</f>
        <v/>
      </c>
      <c r="AU38">
        <f>MIN(Plan!E13,AS38+AT38)</f>
        <v/>
      </c>
      <c r="AV38">
        <f>AS38+AT38-AU38</f>
        <v/>
      </c>
      <c r="AW38">
        <f>MIN(AV38,MAX(0,$B38-((E$5&lt;AU$5)*F38+(K$5&lt;AU$5)*L38+(Q$5&lt;AU$5)*R38+(W$5&lt;AU$5)*X38+(AC$5&lt;AU$5)*AD38+(AI$5&lt;AU$5)*AJ38+(AO$5&lt;AU$5)*AP38)))</f>
        <v/>
      </c>
      <c r="AX38">
        <f>IF(AV38-AW38&lt;0.005,0,AV38-AW38)</f>
        <v/>
      </c>
      <c r="BC38">
        <f>H38+N38+T38+Z38+AF38+AL38+AR38+AX38</f>
        <v/>
      </c>
    </row>
    <row r="39">
      <c r="A39" t="n">
        <v>33</v>
      </c>
      <c r="B39" s="19">
        <f>MAX(0,$B$3-(E39+K39+Q39+W39+AC39+AI39+AO39+AU39))</f>
        <v/>
      </c>
      <c r="C39">
        <f>H38</f>
        <v/>
      </c>
      <c r="D39">
        <f>C39*Plan!D6/100/12</f>
        <v/>
      </c>
      <c r="E39">
        <f>MIN(Plan!E6,C39+D39)</f>
        <v/>
      </c>
      <c r="F39">
        <f>C39+D39-E39</f>
        <v/>
      </c>
      <c r="G39">
        <f>MIN(F39,MAX(0,$B39-((K$5&lt;E$5)*L39+(Q$5&lt;E$5)*R39+(W$5&lt;E$5)*X39+(AC$5&lt;E$5)*AD39+(AI$5&lt;E$5)*AJ39+(AO$5&lt;E$5)*AP39+(AU$5&lt;E$5)*AV39)))</f>
        <v/>
      </c>
      <c r="H39">
        <f>IF(F39-G39&lt;0.005,0,F39-G39)</f>
        <v/>
      </c>
      <c r="I39">
        <f>N38</f>
        <v/>
      </c>
      <c r="J39">
        <f>I39*Plan!D7/100/12</f>
        <v/>
      </c>
      <c r="K39">
        <f>MIN(Plan!E7,I39+J39)</f>
        <v/>
      </c>
      <c r="L39">
        <f>I39+J39-K39</f>
        <v/>
      </c>
      <c r="M39">
        <f>MIN(L39,MAX(0,$B39-((E$5&lt;K$5)*F39+(Q$5&lt;K$5)*R39+(W$5&lt;K$5)*X39+(AC$5&lt;K$5)*AD39+(AI$5&lt;K$5)*AJ39+(AO$5&lt;K$5)*AP39+(AU$5&lt;K$5)*AV39)))</f>
        <v/>
      </c>
      <c r="N39">
        <f>IF(L39-M39&lt;0.005,0,L39-M39)</f>
        <v/>
      </c>
      <c r="O39">
        <f>T38</f>
        <v/>
      </c>
      <c r="P39">
        <f>O39*Plan!D8/100/12</f>
        <v/>
      </c>
      <c r="Q39">
        <f>MIN(Plan!E8,O39+P39)</f>
        <v/>
      </c>
      <c r="R39">
        <f>O39+P39-Q39</f>
        <v/>
      </c>
      <c r="S39">
        <f>MIN(R39,MAX(0,$B39-((E$5&lt;Q$5)*F39+(K$5&lt;Q$5)*L39+(W$5&lt;Q$5)*X39+(AC$5&lt;Q$5)*AD39+(AI$5&lt;Q$5)*AJ39+(AO$5&lt;Q$5)*AP39+(AU$5&lt;Q$5)*AV39)))</f>
        <v/>
      </c>
      <c r="T39">
        <f>IF(R39-S39&lt;0.005,0,R39-S39)</f>
        <v/>
      </c>
      <c r="U39">
        <f>Z38</f>
        <v/>
      </c>
      <c r="V39">
        <f>U39*Plan!D9/100/12</f>
        <v/>
      </c>
      <c r="W39">
        <f>MIN(Plan!E9,U39+V39)</f>
        <v/>
      </c>
      <c r="X39">
        <f>U39+V39-W39</f>
        <v/>
      </c>
      <c r="Y39">
        <f>MIN(X39,MAX(0,$B39-((E$5&lt;W$5)*F39+(K$5&lt;W$5)*L39+(Q$5&lt;W$5)*R39+(AC$5&lt;W$5)*AD39+(AI$5&lt;W$5)*AJ39+(AO$5&lt;W$5)*AP39+(AU$5&lt;W$5)*AV39)))</f>
        <v/>
      </c>
      <c r="Z39">
        <f>IF(X39-Y39&lt;0.005,0,X39-Y39)</f>
        <v/>
      </c>
      <c r="AA39">
        <f>AF38</f>
        <v/>
      </c>
      <c r="AB39">
        <f>AA39*Plan!D10/100/12</f>
        <v/>
      </c>
      <c r="AC39">
        <f>MIN(Plan!E10,AA39+AB39)</f>
        <v/>
      </c>
      <c r="AD39">
        <f>AA39+AB39-AC39</f>
        <v/>
      </c>
      <c r="AE39">
        <f>MIN(AD39,MAX(0,$B39-((E$5&lt;AC$5)*F39+(K$5&lt;AC$5)*L39+(Q$5&lt;AC$5)*R39+(W$5&lt;AC$5)*X39+(AI$5&lt;AC$5)*AJ39+(AO$5&lt;AC$5)*AP39+(AU$5&lt;AC$5)*AV39)))</f>
        <v/>
      </c>
      <c r="AF39">
        <f>IF(AD39-AE39&lt;0.005,0,AD39-AE39)</f>
        <v/>
      </c>
      <c r="AG39">
        <f>AL38</f>
        <v/>
      </c>
      <c r="AH39">
        <f>AG39*Plan!D11/100/12</f>
        <v/>
      </c>
      <c r="AI39">
        <f>MIN(Plan!E11,AG39+AH39)</f>
        <v/>
      </c>
      <c r="AJ39">
        <f>AG39+AH39-AI39</f>
        <v/>
      </c>
      <c r="AK39">
        <f>MIN(AJ39,MAX(0,$B39-((E$5&lt;AI$5)*F39+(K$5&lt;AI$5)*L39+(Q$5&lt;AI$5)*R39+(W$5&lt;AI$5)*X39+(AC$5&lt;AI$5)*AD39+(AO$5&lt;AI$5)*AP39+(AU$5&lt;AI$5)*AV39)))</f>
        <v/>
      </c>
      <c r="AL39">
        <f>IF(AJ39-AK39&lt;0.005,0,AJ39-AK39)</f>
        <v/>
      </c>
      <c r="AM39">
        <f>AR38</f>
        <v/>
      </c>
      <c r="AN39">
        <f>AM39*Plan!D12/100/12</f>
        <v/>
      </c>
      <c r="AO39">
        <f>MIN(Plan!E12,AM39+AN39)</f>
        <v/>
      </c>
      <c r="AP39">
        <f>AM39+AN39-AO39</f>
        <v/>
      </c>
      <c r="AQ39">
        <f>MIN(AP39,MAX(0,$B39-((E$5&lt;AO$5)*F39+(K$5&lt;AO$5)*L39+(Q$5&lt;AO$5)*R39+(W$5&lt;AO$5)*X39+(AC$5&lt;AO$5)*AD39+(AI$5&lt;AO$5)*AJ39+(AU$5&lt;AO$5)*AV39)))</f>
        <v/>
      </c>
      <c r="AR39">
        <f>IF(AP39-AQ39&lt;0.005,0,AP39-AQ39)</f>
        <v/>
      </c>
      <c r="AS39">
        <f>AX38</f>
        <v/>
      </c>
      <c r="AT39">
        <f>AS39*Plan!D13/100/12</f>
        <v/>
      </c>
      <c r="AU39">
        <f>MIN(Plan!E13,AS39+AT39)</f>
        <v/>
      </c>
      <c r="AV39">
        <f>AS39+AT39-AU39</f>
        <v/>
      </c>
      <c r="AW39">
        <f>MIN(AV39,MAX(0,$B39-((E$5&lt;AU$5)*F39+(K$5&lt;AU$5)*L39+(Q$5&lt;AU$5)*R39+(W$5&lt;AU$5)*X39+(AC$5&lt;AU$5)*AD39+(AI$5&lt;AU$5)*AJ39+(AO$5&lt;AU$5)*AP39)))</f>
        <v/>
      </c>
      <c r="AX39">
        <f>IF(AV39-AW39&lt;0.005,0,AV39-AW39)</f>
        <v/>
      </c>
      <c r="BC39">
        <f>H39+N39+T39+Z39+AF39+AL39+AR39+AX39</f>
        <v/>
      </c>
    </row>
    <row r="40">
      <c r="A40" t="n">
        <v>34</v>
      </c>
      <c r="B40" s="19">
        <f>MAX(0,$B$3-(E40+K40+Q40+W40+AC40+AI40+AO40+AU40))</f>
        <v/>
      </c>
      <c r="C40">
        <f>H39</f>
        <v/>
      </c>
      <c r="D40">
        <f>C40*Plan!D6/100/12</f>
        <v/>
      </c>
      <c r="E40">
        <f>MIN(Plan!E6,C40+D40)</f>
        <v/>
      </c>
      <c r="F40">
        <f>C40+D40-E40</f>
        <v/>
      </c>
      <c r="G40">
        <f>MIN(F40,MAX(0,$B40-((K$5&lt;E$5)*L40+(Q$5&lt;E$5)*R40+(W$5&lt;E$5)*X40+(AC$5&lt;E$5)*AD40+(AI$5&lt;E$5)*AJ40+(AO$5&lt;E$5)*AP40+(AU$5&lt;E$5)*AV40)))</f>
        <v/>
      </c>
      <c r="H40">
        <f>IF(F40-G40&lt;0.005,0,F40-G40)</f>
        <v/>
      </c>
      <c r="I40">
        <f>N39</f>
        <v/>
      </c>
      <c r="J40">
        <f>I40*Plan!D7/100/12</f>
        <v/>
      </c>
      <c r="K40">
        <f>MIN(Plan!E7,I40+J40)</f>
        <v/>
      </c>
      <c r="L40">
        <f>I40+J40-K40</f>
        <v/>
      </c>
      <c r="M40">
        <f>MIN(L40,MAX(0,$B40-((E$5&lt;K$5)*F40+(Q$5&lt;K$5)*R40+(W$5&lt;K$5)*X40+(AC$5&lt;K$5)*AD40+(AI$5&lt;K$5)*AJ40+(AO$5&lt;K$5)*AP40+(AU$5&lt;K$5)*AV40)))</f>
        <v/>
      </c>
      <c r="N40">
        <f>IF(L40-M40&lt;0.005,0,L40-M40)</f>
        <v/>
      </c>
      <c r="O40">
        <f>T39</f>
        <v/>
      </c>
      <c r="P40">
        <f>O40*Plan!D8/100/12</f>
        <v/>
      </c>
      <c r="Q40">
        <f>MIN(Plan!E8,O40+P40)</f>
        <v/>
      </c>
      <c r="R40">
        <f>O40+P40-Q40</f>
        <v/>
      </c>
      <c r="S40">
        <f>MIN(R40,MAX(0,$B40-((E$5&lt;Q$5)*F40+(K$5&lt;Q$5)*L40+(W$5&lt;Q$5)*X40+(AC$5&lt;Q$5)*AD40+(AI$5&lt;Q$5)*AJ40+(AO$5&lt;Q$5)*AP40+(AU$5&lt;Q$5)*AV40)))</f>
        <v/>
      </c>
      <c r="T40">
        <f>IF(R40-S40&lt;0.005,0,R40-S40)</f>
        <v/>
      </c>
      <c r="U40">
        <f>Z39</f>
        <v/>
      </c>
      <c r="V40">
        <f>U40*Plan!D9/100/12</f>
        <v/>
      </c>
      <c r="W40">
        <f>MIN(Plan!E9,U40+V40)</f>
        <v/>
      </c>
      <c r="X40">
        <f>U40+V40-W40</f>
        <v/>
      </c>
      <c r="Y40">
        <f>MIN(X40,MAX(0,$B40-((E$5&lt;W$5)*F40+(K$5&lt;W$5)*L40+(Q$5&lt;W$5)*R40+(AC$5&lt;W$5)*AD40+(AI$5&lt;W$5)*AJ40+(AO$5&lt;W$5)*AP40+(AU$5&lt;W$5)*AV40)))</f>
        <v/>
      </c>
      <c r="Z40">
        <f>IF(X40-Y40&lt;0.005,0,X40-Y40)</f>
        <v/>
      </c>
      <c r="AA40">
        <f>AF39</f>
        <v/>
      </c>
      <c r="AB40">
        <f>AA40*Plan!D10/100/12</f>
        <v/>
      </c>
      <c r="AC40">
        <f>MIN(Plan!E10,AA40+AB40)</f>
        <v/>
      </c>
      <c r="AD40">
        <f>AA40+AB40-AC40</f>
        <v/>
      </c>
      <c r="AE40">
        <f>MIN(AD40,MAX(0,$B40-((E$5&lt;AC$5)*F40+(K$5&lt;AC$5)*L40+(Q$5&lt;AC$5)*R40+(W$5&lt;AC$5)*X40+(AI$5&lt;AC$5)*AJ40+(AO$5&lt;AC$5)*AP40+(AU$5&lt;AC$5)*AV40)))</f>
        <v/>
      </c>
      <c r="AF40">
        <f>IF(AD40-AE40&lt;0.005,0,AD40-AE40)</f>
        <v/>
      </c>
      <c r="AG40">
        <f>AL39</f>
        <v/>
      </c>
      <c r="AH40">
        <f>AG40*Plan!D11/100/12</f>
        <v/>
      </c>
      <c r="AI40">
        <f>MIN(Plan!E11,AG40+AH40)</f>
        <v/>
      </c>
      <c r="AJ40">
        <f>AG40+AH40-AI40</f>
        <v/>
      </c>
      <c r="AK40">
        <f>MIN(AJ40,MAX(0,$B40-((E$5&lt;AI$5)*F40+(K$5&lt;AI$5)*L40+(Q$5&lt;AI$5)*R40+(W$5&lt;AI$5)*X40+(AC$5&lt;AI$5)*AD40+(AO$5&lt;AI$5)*AP40+(AU$5&lt;AI$5)*AV40)))</f>
        <v/>
      </c>
      <c r="AL40">
        <f>IF(AJ40-AK40&lt;0.005,0,AJ40-AK40)</f>
        <v/>
      </c>
      <c r="AM40">
        <f>AR39</f>
        <v/>
      </c>
      <c r="AN40">
        <f>AM40*Plan!D12/100/12</f>
        <v/>
      </c>
      <c r="AO40">
        <f>MIN(Plan!E12,AM40+AN40)</f>
        <v/>
      </c>
      <c r="AP40">
        <f>AM40+AN40-AO40</f>
        <v/>
      </c>
      <c r="AQ40">
        <f>MIN(AP40,MAX(0,$B40-((E$5&lt;AO$5)*F40+(K$5&lt;AO$5)*L40+(Q$5&lt;AO$5)*R40+(W$5&lt;AO$5)*X40+(AC$5&lt;AO$5)*AD40+(AI$5&lt;AO$5)*AJ40+(AU$5&lt;AO$5)*AV40)))</f>
        <v/>
      </c>
      <c r="AR40">
        <f>IF(AP40-AQ40&lt;0.005,0,AP40-AQ40)</f>
        <v/>
      </c>
      <c r="AS40">
        <f>AX39</f>
        <v/>
      </c>
      <c r="AT40">
        <f>AS40*Plan!D13/100/12</f>
        <v/>
      </c>
      <c r="AU40">
        <f>MIN(Plan!E13,AS40+AT40)</f>
        <v/>
      </c>
      <c r="AV40">
        <f>AS40+AT40-AU40</f>
        <v/>
      </c>
      <c r="AW40">
        <f>MIN(AV40,MAX(0,$B40-((E$5&lt;AU$5)*F40+(K$5&lt;AU$5)*L40+(Q$5&lt;AU$5)*R40+(W$5&lt;AU$5)*X40+(AC$5&lt;AU$5)*AD40+(AI$5&lt;AU$5)*AJ40+(AO$5&lt;AU$5)*AP40)))</f>
        <v/>
      </c>
      <c r="AX40">
        <f>IF(AV40-AW40&lt;0.005,0,AV40-AW40)</f>
        <v/>
      </c>
      <c r="BC40">
        <f>H40+N40+T40+Z40+AF40+AL40+AR40+AX40</f>
        <v/>
      </c>
    </row>
    <row r="41">
      <c r="A41" t="n">
        <v>35</v>
      </c>
      <c r="B41" s="19">
        <f>MAX(0,$B$3-(E41+K41+Q41+W41+AC41+AI41+AO41+AU41))</f>
        <v/>
      </c>
      <c r="C41">
        <f>H40</f>
        <v/>
      </c>
      <c r="D41">
        <f>C41*Plan!D6/100/12</f>
        <v/>
      </c>
      <c r="E41">
        <f>MIN(Plan!E6,C41+D41)</f>
        <v/>
      </c>
      <c r="F41">
        <f>C41+D41-E41</f>
        <v/>
      </c>
      <c r="G41">
        <f>MIN(F41,MAX(0,$B41-((K$5&lt;E$5)*L41+(Q$5&lt;E$5)*R41+(W$5&lt;E$5)*X41+(AC$5&lt;E$5)*AD41+(AI$5&lt;E$5)*AJ41+(AO$5&lt;E$5)*AP41+(AU$5&lt;E$5)*AV41)))</f>
        <v/>
      </c>
      <c r="H41">
        <f>IF(F41-G41&lt;0.005,0,F41-G41)</f>
        <v/>
      </c>
      <c r="I41">
        <f>N40</f>
        <v/>
      </c>
      <c r="J41">
        <f>I41*Plan!D7/100/12</f>
        <v/>
      </c>
      <c r="K41">
        <f>MIN(Plan!E7,I41+J41)</f>
        <v/>
      </c>
      <c r="L41">
        <f>I41+J41-K41</f>
        <v/>
      </c>
      <c r="M41">
        <f>MIN(L41,MAX(0,$B41-((E$5&lt;K$5)*F41+(Q$5&lt;K$5)*R41+(W$5&lt;K$5)*X41+(AC$5&lt;K$5)*AD41+(AI$5&lt;K$5)*AJ41+(AO$5&lt;K$5)*AP41+(AU$5&lt;K$5)*AV41)))</f>
        <v/>
      </c>
      <c r="N41">
        <f>IF(L41-M41&lt;0.005,0,L41-M41)</f>
        <v/>
      </c>
      <c r="O41">
        <f>T40</f>
        <v/>
      </c>
      <c r="P41">
        <f>O41*Plan!D8/100/12</f>
        <v/>
      </c>
      <c r="Q41">
        <f>MIN(Plan!E8,O41+P41)</f>
        <v/>
      </c>
      <c r="R41">
        <f>O41+P41-Q41</f>
        <v/>
      </c>
      <c r="S41">
        <f>MIN(R41,MAX(0,$B41-((E$5&lt;Q$5)*F41+(K$5&lt;Q$5)*L41+(W$5&lt;Q$5)*X41+(AC$5&lt;Q$5)*AD41+(AI$5&lt;Q$5)*AJ41+(AO$5&lt;Q$5)*AP41+(AU$5&lt;Q$5)*AV41)))</f>
        <v/>
      </c>
      <c r="T41">
        <f>IF(R41-S41&lt;0.005,0,R41-S41)</f>
        <v/>
      </c>
      <c r="U41">
        <f>Z40</f>
        <v/>
      </c>
      <c r="V41">
        <f>U41*Plan!D9/100/12</f>
        <v/>
      </c>
      <c r="W41">
        <f>MIN(Plan!E9,U41+V41)</f>
        <v/>
      </c>
      <c r="X41">
        <f>U41+V41-W41</f>
        <v/>
      </c>
      <c r="Y41">
        <f>MIN(X41,MAX(0,$B41-((E$5&lt;W$5)*F41+(K$5&lt;W$5)*L41+(Q$5&lt;W$5)*R41+(AC$5&lt;W$5)*AD41+(AI$5&lt;W$5)*AJ41+(AO$5&lt;W$5)*AP41+(AU$5&lt;W$5)*AV41)))</f>
        <v/>
      </c>
      <c r="Z41">
        <f>IF(X41-Y41&lt;0.005,0,X41-Y41)</f>
        <v/>
      </c>
      <c r="AA41">
        <f>AF40</f>
        <v/>
      </c>
      <c r="AB41">
        <f>AA41*Plan!D10/100/12</f>
        <v/>
      </c>
      <c r="AC41">
        <f>MIN(Plan!E10,AA41+AB41)</f>
        <v/>
      </c>
      <c r="AD41">
        <f>AA41+AB41-AC41</f>
        <v/>
      </c>
      <c r="AE41">
        <f>MIN(AD41,MAX(0,$B41-((E$5&lt;AC$5)*F41+(K$5&lt;AC$5)*L41+(Q$5&lt;AC$5)*R41+(W$5&lt;AC$5)*X41+(AI$5&lt;AC$5)*AJ41+(AO$5&lt;AC$5)*AP41+(AU$5&lt;AC$5)*AV41)))</f>
        <v/>
      </c>
      <c r="AF41">
        <f>IF(AD41-AE41&lt;0.005,0,AD41-AE41)</f>
        <v/>
      </c>
      <c r="AG41">
        <f>AL40</f>
        <v/>
      </c>
      <c r="AH41">
        <f>AG41*Plan!D11/100/12</f>
        <v/>
      </c>
      <c r="AI41">
        <f>MIN(Plan!E11,AG41+AH41)</f>
        <v/>
      </c>
      <c r="AJ41">
        <f>AG41+AH41-AI41</f>
        <v/>
      </c>
      <c r="AK41">
        <f>MIN(AJ41,MAX(0,$B41-((E$5&lt;AI$5)*F41+(K$5&lt;AI$5)*L41+(Q$5&lt;AI$5)*R41+(W$5&lt;AI$5)*X41+(AC$5&lt;AI$5)*AD41+(AO$5&lt;AI$5)*AP41+(AU$5&lt;AI$5)*AV41)))</f>
        <v/>
      </c>
      <c r="AL41">
        <f>IF(AJ41-AK41&lt;0.005,0,AJ41-AK41)</f>
        <v/>
      </c>
      <c r="AM41">
        <f>AR40</f>
        <v/>
      </c>
      <c r="AN41">
        <f>AM41*Plan!D12/100/12</f>
        <v/>
      </c>
      <c r="AO41">
        <f>MIN(Plan!E12,AM41+AN41)</f>
        <v/>
      </c>
      <c r="AP41">
        <f>AM41+AN41-AO41</f>
        <v/>
      </c>
      <c r="AQ41">
        <f>MIN(AP41,MAX(0,$B41-((E$5&lt;AO$5)*F41+(K$5&lt;AO$5)*L41+(Q$5&lt;AO$5)*R41+(W$5&lt;AO$5)*X41+(AC$5&lt;AO$5)*AD41+(AI$5&lt;AO$5)*AJ41+(AU$5&lt;AO$5)*AV41)))</f>
        <v/>
      </c>
      <c r="AR41">
        <f>IF(AP41-AQ41&lt;0.005,0,AP41-AQ41)</f>
        <v/>
      </c>
      <c r="AS41">
        <f>AX40</f>
        <v/>
      </c>
      <c r="AT41">
        <f>AS41*Plan!D13/100/12</f>
        <v/>
      </c>
      <c r="AU41">
        <f>MIN(Plan!E13,AS41+AT41)</f>
        <v/>
      </c>
      <c r="AV41">
        <f>AS41+AT41-AU41</f>
        <v/>
      </c>
      <c r="AW41">
        <f>MIN(AV41,MAX(0,$B41-((E$5&lt;AU$5)*F41+(K$5&lt;AU$5)*L41+(Q$5&lt;AU$5)*R41+(W$5&lt;AU$5)*X41+(AC$5&lt;AU$5)*AD41+(AI$5&lt;AU$5)*AJ41+(AO$5&lt;AU$5)*AP41)))</f>
        <v/>
      </c>
      <c r="AX41">
        <f>IF(AV41-AW41&lt;0.005,0,AV41-AW41)</f>
        <v/>
      </c>
      <c r="BC41">
        <f>H41+N41+T41+Z41+AF41+AL41+AR41+AX41</f>
        <v/>
      </c>
    </row>
    <row r="42">
      <c r="A42" t="n">
        <v>36</v>
      </c>
      <c r="B42" s="19">
        <f>MAX(0,$B$3-(E42+K42+Q42+W42+AC42+AI42+AO42+AU42))</f>
        <v/>
      </c>
      <c r="C42">
        <f>H41</f>
        <v/>
      </c>
      <c r="D42">
        <f>C42*Plan!D6/100/12</f>
        <v/>
      </c>
      <c r="E42">
        <f>MIN(Plan!E6,C42+D42)</f>
        <v/>
      </c>
      <c r="F42">
        <f>C42+D42-E42</f>
        <v/>
      </c>
      <c r="G42">
        <f>MIN(F42,MAX(0,$B42-((K$5&lt;E$5)*L42+(Q$5&lt;E$5)*R42+(W$5&lt;E$5)*X42+(AC$5&lt;E$5)*AD42+(AI$5&lt;E$5)*AJ42+(AO$5&lt;E$5)*AP42+(AU$5&lt;E$5)*AV42)))</f>
        <v/>
      </c>
      <c r="H42">
        <f>IF(F42-G42&lt;0.005,0,F42-G42)</f>
        <v/>
      </c>
      <c r="I42">
        <f>N41</f>
        <v/>
      </c>
      <c r="J42">
        <f>I42*Plan!D7/100/12</f>
        <v/>
      </c>
      <c r="K42">
        <f>MIN(Plan!E7,I42+J42)</f>
        <v/>
      </c>
      <c r="L42">
        <f>I42+J42-K42</f>
        <v/>
      </c>
      <c r="M42">
        <f>MIN(L42,MAX(0,$B42-((E$5&lt;K$5)*F42+(Q$5&lt;K$5)*R42+(W$5&lt;K$5)*X42+(AC$5&lt;K$5)*AD42+(AI$5&lt;K$5)*AJ42+(AO$5&lt;K$5)*AP42+(AU$5&lt;K$5)*AV42)))</f>
        <v/>
      </c>
      <c r="N42">
        <f>IF(L42-M42&lt;0.005,0,L42-M42)</f>
        <v/>
      </c>
      <c r="O42">
        <f>T41</f>
        <v/>
      </c>
      <c r="P42">
        <f>O42*Plan!D8/100/12</f>
        <v/>
      </c>
      <c r="Q42">
        <f>MIN(Plan!E8,O42+P42)</f>
        <v/>
      </c>
      <c r="R42">
        <f>O42+P42-Q42</f>
        <v/>
      </c>
      <c r="S42">
        <f>MIN(R42,MAX(0,$B42-((E$5&lt;Q$5)*F42+(K$5&lt;Q$5)*L42+(W$5&lt;Q$5)*X42+(AC$5&lt;Q$5)*AD42+(AI$5&lt;Q$5)*AJ42+(AO$5&lt;Q$5)*AP42+(AU$5&lt;Q$5)*AV42)))</f>
        <v/>
      </c>
      <c r="T42">
        <f>IF(R42-S42&lt;0.005,0,R42-S42)</f>
        <v/>
      </c>
      <c r="U42">
        <f>Z41</f>
        <v/>
      </c>
      <c r="V42">
        <f>U42*Plan!D9/100/12</f>
        <v/>
      </c>
      <c r="W42">
        <f>MIN(Plan!E9,U42+V42)</f>
        <v/>
      </c>
      <c r="X42">
        <f>U42+V42-W42</f>
        <v/>
      </c>
      <c r="Y42">
        <f>MIN(X42,MAX(0,$B42-((E$5&lt;W$5)*F42+(K$5&lt;W$5)*L42+(Q$5&lt;W$5)*R42+(AC$5&lt;W$5)*AD42+(AI$5&lt;W$5)*AJ42+(AO$5&lt;W$5)*AP42+(AU$5&lt;W$5)*AV42)))</f>
        <v/>
      </c>
      <c r="Z42">
        <f>IF(X42-Y42&lt;0.005,0,X42-Y42)</f>
        <v/>
      </c>
      <c r="AA42">
        <f>AF41</f>
        <v/>
      </c>
      <c r="AB42">
        <f>AA42*Plan!D10/100/12</f>
        <v/>
      </c>
      <c r="AC42">
        <f>MIN(Plan!E10,AA42+AB42)</f>
        <v/>
      </c>
      <c r="AD42">
        <f>AA42+AB42-AC42</f>
        <v/>
      </c>
      <c r="AE42">
        <f>MIN(AD42,MAX(0,$B42-((E$5&lt;AC$5)*F42+(K$5&lt;AC$5)*L42+(Q$5&lt;AC$5)*R42+(W$5&lt;AC$5)*X42+(AI$5&lt;AC$5)*AJ42+(AO$5&lt;AC$5)*AP42+(AU$5&lt;AC$5)*AV42)))</f>
        <v/>
      </c>
      <c r="AF42">
        <f>IF(AD42-AE42&lt;0.005,0,AD42-AE42)</f>
        <v/>
      </c>
      <c r="AG42">
        <f>AL41</f>
        <v/>
      </c>
      <c r="AH42">
        <f>AG42*Plan!D11/100/12</f>
        <v/>
      </c>
      <c r="AI42">
        <f>MIN(Plan!E11,AG42+AH42)</f>
        <v/>
      </c>
      <c r="AJ42">
        <f>AG42+AH42-AI42</f>
        <v/>
      </c>
      <c r="AK42">
        <f>MIN(AJ42,MAX(0,$B42-((E$5&lt;AI$5)*F42+(K$5&lt;AI$5)*L42+(Q$5&lt;AI$5)*R42+(W$5&lt;AI$5)*X42+(AC$5&lt;AI$5)*AD42+(AO$5&lt;AI$5)*AP42+(AU$5&lt;AI$5)*AV42)))</f>
        <v/>
      </c>
      <c r="AL42">
        <f>IF(AJ42-AK42&lt;0.005,0,AJ42-AK42)</f>
        <v/>
      </c>
      <c r="AM42">
        <f>AR41</f>
        <v/>
      </c>
      <c r="AN42">
        <f>AM42*Plan!D12/100/12</f>
        <v/>
      </c>
      <c r="AO42">
        <f>MIN(Plan!E12,AM42+AN42)</f>
        <v/>
      </c>
      <c r="AP42">
        <f>AM42+AN42-AO42</f>
        <v/>
      </c>
      <c r="AQ42">
        <f>MIN(AP42,MAX(0,$B42-((E$5&lt;AO$5)*F42+(K$5&lt;AO$5)*L42+(Q$5&lt;AO$5)*R42+(W$5&lt;AO$5)*X42+(AC$5&lt;AO$5)*AD42+(AI$5&lt;AO$5)*AJ42+(AU$5&lt;AO$5)*AV42)))</f>
        <v/>
      </c>
      <c r="AR42">
        <f>IF(AP42-AQ42&lt;0.005,0,AP42-AQ42)</f>
        <v/>
      </c>
      <c r="AS42">
        <f>AX41</f>
        <v/>
      </c>
      <c r="AT42">
        <f>AS42*Plan!D13/100/12</f>
        <v/>
      </c>
      <c r="AU42">
        <f>MIN(Plan!E13,AS42+AT42)</f>
        <v/>
      </c>
      <c r="AV42">
        <f>AS42+AT42-AU42</f>
        <v/>
      </c>
      <c r="AW42">
        <f>MIN(AV42,MAX(0,$B42-((E$5&lt;AU$5)*F42+(K$5&lt;AU$5)*L42+(Q$5&lt;AU$5)*R42+(W$5&lt;AU$5)*X42+(AC$5&lt;AU$5)*AD42+(AI$5&lt;AU$5)*AJ42+(AO$5&lt;AU$5)*AP42)))</f>
        <v/>
      </c>
      <c r="AX42">
        <f>IF(AV42-AW42&lt;0.005,0,AV42-AW42)</f>
        <v/>
      </c>
      <c r="BC42">
        <f>H42+N42+T42+Z42+AF42+AL42+AR42+AX42</f>
        <v/>
      </c>
    </row>
    <row r="43">
      <c r="A43" t="n">
        <v>37</v>
      </c>
      <c r="B43" s="19">
        <f>MAX(0,$B$3-(E43+K43+Q43+W43+AC43+AI43+AO43+AU43))</f>
        <v/>
      </c>
      <c r="C43">
        <f>H42</f>
        <v/>
      </c>
      <c r="D43">
        <f>C43*Plan!D6/100/12</f>
        <v/>
      </c>
      <c r="E43">
        <f>MIN(Plan!E6,C43+D43)</f>
        <v/>
      </c>
      <c r="F43">
        <f>C43+D43-E43</f>
        <v/>
      </c>
      <c r="G43">
        <f>MIN(F43,MAX(0,$B43-((K$5&lt;E$5)*L43+(Q$5&lt;E$5)*R43+(W$5&lt;E$5)*X43+(AC$5&lt;E$5)*AD43+(AI$5&lt;E$5)*AJ43+(AO$5&lt;E$5)*AP43+(AU$5&lt;E$5)*AV43)))</f>
        <v/>
      </c>
      <c r="H43">
        <f>IF(F43-G43&lt;0.005,0,F43-G43)</f>
        <v/>
      </c>
      <c r="I43">
        <f>N42</f>
        <v/>
      </c>
      <c r="J43">
        <f>I43*Plan!D7/100/12</f>
        <v/>
      </c>
      <c r="K43">
        <f>MIN(Plan!E7,I43+J43)</f>
        <v/>
      </c>
      <c r="L43">
        <f>I43+J43-K43</f>
        <v/>
      </c>
      <c r="M43">
        <f>MIN(L43,MAX(0,$B43-((E$5&lt;K$5)*F43+(Q$5&lt;K$5)*R43+(W$5&lt;K$5)*X43+(AC$5&lt;K$5)*AD43+(AI$5&lt;K$5)*AJ43+(AO$5&lt;K$5)*AP43+(AU$5&lt;K$5)*AV43)))</f>
        <v/>
      </c>
      <c r="N43">
        <f>IF(L43-M43&lt;0.005,0,L43-M43)</f>
        <v/>
      </c>
      <c r="O43">
        <f>T42</f>
        <v/>
      </c>
      <c r="P43">
        <f>O43*Plan!D8/100/12</f>
        <v/>
      </c>
      <c r="Q43">
        <f>MIN(Plan!E8,O43+P43)</f>
        <v/>
      </c>
      <c r="R43">
        <f>O43+P43-Q43</f>
        <v/>
      </c>
      <c r="S43">
        <f>MIN(R43,MAX(0,$B43-((E$5&lt;Q$5)*F43+(K$5&lt;Q$5)*L43+(W$5&lt;Q$5)*X43+(AC$5&lt;Q$5)*AD43+(AI$5&lt;Q$5)*AJ43+(AO$5&lt;Q$5)*AP43+(AU$5&lt;Q$5)*AV43)))</f>
        <v/>
      </c>
      <c r="T43">
        <f>IF(R43-S43&lt;0.005,0,R43-S43)</f>
        <v/>
      </c>
      <c r="U43">
        <f>Z42</f>
        <v/>
      </c>
      <c r="V43">
        <f>U43*Plan!D9/100/12</f>
        <v/>
      </c>
      <c r="W43">
        <f>MIN(Plan!E9,U43+V43)</f>
        <v/>
      </c>
      <c r="X43">
        <f>U43+V43-W43</f>
        <v/>
      </c>
      <c r="Y43">
        <f>MIN(X43,MAX(0,$B43-((E$5&lt;W$5)*F43+(K$5&lt;W$5)*L43+(Q$5&lt;W$5)*R43+(AC$5&lt;W$5)*AD43+(AI$5&lt;W$5)*AJ43+(AO$5&lt;W$5)*AP43+(AU$5&lt;W$5)*AV43)))</f>
        <v/>
      </c>
      <c r="Z43">
        <f>IF(X43-Y43&lt;0.005,0,X43-Y43)</f>
        <v/>
      </c>
      <c r="AA43">
        <f>AF42</f>
        <v/>
      </c>
      <c r="AB43">
        <f>AA43*Plan!D10/100/12</f>
        <v/>
      </c>
      <c r="AC43">
        <f>MIN(Plan!E10,AA43+AB43)</f>
        <v/>
      </c>
      <c r="AD43">
        <f>AA43+AB43-AC43</f>
        <v/>
      </c>
      <c r="AE43">
        <f>MIN(AD43,MAX(0,$B43-((E$5&lt;AC$5)*F43+(K$5&lt;AC$5)*L43+(Q$5&lt;AC$5)*R43+(W$5&lt;AC$5)*X43+(AI$5&lt;AC$5)*AJ43+(AO$5&lt;AC$5)*AP43+(AU$5&lt;AC$5)*AV43)))</f>
        <v/>
      </c>
      <c r="AF43">
        <f>IF(AD43-AE43&lt;0.005,0,AD43-AE43)</f>
        <v/>
      </c>
      <c r="AG43">
        <f>AL42</f>
        <v/>
      </c>
      <c r="AH43">
        <f>AG43*Plan!D11/100/12</f>
        <v/>
      </c>
      <c r="AI43">
        <f>MIN(Plan!E11,AG43+AH43)</f>
        <v/>
      </c>
      <c r="AJ43">
        <f>AG43+AH43-AI43</f>
        <v/>
      </c>
      <c r="AK43">
        <f>MIN(AJ43,MAX(0,$B43-((E$5&lt;AI$5)*F43+(K$5&lt;AI$5)*L43+(Q$5&lt;AI$5)*R43+(W$5&lt;AI$5)*X43+(AC$5&lt;AI$5)*AD43+(AO$5&lt;AI$5)*AP43+(AU$5&lt;AI$5)*AV43)))</f>
        <v/>
      </c>
      <c r="AL43">
        <f>IF(AJ43-AK43&lt;0.005,0,AJ43-AK43)</f>
        <v/>
      </c>
      <c r="AM43">
        <f>AR42</f>
        <v/>
      </c>
      <c r="AN43">
        <f>AM43*Plan!D12/100/12</f>
        <v/>
      </c>
      <c r="AO43">
        <f>MIN(Plan!E12,AM43+AN43)</f>
        <v/>
      </c>
      <c r="AP43">
        <f>AM43+AN43-AO43</f>
        <v/>
      </c>
      <c r="AQ43">
        <f>MIN(AP43,MAX(0,$B43-((E$5&lt;AO$5)*F43+(K$5&lt;AO$5)*L43+(Q$5&lt;AO$5)*R43+(W$5&lt;AO$5)*X43+(AC$5&lt;AO$5)*AD43+(AI$5&lt;AO$5)*AJ43+(AU$5&lt;AO$5)*AV43)))</f>
        <v/>
      </c>
      <c r="AR43">
        <f>IF(AP43-AQ43&lt;0.005,0,AP43-AQ43)</f>
        <v/>
      </c>
      <c r="AS43">
        <f>AX42</f>
        <v/>
      </c>
      <c r="AT43">
        <f>AS43*Plan!D13/100/12</f>
        <v/>
      </c>
      <c r="AU43">
        <f>MIN(Plan!E13,AS43+AT43)</f>
        <v/>
      </c>
      <c r="AV43">
        <f>AS43+AT43-AU43</f>
        <v/>
      </c>
      <c r="AW43">
        <f>MIN(AV43,MAX(0,$B43-((E$5&lt;AU$5)*F43+(K$5&lt;AU$5)*L43+(Q$5&lt;AU$5)*R43+(W$5&lt;AU$5)*X43+(AC$5&lt;AU$5)*AD43+(AI$5&lt;AU$5)*AJ43+(AO$5&lt;AU$5)*AP43)))</f>
        <v/>
      </c>
      <c r="AX43">
        <f>IF(AV43-AW43&lt;0.005,0,AV43-AW43)</f>
        <v/>
      </c>
      <c r="BC43">
        <f>H43+N43+T43+Z43+AF43+AL43+AR43+AX43</f>
        <v/>
      </c>
    </row>
    <row r="44">
      <c r="A44" t="n">
        <v>38</v>
      </c>
      <c r="B44" s="19">
        <f>MAX(0,$B$3-(E44+K44+Q44+W44+AC44+AI44+AO44+AU44))</f>
        <v/>
      </c>
      <c r="C44">
        <f>H43</f>
        <v/>
      </c>
      <c r="D44">
        <f>C44*Plan!D6/100/12</f>
        <v/>
      </c>
      <c r="E44">
        <f>MIN(Plan!E6,C44+D44)</f>
        <v/>
      </c>
      <c r="F44">
        <f>C44+D44-E44</f>
        <v/>
      </c>
      <c r="G44">
        <f>MIN(F44,MAX(0,$B44-((K$5&lt;E$5)*L44+(Q$5&lt;E$5)*R44+(W$5&lt;E$5)*X44+(AC$5&lt;E$5)*AD44+(AI$5&lt;E$5)*AJ44+(AO$5&lt;E$5)*AP44+(AU$5&lt;E$5)*AV44)))</f>
        <v/>
      </c>
      <c r="H44">
        <f>IF(F44-G44&lt;0.005,0,F44-G44)</f>
        <v/>
      </c>
      <c r="I44">
        <f>N43</f>
        <v/>
      </c>
      <c r="J44">
        <f>I44*Plan!D7/100/12</f>
        <v/>
      </c>
      <c r="K44">
        <f>MIN(Plan!E7,I44+J44)</f>
        <v/>
      </c>
      <c r="L44">
        <f>I44+J44-K44</f>
        <v/>
      </c>
      <c r="M44">
        <f>MIN(L44,MAX(0,$B44-((E$5&lt;K$5)*F44+(Q$5&lt;K$5)*R44+(W$5&lt;K$5)*X44+(AC$5&lt;K$5)*AD44+(AI$5&lt;K$5)*AJ44+(AO$5&lt;K$5)*AP44+(AU$5&lt;K$5)*AV44)))</f>
        <v/>
      </c>
      <c r="N44">
        <f>IF(L44-M44&lt;0.005,0,L44-M44)</f>
        <v/>
      </c>
      <c r="O44">
        <f>T43</f>
        <v/>
      </c>
      <c r="P44">
        <f>O44*Plan!D8/100/12</f>
        <v/>
      </c>
      <c r="Q44">
        <f>MIN(Plan!E8,O44+P44)</f>
        <v/>
      </c>
      <c r="R44">
        <f>O44+P44-Q44</f>
        <v/>
      </c>
      <c r="S44">
        <f>MIN(R44,MAX(0,$B44-((E$5&lt;Q$5)*F44+(K$5&lt;Q$5)*L44+(W$5&lt;Q$5)*X44+(AC$5&lt;Q$5)*AD44+(AI$5&lt;Q$5)*AJ44+(AO$5&lt;Q$5)*AP44+(AU$5&lt;Q$5)*AV44)))</f>
        <v/>
      </c>
      <c r="T44">
        <f>IF(R44-S44&lt;0.005,0,R44-S44)</f>
        <v/>
      </c>
      <c r="U44">
        <f>Z43</f>
        <v/>
      </c>
      <c r="V44">
        <f>U44*Plan!D9/100/12</f>
        <v/>
      </c>
      <c r="W44">
        <f>MIN(Plan!E9,U44+V44)</f>
        <v/>
      </c>
      <c r="X44">
        <f>U44+V44-W44</f>
        <v/>
      </c>
      <c r="Y44">
        <f>MIN(X44,MAX(0,$B44-((E$5&lt;W$5)*F44+(K$5&lt;W$5)*L44+(Q$5&lt;W$5)*R44+(AC$5&lt;W$5)*AD44+(AI$5&lt;W$5)*AJ44+(AO$5&lt;W$5)*AP44+(AU$5&lt;W$5)*AV44)))</f>
        <v/>
      </c>
      <c r="Z44">
        <f>IF(X44-Y44&lt;0.005,0,X44-Y44)</f>
        <v/>
      </c>
      <c r="AA44">
        <f>AF43</f>
        <v/>
      </c>
      <c r="AB44">
        <f>AA44*Plan!D10/100/12</f>
        <v/>
      </c>
      <c r="AC44">
        <f>MIN(Plan!E10,AA44+AB44)</f>
        <v/>
      </c>
      <c r="AD44">
        <f>AA44+AB44-AC44</f>
        <v/>
      </c>
      <c r="AE44">
        <f>MIN(AD44,MAX(0,$B44-((E$5&lt;AC$5)*F44+(K$5&lt;AC$5)*L44+(Q$5&lt;AC$5)*R44+(W$5&lt;AC$5)*X44+(AI$5&lt;AC$5)*AJ44+(AO$5&lt;AC$5)*AP44+(AU$5&lt;AC$5)*AV44)))</f>
        <v/>
      </c>
      <c r="AF44">
        <f>IF(AD44-AE44&lt;0.005,0,AD44-AE44)</f>
        <v/>
      </c>
      <c r="AG44">
        <f>AL43</f>
        <v/>
      </c>
      <c r="AH44">
        <f>AG44*Plan!D11/100/12</f>
        <v/>
      </c>
      <c r="AI44">
        <f>MIN(Plan!E11,AG44+AH44)</f>
        <v/>
      </c>
      <c r="AJ44">
        <f>AG44+AH44-AI44</f>
        <v/>
      </c>
      <c r="AK44">
        <f>MIN(AJ44,MAX(0,$B44-((E$5&lt;AI$5)*F44+(K$5&lt;AI$5)*L44+(Q$5&lt;AI$5)*R44+(W$5&lt;AI$5)*X44+(AC$5&lt;AI$5)*AD44+(AO$5&lt;AI$5)*AP44+(AU$5&lt;AI$5)*AV44)))</f>
        <v/>
      </c>
      <c r="AL44">
        <f>IF(AJ44-AK44&lt;0.005,0,AJ44-AK44)</f>
        <v/>
      </c>
      <c r="AM44">
        <f>AR43</f>
        <v/>
      </c>
      <c r="AN44">
        <f>AM44*Plan!D12/100/12</f>
        <v/>
      </c>
      <c r="AO44">
        <f>MIN(Plan!E12,AM44+AN44)</f>
        <v/>
      </c>
      <c r="AP44">
        <f>AM44+AN44-AO44</f>
        <v/>
      </c>
      <c r="AQ44">
        <f>MIN(AP44,MAX(0,$B44-((E$5&lt;AO$5)*F44+(K$5&lt;AO$5)*L44+(Q$5&lt;AO$5)*R44+(W$5&lt;AO$5)*X44+(AC$5&lt;AO$5)*AD44+(AI$5&lt;AO$5)*AJ44+(AU$5&lt;AO$5)*AV44)))</f>
        <v/>
      </c>
      <c r="AR44">
        <f>IF(AP44-AQ44&lt;0.005,0,AP44-AQ44)</f>
        <v/>
      </c>
      <c r="AS44">
        <f>AX43</f>
        <v/>
      </c>
      <c r="AT44">
        <f>AS44*Plan!D13/100/12</f>
        <v/>
      </c>
      <c r="AU44">
        <f>MIN(Plan!E13,AS44+AT44)</f>
        <v/>
      </c>
      <c r="AV44">
        <f>AS44+AT44-AU44</f>
        <v/>
      </c>
      <c r="AW44">
        <f>MIN(AV44,MAX(0,$B44-((E$5&lt;AU$5)*F44+(K$5&lt;AU$5)*L44+(Q$5&lt;AU$5)*R44+(W$5&lt;AU$5)*X44+(AC$5&lt;AU$5)*AD44+(AI$5&lt;AU$5)*AJ44+(AO$5&lt;AU$5)*AP44)))</f>
        <v/>
      </c>
      <c r="AX44">
        <f>IF(AV44-AW44&lt;0.005,0,AV44-AW44)</f>
        <v/>
      </c>
      <c r="BC44">
        <f>H44+N44+T44+Z44+AF44+AL44+AR44+AX44</f>
        <v/>
      </c>
    </row>
    <row r="45">
      <c r="A45" t="n">
        <v>39</v>
      </c>
      <c r="B45" s="19">
        <f>MAX(0,$B$3-(E45+K45+Q45+W45+AC45+AI45+AO45+AU45))</f>
        <v/>
      </c>
      <c r="C45">
        <f>H44</f>
        <v/>
      </c>
      <c r="D45">
        <f>C45*Plan!D6/100/12</f>
        <v/>
      </c>
      <c r="E45">
        <f>MIN(Plan!E6,C45+D45)</f>
        <v/>
      </c>
      <c r="F45">
        <f>C45+D45-E45</f>
        <v/>
      </c>
      <c r="G45">
        <f>MIN(F45,MAX(0,$B45-((K$5&lt;E$5)*L45+(Q$5&lt;E$5)*R45+(W$5&lt;E$5)*X45+(AC$5&lt;E$5)*AD45+(AI$5&lt;E$5)*AJ45+(AO$5&lt;E$5)*AP45+(AU$5&lt;E$5)*AV45)))</f>
        <v/>
      </c>
      <c r="H45">
        <f>IF(F45-G45&lt;0.005,0,F45-G45)</f>
        <v/>
      </c>
      <c r="I45">
        <f>N44</f>
        <v/>
      </c>
      <c r="J45">
        <f>I45*Plan!D7/100/12</f>
        <v/>
      </c>
      <c r="K45">
        <f>MIN(Plan!E7,I45+J45)</f>
        <v/>
      </c>
      <c r="L45">
        <f>I45+J45-K45</f>
        <v/>
      </c>
      <c r="M45">
        <f>MIN(L45,MAX(0,$B45-((E$5&lt;K$5)*F45+(Q$5&lt;K$5)*R45+(W$5&lt;K$5)*X45+(AC$5&lt;K$5)*AD45+(AI$5&lt;K$5)*AJ45+(AO$5&lt;K$5)*AP45+(AU$5&lt;K$5)*AV45)))</f>
        <v/>
      </c>
      <c r="N45">
        <f>IF(L45-M45&lt;0.005,0,L45-M45)</f>
        <v/>
      </c>
      <c r="O45">
        <f>T44</f>
        <v/>
      </c>
      <c r="P45">
        <f>O45*Plan!D8/100/12</f>
        <v/>
      </c>
      <c r="Q45">
        <f>MIN(Plan!E8,O45+P45)</f>
        <v/>
      </c>
      <c r="R45">
        <f>O45+P45-Q45</f>
        <v/>
      </c>
      <c r="S45">
        <f>MIN(R45,MAX(0,$B45-((E$5&lt;Q$5)*F45+(K$5&lt;Q$5)*L45+(W$5&lt;Q$5)*X45+(AC$5&lt;Q$5)*AD45+(AI$5&lt;Q$5)*AJ45+(AO$5&lt;Q$5)*AP45+(AU$5&lt;Q$5)*AV45)))</f>
        <v/>
      </c>
      <c r="T45">
        <f>IF(R45-S45&lt;0.005,0,R45-S45)</f>
        <v/>
      </c>
      <c r="U45">
        <f>Z44</f>
        <v/>
      </c>
      <c r="V45">
        <f>U45*Plan!D9/100/12</f>
        <v/>
      </c>
      <c r="W45">
        <f>MIN(Plan!E9,U45+V45)</f>
        <v/>
      </c>
      <c r="X45">
        <f>U45+V45-W45</f>
        <v/>
      </c>
      <c r="Y45">
        <f>MIN(X45,MAX(0,$B45-((E$5&lt;W$5)*F45+(K$5&lt;W$5)*L45+(Q$5&lt;W$5)*R45+(AC$5&lt;W$5)*AD45+(AI$5&lt;W$5)*AJ45+(AO$5&lt;W$5)*AP45+(AU$5&lt;W$5)*AV45)))</f>
        <v/>
      </c>
      <c r="Z45">
        <f>IF(X45-Y45&lt;0.005,0,X45-Y45)</f>
        <v/>
      </c>
      <c r="AA45">
        <f>AF44</f>
        <v/>
      </c>
      <c r="AB45">
        <f>AA45*Plan!D10/100/12</f>
        <v/>
      </c>
      <c r="AC45">
        <f>MIN(Plan!E10,AA45+AB45)</f>
        <v/>
      </c>
      <c r="AD45">
        <f>AA45+AB45-AC45</f>
        <v/>
      </c>
      <c r="AE45">
        <f>MIN(AD45,MAX(0,$B45-((E$5&lt;AC$5)*F45+(K$5&lt;AC$5)*L45+(Q$5&lt;AC$5)*R45+(W$5&lt;AC$5)*X45+(AI$5&lt;AC$5)*AJ45+(AO$5&lt;AC$5)*AP45+(AU$5&lt;AC$5)*AV45)))</f>
        <v/>
      </c>
      <c r="AF45">
        <f>IF(AD45-AE45&lt;0.005,0,AD45-AE45)</f>
        <v/>
      </c>
      <c r="AG45">
        <f>AL44</f>
        <v/>
      </c>
      <c r="AH45">
        <f>AG45*Plan!D11/100/12</f>
        <v/>
      </c>
      <c r="AI45">
        <f>MIN(Plan!E11,AG45+AH45)</f>
        <v/>
      </c>
      <c r="AJ45">
        <f>AG45+AH45-AI45</f>
        <v/>
      </c>
      <c r="AK45">
        <f>MIN(AJ45,MAX(0,$B45-((E$5&lt;AI$5)*F45+(K$5&lt;AI$5)*L45+(Q$5&lt;AI$5)*R45+(W$5&lt;AI$5)*X45+(AC$5&lt;AI$5)*AD45+(AO$5&lt;AI$5)*AP45+(AU$5&lt;AI$5)*AV45)))</f>
        <v/>
      </c>
      <c r="AL45">
        <f>IF(AJ45-AK45&lt;0.005,0,AJ45-AK45)</f>
        <v/>
      </c>
      <c r="AM45">
        <f>AR44</f>
        <v/>
      </c>
      <c r="AN45">
        <f>AM45*Plan!D12/100/12</f>
        <v/>
      </c>
      <c r="AO45">
        <f>MIN(Plan!E12,AM45+AN45)</f>
        <v/>
      </c>
      <c r="AP45">
        <f>AM45+AN45-AO45</f>
        <v/>
      </c>
      <c r="AQ45">
        <f>MIN(AP45,MAX(0,$B45-((E$5&lt;AO$5)*F45+(K$5&lt;AO$5)*L45+(Q$5&lt;AO$5)*R45+(W$5&lt;AO$5)*X45+(AC$5&lt;AO$5)*AD45+(AI$5&lt;AO$5)*AJ45+(AU$5&lt;AO$5)*AV45)))</f>
        <v/>
      </c>
      <c r="AR45">
        <f>IF(AP45-AQ45&lt;0.005,0,AP45-AQ45)</f>
        <v/>
      </c>
      <c r="AS45">
        <f>AX44</f>
        <v/>
      </c>
      <c r="AT45">
        <f>AS45*Plan!D13/100/12</f>
        <v/>
      </c>
      <c r="AU45">
        <f>MIN(Plan!E13,AS45+AT45)</f>
        <v/>
      </c>
      <c r="AV45">
        <f>AS45+AT45-AU45</f>
        <v/>
      </c>
      <c r="AW45">
        <f>MIN(AV45,MAX(0,$B45-((E$5&lt;AU$5)*F45+(K$5&lt;AU$5)*L45+(Q$5&lt;AU$5)*R45+(W$5&lt;AU$5)*X45+(AC$5&lt;AU$5)*AD45+(AI$5&lt;AU$5)*AJ45+(AO$5&lt;AU$5)*AP45)))</f>
        <v/>
      </c>
      <c r="AX45">
        <f>IF(AV45-AW45&lt;0.005,0,AV45-AW45)</f>
        <v/>
      </c>
      <c r="BC45">
        <f>H45+N45+T45+Z45+AF45+AL45+AR45+AX45</f>
        <v/>
      </c>
    </row>
    <row r="46">
      <c r="A46" t="n">
        <v>40</v>
      </c>
      <c r="B46" s="19">
        <f>MAX(0,$B$3-(E46+K46+Q46+W46+AC46+AI46+AO46+AU46))</f>
        <v/>
      </c>
      <c r="C46">
        <f>H45</f>
        <v/>
      </c>
      <c r="D46">
        <f>C46*Plan!D6/100/12</f>
        <v/>
      </c>
      <c r="E46">
        <f>MIN(Plan!E6,C46+D46)</f>
        <v/>
      </c>
      <c r="F46">
        <f>C46+D46-E46</f>
        <v/>
      </c>
      <c r="G46">
        <f>MIN(F46,MAX(0,$B46-((K$5&lt;E$5)*L46+(Q$5&lt;E$5)*R46+(W$5&lt;E$5)*X46+(AC$5&lt;E$5)*AD46+(AI$5&lt;E$5)*AJ46+(AO$5&lt;E$5)*AP46+(AU$5&lt;E$5)*AV46)))</f>
        <v/>
      </c>
      <c r="H46">
        <f>IF(F46-G46&lt;0.005,0,F46-G46)</f>
        <v/>
      </c>
      <c r="I46">
        <f>N45</f>
        <v/>
      </c>
      <c r="J46">
        <f>I46*Plan!D7/100/12</f>
        <v/>
      </c>
      <c r="K46">
        <f>MIN(Plan!E7,I46+J46)</f>
        <v/>
      </c>
      <c r="L46">
        <f>I46+J46-K46</f>
        <v/>
      </c>
      <c r="M46">
        <f>MIN(L46,MAX(0,$B46-((E$5&lt;K$5)*F46+(Q$5&lt;K$5)*R46+(W$5&lt;K$5)*X46+(AC$5&lt;K$5)*AD46+(AI$5&lt;K$5)*AJ46+(AO$5&lt;K$5)*AP46+(AU$5&lt;K$5)*AV46)))</f>
        <v/>
      </c>
      <c r="N46">
        <f>IF(L46-M46&lt;0.005,0,L46-M46)</f>
        <v/>
      </c>
      <c r="O46">
        <f>T45</f>
        <v/>
      </c>
      <c r="P46">
        <f>O46*Plan!D8/100/12</f>
        <v/>
      </c>
      <c r="Q46">
        <f>MIN(Plan!E8,O46+P46)</f>
        <v/>
      </c>
      <c r="R46">
        <f>O46+P46-Q46</f>
        <v/>
      </c>
      <c r="S46">
        <f>MIN(R46,MAX(0,$B46-((E$5&lt;Q$5)*F46+(K$5&lt;Q$5)*L46+(W$5&lt;Q$5)*X46+(AC$5&lt;Q$5)*AD46+(AI$5&lt;Q$5)*AJ46+(AO$5&lt;Q$5)*AP46+(AU$5&lt;Q$5)*AV46)))</f>
        <v/>
      </c>
      <c r="T46">
        <f>IF(R46-S46&lt;0.005,0,R46-S46)</f>
        <v/>
      </c>
      <c r="U46">
        <f>Z45</f>
        <v/>
      </c>
      <c r="V46">
        <f>U46*Plan!D9/100/12</f>
        <v/>
      </c>
      <c r="W46">
        <f>MIN(Plan!E9,U46+V46)</f>
        <v/>
      </c>
      <c r="X46">
        <f>U46+V46-W46</f>
        <v/>
      </c>
      <c r="Y46">
        <f>MIN(X46,MAX(0,$B46-((E$5&lt;W$5)*F46+(K$5&lt;W$5)*L46+(Q$5&lt;W$5)*R46+(AC$5&lt;W$5)*AD46+(AI$5&lt;W$5)*AJ46+(AO$5&lt;W$5)*AP46+(AU$5&lt;W$5)*AV46)))</f>
        <v/>
      </c>
      <c r="Z46">
        <f>IF(X46-Y46&lt;0.005,0,X46-Y46)</f>
        <v/>
      </c>
      <c r="AA46">
        <f>AF45</f>
        <v/>
      </c>
      <c r="AB46">
        <f>AA46*Plan!D10/100/12</f>
        <v/>
      </c>
      <c r="AC46">
        <f>MIN(Plan!E10,AA46+AB46)</f>
        <v/>
      </c>
      <c r="AD46">
        <f>AA46+AB46-AC46</f>
        <v/>
      </c>
      <c r="AE46">
        <f>MIN(AD46,MAX(0,$B46-((E$5&lt;AC$5)*F46+(K$5&lt;AC$5)*L46+(Q$5&lt;AC$5)*R46+(W$5&lt;AC$5)*X46+(AI$5&lt;AC$5)*AJ46+(AO$5&lt;AC$5)*AP46+(AU$5&lt;AC$5)*AV46)))</f>
        <v/>
      </c>
      <c r="AF46">
        <f>IF(AD46-AE46&lt;0.005,0,AD46-AE46)</f>
        <v/>
      </c>
      <c r="AG46">
        <f>AL45</f>
        <v/>
      </c>
      <c r="AH46">
        <f>AG46*Plan!D11/100/12</f>
        <v/>
      </c>
      <c r="AI46">
        <f>MIN(Plan!E11,AG46+AH46)</f>
        <v/>
      </c>
      <c r="AJ46">
        <f>AG46+AH46-AI46</f>
        <v/>
      </c>
      <c r="AK46">
        <f>MIN(AJ46,MAX(0,$B46-((E$5&lt;AI$5)*F46+(K$5&lt;AI$5)*L46+(Q$5&lt;AI$5)*R46+(W$5&lt;AI$5)*X46+(AC$5&lt;AI$5)*AD46+(AO$5&lt;AI$5)*AP46+(AU$5&lt;AI$5)*AV46)))</f>
        <v/>
      </c>
      <c r="AL46">
        <f>IF(AJ46-AK46&lt;0.005,0,AJ46-AK46)</f>
        <v/>
      </c>
      <c r="AM46">
        <f>AR45</f>
        <v/>
      </c>
      <c r="AN46">
        <f>AM46*Plan!D12/100/12</f>
        <v/>
      </c>
      <c r="AO46">
        <f>MIN(Plan!E12,AM46+AN46)</f>
        <v/>
      </c>
      <c r="AP46">
        <f>AM46+AN46-AO46</f>
        <v/>
      </c>
      <c r="AQ46">
        <f>MIN(AP46,MAX(0,$B46-((E$5&lt;AO$5)*F46+(K$5&lt;AO$5)*L46+(Q$5&lt;AO$5)*R46+(W$5&lt;AO$5)*X46+(AC$5&lt;AO$5)*AD46+(AI$5&lt;AO$5)*AJ46+(AU$5&lt;AO$5)*AV46)))</f>
        <v/>
      </c>
      <c r="AR46">
        <f>IF(AP46-AQ46&lt;0.005,0,AP46-AQ46)</f>
        <v/>
      </c>
      <c r="AS46">
        <f>AX45</f>
        <v/>
      </c>
      <c r="AT46">
        <f>AS46*Plan!D13/100/12</f>
        <v/>
      </c>
      <c r="AU46">
        <f>MIN(Plan!E13,AS46+AT46)</f>
        <v/>
      </c>
      <c r="AV46">
        <f>AS46+AT46-AU46</f>
        <v/>
      </c>
      <c r="AW46">
        <f>MIN(AV46,MAX(0,$B46-((E$5&lt;AU$5)*F46+(K$5&lt;AU$5)*L46+(Q$5&lt;AU$5)*R46+(W$5&lt;AU$5)*X46+(AC$5&lt;AU$5)*AD46+(AI$5&lt;AU$5)*AJ46+(AO$5&lt;AU$5)*AP46)))</f>
        <v/>
      </c>
      <c r="AX46">
        <f>IF(AV46-AW46&lt;0.005,0,AV46-AW46)</f>
        <v/>
      </c>
      <c r="BC46">
        <f>H46+N46+T46+Z46+AF46+AL46+AR46+AX46</f>
        <v/>
      </c>
    </row>
    <row r="47">
      <c r="A47" t="n">
        <v>41</v>
      </c>
      <c r="B47" s="19">
        <f>MAX(0,$B$3-(E47+K47+Q47+W47+AC47+AI47+AO47+AU47))</f>
        <v/>
      </c>
      <c r="C47">
        <f>H46</f>
        <v/>
      </c>
      <c r="D47">
        <f>C47*Plan!D6/100/12</f>
        <v/>
      </c>
      <c r="E47">
        <f>MIN(Plan!E6,C47+D47)</f>
        <v/>
      </c>
      <c r="F47">
        <f>C47+D47-E47</f>
        <v/>
      </c>
      <c r="G47">
        <f>MIN(F47,MAX(0,$B47-((K$5&lt;E$5)*L47+(Q$5&lt;E$5)*R47+(W$5&lt;E$5)*X47+(AC$5&lt;E$5)*AD47+(AI$5&lt;E$5)*AJ47+(AO$5&lt;E$5)*AP47+(AU$5&lt;E$5)*AV47)))</f>
        <v/>
      </c>
      <c r="H47">
        <f>IF(F47-G47&lt;0.005,0,F47-G47)</f>
        <v/>
      </c>
      <c r="I47">
        <f>N46</f>
        <v/>
      </c>
      <c r="J47">
        <f>I47*Plan!D7/100/12</f>
        <v/>
      </c>
      <c r="K47">
        <f>MIN(Plan!E7,I47+J47)</f>
        <v/>
      </c>
      <c r="L47">
        <f>I47+J47-K47</f>
        <v/>
      </c>
      <c r="M47">
        <f>MIN(L47,MAX(0,$B47-((E$5&lt;K$5)*F47+(Q$5&lt;K$5)*R47+(W$5&lt;K$5)*X47+(AC$5&lt;K$5)*AD47+(AI$5&lt;K$5)*AJ47+(AO$5&lt;K$5)*AP47+(AU$5&lt;K$5)*AV47)))</f>
        <v/>
      </c>
      <c r="N47">
        <f>IF(L47-M47&lt;0.005,0,L47-M47)</f>
        <v/>
      </c>
      <c r="O47">
        <f>T46</f>
        <v/>
      </c>
      <c r="P47">
        <f>O47*Plan!D8/100/12</f>
        <v/>
      </c>
      <c r="Q47">
        <f>MIN(Plan!E8,O47+P47)</f>
        <v/>
      </c>
      <c r="R47">
        <f>O47+P47-Q47</f>
        <v/>
      </c>
      <c r="S47">
        <f>MIN(R47,MAX(0,$B47-((E$5&lt;Q$5)*F47+(K$5&lt;Q$5)*L47+(W$5&lt;Q$5)*X47+(AC$5&lt;Q$5)*AD47+(AI$5&lt;Q$5)*AJ47+(AO$5&lt;Q$5)*AP47+(AU$5&lt;Q$5)*AV47)))</f>
        <v/>
      </c>
      <c r="T47">
        <f>IF(R47-S47&lt;0.005,0,R47-S47)</f>
        <v/>
      </c>
      <c r="U47">
        <f>Z46</f>
        <v/>
      </c>
      <c r="V47">
        <f>U47*Plan!D9/100/12</f>
        <v/>
      </c>
      <c r="W47">
        <f>MIN(Plan!E9,U47+V47)</f>
        <v/>
      </c>
      <c r="X47">
        <f>U47+V47-W47</f>
        <v/>
      </c>
      <c r="Y47">
        <f>MIN(X47,MAX(0,$B47-((E$5&lt;W$5)*F47+(K$5&lt;W$5)*L47+(Q$5&lt;W$5)*R47+(AC$5&lt;W$5)*AD47+(AI$5&lt;W$5)*AJ47+(AO$5&lt;W$5)*AP47+(AU$5&lt;W$5)*AV47)))</f>
        <v/>
      </c>
      <c r="Z47">
        <f>IF(X47-Y47&lt;0.005,0,X47-Y47)</f>
        <v/>
      </c>
      <c r="AA47">
        <f>AF46</f>
        <v/>
      </c>
      <c r="AB47">
        <f>AA47*Plan!D10/100/12</f>
        <v/>
      </c>
      <c r="AC47">
        <f>MIN(Plan!E10,AA47+AB47)</f>
        <v/>
      </c>
      <c r="AD47">
        <f>AA47+AB47-AC47</f>
        <v/>
      </c>
      <c r="AE47">
        <f>MIN(AD47,MAX(0,$B47-((E$5&lt;AC$5)*F47+(K$5&lt;AC$5)*L47+(Q$5&lt;AC$5)*R47+(W$5&lt;AC$5)*X47+(AI$5&lt;AC$5)*AJ47+(AO$5&lt;AC$5)*AP47+(AU$5&lt;AC$5)*AV47)))</f>
        <v/>
      </c>
      <c r="AF47">
        <f>IF(AD47-AE47&lt;0.005,0,AD47-AE47)</f>
        <v/>
      </c>
      <c r="AG47">
        <f>AL46</f>
        <v/>
      </c>
      <c r="AH47">
        <f>AG47*Plan!D11/100/12</f>
        <v/>
      </c>
      <c r="AI47">
        <f>MIN(Plan!E11,AG47+AH47)</f>
        <v/>
      </c>
      <c r="AJ47">
        <f>AG47+AH47-AI47</f>
        <v/>
      </c>
      <c r="AK47">
        <f>MIN(AJ47,MAX(0,$B47-((E$5&lt;AI$5)*F47+(K$5&lt;AI$5)*L47+(Q$5&lt;AI$5)*R47+(W$5&lt;AI$5)*X47+(AC$5&lt;AI$5)*AD47+(AO$5&lt;AI$5)*AP47+(AU$5&lt;AI$5)*AV47)))</f>
        <v/>
      </c>
      <c r="AL47">
        <f>IF(AJ47-AK47&lt;0.005,0,AJ47-AK47)</f>
        <v/>
      </c>
      <c r="AM47">
        <f>AR46</f>
        <v/>
      </c>
      <c r="AN47">
        <f>AM47*Plan!D12/100/12</f>
        <v/>
      </c>
      <c r="AO47">
        <f>MIN(Plan!E12,AM47+AN47)</f>
        <v/>
      </c>
      <c r="AP47">
        <f>AM47+AN47-AO47</f>
        <v/>
      </c>
      <c r="AQ47">
        <f>MIN(AP47,MAX(0,$B47-((E$5&lt;AO$5)*F47+(K$5&lt;AO$5)*L47+(Q$5&lt;AO$5)*R47+(W$5&lt;AO$5)*X47+(AC$5&lt;AO$5)*AD47+(AI$5&lt;AO$5)*AJ47+(AU$5&lt;AO$5)*AV47)))</f>
        <v/>
      </c>
      <c r="AR47">
        <f>IF(AP47-AQ47&lt;0.005,0,AP47-AQ47)</f>
        <v/>
      </c>
      <c r="AS47">
        <f>AX46</f>
        <v/>
      </c>
      <c r="AT47">
        <f>AS47*Plan!D13/100/12</f>
        <v/>
      </c>
      <c r="AU47">
        <f>MIN(Plan!E13,AS47+AT47)</f>
        <v/>
      </c>
      <c r="AV47">
        <f>AS47+AT47-AU47</f>
        <v/>
      </c>
      <c r="AW47">
        <f>MIN(AV47,MAX(0,$B47-((E$5&lt;AU$5)*F47+(K$5&lt;AU$5)*L47+(Q$5&lt;AU$5)*R47+(W$5&lt;AU$5)*X47+(AC$5&lt;AU$5)*AD47+(AI$5&lt;AU$5)*AJ47+(AO$5&lt;AU$5)*AP47)))</f>
        <v/>
      </c>
      <c r="AX47">
        <f>IF(AV47-AW47&lt;0.005,0,AV47-AW47)</f>
        <v/>
      </c>
      <c r="BC47">
        <f>H47+N47+T47+Z47+AF47+AL47+AR47+AX47</f>
        <v/>
      </c>
    </row>
    <row r="48">
      <c r="A48" t="n">
        <v>42</v>
      </c>
      <c r="B48" s="19">
        <f>MAX(0,$B$3-(E48+K48+Q48+W48+AC48+AI48+AO48+AU48))</f>
        <v/>
      </c>
      <c r="C48">
        <f>H47</f>
        <v/>
      </c>
      <c r="D48">
        <f>C48*Plan!D6/100/12</f>
        <v/>
      </c>
      <c r="E48">
        <f>MIN(Plan!E6,C48+D48)</f>
        <v/>
      </c>
      <c r="F48">
        <f>C48+D48-E48</f>
        <v/>
      </c>
      <c r="G48">
        <f>MIN(F48,MAX(0,$B48-((K$5&lt;E$5)*L48+(Q$5&lt;E$5)*R48+(W$5&lt;E$5)*X48+(AC$5&lt;E$5)*AD48+(AI$5&lt;E$5)*AJ48+(AO$5&lt;E$5)*AP48+(AU$5&lt;E$5)*AV48)))</f>
        <v/>
      </c>
      <c r="H48">
        <f>IF(F48-G48&lt;0.005,0,F48-G48)</f>
        <v/>
      </c>
      <c r="I48">
        <f>N47</f>
        <v/>
      </c>
      <c r="J48">
        <f>I48*Plan!D7/100/12</f>
        <v/>
      </c>
      <c r="K48">
        <f>MIN(Plan!E7,I48+J48)</f>
        <v/>
      </c>
      <c r="L48">
        <f>I48+J48-K48</f>
        <v/>
      </c>
      <c r="M48">
        <f>MIN(L48,MAX(0,$B48-((E$5&lt;K$5)*F48+(Q$5&lt;K$5)*R48+(W$5&lt;K$5)*X48+(AC$5&lt;K$5)*AD48+(AI$5&lt;K$5)*AJ48+(AO$5&lt;K$5)*AP48+(AU$5&lt;K$5)*AV48)))</f>
        <v/>
      </c>
      <c r="N48">
        <f>IF(L48-M48&lt;0.005,0,L48-M48)</f>
        <v/>
      </c>
      <c r="O48">
        <f>T47</f>
        <v/>
      </c>
      <c r="P48">
        <f>O48*Plan!D8/100/12</f>
        <v/>
      </c>
      <c r="Q48">
        <f>MIN(Plan!E8,O48+P48)</f>
        <v/>
      </c>
      <c r="R48">
        <f>O48+P48-Q48</f>
        <v/>
      </c>
      <c r="S48">
        <f>MIN(R48,MAX(0,$B48-((E$5&lt;Q$5)*F48+(K$5&lt;Q$5)*L48+(W$5&lt;Q$5)*X48+(AC$5&lt;Q$5)*AD48+(AI$5&lt;Q$5)*AJ48+(AO$5&lt;Q$5)*AP48+(AU$5&lt;Q$5)*AV48)))</f>
        <v/>
      </c>
      <c r="T48">
        <f>IF(R48-S48&lt;0.005,0,R48-S48)</f>
        <v/>
      </c>
      <c r="U48">
        <f>Z47</f>
        <v/>
      </c>
      <c r="V48">
        <f>U48*Plan!D9/100/12</f>
        <v/>
      </c>
      <c r="W48">
        <f>MIN(Plan!E9,U48+V48)</f>
        <v/>
      </c>
      <c r="X48">
        <f>U48+V48-W48</f>
        <v/>
      </c>
      <c r="Y48">
        <f>MIN(X48,MAX(0,$B48-((E$5&lt;W$5)*F48+(K$5&lt;W$5)*L48+(Q$5&lt;W$5)*R48+(AC$5&lt;W$5)*AD48+(AI$5&lt;W$5)*AJ48+(AO$5&lt;W$5)*AP48+(AU$5&lt;W$5)*AV48)))</f>
        <v/>
      </c>
      <c r="Z48">
        <f>IF(X48-Y48&lt;0.005,0,X48-Y48)</f>
        <v/>
      </c>
      <c r="AA48">
        <f>AF47</f>
        <v/>
      </c>
      <c r="AB48">
        <f>AA48*Plan!D10/100/12</f>
        <v/>
      </c>
      <c r="AC48">
        <f>MIN(Plan!E10,AA48+AB48)</f>
        <v/>
      </c>
      <c r="AD48">
        <f>AA48+AB48-AC48</f>
        <v/>
      </c>
      <c r="AE48">
        <f>MIN(AD48,MAX(0,$B48-((E$5&lt;AC$5)*F48+(K$5&lt;AC$5)*L48+(Q$5&lt;AC$5)*R48+(W$5&lt;AC$5)*X48+(AI$5&lt;AC$5)*AJ48+(AO$5&lt;AC$5)*AP48+(AU$5&lt;AC$5)*AV48)))</f>
        <v/>
      </c>
      <c r="AF48">
        <f>IF(AD48-AE48&lt;0.005,0,AD48-AE48)</f>
        <v/>
      </c>
      <c r="AG48">
        <f>AL47</f>
        <v/>
      </c>
      <c r="AH48">
        <f>AG48*Plan!D11/100/12</f>
        <v/>
      </c>
      <c r="AI48">
        <f>MIN(Plan!E11,AG48+AH48)</f>
        <v/>
      </c>
      <c r="AJ48">
        <f>AG48+AH48-AI48</f>
        <v/>
      </c>
      <c r="AK48">
        <f>MIN(AJ48,MAX(0,$B48-((E$5&lt;AI$5)*F48+(K$5&lt;AI$5)*L48+(Q$5&lt;AI$5)*R48+(W$5&lt;AI$5)*X48+(AC$5&lt;AI$5)*AD48+(AO$5&lt;AI$5)*AP48+(AU$5&lt;AI$5)*AV48)))</f>
        <v/>
      </c>
      <c r="AL48">
        <f>IF(AJ48-AK48&lt;0.005,0,AJ48-AK48)</f>
        <v/>
      </c>
      <c r="AM48">
        <f>AR47</f>
        <v/>
      </c>
      <c r="AN48">
        <f>AM48*Plan!D12/100/12</f>
        <v/>
      </c>
      <c r="AO48">
        <f>MIN(Plan!E12,AM48+AN48)</f>
        <v/>
      </c>
      <c r="AP48">
        <f>AM48+AN48-AO48</f>
        <v/>
      </c>
      <c r="AQ48">
        <f>MIN(AP48,MAX(0,$B48-((E$5&lt;AO$5)*F48+(K$5&lt;AO$5)*L48+(Q$5&lt;AO$5)*R48+(W$5&lt;AO$5)*X48+(AC$5&lt;AO$5)*AD48+(AI$5&lt;AO$5)*AJ48+(AU$5&lt;AO$5)*AV48)))</f>
        <v/>
      </c>
      <c r="AR48">
        <f>IF(AP48-AQ48&lt;0.005,0,AP48-AQ48)</f>
        <v/>
      </c>
      <c r="AS48">
        <f>AX47</f>
        <v/>
      </c>
      <c r="AT48">
        <f>AS48*Plan!D13/100/12</f>
        <v/>
      </c>
      <c r="AU48">
        <f>MIN(Plan!E13,AS48+AT48)</f>
        <v/>
      </c>
      <c r="AV48">
        <f>AS48+AT48-AU48</f>
        <v/>
      </c>
      <c r="AW48">
        <f>MIN(AV48,MAX(0,$B48-((E$5&lt;AU$5)*F48+(K$5&lt;AU$5)*L48+(Q$5&lt;AU$5)*R48+(W$5&lt;AU$5)*X48+(AC$5&lt;AU$5)*AD48+(AI$5&lt;AU$5)*AJ48+(AO$5&lt;AU$5)*AP48)))</f>
        <v/>
      </c>
      <c r="AX48">
        <f>IF(AV48-AW48&lt;0.005,0,AV48-AW48)</f>
        <v/>
      </c>
      <c r="BC48">
        <f>H48+N48+T48+Z48+AF48+AL48+AR48+AX48</f>
        <v/>
      </c>
    </row>
    <row r="49">
      <c r="A49" t="n">
        <v>43</v>
      </c>
      <c r="B49" s="19">
        <f>MAX(0,$B$3-(E49+K49+Q49+W49+AC49+AI49+AO49+AU49))</f>
        <v/>
      </c>
      <c r="C49">
        <f>H48</f>
        <v/>
      </c>
      <c r="D49">
        <f>C49*Plan!D6/100/12</f>
        <v/>
      </c>
      <c r="E49">
        <f>MIN(Plan!E6,C49+D49)</f>
        <v/>
      </c>
      <c r="F49">
        <f>C49+D49-E49</f>
        <v/>
      </c>
      <c r="G49">
        <f>MIN(F49,MAX(0,$B49-((K$5&lt;E$5)*L49+(Q$5&lt;E$5)*R49+(W$5&lt;E$5)*X49+(AC$5&lt;E$5)*AD49+(AI$5&lt;E$5)*AJ49+(AO$5&lt;E$5)*AP49+(AU$5&lt;E$5)*AV49)))</f>
        <v/>
      </c>
      <c r="H49">
        <f>IF(F49-G49&lt;0.005,0,F49-G49)</f>
        <v/>
      </c>
      <c r="I49">
        <f>N48</f>
        <v/>
      </c>
      <c r="J49">
        <f>I49*Plan!D7/100/12</f>
        <v/>
      </c>
      <c r="K49">
        <f>MIN(Plan!E7,I49+J49)</f>
        <v/>
      </c>
      <c r="L49">
        <f>I49+J49-K49</f>
        <v/>
      </c>
      <c r="M49">
        <f>MIN(L49,MAX(0,$B49-((E$5&lt;K$5)*F49+(Q$5&lt;K$5)*R49+(W$5&lt;K$5)*X49+(AC$5&lt;K$5)*AD49+(AI$5&lt;K$5)*AJ49+(AO$5&lt;K$5)*AP49+(AU$5&lt;K$5)*AV49)))</f>
        <v/>
      </c>
      <c r="N49">
        <f>IF(L49-M49&lt;0.005,0,L49-M49)</f>
        <v/>
      </c>
      <c r="O49">
        <f>T48</f>
        <v/>
      </c>
      <c r="P49">
        <f>O49*Plan!D8/100/12</f>
        <v/>
      </c>
      <c r="Q49">
        <f>MIN(Plan!E8,O49+P49)</f>
        <v/>
      </c>
      <c r="R49">
        <f>O49+P49-Q49</f>
        <v/>
      </c>
      <c r="S49">
        <f>MIN(R49,MAX(0,$B49-((E$5&lt;Q$5)*F49+(K$5&lt;Q$5)*L49+(W$5&lt;Q$5)*X49+(AC$5&lt;Q$5)*AD49+(AI$5&lt;Q$5)*AJ49+(AO$5&lt;Q$5)*AP49+(AU$5&lt;Q$5)*AV49)))</f>
        <v/>
      </c>
      <c r="T49">
        <f>IF(R49-S49&lt;0.005,0,R49-S49)</f>
        <v/>
      </c>
      <c r="U49">
        <f>Z48</f>
        <v/>
      </c>
      <c r="V49">
        <f>U49*Plan!D9/100/12</f>
        <v/>
      </c>
      <c r="W49">
        <f>MIN(Plan!E9,U49+V49)</f>
        <v/>
      </c>
      <c r="X49">
        <f>U49+V49-W49</f>
        <v/>
      </c>
      <c r="Y49">
        <f>MIN(X49,MAX(0,$B49-((E$5&lt;W$5)*F49+(K$5&lt;W$5)*L49+(Q$5&lt;W$5)*R49+(AC$5&lt;W$5)*AD49+(AI$5&lt;W$5)*AJ49+(AO$5&lt;W$5)*AP49+(AU$5&lt;W$5)*AV49)))</f>
        <v/>
      </c>
      <c r="Z49">
        <f>IF(X49-Y49&lt;0.005,0,X49-Y49)</f>
        <v/>
      </c>
      <c r="AA49">
        <f>AF48</f>
        <v/>
      </c>
      <c r="AB49">
        <f>AA49*Plan!D10/100/12</f>
        <v/>
      </c>
      <c r="AC49">
        <f>MIN(Plan!E10,AA49+AB49)</f>
        <v/>
      </c>
      <c r="AD49">
        <f>AA49+AB49-AC49</f>
        <v/>
      </c>
      <c r="AE49">
        <f>MIN(AD49,MAX(0,$B49-((E$5&lt;AC$5)*F49+(K$5&lt;AC$5)*L49+(Q$5&lt;AC$5)*R49+(W$5&lt;AC$5)*X49+(AI$5&lt;AC$5)*AJ49+(AO$5&lt;AC$5)*AP49+(AU$5&lt;AC$5)*AV49)))</f>
        <v/>
      </c>
      <c r="AF49">
        <f>IF(AD49-AE49&lt;0.005,0,AD49-AE49)</f>
        <v/>
      </c>
      <c r="AG49">
        <f>AL48</f>
        <v/>
      </c>
      <c r="AH49">
        <f>AG49*Plan!D11/100/12</f>
        <v/>
      </c>
      <c r="AI49">
        <f>MIN(Plan!E11,AG49+AH49)</f>
        <v/>
      </c>
      <c r="AJ49">
        <f>AG49+AH49-AI49</f>
        <v/>
      </c>
      <c r="AK49">
        <f>MIN(AJ49,MAX(0,$B49-((E$5&lt;AI$5)*F49+(K$5&lt;AI$5)*L49+(Q$5&lt;AI$5)*R49+(W$5&lt;AI$5)*X49+(AC$5&lt;AI$5)*AD49+(AO$5&lt;AI$5)*AP49+(AU$5&lt;AI$5)*AV49)))</f>
        <v/>
      </c>
      <c r="AL49">
        <f>IF(AJ49-AK49&lt;0.005,0,AJ49-AK49)</f>
        <v/>
      </c>
      <c r="AM49">
        <f>AR48</f>
        <v/>
      </c>
      <c r="AN49">
        <f>AM49*Plan!D12/100/12</f>
        <v/>
      </c>
      <c r="AO49">
        <f>MIN(Plan!E12,AM49+AN49)</f>
        <v/>
      </c>
      <c r="AP49">
        <f>AM49+AN49-AO49</f>
        <v/>
      </c>
      <c r="AQ49">
        <f>MIN(AP49,MAX(0,$B49-((E$5&lt;AO$5)*F49+(K$5&lt;AO$5)*L49+(Q$5&lt;AO$5)*R49+(W$5&lt;AO$5)*X49+(AC$5&lt;AO$5)*AD49+(AI$5&lt;AO$5)*AJ49+(AU$5&lt;AO$5)*AV49)))</f>
        <v/>
      </c>
      <c r="AR49">
        <f>IF(AP49-AQ49&lt;0.005,0,AP49-AQ49)</f>
        <v/>
      </c>
      <c r="AS49">
        <f>AX48</f>
        <v/>
      </c>
      <c r="AT49">
        <f>AS49*Plan!D13/100/12</f>
        <v/>
      </c>
      <c r="AU49">
        <f>MIN(Plan!E13,AS49+AT49)</f>
        <v/>
      </c>
      <c r="AV49">
        <f>AS49+AT49-AU49</f>
        <v/>
      </c>
      <c r="AW49">
        <f>MIN(AV49,MAX(0,$B49-((E$5&lt;AU$5)*F49+(K$5&lt;AU$5)*L49+(Q$5&lt;AU$5)*R49+(W$5&lt;AU$5)*X49+(AC$5&lt;AU$5)*AD49+(AI$5&lt;AU$5)*AJ49+(AO$5&lt;AU$5)*AP49)))</f>
        <v/>
      </c>
      <c r="AX49">
        <f>IF(AV49-AW49&lt;0.005,0,AV49-AW49)</f>
        <v/>
      </c>
      <c r="BC49">
        <f>H49+N49+T49+Z49+AF49+AL49+AR49+AX49</f>
        <v/>
      </c>
    </row>
    <row r="50">
      <c r="A50" t="n">
        <v>44</v>
      </c>
      <c r="B50" s="19">
        <f>MAX(0,$B$3-(E50+K50+Q50+W50+AC50+AI50+AO50+AU50))</f>
        <v/>
      </c>
      <c r="C50">
        <f>H49</f>
        <v/>
      </c>
      <c r="D50">
        <f>C50*Plan!D6/100/12</f>
        <v/>
      </c>
      <c r="E50">
        <f>MIN(Plan!E6,C50+D50)</f>
        <v/>
      </c>
      <c r="F50">
        <f>C50+D50-E50</f>
        <v/>
      </c>
      <c r="G50">
        <f>MIN(F50,MAX(0,$B50-((K$5&lt;E$5)*L50+(Q$5&lt;E$5)*R50+(W$5&lt;E$5)*X50+(AC$5&lt;E$5)*AD50+(AI$5&lt;E$5)*AJ50+(AO$5&lt;E$5)*AP50+(AU$5&lt;E$5)*AV50)))</f>
        <v/>
      </c>
      <c r="H50">
        <f>IF(F50-G50&lt;0.005,0,F50-G50)</f>
        <v/>
      </c>
      <c r="I50">
        <f>N49</f>
        <v/>
      </c>
      <c r="J50">
        <f>I50*Plan!D7/100/12</f>
        <v/>
      </c>
      <c r="K50">
        <f>MIN(Plan!E7,I50+J50)</f>
        <v/>
      </c>
      <c r="L50">
        <f>I50+J50-K50</f>
        <v/>
      </c>
      <c r="M50">
        <f>MIN(L50,MAX(0,$B50-((E$5&lt;K$5)*F50+(Q$5&lt;K$5)*R50+(W$5&lt;K$5)*X50+(AC$5&lt;K$5)*AD50+(AI$5&lt;K$5)*AJ50+(AO$5&lt;K$5)*AP50+(AU$5&lt;K$5)*AV50)))</f>
        <v/>
      </c>
      <c r="N50">
        <f>IF(L50-M50&lt;0.005,0,L50-M50)</f>
        <v/>
      </c>
      <c r="O50">
        <f>T49</f>
        <v/>
      </c>
      <c r="P50">
        <f>O50*Plan!D8/100/12</f>
        <v/>
      </c>
      <c r="Q50">
        <f>MIN(Plan!E8,O50+P50)</f>
        <v/>
      </c>
      <c r="R50">
        <f>O50+P50-Q50</f>
        <v/>
      </c>
      <c r="S50">
        <f>MIN(R50,MAX(0,$B50-((E$5&lt;Q$5)*F50+(K$5&lt;Q$5)*L50+(W$5&lt;Q$5)*X50+(AC$5&lt;Q$5)*AD50+(AI$5&lt;Q$5)*AJ50+(AO$5&lt;Q$5)*AP50+(AU$5&lt;Q$5)*AV50)))</f>
        <v/>
      </c>
      <c r="T50">
        <f>IF(R50-S50&lt;0.005,0,R50-S50)</f>
        <v/>
      </c>
      <c r="U50">
        <f>Z49</f>
        <v/>
      </c>
      <c r="V50">
        <f>U50*Plan!D9/100/12</f>
        <v/>
      </c>
      <c r="W50">
        <f>MIN(Plan!E9,U50+V50)</f>
        <v/>
      </c>
      <c r="X50">
        <f>U50+V50-W50</f>
        <v/>
      </c>
      <c r="Y50">
        <f>MIN(X50,MAX(0,$B50-((E$5&lt;W$5)*F50+(K$5&lt;W$5)*L50+(Q$5&lt;W$5)*R50+(AC$5&lt;W$5)*AD50+(AI$5&lt;W$5)*AJ50+(AO$5&lt;W$5)*AP50+(AU$5&lt;W$5)*AV50)))</f>
        <v/>
      </c>
      <c r="Z50">
        <f>IF(X50-Y50&lt;0.005,0,X50-Y50)</f>
        <v/>
      </c>
      <c r="AA50">
        <f>AF49</f>
        <v/>
      </c>
      <c r="AB50">
        <f>AA50*Plan!D10/100/12</f>
        <v/>
      </c>
      <c r="AC50">
        <f>MIN(Plan!E10,AA50+AB50)</f>
        <v/>
      </c>
      <c r="AD50">
        <f>AA50+AB50-AC50</f>
        <v/>
      </c>
      <c r="AE50">
        <f>MIN(AD50,MAX(0,$B50-((E$5&lt;AC$5)*F50+(K$5&lt;AC$5)*L50+(Q$5&lt;AC$5)*R50+(W$5&lt;AC$5)*X50+(AI$5&lt;AC$5)*AJ50+(AO$5&lt;AC$5)*AP50+(AU$5&lt;AC$5)*AV50)))</f>
        <v/>
      </c>
      <c r="AF50">
        <f>IF(AD50-AE50&lt;0.005,0,AD50-AE50)</f>
        <v/>
      </c>
      <c r="AG50">
        <f>AL49</f>
        <v/>
      </c>
      <c r="AH50">
        <f>AG50*Plan!D11/100/12</f>
        <v/>
      </c>
      <c r="AI50">
        <f>MIN(Plan!E11,AG50+AH50)</f>
        <v/>
      </c>
      <c r="AJ50">
        <f>AG50+AH50-AI50</f>
        <v/>
      </c>
      <c r="AK50">
        <f>MIN(AJ50,MAX(0,$B50-((E$5&lt;AI$5)*F50+(K$5&lt;AI$5)*L50+(Q$5&lt;AI$5)*R50+(W$5&lt;AI$5)*X50+(AC$5&lt;AI$5)*AD50+(AO$5&lt;AI$5)*AP50+(AU$5&lt;AI$5)*AV50)))</f>
        <v/>
      </c>
      <c r="AL50">
        <f>IF(AJ50-AK50&lt;0.005,0,AJ50-AK50)</f>
        <v/>
      </c>
      <c r="AM50">
        <f>AR49</f>
        <v/>
      </c>
      <c r="AN50">
        <f>AM50*Plan!D12/100/12</f>
        <v/>
      </c>
      <c r="AO50">
        <f>MIN(Plan!E12,AM50+AN50)</f>
        <v/>
      </c>
      <c r="AP50">
        <f>AM50+AN50-AO50</f>
        <v/>
      </c>
      <c r="AQ50">
        <f>MIN(AP50,MAX(0,$B50-((E$5&lt;AO$5)*F50+(K$5&lt;AO$5)*L50+(Q$5&lt;AO$5)*R50+(W$5&lt;AO$5)*X50+(AC$5&lt;AO$5)*AD50+(AI$5&lt;AO$5)*AJ50+(AU$5&lt;AO$5)*AV50)))</f>
        <v/>
      </c>
      <c r="AR50">
        <f>IF(AP50-AQ50&lt;0.005,0,AP50-AQ50)</f>
        <v/>
      </c>
      <c r="AS50">
        <f>AX49</f>
        <v/>
      </c>
      <c r="AT50">
        <f>AS50*Plan!D13/100/12</f>
        <v/>
      </c>
      <c r="AU50">
        <f>MIN(Plan!E13,AS50+AT50)</f>
        <v/>
      </c>
      <c r="AV50">
        <f>AS50+AT50-AU50</f>
        <v/>
      </c>
      <c r="AW50">
        <f>MIN(AV50,MAX(0,$B50-((E$5&lt;AU$5)*F50+(K$5&lt;AU$5)*L50+(Q$5&lt;AU$5)*R50+(W$5&lt;AU$5)*X50+(AC$5&lt;AU$5)*AD50+(AI$5&lt;AU$5)*AJ50+(AO$5&lt;AU$5)*AP50)))</f>
        <v/>
      </c>
      <c r="AX50">
        <f>IF(AV50-AW50&lt;0.005,0,AV50-AW50)</f>
        <v/>
      </c>
      <c r="BC50">
        <f>H50+N50+T50+Z50+AF50+AL50+AR50+AX50</f>
        <v/>
      </c>
    </row>
    <row r="51">
      <c r="A51" t="n">
        <v>45</v>
      </c>
      <c r="B51" s="19">
        <f>MAX(0,$B$3-(E51+K51+Q51+W51+AC51+AI51+AO51+AU51))</f>
        <v/>
      </c>
      <c r="C51">
        <f>H50</f>
        <v/>
      </c>
      <c r="D51">
        <f>C51*Plan!D6/100/12</f>
        <v/>
      </c>
      <c r="E51">
        <f>MIN(Plan!E6,C51+D51)</f>
        <v/>
      </c>
      <c r="F51">
        <f>C51+D51-E51</f>
        <v/>
      </c>
      <c r="G51">
        <f>MIN(F51,MAX(0,$B51-((K$5&lt;E$5)*L51+(Q$5&lt;E$5)*R51+(W$5&lt;E$5)*X51+(AC$5&lt;E$5)*AD51+(AI$5&lt;E$5)*AJ51+(AO$5&lt;E$5)*AP51+(AU$5&lt;E$5)*AV51)))</f>
        <v/>
      </c>
      <c r="H51">
        <f>IF(F51-G51&lt;0.005,0,F51-G51)</f>
        <v/>
      </c>
      <c r="I51">
        <f>N50</f>
        <v/>
      </c>
      <c r="J51">
        <f>I51*Plan!D7/100/12</f>
        <v/>
      </c>
      <c r="K51">
        <f>MIN(Plan!E7,I51+J51)</f>
        <v/>
      </c>
      <c r="L51">
        <f>I51+J51-K51</f>
        <v/>
      </c>
      <c r="M51">
        <f>MIN(L51,MAX(0,$B51-((E$5&lt;K$5)*F51+(Q$5&lt;K$5)*R51+(W$5&lt;K$5)*X51+(AC$5&lt;K$5)*AD51+(AI$5&lt;K$5)*AJ51+(AO$5&lt;K$5)*AP51+(AU$5&lt;K$5)*AV51)))</f>
        <v/>
      </c>
      <c r="N51">
        <f>IF(L51-M51&lt;0.005,0,L51-M51)</f>
        <v/>
      </c>
      <c r="O51">
        <f>T50</f>
        <v/>
      </c>
      <c r="P51">
        <f>O51*Plan!D8/100/12</f>
        <v/>
      </c>
      <c r="Q51">
        <f>MIN(Plan!E8,O51+P51)</f>
        <v/>
      </c>
      <c r="R51">
        <f>O51+P51-Q51</f>
        <v/>
      </c>
      <c r="S51">
        <f>MIN(R51,MAX(0,$B51-((E$5&lt;Q$5)*F51+(K$5&lt;Q$5)*L51+(W$5&lt;Q$5)*X51+(AC$5&lt;Q$5)*AD51+(AI$5&lt;Q$5)*AJ51+(AO$5&lt;Q$5)*AP51+(AU$5&lt;Q$5)*AV51)))</f>
        <v/>
      </c>
      <c r="T51">
        <f>IF(R51-S51&lt;0.005,0,R51-S51)</f>
        <v/>
      </c>
      <c r="U51">
        <f>Z50</f>
        <v/>
      </c>
      <c r="V51">
        <f>U51*Plan!D9/100/12</f>
        <v/>
      </c>
      <c r="W51">
        <f>MIN(Plan!E9,U51+V51)</f>
        <v/>
      </c>
      <c r="X51">
        <f>U51+V51-W51</f>
        <v/>
      </c>
      <c r="Y51">
        <f>MIN(X51,MAX(0,$B51-((E$5&lt;W$5)*F51+(K$5&lt;W$5)*L51+(Q$5&lt;W$5)*R51+(AC$5&lt;W$5)*AD51+(AI$5&lt;W$5)*AJ51+(AO$5&lt;W$5)*AP51+(AU$5&lt;W$5)*AV51)))</f>
        <v/>
      </c>
      <c r="Z51">
        <f>IF(X51-Y51&lt;0.005,0,X51-Y51)</f>
        <v/>
      </c>
      <c r="AA51">
        <f>AF50</f>
        <v/>
      </c>
      <c r="AB51">
        <f>AA51*Plan!D10/100/12</f>
        <v/>
      </c>
      <c r="AC51">
        <f>MIN(Plan!E10,AA51+AB51)</f>
        <v/>
      </c>
      <c r="AD51">
        <f>AA51+AB51-AC51</f>
        <v/>
      </c>
      <c r="AE51">
        <f>MIN(AD51,MAX(0,$B51-((E$5&lt;AC$5)*F51+(K$5&lt;AC$5)*L51+(Q$5&lt;AC$5)*R51+(W$5&lt;AC$5)*X51+(AI$5&lt;AC$5)*AJ51+(AO$5&lt;AC$5)*AP51+(AU$5&lt;AC$5)*AV51)))</f>
        <v/>
      </c>
      <c r="AF51">
        <f>IF(AD51-AE51&lt;0.005,0,AD51-AE51)</f>
        <v/>
      </c>
      <c r="AG51">
        <f>AL50</f>
        <v/>
      </c>
      <c r="AH51">
        <f>AG51*Plan!D11/100/12</f>
        <v/>
      </c>
      <c r="AI51">
        <f>MIN(Plan!E11,AG51+AH51)</f>
        <v/>
      </c>
      <c r="AJ51">
        <f>AG51+AH51-AI51</f>
        <v/>
      </c>
      <c r="AK51">
        <f>MIN(AJ51,MAX(0,$B51-((E$5&lt;AI$5)*F51+(K$5&lt;AI$5)*L51+(Q$5&lt;AI$5)*R51+(W$5&lt;AI$5)*X51+(AC$5&lt;AI$5)*AD51+(AO$5&lt;AI$5)*AP51+(AU$5&lt;AI$5)*AV51)))</f>
        <v/>
      </c>
      <c r="AL51">
        <f>IF(AJ51-AK51&lt;0.005,0,AJ51-AK51)</f>
        <v/>
      </c>
      <c r="AM51">
        <f>AR50</f>
        <v/>
      </c>
      <c r="AN51">
        <f>AM51*Plan!D12/100/12</f>
        <v/>
      </c>
      <c r="AO51">
        <f>MIN(Plan!E12,AM51+AN51)</f>
        <v/>
      </c>
      <c r="AP51">
        <f>AM51+AN51-AO51</f>
        <v/>
      </c>
      <c r="AQ51">
        <f>MIN(AP51,MAX(0,$B51-((E$5&lt;AO$5)*F51+(K$5&lt;AO$5)*L51+(Q$5&lt;AO$5)*R51+(W$5&lt;AO$5)*X51+(AC$5&lt;AO$5)*AD51+(AI$5&lt;AO$5)*AJ51+(AU$5&lt;AO$5)*AV51)))</f>
        <v/>
      </c>
      <c r="AR51">
        <f>IF(AP51-AQ51&lt;0.005,0,AP51-AQ51)</f>
        <v/>
      </c>
      <c r="AS51">
        <f>AX50</f>
        <v/>
      </c>
      <c r="AT51">
        <f>AS51*Plan!D13/100/12</f>
        <v/>
      </c>
      <c r="AU51">
        <f>MIN(Plan!E13,AS51+AT51)</f>
        <v/>
      </c>
      <c r="AV51">
        <f>AS51+AT51-AU51</f>
        <v/>
      </c>
      <c r="AW51">
        <f>MIN(AV51,MAX(0,$B51-((E$5&lt;AU$5)*F51+(K$5&lt;AU$5)*L51+(Q$5&lt;AU$5)*R51+(W$5&lt;AU$5)*X51+(AC$5&lt;AU$5)*AD51+(AI$5&lt;AU$5)*AJ51+(AO$5&lt;AU$5)*AP51)))</f>
        <v/>
      </c>
      <c r="AX51">
        <f>IF(AV51-AW51&lt;0.005,0,AV51-AW51)</f>
        <v/>
      </c>
      <c r="BC51">
        <f>H51+N51+T51+Z51+AF51+AL51+AR51+AX51</f>
        <v/>
      </c>
    </row>
    <row r="52">
      <c r="A52" t="n">
        <v>46</v>
      </c>
      <c r="B52" s="19">
        <f>MAX(0,$B$3-(E52+K52+Q52+W52+AC52+AI52+AO52+AU52))</f>
        <v/>
      </c>
      <c r="C52">
        <f>H51</f>
        <v/>
      </c>
      <c r="D52">
        <f>C52*Plan!D6/100/12</f>
        <v/>
      </c>
      <c r="E52">
        <f>MIN(Plan!E6,C52+D52)</f>
        <v/>
      </c>
      <c r="F52">
        <f>C52+D52-E52</f>
        <v/>
      </c>
      <c r="G52">
        <f>MIN(F52,MAX(0,$B52-((K$5&lt;E$5)*L52+(Q$5&lt;E$5)*R52+(W$5&lt;E$5)*X52+(AC$5&lt;E$5)*AD52+(AI$5&lt;E$5)*AJ52+(AO$5&lt;E$5)*AP52+(AU$5&lt;E$5)*AV52)))</f>
        <v/>
      </c>
      <c r="H52">
        <f>IF(F52-G52&lt;0.005,0,F52-G52)</f>
        <v/>
      </c>
      <c r="I52">
        <f>N51</f>
        <v/>
      </c>
      <c r="J52">
        <f>I52*Plan!D7/100/12</f>
        <v/>
      </c>
      <c r="K52">
        <f>MIN(Plan!E7,I52+J52)</f>
        <v/>
      </c>
      <c r="L52">
        <f>I52+J52-K52</f>
        <v/>
      </c>
      <c r="M52">
        <f>MIN(L52,MAX(0,$B52-((E$5&lt;K$5)*F52+(Q$5&lt;K$5)*R52+(W$5&lt;K$5)*X52+(AC$5&lt;K$5)*AD52+(AI$5&lt;K$5)*AJ52+(AO$5&lt;K$5)*AP52+(AU$5&lt;K$5)*AV52)))</f>
        <v/>
      </c>
      <c r="N52">
        <f>IF(L52-M52&lt;0.005,0,L52-M52)</f>
        <v/>
      </c>
      <c r="O52">
        <f>T51</f>
        <v/>
      </c>
      <c r="P52">
        <f>O52*Plan!D8/100/12</f>
        <v/>
      </c>
      <c r="Q52">
        <f>MIN(Plan!E8,O52+P52)</f>
        <v/>
      </c>
      <c r="R52">
        <f>O52+P52-Q52</f>
        <v/>
      </c>
      <c r="S52">
        <f>MIN(R52,MAX(0,$B52-((E$5&lt;Q$5)*F52+(K$5&lt;Q$5)*L52+(W$5&lt;Q$5)*X52+(AC$5&lt;Q$5)*AD52+(AI$5&lt;Q$5)*AJ52+(AO$5&lt;Q$5)*AP52+(AU$5&lt;Q$5)*AV52)))</f>
        <v/>
      </c>
      <c r="T52">
        <f>IF(R52-S52&lt;0.005,0,R52-S52)</f>
        <v/>
      </c>
      <c r="U52">
        <f>Z51</f>
        <v/>
      </c>
      <c r="V52">
        <f>U52*Plan!D9/100/12</f>
        <v/>
      </c>
      <c r="W52">
        <f>MIN(Plan!E9,U52+V52)</f>
        <v/>
      </c>
      <c r="X52">
        <f>U52+V52-W52</f>
        <v/>
      </c>
      <c r="Y52">
        <f>MIN(X52,MAX(0,$B52-((E$5&lt;W$5)*F52+(K$5&lt;W$5)*L52+(Q$5&lt;W$5)*R52+(AC$5&lt;W$5)*AD52+(AI$5&lt;W$5)*AJ52+(AO$5&lt;W$5)*AP52+(AU$5&lt;W$5)*AV52)))</f>
        <v/>
      </c>
      <c r="Z52">
        <f>IF(X52-Y52&lt;0.005,0,X52-Y52)</f>
        <v/>
      </c>
      <c r="AA52">
        <f>AF51</f>
        <v/>
      </c>
      <c r="AB52">
        <f>AA52*Plan!D10/100/12</f>
        <v/>
      </c>
      <c r="AC52">
        <f>MIN(Plan!E10,AA52+AB52)</f>
        <v/>
      </c>
      <c r="AD52">
        <f>AA52+AB52-AC52</f>
        <v/>
      </c>
      <c r="AE52">
        <f>MIN(AD52,MAX(0,$B52-((E$5&lt;AC$5)*F52+(K$5&lt;AC$5)*L52+(Q$5&lt;AC$5)*R52+(W$5&lt;AC$5)*X52+(AI$5&lt;AC$5)*AJ52+(AO$5&lt;AC$5)*AP52+(AU$5&lt;AC$5)*AV52)))</f>
        <v/>
      </c>
      <c r="AF52">
        <f>IF(AD52-AE52&lt;0.005,0,AD52-AE52)</f>
        <v/>
      </c>
      <c r="AG52">
        <f>AL51</f>
        <v/>
      </c>
      <c r="AH52">
        <f>AG52*Plan!D11/100/12</f>
        <v/>
      </c>
      <c r="AI52">
        <f>MIN(Plan!E11,AG52+AH52)</f>
        <v/>
      </c>
      <c r="AJ52">
        <f>AG52+AH52-AI52</f>
        <v/>
      </c>
      <c r="AK52">
        <f>MIN(AJ52,MAX(0,$B52-((E$5&lt;AI$5)*F52+(K$5&lt;AI$5)*L52+(Q$5&lt;AI$5)*R52+(W$5&lt;AI$5)*X52+(AC$5&lt;AI$5)*AD52+(AO$5&lt;AI$5)*AP52+(AU$5&lt;AI$5)*AV52)))</f>
        <v/>
      </c>
      <c r="AL52">
        <f>IF(AJ52-AK52&lt;0.005,0,AJ52-AK52)</f>
        <v/>
      </c>
      <c r="AM52">
        <f>AR51</f>
        <v/>
      </c>
      <c r="AN52">
        <f>AM52*Plan!D12/100/12</f>
        <v/>
      </c>
      <c r="AO52">
        <f>MIN(Plan!E12,AM52+AN52)</f>
        <v/>
      </c>
      <c r="AP52">
        <f>AM52+AN52-AO52</f>
        <v/>
      </c>
      <c r="AQ52">
        <f>MIN(AP52,MAX(0,$B52-((E$5&lt;AO$5)*F52+(K$5&lt;AO$5)*L52+(Q$5&lt;AO$5)*R52+(W$5&lt;AO$5)*X52+(AC$5&lt;AO$5)*AD52+(AI$5&lt;AO$5)*AJ52+(AU$5&lt;AO$5)*AV52)))</f>
        <v/>
      </c>
      <c r="AR52">
        <f>IF(AP52-AQ52&lt;0.005,0,AP52-AQ52)</f>
        <v/>
      </c>
      <c r="AS52">
        <f>AX51</f>
        <v/>
      </c>
      <c r="AT52">
        <f>AS52*Plan!D13/100/12</f>
        <v/>
      </c>
      <c r="AU52">
        <f>MIN(Plan!E13,AS52+AT52)</f>
        <v/>
      </c>
      <c r="AV52">
        <f>AS52+AT52-AU52</f>
        <v/>
      </c>
      <c r="AW52">
        <f>MIN(AV52,MAX(0,$B52-((E$5&lt;AU$5)*F52+(K$5&lt;AU$5)*L52+(Q$5&lt;AU$5)*R52+(W$5&lt;AU$5)*X52+(AC$5&lt;AU$5)*AD52+(AI$5&lt;AU$5)*AJ52+(AO$5&lt;AU$5)*AP52)))</f>
        <v/>
      </c>
      <c r="AX52">
        <f>IF(AV52-AW52&lt;0.005,0,AV52-AW52)</f>
        <v/>
      </c>
      <c r="BC52">
        <f>H52+N52+T52+Z52+AF52+AL52+AR52+AX52</f>
        <v/>
      </c>
    </row>
    <row r="53">
      <c r="A53" t="n">
        <v>47</v>
      </c>
      <c r="B53" s="19">
        <f>MAX(0,$B$3-(E53+K53+Q53+W53+AC53+AI53+AO53+AU53))</f>
        <v/>
      </c>
      <c r="C53">
        <f>H52</f>
        <v/>
      </c>
      <c r="D53">
        <f>C53*Plan!D6/100/12</f>
        <v/>
      </c>
      <c r="E53">
        <f>MIN(Plan!E6,C53+D53)</f>
        <v/>
      </c>
      <c r="F53">
        <f>C53+D53-E53</f>
        <v/>
      </c>
      <c r="G53">
        <f>MIN(F53,MAX(0,$B53-((K$5&lt;E$5)*L53+(Q$5&lt;E$5)*R53+(W$5&lt;E$5)*X53+(AC$5&lt;E$5)*AD53+(AI$5&lt;E$5)*AJ53+(AO$5&lt;E$5)*AP53+(AU$5&lt;E$5)*AV53)))</f>
        <v/>
      </c>
      <c r="H53">
        <f>IF(F53-G53&lt;0.005,0,F53-G53)</f>
        <v/>
      </c>
      <c r="I53">
        <f>N52</f>
        <v/>
      </c>
      <c r="J53">
        <f>I53*Plan!D7/100/12</f>
        <v/>
      </c>
      <c r="K53">
        <f>MIN(Plan!E7,I53+J53)</f>
        <v/>
      </c>
      <c r="L53">
        <f>I53+J53-K53</f>
        <v/>
      </c>
      <c r="M53">
        <f>MIN(L53,MAX(0,$B53-((E$5&lt;K$5)*F53+(Q$5&lt;K$5)*R53+(W$5&lt;K$5)*X53+(AC$5&lt;K$5)*AD53+(AI$5&lt;K$5)*AJ53+(AO$5&lt;K$5)*AP53+(AU$5&lt;K$5)*AV53)))</f>
        <v/>
      </c>
      <c r="N53">
        <f>IF(L53-M53&lt;0.005,0,L53-M53)</f>
        <v/>
      </c>
      <c r="O53">
        <f>T52</f>
        <v/>
      </c>
      <c r="P53">
        <f>O53*Plan!D8/100/12</f>
        <v/>
      </c>
      <c r="Q53">
        <f>MIN(Plan!E8,O53+P53)</f>
        <v/>
      </c>
      <c r="R53">
        <f>O53+P53-Q53</f>
        <v/>
      </c>
      <c r="S53">
        <f>MIN(R53,MAX(0,$B53-((E$5&lt;Q$5)*F53+(K$5&lt;Q$5)*L53+(W$5&lt;Q$5)*X53+(AC$5&lt;Q$5)*AD53+(AI$5&lt;Q$5)*AJ53+(AO$5&lt;Q$5)*AP53+(AU$5&lt;Q$5)*AV53)))</f>
        <v/>
      </c>
      <c r="T53">
        <f>IF(R53-S53&lt;0.005,0,R53-S53)</f>
        <v/>
      </c>
      <c r="U53">
        <f>Z52</f>
        <v/>
      </c>
      <c r="V53">
        <f>U53*Plan!D9/100/12</f>
        <v/>
      </c>
      <c r="W53">
        <f>MIN(Plan!E9,U53+V53)</f>
        <v/>
      </c>
      <c r="X53">
        <f>U53+V53-W53</f>
        <v/>
      </c>
      <c r="Y53">
        <f>MIN(X53,MAX(0,$B53-((E$5&lt;W$5)*F53+(K$5&lt;W$5)*L53+(Q$5&lt;W$5)*R53+(AC$5&lt;W$5)*AD53+(AI$5&lt;W$5)*AJ53+(AO$5&lt;W$5)*AP53+(AU$5&lt;W$5)*AV53)))</f>
        <v/>
      </c>
      <c r="Z53">
        <f>IF(X53-Y53&lt;0.005,0,X53-Y53)</f>
        <v/>
      </c>
      <c r="AA53">
        <f>AF52</f>
        <v/>
      </c>
      <c r="AB53">
        <f>AA53*Plan!D10/100/12</f>
        <v/>
      </c>
      <c r="AC53">
        <f>MIN(Plan!E10,AA53+AB53)</f>
        <v/>
      </c>
      <c r="AD53">
        <f>AA53+AB53-AC53</f>
        <v/>
      </c>
      <c r="AE53">
        <f>MIN(AD53,MAX(0,$B53-((E$5&lt;AC$5)*F53+(K$5&lt;AC$5)*L53+(Q$5&lt;AC$5)*R53+(W$5&lt;AC$5)*X53+(AI$5&lt;AC$5)*AJ53+(AO$5&lt;AC$5)*AP53+(AU$5&lt;AC$5)*AV53)))</f>
        <v/>
      </c>
      <c r="AF53">
        <f>IF(AD53-AE53&lt;0.005,0,AD53-AE53)</f>
        <v/>
      </c>
      <c r="AG53">
        <f>AL52</f>
        <v/>
      </c>
      <c r="AH53">
        <f>AG53*Plan!D11/100/12</f>
        <v/>
      </c>
      <c r="AI53">
        <f>MIN(Plan!E11,AG53+AH53)</f>
        <v/>
      </c>
      <c r="AJ53">
        <f>AG53+AH53-AI53</f>
        <v/>
      </c>
      <c r="AK53">
        <f>MIN(AJ53,MAX(0,$B53-((E$5&lt;AI$5)*F53+(K$5&lt;AI$5)*L53+(Q$5&lt;AI$5)*R53+(W$5&lt;AI$5)*X53+(AC$5&lt;AI$5)*AD53+(AO$5&lt;AI$5)*AP53+(AU$5&lt;AI$5)*AV53)))</f>
        <v/>
      </c>
      <c r="AL53">
        <f>IF(AJ53-AK53&lt;0.005,0,AJ53-AK53)</f>
        <v/>
      </c>
      <c r="AM53">
        <f>AR52</f>
        <v/>
      </c>
      <c r="AN53">
        <f>AM53*Plan!D12/100/12</f>
        <v/>
      </c>
      <c r="AO53">
        <f>MIN(Plan!E12,AM53+AN53)</f>
        <v/>
      </c>
      <c r="AP53">
        <f>AM53+AN53-AO53</f>
        <v/>
      </c>
      <c r="AQ53">
        <f>MIN(AP53,MAX(0,$B53-((E$5&lt;AO$5)*F53+(K$5&lt;AO$5)*L53+(Q$5&lt;AO$5)*R53+(W$5&lt;AO$5)*X53+(AC$5&lt;AO$5)*AD53+(AI$5&lt;AO$5)*AJ53+(AU$5&lt;AO$5)*AV53)))</f>
        <v/>
      </c>
      <c r="AR53">
        <f>IF(AP53-AQ53&lt;0.005,0,AP53-AQ53)</f>
        <v/>
      </c>
      <c r="AS53">
        <f>AX52</f>
        <v/>
      </c>
      <c r="AT53">
        <f>AS53*Plan!D13/100/12</f>
        <v/>
      </c>
      <c r="AU53">
        <f>MIN(Plan!E13,AS53+AT53)</f>
        <v/>
      </c>
      <c r="AV53">
        <f>AS53+AT53-AU53</f>
        <v/>
      </c>
      <c r="AW53">
        <f>MIN(AV53,MAX(0,$B53-((E$5&lt;AU$5)*F53+(K$5&lt;AU$5)*L53+(Q$5&lt;AU$5)*R53+(W$5&lt;AU$5)*X53+(AC$5&lt;AU$5)*AD53+(AI$5&lt;AU$5)*AJ53+(AO$5&lt;AU$5)*AP53)))</f>
        <v/>
      </c>
      <c r="AX53">
        <f>IF(AV53-AW53&lt;0.005,0,AV53-AW53)</f>
        <v/>
      </c>
      <c r="BC53">
        <f>H53+N53+T53+Z53+AF53+AL53+AR53+AX53</f>
        <v/>
      </c>
    </row>
    <row r="54">
      <c r="A54" t="n">
        <v>48</v>
      </c>
      <c r="B54" s="19">
        <f>MAX(0,$B$3-(E54+K54+Q54+W54+AC54+AI54+AO54+AU54))</f>
        <v/>
      </c>
      <c r="C54">
        <f>H53</f>
        <v/>
      </c>
      <c r="D54">
        <f>C54*Plan!D6/100/12</f>
        <v/>
      </c>
      <c r="E54">
        <f>MIN(Plan!E6,C54+D54)</f>
        <v/>
      </c>
      <c r="F54">
        <f>C54+D54-E54</f>
        <v/>
      </c>
      <c r="G54">
        <f>MIN(F54,MAX(0,$B54-((K$5&lt;E$5)*L54+(Q$5&lt;E$5)*R54+(W$5&lt;E$5)*X54+(AC$5&lt;E$5)*AD54+(AI$5&lt;E$5)*AJ54+(AO$5&lt;E$5)*AP54+(AU$5&lt;E$5)*AV54)))</f>
        <v/>
      </c>
      <c r="H54">
        <f>IF(F54-G54&lt;0.005,0,F54-G54)</f>
        <v/>
      </c>
      <c r="I54">
        <f>N53</f>
        <v/>
      </c>
      <c r="J54">
        <f>I54*Plan!D7/100/12</f>
        <v/>
      </c>
      <c r="K54">
        <f>MIN(Plan!E7,I54+J54)</f>
        <v/>
      </c>
      <c r="L54">
        <f>I54+J54-K54</f>
        <v/>
      </c>
      <c r="M54">
        <f>MIN(L54,MAX(0,$B54-((E$5&lt;K$5)*F54+(Q$5&lt;K$5)*R54+(W$5&lt;K$5)*X54+(AC$5&lt;K$5)*AD54+(AI$5&lt;K$5)*AJ54+(AO$5&lt;K$5)*AP54+(AU$5&lt;K$5)*AV54)))</f>
        <v/>
      </c>
      <c r="N54">
        <f>IF(L54-M54&lt;0.005,0,L54-M54)</f>
        <v/>
      </c>
      <c r="O54">
        <f>T53</f>
        <v/>
      </c>
      <c r="P54">
        <f>O54*Plan!D8/100/12</f>
        <v/>
      </c>
      <c r="Q54">
        <f>MIN(Plan!E8,O54+P54)</f>
        <v/>
      </c>
      <c r="R54">
        <f>O54+P54-Q54</f>
        <v/>
      </c>
      <c r="S54">
        <f>MIN(R54,MAX(0,$B54-((E$5&lt;Q$5)*F54+(K$5&lt;Q$5)*L54+(W$5&lt;Q$5)*X54+(AC$5&lt;Q$5)*AD54+(AI$5&lt;Q$5)*AJ54+(AO$5&lt;Q$5)*AP54+(AU$5&lt;Q$5)*AV54)))</f>
        <v/>
      </c>
      <c r="T54">
        <f>IF(R54-S54&lt;0.005,0,R54-S54)</f>
        <v/>
      </c>
      <c r="U54">
        <f>Z53</f>
        <v/>
      </c>
      <c r="V54">
        <f>U54*Plan!D9/100/12</f>
        <v/>
      </c>
      <c r="W54">
        <f>MIN(Plan!E9,U54+V54)</f>
        <v/>
      </c>
      <c r="X54">
        <f>U54+V54-W54</f>
        <v/>
      </c>
      <c r="Y54">
        <f>MIN(X54,MAX(0,$B54-((E$5&lt;W$5)*F54+(K$5&lt;W$5)*L54+(Q$5&lt;W$5)*R54+(AC$5&lt;W$5)*AD54+(AI$5&lt;W$5)*AJ54+(AO$5&lt;W$5)*AP54+(AU$5&lt;W$5)*AV54)))</f>
        <v/>
      </c>
      <c r="Z54">
        <f>IF(X54-Y54&lt;0.005,0,X54-Y54)</f>
        <v/>
      </c>
      <c r="AA54">
        <f>AF53</f>
        <v/>
      </c>
      <c r="AB54">
        <f>AA54*Plan!D10/100/12</f>
        <v/>
      </c>
      <c r="AC54">
        <f>MIN(Plan!E10,AA54+AB54)</f>
        <v/>
      </c>
      <c r="AD54">
        <f>AA54+AB54-AC54</f>
        <v/>
      </c>
      <c r="AE54">
        <f>MIN(AD54,MAX(0,$B54-((E$5&lt;AC$5)*F54+(K$5&lt;AC$5)*L54+(Q$5&lt;AC$5)*R54+(W$5&lt;AC$5)*X54+(AI$5&lt;AC$5)*AJ54+(AO$5&lt;AC$5)*AP54+(AU$5&lt;AC$5)*AV54)))</f>
        <v/>
      </c>
      <c r="AF54">
        <f>IF(AD54-AE54&lt;0.005,0,AD54-AE54)</f>
        <v/>
      </c>
      <c r="AG54">
        <f>AL53</f>
        <v/>
      </c>
      <c r="AH54">
        <f>AG54*Plan!D11/100/12</f>
        <v/>
      </c>
      <c r="AI54">
        <f>MIN(Plan!E11,AG54+AH54)</f>
        <v/>
      </c>
      <c r="AJ54">
        <f>AG54+AH54-AI54</f>
        <v/>
      </c>
      <c r="AK54">
        <f>MIN(AJ54,MAX(0,$B54-((E$5&lt;AI$5)*F54+(K$5&lt;AI$5)*L54+(Q$5&lt;AI$5)*R54+(W$5&lt;AI$5)*X54+(AC$5&lt;AI$5)*AD54+(AO$5&lt;AI$5)*AP54+(AU$5&lt;AI$5)*AV54)))</f>
        <v/>
      </c>
      <c r="AL54">
        <f>IF(AJ54-AK54&lt;0.005,0,AJ54-AK54)</f>
        <v/>
      </c>
      <c r="AM54">
        <f>AR53</f>
        <v/>
      </c>
      <c r="AN54">
        <f>AM54*Plan!D12/100/12</f>
        <v/>
      </c>
      <c r="AO54">
        <f>MIN(Plan!E12,AM54+AN54)</f>
        <v/>
      </c>
      <c r="AP54">
        <f>AM54+AN54-AO54</f>
        <v/>
      </c>
      <c r="AQ54">
        <f>MIN(AP54,MAX(0,$B54-((E$5&lt;AO$5)*F54+(K$5&lt;AO$5)*L54+(Q$5&lt;AO$5)*R54+(W$5&lt;AO$5)*X54+(AC$5&lt;AO$5)*AD54+(AI$5&lt;AO$5)*AJ54+(AU$5&lt;AO$5)*AV54)))</f>
        <v/>
      </c>
      <c r="AR54">
        <f>IF(AP54-AQ54&lt;0.005,0,AP54-AQ54)</f>
        <v/>
      </c>
      <c r="AS54">
        <f>AX53</f>
        <v/>
      </c>
      <c r="AT54">
        <f>AS54*Plan!D13/100/12</f>
        <v/>
      </c>
      <c r="AU54">
        <f>MIN(Plan!E13,AS54+AT54)</f>
        <v/>
      </c>
      <c r="AV54">
        <f>AS54+AT54-AU54</f>
        <v/>
      </c>
      <c r="AW54">
        <f>MIN(AV54,MAX(0,$B54-((E$5&lt;AU$5)*F54+(K$5&lt;AU$5)*L54+(Q$5&lt;AU$5)*R54+(W$5&lt;AU$5)*X54+(AC$5&lt;AU$5)*AD54+(AI$5&lt;AU$5)*AJ54+(AO$5&lt;AU$5)*AP54)))</f>
        <v/>
      </c>
      <c r="AX54">
        <f>IF(AV54-AW54&lt;0.005,0,AV54-AW54)</f>
        <v/>
      </c>
      <c r="BC54">
        <f>H54+N54+T54+Z54+AF54+AL54+AR54+AX54</f>
        <v/>
      </c>
    </row>
    <row r="55">
      <c r="A55" t="n">
        <v>49</v>
      </c>
      <c r="B55" s="19">
        <f>MAX(0,$B$3-(E55+K55+Q55+W55+AC55+AI55+AO55+AU55))</f>
        <v/>
      </c>
      <c r="C55">
        <f>H54</f>
        <v/>
      </c>
      <c r="D55">
        <f>C55*Plan!D6/100/12</f>
        <v/>
      </c>
      <c r="E55">
        <f>MIN(Plan!E6,C55+D55)</f>
        <v/>
      </c>
      <c r="F55">
        <f>C55+D55-E55</f>
        <v/>
      </c>
      <c r="G55">
        <f>MIN(F55,MAX(0,$B55-((K$5&lt;E$5)*L55+(Q$5&lt;E$5)*R55+(W$5&lt;E$5)*X55+(AC$5&lt;E$5)*AD55+(AI$5&lt;E$5)*AJ55+(AO$5&lt;E$5)*AP55+(AU$5&lt;E$5)*AV55)))</f>
        <v/>
      </c>
      <c r="H55">
        <f>IF(F55-G55&lt;0.005,0,F55-G55)</f>
        <v/>
      </c>
      <c r="I55">
        <f>N54</f>
        <v/>
      </c>
      <c r="J55">
        <f>I55*Plan!D7/100/12</f>
        <v/>
      </c>
      <c r="K55">
        <f>MIN(Plan!E7,I55+J55)</f>
        <v/>
      </c>
      <c r="L55">
        <f>I55+J55-K55</f>
        <v/>
      </c>
      <c r="M55">
        <f>MIN(L55,MAX(0,$B55-((E$5&lt;K$5)*F55+(Q$5&lt;K$5)*R55+(W$5&lt;K$5)*X55+(AC$5&lt;K$5)*AD55+(AI$5&lt;K$5)*AJ55+(AO$5&lt;K$5)*AP55+(AU$5&lt;K$5)*AV55)))</f>
        <v/>
      </c>
      <c r="N55">
        <f>IF(L55-M55&lt;0.005,0,L55-M55)</f>
        <v/>
      </c>
      <c r="O55">
        <f>T54</f>
        <v/>
      </c>
      <c r="P55">
        <f>O55*Plan!D8/100/12</f>
        <v/>
      </c>
      <c r="Q55">
        <f>MIN(Plan!E8,O55+P55)</f>
        <v/>
      </c>
      <c r="R55">
        <f>O55+P55-Q55</f>
        <v/>
      </c>
      <c r="S55">
        <f>MIN(R55,MAX(0,$B55-((E$5&lt;Q$5)*F55+(K$5&lt;Q$5)*L55+(W$5&lt;Q$5)*X55+(AC$5&lt;Q$5)*AD55+(AI$5&lt;Q$5)*AJ55+(AO$5&lt;Q$5)*AP55+(AU$5&lt;Q$5)*AV55)))</f>
        <v/>
      </c>
      <c r="T55">
        <f>IF(R55-S55&lt;0.005,0,R55-S55)</f>
        <v/>
      </c>
      <c r="U55">
        <f>Z54</f>
        <v/>
      </c>
      <c r="V55">
        <f>U55*Plan!D9/100/12</f>
        <v/>
      </c>
      <c r="W55">
        <f>MIN(Plan!E9,U55+V55)</f>
        <v/>
      </c>
      <c r="X55">
        <f>U55+V55-W55</f>
        <v/>
      </c>
      <c r="Y55">
        <f>MIN(X55,MAX(0,$B55-((E$5&lt;W$5)*F55+(K$5&lt;W$5)*L55+(Q$5&lt;W$5)*R55+(AC$5&lt;W$5)*AD55+(AI$5&lt;W$5)*AJ55+(AO$5&lt;W$5)*AP55+(AU$5&lt;W$5)*AV55)))</f>
        <v/>
      </c>
      <c r="Z55">
        <f>IF(X55-Y55&lt;0.005,0,X55-Y55)</f>
        <v/>
      </c>
      <c r="AA55">
        <f>AF54</f>
        <v/>
      </c>
      <c r="AB55">
        <f>AA55*Plan!D10/100/12</f>
        <v/>
      </c>
      <c r="AC55">
        <f>MIN(Plan!E10,AA55+AB55)</f>
        <v/>
      </c>
      <c r="AD55">
        <f>AA55+AB55-AC55</f>
        <v/>
      </c>
      <c r="AE55">
        <f>MIN(AD55,MAX(0,$B55-((E$5&lt;AC$5)*F55+(K$5&lt;AC$5)*L55+(Q$5&lt;AC$5)*R55+(W$5&lt;AC$5)*X55+(AI$5&lt;AC$5)*AJ55+(AO$5&lt;AC$5)*AP55+(AU$5&lt;AC$5)*AV55)))</f>
        <v/>
      </c>
      <c r="AF55">
        <f>IF(AD55-AE55&lt;0.005,0,AD55-AE55)</f>
        <v/>
      </c>
      <c r="AG55">
        <f>AL54</f>
        <v/>
      </c>
      <c r="AH55">
        <f>AG55*Plan!D11/100/12</f>
        <v/>
      </c>
      <c r="AI55">
        <f>MIN(Plan!E11,AG55+AH55)</f>
        <v/>
      </c>
      <c r="AJ55">
        <f>AG55+AH55-AI55</f>
        <v/>
      </c>
      <c r="AK55">
        <f>MIN(AJ55,MAX(0,$B55-((E$5&lt;AI$5)*F55+(K$5&lt;AI$5)*L55+(Q$5&lt;AI$5)*R55+(W$5&lt;AI$5)*X55+(AC$5&lt;AI$5)*AD55+(AO$5&lt;AI$5)*AP55+(AU$5&lt;AI$5)*AV55)))</f>
        <v/>
      </c>
      <c r="AL55">
        <f>IF(AJ55-AK55&lt;0.005,0,AJ55-AK55)</f>
        <v/>
      </c>
      <c r="AM55">
        <f>AR54</f>
        <v/>
      </c>
      <c r="AN55">
        <f>AM55*Plan!D12/100/12</f>
        <v/>
      </c>
      <c r="AO55">
        <f>MIN(Plan!E12,AM55+AN55)</f>
        <v/>
      </c>
      <c r="AP55">
        <f>AM55+AN55-AO55</f>
        <v/>
      </c>
      <c r="AQ55">
        <f>MIN(AP55,MAX(0,$B55-((E$5&lt;AO$5)*F55+(K$5&lt;AO$5)*L55+(Q$5&lt;AO$5)*R55+(W$5&lt;AO$5)*X55+(AC$5&lt;AO$5)*AD55+(AI$5&lt;AO$5)*AJ55+(AU$5&lt;AO$5)*AV55)))</f>
        <v/>
      </c>
      <c r="AR55">
        <f>IF(AP55-AQ55&lt;0.005,0,AP55-AQ55)</f>
        <v/>
      </c>
      <c r="AS55">
        <f>AX54</f>
        <v/>
      </c>
      <c r="AT55">
        <f>AS55*Plan!D13/100/12</f>
        <v/>
      </c>
      <c r="AU55">
        <f>MIN(Plan!E13,AS55+AT55)</f>
        <v/>
      </c>
      <c r="AV55">
        <f>AS55+AT55-AU55</f>
        <v/>
      </c>
      <c r="AW55">
        <f>MIN(AV55,MAX(0,$B55-((E$5&lt;AU$5)*F55+(K$5&lt;AU$5)*L55+(Q$5&lt;AU$5)*R55+(W$5&lt;AU$5)*X55+(AC$5&lt;AU$5)*AD55+(AI$5&lt;AU$5)*AJ55+(AO$5&lt;AU$5)*AP55)))</f>
        <v/>
      </c>
      <c r="AX55">
        <f>IF(AV55-AW55&lt;0.005,0,AV55-AW55)</f>
        <v/>
      </c>
      <c r="BC55">
        <f>H55+N55+T55+Z55+AF55+AL55+AR55+AX55</f>
        <v/>
      </c>
    </row>
    <row r="56">
      <c r="A56" t="n">
        <v>50</v>
      </c>
      <c r="B56" s="19">
        <f>MAX(0,$B$3-(E56+K56+Q56+W56+AC56+AI56+AO56+AU56))</f>
        <v/>
      </c>
      <c r="C56">
        <f>H55</f>
        <v/>
      </c>
      <c r="D56">
        <f>C56*Plan!D6/100/12</f>
        <v/>
      </c>
      <c r="E56">
        <f>MIN(Plan!E6,C56+D56)</f>
        <v/>
      </c>
      <c r="F56">
        <f>C56+D56-E56</f>
        <v/>
      </c>
      <c r="G56">
        <f>MIN(F56,MAX(0,$B56-((K$5&lt;E$5)*L56+(Q$5&lt;E$5)*R56+(W$5&lt;E$5)*X56+(AC$5&lt;E$5)*AD56+(AI$5&lt;E$5)*AJ56+(AO$5&lt;E$5)*AP56+(AU$5&lt;E$5)*AV56)))</f>
        <v/>
      </c>
      <c r="H56">
        <f>IF(F56-G56&lt;0.005,0,F56-G56)</f>
        <v/>
      </c>
      <c r="I56">
        <f>N55</f>
        <v/>
      </c>
      <c r="J56">
        <f>I56*Plan!D7/100/12</f>
        <v/>
      </c>
      <c r="K56">
        <f>MIN(Plan!E7,I56+J56)</f>
        <v/>
      </c>
      <c r="L56">
        <f>I56+J56-K56</f>
        <v/>
      </c>
      <c r="M56">
        <f>MIN(L56,MAX(0,$B56-((E$5&lt;K$5)*F56+(Q$5&lt;K$5)*R56+(W$5&lt;K$5)*X56+(AC$5&lt;K$5)*AD56+(AI$5&lt;K$5)*AJ56+(AO$5&lt;K$5)*AP56+(AU$5&lt;K$5)*AV56)))</f>
        <v/>
      </c>
      <c r="N56">
        <f>IF(L56-M56&lt;0.005,0,L56-M56)</f>
        <v/>
      </c>
      <c r="O56">
        <f>T55</f>
        <v/>
      </c>
      <c r="P56">
        <f>O56*Plan!D8/100/12</f>
        <v/>
      </c>
      <c r="Q56">
        <f>MIN(Plan!E8,O56+P56)</f>
        <v/>
      </c>
      <c r="R56">
        <f>O56+P56-Q56</f>
        <v/>
      </c>
      <c r="S56">
        <f>MIN(R56,MAX(0,$B56-((E$5&lt;Q$5)*F56+(K$5&lt;Q$5)*L56+(W$5&lt;Q$5)*X56+(AC$5&lt;Q$5)*AD56+(AI$5&lt;Q$5)*AJ56+(AO$5&lt;Q$5)*AP56+(AU$5&lt;Q$5)*AV56)))</f>
        <v/>
      </c>
      <c r="T56">
        <f>IF(R56-S56&lt;0.005,0,R56-S56)</f>
        <v/>
      </c>
      <c r="U56">
        <f>Z55</f>
        <v/>
      </c>
      <c r="V56">
        <f>U56*Plan!D9/100/12</f>
        <v/>
      </c>
      <c r="W56">
        <f>MIN(Plan!E9,U56+V56)</f>
        <v/>
      </c>
      <c r="X56">
        <f>U56+V56-W56</f>
        <v/>
      </c>
      <c r="Y56">
        <f>MIN(X56,MAX(0,$B56-((E$5&lt;W$5)*F56+(K$5&lt;W$5)*L56+(Q$5&lt;W$5)*R56+(AC$5&lt;W$5)*AD56+(AI$5&lt;W$5)*AJ56+(AO$5&lt;W$5)*AP56+(AU$5&lt;W$5)*AV56)))</f>
        <v/>
      </c>
      <c r="Z56">
        <f>IF(X56-Y56&lt;0.005,0,X56-Y56)</f>
        <v/>
      </c>
      <c r="AA56">
        <f>AF55</f>
        <v/>
      </c>
      <c r="AB56">
        <f>AA56*Plan!D10/100/12</f>
        <v/>
      </c>
      <c r="AC56">
        <f>MIN(Plan!E10,AA56+AB56)</f>
        <v/>
      </c>
      <c r="AD56">
        <f>AA56+AB56-AC56</f>
        <v/>
      </c>
      <c r="AE56">
        <f>MIN(AD56,MAX(0,$B56-((E$5&lt;AC$5)*F56+(K$5&lt;AC$5)*L56+(Q$5&lt;AC$5)*R56+(W$5&lt;AC$5)*X56+(AI$5&lt;AC$5)*AJ56+(AO$5&lt;AC$5)*AP56+(AU$5&lt;AC$5)*AV56)))</f>
        <v/>
      </c>
      <c r="AF56">
        <f>IF(AD56-AE56&lt;0.005,0,AD56-AE56)</f>
        <v/>
      </c>
      <c r="AG56">
        <f>AL55</f>
        <v/>
      </c>
      <c r="AH56">
        <f>AG56*Plan!D11/100/12</f>
        <v/>
      </c>
      <c r="AI56">
        <f>MIN(Plan!E11,AG56+AH56)</f>
        <v/>
      </c>
      <c r="AJ56">
        <f>AG56+AH56-AI56</f>
        <v/>
      </c>
      <c r="AK56">
        <f>MIN(AJ56,MAX(0,$B56-((E$5&lt;AI$5)*F56+(K$5&lt;AI$5)*L56+(Q$5&lt;AI$5)*R56+(W$5&lt;AI$5)*X56+(AC$5&lt;AI$5)*AD56+(AO$5&lt;AI$5)*AP56+(AU$5&lt;AI$5)*AV56)))</f>
        <v/>
      </c>
      <c r="AL56">
        <f>IF(AJ56-AK56&lt;0.005,0,AJ56-AK56)</f>
        <v/>
      </c>
      <c r="AM56">
        <f>AR55</f>
        <v/>
      </c>
      <c r="AN56">
        <f>AM56*Plan!D12/100/12</f>
        <v/>
      </c>
      <c r="AO56">
        <f>MIN(Plan!E12,AM56+AN56)</f>
        <v/>
      </c>
      <c r="AP56">
        <f>AM56+AN56-AO56</f>
        <v/>
      </c>
      <c r="AQ56">
        <f>MIN(AP56,MAX(0,$B56-((E$5&lt;AO$5)*F56+(K$5&lt;AO$5)*L56+(Q$5&lt;AO$5)*R56+(W$5&lt;AO$5)*X56+(AC$5&lt;AO$5)*AD56+(AI$5&lt;AO$5)*AJ56+(AU$5&lt;AO$5)*AV56)))</f>
        <v/>
      </c>
      <c r="AR56">
        <f>IF(AP56-AQ56&lt;0.005,0,AP56-AQ56)</f>
        <v/>
      </c>
      <c r="AS56">
        <f>AX55</f>
        <v/>
      </c>
      <c r="AT56">
        <f>AS56*Plan!D13/100/12</f>
        <v/>
      </c>
      <c r="AU56">
        <f>MIN(Plan!E13,AS56+AT56)</f>
        <v/>
      </c>
      <c r="AV56">
        <f>AS56+AT56-AU56</f>
        <v/>
      </c>
      <c r="AW56">
        <f>MIN(AV56,MAX(0,$B56-((E$5&lt;AU$5)*F56+(K$5&lt;AU$5)*L56+(Q$5&lt;AU$5)*R56+(W$5&lt;AU$5)*X56+(AC$5&lt;AU$5)*AD56+(AI$5&lt;AU$5)*AJ56+(AO$5&lt;AU$5)*AP56)))</f>
        <v/>
      </c>
      <c r="AX56">
        <f>IF(AV56-AW56&lt;0.005,0,AV56-AW56)</f>
        <v/>
      </c>
      <c r="BC56">
        <f>H56+N56+T56+Z56+AF56+AL56+AR56+AX56</f>
        <v/>
      </c>
    </row>
    <row r="57">
      <c r="A57" t="n">
        <v>51</v>
      </c>
      <c r="B57" s="19">
        <f>MAX(0,$B$3-(E57+K57+Q57+W57+AC57+AI57+AO57+AU57))</f>
        <v/>
      </c>
      <c r="C57">
        <f>H56</f>
        <v/>
      </c>
      <c r="D57">
        <f>C57*Plan!D6/100/12</f>
        <v/>
      </c>
      <c r="E57">
        <f>MIN(Plan!E6,C57+D57)</f>
        <v/>
      </c>
      <c r="F57">
        <f>C57+D57-E57</f>
        <v/>
      </c>
      <c r="G57">
        <f>MIN(F57,MAX(0,$B57-((K$5&lt;E$5)*L57+(Q$5&lt;E$5)*R57+(W$5&lt;E$5)*X57+(AC$5&lt;E$5)*AD57+(AI$5&lt;E$5)*AJ57+(AO$5&lt;E$5)*AP57+(AU$5&lt;E$5)*AV57)))</f>
        <v/>
      </c>
      <c r="H57">
        <f>IF(F57-G57&lt;0.005,0,F57-G57)</f>
        <v/>
      </c>
      <c r="I57">
        <f>N56</f>
        <v/>
      </c>
      <c r="J57">
        <f>I57*Plan!D7/100/12</f>
        <v/>
      </c>
      <c r="K57">
        <f>MIN(Plan!E7,I57+J57)</f>
        <v/>
      </c>
      <c r="L57">
        <f>I57+J57-K57</f>
        <v/>
      </c>
      <c r="M57">
        <f>MIN(L57,MAX(0,$B57-((E$5&lt;K$5)*F57+(Q$5&lt;K$5)*R57+(W$5&lt;K$5)*X57+(AC$5&lt;K$5)*AD57+(AI$5&lt;K$5)*AJ57+(AO$5&lt;K$5)*AP57+(AU$5&lt;K$5)*AV57)))</f>
        <v/>
      </c>
      <c r="N57">
        <f>IF(L57-M57&lt;0.005,0,L57-M57)</f>
        <v/>
      </c>
      <c r="O57">
        <f>T56</f>
        <v/>
      </c>
      <c r="P57">
        <f>O57*Plan!D8/100/12</f>
        <v/>
      </c>
      <c r="Q57">
        <f>MIN(Plan!E8,O57+P57)</f>
        <v/>
      </c>
      <c r="R57">
        <f>O57+P57-Q57</f>
        <v/>
      </c>
      <c r="S57">
        <f>MIN(R57,MAX(0,$B57-((E$5&lt;Q$5)*F57+(K$5&lt;Q$5)*L57+(W$5&lt;Q$5)*X57+(AC$5&lt;Q$5)*AD57+(AI$5&lt;Q$5)*AJ57+(AO$5&lt;Q$5)*AP57+(AU$5&lt;Q$5)*AV57)))</f>
        <v/>
      </c>
      <c r="T57">
        <f>IF(R57-S57&lt;0.005,0,R57-S57)</f>
        <v/>
      </c>
      <c r="U57">
        <f>Z56</f>
        <v/>
      </c>
      <c r="V57">
        <f>U57*Plan!D9/100/12</f>
        <v/>
      </c>
      <c r="W57">
        <f>MIN(Plan!E9,U57+V57)</f>
        <v/>
      </c>
      <c r="X57">
        <f>U57+V57-W57</f>
        <v/>
      </c>
      <c r="Y57">
        <f>MIN(X57,MAX(0,$B57-((E$5&lt;W$5)*F57+(K$5&lt;W$5)*L57+(Q$5&lt;W$5)*R57+(AC$5&lt;W$5)*AD57+(AI$5&lt;W$5)*AJ57+(AO$5&lt;W$5)*AP57+(AU$5&lt;W$5)*AV57)))</f>
        <v/>
      </c>
      <c r="Z57">
        <f>IF(X57-Y57&lt;0.005,0,X57-Y57)</f>
        <v/>
      </c>
      <c r="AA57">
        <f>AF56</f>
        <v/>
      </c>
      <c r="AB57">
        <f>AA57*Plan!D10/100/12</f>
        <v/>
      </c>
      <c r="AC57">
        <f>MIN(Plan!E10,AA57+AB57)</f>
        <v/>
      </c>
      <c r="AD57">
        <f>AA57+AB57-AC57</f>
        <v/>
      </c>
      <c r="AE57">
        <f>MIN(AD57,MAX(0,$B57-((E$5&lt;AC$5)*F57+(K$5&lt;AC$5)*L57+(Q$5&lt;AC$5)*R57+(W$5&lt;AC$5)*X57+(AI$5&lt;AC$5)*AJ57+(AO$5&lt;AC$5)*AP57+(AU$5&lt;AC$5)*AV57)))</f>
        <v/>
      </c>
      <c r="AF57">
        <f>IF(AD57-AE57&lt;0.005,0,AD57-AE57)</f>
        <v/>
      </c>
      <c r="AG57">
        <f>AL56</f>
        <v/>
      </c>
      <c r="AH57">
        <f>AG57*Plan!D11/100/12</f>
        <v/>
      </c>
      <c r="AI57">
        <f>MIN(Plan!E11,AG57+AH57)</f>
        <v/>
      </c>
      <c r="AJ57">
        <f>AG57+AH57-AI57</f>
        <v/>
      </c>
      <c r="AK57">
        <f>MIN(AJ57,MAX(0,$B57-((E$5&lt;AI$5)*F57+(K$5&lt;AI$5)*L57+(Q$5&lt;AI$5)*R57+(W$5&lt;AI$5)*X57+(AC$5&lt;AI$5)*AD57+(AO$5&lt;AI$5)*AP57+(AU$5&lt;AI$5)*AV57)))</f>
        <v/>
      </c>
      <c r="AL57">
        <f>IF(AJ57-AK57&lt;0.005,0,AJ57-AK57)</f>
        <v/>
      </c>
      <c r="AM57">
        <f>AR56</f>
        <v/>
      </c>
      <c r="AN57">
        <f>AM57*Plan!D12/100/12</f>
        <v/>
      </c>
      <c r="AO57">
        <f>MIN(Plan!E12,AM57+AN57)</f>
        <v/>
      </c>
      <c r="AP57">
        <f>AM57+AN57-AO57</f>
        <v/>
      </c>
      <c r="AQ57">
        <f>MIN(AP57,MAX(0,$B57-((E$5&lt;AO$5)*F57+(K$5&lt;AO$5)*L57+(Q$5&lt;AO$5)*R57+(W$5&lt;AO$5)*X57+(AC$5&lt;AO$5)*AD57+(AI$5&lt;AO$5)*AJ57+(AU$5&lt;AO$5)*AV57)))</f>
        <v/>
      </c>
      <c r="AR57">
        <f>IF(AP57-AQ57&lt;0.005,0,AP57-AQ57)</f>
        <v/>
      </c>
      <c r="AS57">
        <f>AX56</f>
        <v/>
      </c>
      <c r="AT57">
        <f>AS57*Plan!D13/100/12</f>
        <v/>
      </c>
      <c r="AU57">
        <f>MIN(Plan!E13,AS57+AT57)</f>
        <v/>
      </c>
      <c r="AV57">
        <f>AS57+AT57-AU57</f>
        <v/>
      </c>
      <c r="AW57">
        <f>MIN(AV57,MAX(0,$B57-((E$5&lt;AU$5)*F57+(K$5&lt;AU$5)*L57+(Q$5&lt;AU$5)*R57+(W$5&lt;AU$5)*X57+(AC$5&lt;AU$5)*AD57+(AI$5&lt;AU$5)*AJ57+(AO$5&lt;AU$5)*AP57)))</f>
        <v/>
      </c>
      <c r="AX57">
        <f>IF(AV57-AW57&lt;0.005,0,AV57-AW57)</f>
        <v/>
      </c>
      <c r="BC57">
        <f>H57+N57+T57+Z57+AF57+AL57+AR57+AX57</f>
        <v/>
      </c>
    </row>
    <row r="58">
      <c r="A58" t="n">
        <v>52</v>
      </c>
      <c r="B58" s="19">
        <f>MAX(0,$B$3-(E58+K58+Q58+W58+AC58+AI58+AO58+AU58))</f>
        <v/>
      </c>
      <c r="C58">
        <f>H57</f>
        <v/>
      </c>
      <c r="D58">
        <f>C58*Plan!D6/100/12</f>
        <v/>
      </c>
      <c r="E58">
        <f>MIN(Plan!E6,C58+D58)</f>
        <v/>
      </c>
      <c r="F58">
        <f>C58+D58-E58</f>
        <v/>
      </c>
      <c r="G58">
        <f>MIN(F58,MAX(0,$B58-((K$5&lt;E$5)*L58+(Q$5&lt;E$5)*R58+(W$5&lt;E$5)*X58+(AC$5&lt;E$5)*AD58+(AI$5&lt;E$5)*AJ58+(AO$5&lt;E$5)*AP58+(AU$5&lt;E$5)*AV58)))</f>
        <v/>
      </c>
      <c r="H58">
        <f>IF(F58-G58&lt;0.005,0,F58-G58)</f>
        <v/>
      </c>
      <c r="I58">
        <f>N57</f>
        <v/>
      </c>
      <c r="J58">
        <f>I58*Plan!D7/100/12</f>
        <v/>
      </c>
      <c r="K58">
        <f>MIN(Plan!E7,I58+J58)</f>
        <v/>
      </c>
      <c r="L58">
        <f>I58+J58-K58</f>
        <v/>
      </c>
      <c r="M58">
        <f>MIN(L58,MAX(0,$B58-((E$5&lt;K$5)*F58+(Q$5&lt;K$5)*R58+(W$5&lt;K$5)*X58+(AC$5&lt;K$5)*AD58+(AI$5&lt;K$5)*AJ58+(AO$5&lt;K$5)*AP58+(AU$5&lt;K$5)*AV58)))</f>
        <v/>
      </c>
      <c r="N58">
        <f>IF(L58-M58&lt;0.005,0,L58-M58)</f>
        <v/>
      </c>
      <c r="O58">
        <f>T57</f>
        <v/>
      </c>
      <c r="P58">
        <f>O58*Plan!D8/100/12</f>
        <v/>
      </c>
      <c r="Q58">
        <f>MIN(Plan!E8,O58+P58)</f>
        <v/>
      </c>
      <c r="R58">
        <f>O58+P58-Q58</f>
        <v/>
      </c>
      <c r="S58">
        <f>MIN(R58,MAX(0,$B58-((E$5&lt;Q$5)*F58+(K$5&lt;Q$5)*L58+(W$5&lt;Q$5)*X58+(AC$5&lt;Q$5)*AD58+(AI$5&lt;Q$5)*AJ58+(AO$5&lt;Q$5)*AP58+(AU$5&lt;Q$5)*AV58)))</f>
        <v/>
      </c>
      <c r="T58">
        <f>IF(R58-S58&lt;0.005,0,R58-S58)</f>
        <v/>
      </c>
      <c r="U58">
        <f>Z57</f>
        <v/>
      </c>
      <c r="V58">
        <f>U58*Plan!D9/100/12</f>
        <v/>
      </c>
      <c r="W58">
        <f>MIN(Plan!E9,U58+V58)</f>
        <v/>
      </c>
      <c r="X58">
        <f>U58+V58-W58</f>
        <v/>
      </c>
      <c r="Y58">
        <f>MIN(X58,MAX(0,$B58-((E$5&lt;W$5)*F58+(K$5&lt;W$5)*L58+(Q$5&lt;W$5)*R58+(AC$5&lt;W$5)*AD58+(AI$5&lt;W$5)*AJ58+(AO$5&lt;W$5)*AP58+(AU$5&lt;W$5)*AV58)))</f>
        <v/>
      </c>
      <c r="Z58">
        <f>IF(X58-Y58&lt;0.005,0,X58-Y58)</f>
        <v/>
      </c>
      <c r="AA58">
        <f>AF57</f>
        <v/>
      </c>
      <c r="AB58">
        <f>AA58*Plan!D10/100/12</f>
        <v/>
      </c>
      <c r="AC58">
        <f>MIN(Plan!E10,AA58+AB58)</f>
        <v/>
      </c>
      <c r="AD58">
        <f>AA58+AB58-AC58</f>
        <v/>
      </c>
      <c r="AE58">
        <f>MIN(AD58,MAX(0,$B58-((E$5&lt;AC$5)*F58+(K$5&lt;AC$5)*L58+(Q$5&lt;AC$5)*R58+(W$5&lt;AC$5)*X58+(AI$5&lt;AC$5)*AJ58+(AO$5&lt;AC$5)*AP58+(AU$5&lt;AC$5)*AV58)))</f>
        <v/>
      </c>
      <c r="AF58">
        <f>IF(AD58-AE58&lt;0.005,0,AD58-AE58)</f>
        <v/>
      </c>
      <c r="AG58">
        <f>AL57</f>
        <v/>
      </c>
      <c r="AH58">
        <f>AG58*Plan!D11/100/12</f>
        <v/>
      </c>
      <c r="AI58">
        <f>MIN(Plan!E11,AG58+AH58)</f>
        <v/>
      </c>
      <c r="AJ58">
        <f>AG58+AH58-AI58</f>
        <v/>
      </c>
      <c r="AK58">
        <f>MIN(AJ58,MAX(0,$B58-((E$5&lt;AI$5)*F58+(K$5&lt;AI$5)*L58+(Q$5&lt;AI$5)*R58+(W$5&lt;AI$5)*X58+(AC$5&lt;AI$5)*AD58+(AO$5&lt;AI$5)*AP58+(AU$5&lt;AI$5)*AV58)))</f>
        <v/>
      </c>
      <c r="AL58">
        <f>IF(AJ58-AK58&lt;0.005,0,AJ58-AK58)</f>
        <v/>
      </c>
      <c r="AM58">
        <f>AR57</f>
        <v/>
      </c>
      <c r="AN58">
        <f>AM58*Plan!D12/100/12</f>
        <v/>
      </c>
      <c r="AO58">
        <f>MIN(Plan!E12,AM58+AN58)</f>
        <v/>
      </c>
      <c r="AP58">
        <f>AM58+AN58-AO58</f>
        <v/>
      </c>
      <c r="AQ58">
        <f>MIN(AP58,MAX(0,$B58-((E$5&lt;AO$5)*F58+(K$5&lt;AO$5)*L58+(Q$5&lt;AO$5)*R58+(W$5&lt;AO$5)*X58+(AC$5&lt;AO$5)*AD58+(AI$5&lt;AO$5)*AJ58+(AU$5&lt;AO$5)*AV58)))</f>
        <v/>
      </c>
      <c r="AR58">
        <f>IF(AP58-AQ58&lt;0.005,0,AP58-AQ58)</f>
        <v/>
      </c>
      <c r="AS58">
        <f>AX57</f>
        <v/>
      </c>
      <c r="AT58">
        <f>AS58*Plan!D13/100/12</f>
        <v/>
      </c>
      <c r="AU58">
        <f>MIN(Plan!E13,AS58+AT58)</f>
        <v/>
      </c>
      <c r="AV58">
        <f>AS58+AT58-AU58</f>
        <v/>
      </c>
      <c r="AW58">
        <f>MIN(AV58,MAX(0,$B58-((E$5&lt;AU$5)*F58+(K$5&lt;AU$5)*L58+(Q$5&lt;AU$5)*R58+(W$5&lt;AU$5)*X58+(AC$5&lt;AU$5)*AD58+(AI$5&lt;AU$5)*AJ58+(AO$5&lt;AU$5)*AP58)))</f>
        <v/>
      </c>
      <c r="AX58">
        <f>IF(AV58-AW58&lt;0.005,0,AV58-AW58)</f>
        <v/>
      </c>
      <c r="BC58">
        <f>H58+N58+T58+Z58+AF58+AL58+AR58+AX58</f>
        <v/>
      </c>
    </row>
    <row r="59">
      <c r="A59" t="n">
        <v>53</v>
      </c>
      <c r="B59" s="19">
        <f>MAX(0,$B$3-(E59+K59+Q59+W59+AC59+AI59+AO59+AU59))</f>
        <v/>
      </c>
      <c r="C59">
        <f>H58</f>
        <v/>
      </c>
      <c r="D59">
        <f>C59*Plan!D6/100/12</f>
        <v/>
      </c>
      <c r="E59">
        <f>MIN(Plan!E6,C59+D59)</f>
        <v/>
      </c>
      <c r="F59">
        <f>C59+D59-E59</f>
        <v/>
      </c>
      <c r="G59">
        <f>MIN(F59,MAX(0,$B59-((K$5&lt;E$5)*L59+(Q$5&lt;E$5)*R59+(W$5&lt;E$5)*X59+(AC$5&lt;E$5)*AD59+(AI$5&lt;E$5)*AJ59+(AO$5&lt;E$5)*AP59+(AU$5&lt;E$5)*AV59)))</f>
        <v/>
      </c>
      <c r="H59">
        <f>IF(F59-G59&lt;0.005,0,F59-G59)</f>
        <v/>
      </c>
      <c r="I59">
        <f>N58</f>
        <v/>
      </c>
      <c r="J59">
        <f>I59*Plan!D7/100/12</f>
        <v/>
      </c>
      <c r="K59">
        <f>MIN(Plan!E7,I59+J59)</f>
        <v/>
      </c>
      <c r="L59">
        <f>I59+J59-K59</f>
        <v/>
      </c>
      <c r="M59">
        <f>MIN(L59,MAX(0,$B59-((E$5&lt;K$5)*F59+(Q$5&lt;K$5)*R59+(W$5&lt;K$5)*X59+(AC$5&lt;K$5)*AD59+(AI$5&lt;K$5)*AJ59+(AO$5&lt;K$5)*AP59+(AU$5&lt;K$5)*AV59)))</f>
        <v/>
      </c>
      <c r="N59">
        <f>IF(L59-M59&lt;0.005,0,L59-M59)</f>
        <v/>
      </c>
      <c r="O59">
        <f>T58</f>
        <v/>
      </c>
      <c r="P59">
        <f>O59*Plan!D8/100/12</f>
        <v/>
      </c>
      <c r="Q59">
        <f>MIN(Plan!E8,O59+P59)</f>
        <v/>
      </c>
      <c r="R59">
        <f>O59+P59-Q59</f>
        <v/>
      </c>
      <c r="S59">
        <f>MIN(R59,MAX(0,$B59-((E$5&lt;Q$5)*F59+(K$5&lt;Q$5)*L59+(W$5&lt;Q$5)*X59+(AC$5&lt;Q$5)*AD59+(AI$5&lt;Q$5)*AJ59+(AO$5&lt;Q$5)*AP59+(AU$5&lt;Q$5)*AV59)))</f>
        <v/>
      </c>
      <c r="T59">
        <f>IF(R59-S59&lt;0.005,0,R59-S59)</f>
        <v/>
      </c>
      <c r="U59">
        <f>Z58</f>
        <v/>
      </c>
      <c r="V59">
        <f>U59*Plan!D9/100/12</f>
        <v/>
      </c>
      <c r="W59">
        <f>MIN(Plan!E9,U59+V59)</f>
        <v/>
      </c>
      <c r="X59">
        <f>U59+V59-W59</f>
        <v/>
      </c>
      <c r="Y59">
        <f>MIN(X59,MAX(0,$B59-((E$5&lt;W$5)*F59+(K$5&lt;W$5)*L59+(Q$5&lt;W$5)*R59+(AC$5&lt;W$5)*AD59+(AI$5&lt;W$5)*AJ59+(AO$5&lt;W$5)*AP59+(AU$5&lt;W$5)*AV59)))</f>
        <v/>
      </c>
      <c r="Z59">
        <f>IF(X59-Y59&lt;0.005,0,X59-Y59)</f>
        <v/>
      </c>
      <c r="AA59">
        <f>AF58</f>
        <v/>
      </c>
      <c r="AB59">
        <f>AA59*Plan!D10/100/12</f>
        <v/>
      </c>
      <c r="AC59">
        <f>MIN(Plan!E10,AA59+AB59)</f>
        <v/>
      </c>
      <c r="AD59">
        <f>AA59+AB59-AC59</f>
        <v/>
      </c>
      <c r="AE59">
        <f>MIN(AD59,MAX(0,$B59-((E$5&lt;AC$5)*F59+(K$5&lt;AC$5)*L59+(Q$5&lt;AC$5)*R59+(W$5&lt;AC$5)*X59+(AI$5&lt;AC$5)*AJ59+(AO$5&lt;AC$5)*AP59+(AU$5&lt;AC$5)*AV59)))</f>
        <v/>
      </c>
      <c r="AF59">
        <f>IF(AD59-AE59&lt;0.005,0,AD59-AE59)</f>
        <v/>
      </c>
      <c r="AG59">
        <f>AL58</f>
        <v/>
      </c>
      <c r="AH59">
        <f>AG59*Plan!D11/100/12</f>
        <v/>
      </c>
      <c r="AI59">
        <f>MIN(Plan!E11,AG59+AH59)</f>
        <v/>
      </c>
      <c r="AJ59">
        <f>AG59+AH59-AI59</f>
        <v/>
      </c>
      <c r="AK59">
        <f>MIN(AJ59,MAX(0,$B59-((E$5&lt;AI$5)*F59+(K$5&lt;AI$5)*L59+(Q$5&lt;AI$5)*R59+(W$5&lt;AI$5)*X59+(AC$5&lt;AI$5)*AD59+(AO$5&lt;AI$5)*AP59+(AU$5&lt;AI$5)*AV59)))</f>
        <v/>
      </c>
      <c r="AL59">
        <f>IF(AJ59-AK59&lt;0.005,0,AJ59-AK59)</f>
        <v/>
      </c>
      <c r="AM59">
        <f>AR58</f>
        <v/>
      </c>
      <c r="AN59">
        <f>AM59*Plan!D12/100/12</f>
        <v/>
      </c>
      <c r="AO59">
        <f>MIN(Plan!E12,AM59+AN59)</f>
        <v/>
      </c>
      <c r="AP59">
        <f>AM59+AN59-AO59</f>
        <v/>
      </c>
      <c r="AQ59">
        <f>MIN(AP59,MAX(0,$B59-((E$5&lt;AO$5)*F59+(K$5&lt;AO$5)*L59+(Q$5&lt;AO$5)*R59+(W$5&lt;AO$5)*X59+(AC$5&lt;AO$5)*AD59+(AI$5&lt;AO$5)*AJ59+(AU$5&lt;AO$5)*AV59)))</f>
        <v/>
      </c>
      <c r="AR59">
        <f>IF(AP59-AQ59&lt;0.005,0,AP59-AQ59)</f>
        <v/>
      </c>
      <c r="AS59">
        <f>AX58</f>
        <v/>
      </c>
      <c r="AT59">
        <f>AS59*Plan!D13/100/12</f>
        <v/>
      </c>
      <c r="AU59">
        <f>MIN(Plan!E13,AS59+AT59)</f>
        <v/>
      </c>
      <c r="AV59">
        <f>AS59+AT59-AU59</f>
        <v/>
      </c>
      <c r="AW59">
        <f>MIN(AV59,MAX(0,$B59-((E$5&lt;AU$5)*F59+(K$5&lt;AU$5)*L59+(Q$5&lt;AU$5)*R59+(W$5&lt;AU$5)*X59+(AC$5&lt;AU$5)*AD59+(AI$5&lt;AU$5)*AJ59+(AO$5&lt;AU$5)*AP59)))</f>
        <v/>
      </c>
      <c r="AX59">
        <f>IF(AV59-AW59&lt;0.005,0,AV59-AW59)</f>
        <v/>
      </c>
      <c r="BC59">
        <f>H59+N59+T59+Z59+AF59+AL59+AR59+AX59</f>
        <v/>
      </c>
    </row>
    <row r="60">
      <c r="A60" t="n">
        <v>54</v>
      </c>
      <c r="B60" s="19">
        <f>MAX(0,$B$3-(E60+K60+Q60+W60+AC60+AI60+AO60+AU60))</f>
        <v/>
      </c>
      <c r="C60">
        <f>H59</f>
        <v/>
      </c>
      <c r="D60">
        <f>C60*Plan!D6/100/12</f>
        <v/>
      </c>
      <c r="E60">
        <f>MIN(Plan!E6,C60+D60)</f>
        <v/>
      </c>
      <c r="F60">
        <f>C60+D60-E60</f>
        <v/>
      </c>
      <c r="G60">
        <f>MIN(F60,MAX(0,$B60-((K$5&lt;E$5)*L60+(Q$5&lt;E$5)*R60+(W$5&lt;E$5)*X60+(AC$5&lt;E$5)*AD60+(AI$5&lt;E$5)*AJ60+(AO$5&lt;E$5)*AP60+(AU$5&lt;E$5)*AV60)))</f>
        <v/>
      </c>
      <c r="H60">
        <f>IF(F60-G60&lt;0.005,0,F60-G60)</f>
        <v/>
      </c>
      <c r="I60">
        <f>N59</f>
        <v/>
      </c>
      <c r="J60">
        <f>I60*Plan!D7/100/12</f>
        <v/>
      </c>
      <c r="K60">
        <f>MIN(Plan!E7,I60+J60)</f>
        <v/>
      </c>
      <c r="L60">
        <f>I60+J60-K60</f>
        <v/>
      </c>
      <c r="M60">
        <f>MIN(L60,MAX(0,$B60-((E$5&lt;K$5)*F60+(Q$5&lt;K$5)*R60+(W$5&lt;K$5)*X60+(AC$5&lt;K$5)*AD60+(AI$5&lt;K$5)*AJ60+(AO$5&lt;K$5)*AP60+(AU$5&lt;K$5)*AV60)))</f>
        <v/>
      </c>
      <c r="N60">
        <f>IF(L60-M60&lt;0.005,0,L60-M60)</f>
        <v/>
      </c>
      <c r="O60">
        <f>T59</f>
        <v/>
      </c>
      <c r="P60">
        <f>O60*Plan!D8/100/12</f>
        <v/>
      </c>
      <c r="Q60">
        <f>MIN(Plan!E8,O60+P60)</f>
        <v/>
      </c>
      <c r="R60">
        <f>O60+P60-Q60</f>
        <v/>
      </c>
      <c r="S60">
        <f>MIN(R60,MAX(0,$B60-((E$5&lt;Q$5)*F60+(K$5&lt;Q$5)*L60+(W$5&lt;Q$5)*X60+(AC$5&lt;Q$5)*AD60+(AI$5&lt;Q$5)*AJ60+(AO$5&lt;Q$5)*AP60+(AU$5&lt;Q$5)*AV60)))</f>
        <v/>
      </c>
      <c r="T60">
        <f>IF(R60-S60&lt;0.005,0,R60-S60)</f>
        <v/>
      </c>
      <c r="U60">
        <f>Z59</f>
        <v/>
      </c>
      <c r="V60">
        <f>U60*Plan!D9/100/12</f>
        <v/>
      </c>
      <c r="W60">
        <f>MIN(Plan!E9,U60+V60)</f>
        <v/>
      </c>
      <c r="X60">
        <f>U60+V60-W60</f>
        <v/>
      </c>
      <c r="Y60">
        <f>MIN(X60,MAX(0,$B60-((E$5&lt;W$5)*F60+(K$5&lt;W$5)*L60+(Q$5&lt;W$5)*R60+(AC$5&lt;W$5)*AD60+(AI$5&lt;W$5)*AJ60+(AO$5&lt;W$5)*AP60+(AU$5&lt;W$5)*AV60)))</f>
        <v/>
      </c>
      <c r="Z60">
        <f>IF(X60-Y60&lt;0.005,0,X60-Y60)</f>
        <v/>
      </c>
      <c r="AA60">
        <f>AF59</f>
        <v/>
      </c>
      <c r="AB60">
        <f>AA60*Plan!D10/100/12</f>
        <v/>
      </c>
      <c r="AC60">
        <f>MIN(Plan!E10,AA60+AB60)</f>
        <v/>
      </c>
      <c r="AD60">
        <f>AA60+AB60-AC60</f>
        <v/>
      </c>
      <c r="AE60">
        <f>MIN(AD60,MAX(0,$B60-((E$5&lt;AC$5)*F60+(K$5&lt;AC$5)*L60+(Q$5&lt;AC$5)*R60+(W$5&lt;AC$5)*X60+(AI$5&lt;AC$5)*AJ60+(AO$5&lt;AC$5)*AP60+(AU$5&lt;AC$5)*AV60)))</f>
        <v/>
      </c>
      <c r="AF60">
        <f>IF(AD60-AE60&lt;0.005,0,AD60-AE60)</f>
        <v/>
      </c>
      <c r="AG60">
        <f>AL59</f>
        <v/>
      </c>
      <c r="AH60">
        <f>AG60*Plan!D11/100/12</f>
        <v/>
      </c>
      <c r="AI60">
        <f>MIN(Plan!E11,AG60+AH60)</f>
        <v/>
      </c>
      <c r="AJ60">
        <f>AG60+AH60-AI60</f>
        <v/>
      </c>
      <c r="AK60">
        <f>MIN(AJ60,MAX(0,$B60-((E$5&lt;AI$5)*F60+(K$5&lt;AI$5)*L60+(Q$5&lt;AI$5)*R60+(W$5&lt;AI$5)*X60+(AC$5&lt;AI$5)*AD60+(AO$5&lt;AI$5)*AP60+(AU$5&lt;AI$5)*AV60)))</f>
        <v/>
      </c>
      <c r="AL60">
        <f>IF(AJ60-AK60&lt;0.005,0,AJ60-AK60)</f>
        <v/>
      </c>
      <c r="AM60">
        <f>AR59</f>
        <v/>
      </c>
      <c r="AN60">
        <f>AM60*Plan!D12/100/12</f>
        <v/>
      </c>
      <c r="AO60">
        <f>MIN(Plan!E12,AM60+AN60)</f>
        <v/>
      </c>
      <c r="AP60">
        <f>AM60+AN60-AO60</f>
        <v/>
      </c>
      <c r="AQ60">
        <f>MIN(AP60,MAX(0,$B60-((E$5&lt;AO$5)*F60+(K$5&lt;AO$5)*L60+(Q$5&lt;AO$5)*R60+(W$5&lt;AO$5)*X60+(AC$5&lt;AO$5)*AD60+(AI$5&lt;AO$5)*AJ60+(AU$5&lt;AO$5)*AV60)))</f>
        <v/>
      </c>
      <c r="AR60">
        <f>IF(AP60-AQ60&lt;0.005,0,AP60-AQ60)</f>
        <v/>
      </c>
      <c r="AS60">
        <f>AX59</f>
        <v/>
      </c>
      <c r="AT60">
        <f>AS60*Plan!D13/100/12</f>
        <v/>
      </c>
      <c r="AU60">
        <f>MIN(Plan!E13,AS60+AT60)</f>
        <v/>
      </c>
      <c r="AV60">
        <f>AS60+AT60-AU60</f>
        <v/>
      </c>
      <c r="AW60">
        <f>MIN(AV60,MAX(0,$B60-((E$5&lt;AU$5)*F60+(K$5&lt;AU$5)*L60+(Q$5&lt;AU$5)*R60+(W$5&lt;AU$5)*X60+(AC$5&lt;AU$5)*AD60+(AI$5&lt;AU$5)*AJ60+(AO$5&lt;AU$5)*AP60)))</f>
        <v/>
      </c>
      <c r="AX60">
        <f>IF(AV60-AW60&lt;0.005,0,AV60-AW60)</f>
        <v/>
      </c>
      <c r="BC60">
        <f>H60+N60+T60+Z60+AF60+AL60+AR60+AX60</f>
        <v/>
      </c>
    </row>
    <row r="61">
      <c r="A61" t="n">
        <v>55</v>
      </c>
      <c r="B61" s="19">
        <f>MAX(0,$B$3-(E61+K61+Q61+W61+AC61+AI61+AO61+AU61))</f>
        <v/>
      </c>
      <c r="C61">
        <f>H60</f>
        <v/>
      </c>
      <c r="D61">
        <f>C61*Plan!D6/100/12</f>
        <v/>
      </c>
      <c r="E61">
        <f>MIN(Plan!E6,C61+D61)</f>
        <v/>
      </c>
      <c r="F61">
        <f>C61+D61-E61</f>
        <v/>
      </c>
      <c r="G61">
        <f>MIN(F61,MAX(0,$B61-((K$5&lt;E$5)*L61+(Q$5&lt;E$5)*R61+(W$5&lt;E$5)*X61+(AC$5&lt;E$5)*AD61+(AI$5&lt;E$5)*AJ61+(AO$5&lt;E$5)*AP61+(AU$5&lt;E$5)*AV61)))</f>
        <v/>
      </c>
      <c r="H61">
        <f>IF(F61-G61&lt;0.005,0,F61-G61)</f>
        <v/>
      </c>
      <c r="I61">
        <f>N60</f>
        <v/>
      </c>
      <c r="J61">
        <f>I61*Plan!D7/100/12</f>
        <v/>
      </c>
      <c r="K61">
        <f>MIN(Plan!E7,I61+J61)</f>
        <v/>
      </c>
      <c r="L61">
        <f>I61+J61-K61</f>
        <v/>
      </c>
      <c r="M61">
        <f>MIN(L61,MAX(0,$B61-((E$5&lt;K$5)*F61+(Q$5&lt;K$5)*R61+(W$5&lt;K$5)*X61+(AC$5&lt;K$5)*AD61+(AI$5&lt;K$5)*AJ61+(AO$5&lt;K$5)*AP61+(AU$5&lt;K$5)*AV61)))</f>
        <v/>
      </c>
      <c r="N61">
        <f>IF(L61-M61&lt;0.005,0,L61-M61)</f>
        <v/>
      </c>
      <c r="O61">
        <f>T60</f>
        <v/>
      </c>
      <c r="P61">
        <f>O61*Plan!D8/100/12</f>
        <v/>
      </c>
      <c r="Q61">
        <f>MIN(Plan!E8,O61+P61)</f>
        <v/>
      </c>
      <c r="R61">
        <f>O61+P61-Q61</f>
        <v/>
      </c>
      <c r="S61">
        <f>MIN(R61,MAX(0,$B61-((E$5&lt;Q$5)*F61+(K$5&lt;Q$5)*L61+(W$5&lt;Q$5)*X61+(AC$5&lt;Q$5)*AD61+(AI$5&lt;Q$5)*AJ61+(AO$5&lt;Q$5)*AP61+(AU$5&lt;Q$5)*AV61)))</f>
        <v/>
      </c>
      <c r="T61">
        <f>IF(R61-S61&lt;0.005,0,R61-S61)</f>
        <v/>
      </c>
      <c r="U61">
        <f>Z60</f>
        <v/>
      </c>
      <c r="V61">
        <f>U61*Plan!D9/100/12</f>
        <v/>
      </c>
      <c r="W61">
        <f>MIN(Plan!E9,U61+V61)</f>
        <v/>
      </c>
      <c r="X61">
        <f>U61+V61-W61</f>
        <v/>
      </c>
      <c r="Y61">
        <f>MIN(X61,MAX(0,$B61-((E$5&lt;W$5)*F61+(K$5&lt;W$5)*L61+(Q$5&lt;W$5)*R61+(AC$5&lt;W$5)*AD61+(AI$5&lt;W$5)*AJ61+(AO$5&lt;W$5)*AP61+(AU$5&lt;W$5)*AV61)))</f>
        <v/>
      </c>
      <c r="Z61">
        <f>IF(X61-Y61&lt;0.005,0,X61-Y61)</f>
        <v/>
      </c>
      <c r="AA61">
        <f>AF60</f>
        <v/>
      </c>
      <c r="AB61">
        <f>AA61*Plan!D10/100/12</f>
        <v/>
      </c>
      <c r="AC61">
        <f>MIN(Plan!E10,AA61+AB61)</f>
        <v/>
      </c>
      <c r="AD61">
        <f>AA61+AB61-AC61</f>
        <v/>
      </c>
      <c r="AE61">
        <f>MIN(AD61,MAX(0,$B61-((E$5&lt;AC$5)*F61+(K$5&lt;AC$5)*L61+(Q$5&lt;AC$5)*R61+(W$5&lt;AC$5)*X61+(AI$5&lt;AC$5)*AJ61+(AO$5&lt;AC$5)*AP61+(AU$5&lt;AC$5)*AV61)))</f>
        <v/>
      </c>
      <c r="AF61">
        <f>IF(AD61-AE61&lt;0.005,0,AD61-AE61)</f>
        <v/>
      </c>
      <c r="AG61">
        <f>AL60</f>
        <v/>
      </c>
      <c r="AH61">
        <f>AG61*Plan!D11/100/12</f>
        <v/>
      </c>
      <c r="AI61">
        <f>MIN(Plan!E11,AG61+AH61)</f>
        <v/>
      </c>
      <c r="AJ61">
        <f>AG61+AH61-AI61</f>
        <v/>
      </c>
      <c r="AK61">
        <f>MIN(AJ61,MAX(0,$B61-((E$5&lt;AI$5)*F61+(K$5&lt;AI$5)*L61+(Q$5&lt;AI$5)*R61+(W$5&lt;AI$5)*X61+(AC$5&lt;AI$5)*AD61+(AO$5&lt;AI$5)*AP61+(AU$5&lt;AI$5)*AV61)))</f>
        <v/>
      </c>
      <c r="AL61">
        <f>IF(AJ61-AK61&lt;0.005,0,AJ61-AK61)</f>
        <v/>
      </c>
      <c r="AM61">
        <f>AR60</f>
        <v/>
      </c>
      <c r="AN61">
        <f>AM61*Plan!D12/100/12</f>
        <v/>
      </c>
      <c r="AO61">
        <f>MIN(Plan!E12,AM61+AN61)</f>
        <v/>
      </c>
      <c r="AP61">
        <f>AM61+AN61-AO61</f>
        <v/>
      </c>
      <c r="AQ61">
        <f>MIN(AP61,MAX(0,$B61-((E$5&lt;AO$5)*F61+(K$5&lt;AO$5)*L61+(Q$5&lt;AO$5)*R61+(W$5&lt;AO$5)*X61+(AC$5&lt;AO$5)*AD61+(AI$5&lt;AO$5)*AJ61+(AU$5&lt;AO$5)*AV61)))</f>
        <v/>
      </c>
      <c r="AR61">
        <f>IF(AP61-AQ61&lt;0.005,0,AP61-AQ61)</f>
        <v/>
      </c>
      <c r="AS61">
        <f>AX60</f>
        <v/>
      </c>
      <c r="AT61">
        <f>AS61*Plan!D13/100/12</f>
        <v/>
      </c>
      <c r="AU61">
        <f>MIN(Plan!E13,AS61+AT61)</f>
        <v/>
      </c>
      <c r="AV61">
        <f>AS61+AT61-AU61</f>
        <v/>
      </c>
      <c r="AW61">
        <f>MIN(AV61,MAX(0,$B61-((E$5&lt;AU$5)*F61+(K$5&lt;AU$5)*L61+(Q$5&lt;AU$5)*R61+(W$5&lt;AU$5)*X61+(AC$5&lt;AU$5)*AD61+(AI$5&lt;AU$5)*AJ61+(AO$5&lt;AU$5)*AP61)))</f>
        <v/>
      </c>
      <c r="AX61">
        <f>IF(AV61-AW61&lt;0.005,0,AV61-AW61)</f>
        <v/>
      </c>
      <c r="BC61">
        <f>H61+N61+T61+Z61+AF61+AL61+AR61+AX61</f>
        <v/>
      </c>
    </row>
    <row r="62">
      <c r="A62" t="n">
        <v>56</v>
      </c>
      <c r="B62" s="19">
        <f>MAX(0,$B$3-(E62+K62+Q62+W62+AC62+AI62+AO62+AU62))</f>
        <v/>
      </c>
      <c r="C62">
        <f>H61</f>
        <v/>
      </c>
      <c r="D62">
        <f>C62*Plan!D6/100/12</f>
        <v/>
      </c>
      <c r="E62">
        <f>MIN(Plan!E6,C62+D62)</f>
        <v/>
      </c>
      <c r="F62">
        <f>C62+D62-E62</f>
        <v/>
      </c>
      <c r="G62">
        <f>MIN(F62,MAX(0,$B62-((K$5&lt;E$5)*L62+(Q$5&lt;E$5)*R62+(W$5&lt;E$5)*X62+(AC$5&lt;E$5)*AD62+(AI$5&lt;E$5)*AJ62+(AO$5&lt;E$5)*AP62+(AU$5&lt;E$5)*AV62)))</f>
        <v/>
      </c>
      <c r="H62">
        <f>IF(F62-G62&lt;0.005,0,F62-G62)</f>
        <v/>
      </c>
      <c r="I62">
        <f>N61</f>
        <v/>
      </c>
      <c r="J62">
        <f>I62*Plan!D7/100/12</f>
        <v/>
      </c>
      <c r="K62">
        <f>MIN(Plan!E7,I62+J62)</f>
        <v/>
      </c>
      <c r="L62">
        <f>I62+J62-K62</f>
        <v/>
      </c>
      <c r="M62">
        <f>MIN(L62,MAX(0,$B62-((E$5&lt;K$5)*F62+(Q$5&lt;K$5)*R62+(W$5&lt;K$5)*X62+(AC$5&lt;K$5)*AD62+(AI$5&lt;K$5)*AJ62+(AO$5&lt;K$5)*AP62+(AU$5&lt;K$5)*AV62)))</f>
        <v/>
      </c>
      <c r="N62">
        <f>IF(L62-M62&lt;0.005,0,L62-M62)</f>
        <v/>
      </c>
      <c r="O62">
        <f>T61</f>
        <v/>
      </c>
      <c r="P62">
        <f>O62*Plan!D8/100/12</f>
        <v/>
      </c>
      <c r="Q62">
        <f>MIN(Plan!E8,O62+P62)</f>
        <v/>
      </c>
      <c r="R62">
        <f>O62+P62-Q62</f>
        <v/>
      </c>
      <c r="S62">
        <f>MIN(R62,MAX(0,$B62-((E$5&lt;Q$5)*F62+(K$5&lt;Q$5)*L62+(W$5&lt;Q$5)*X62+(AC$5&lt;Q$5)*AD62+(AI$5&lt;Q$5)*AJ62+(AO$5&lt;Q$5)*AP62+(AU$5&lt;Q$5)*AV62)))</f>
        <v/>
      </c>
      <c r="T62">
        <f>IF(R62-S62&lt;0.005,0,R62-S62)</f>
        <v/>
      </c>
      <c r="U62">
        <f>Z61</f>
        <v/>
      </c>
      <c r="V62">
        <f>U62*Plan!D9/100/12</f>
        <v/>
      </c>
      <c r="W62">
        <f>MIN(Plan!E9,U62+V62)</f>
        <v/>
      </c>
      <c r="X62">
        <f>U62+V62-W62</f>
        <v/>
      </c>
      <c r="Y62">
        <f>MIN(X62,MAX(0,$B62-((E$5&lt;W$5)*F62+(K$5&lt;W$5)*L62+(Q$5&lt;W$5)*R62+(AC$5&lt;W$5)*AD62+(AI$5&lt;W$5)*AJ62+(AO$5&lt;W$5)*AP62+(AU$5&lt;W$5)*AV62)))</f>
        <v/>
      </c>
      <c r="Z62">
        <f>IF(X62-Y62&lt;0.005,0,X62-Y62)</f>
        <v/>
      </c>
      <c r="AA62">
        <f>AF61</f>
        <v/>
      </c>
      <c r="AB62">
        <f>AA62*Plan!D10/100/12</f>
        <v/>
      </c>
      <c r="AC62">
        <f>MIN(Plan!E10,AA62+AB62)</f>
        <v/>
      </c>
      <c r="AD62">
        <f>AA62+AB62-AC62</f>
        <v/>
      </c>
      <c r="AE62">
        <f>MIN(AD62,MAX(0,$B62-((E$5&lt;AC$5)*F62+(K$5&lt;AC$5)*L62+(Q$5&lt;AC$5)*R62+(W$5&lt;AC$5)*X62+(AI$5&lt;AC$5)*AJ62+(AO$5&lt;AC$5)*AP62+(AU$5&lt;AC$5)*AV62)))</f>
        <v/>
      </c>
      <c r="AF62">
        <f>IF(AD62-AE62&lt;0.005,0,AD62-AE62)</f>
        <v/>
      </c>
      <c r="AG62">
        <f>AL61</f>
        <v/>
      </c>
      <c r="AH62">
        <f>AG62*Plan!D11/100/12</f>
        <v/>
      </c>
      <c r="AI62">
        <f>MIN(Plan!E11,AG62+AH62)</f>
        <v/>
      </c>
      <c r="AJ62">
        <f>AG62+AH62-AI62</f>
        <v/>
      </c>
      <c r="AK62">
        <f>MIN(AJ62,MAX(0,$B62-((E$5&lt;AI$5)*F62+(K$5&lt;AI$5)*L62+(Q$5&lt;AI$5)*R62+(W$5&lt;AI$5)*X62+(AC$5&lt;AI$5)*AD62+(AO$5&lt;AI$5)*AP62+(AU$5&lt;AI$5)*AV62)))</f>
        <v/>
      </c>
      <c r="AL62">
        <f>IF(AJ62-AK62&lt;0.005,0,AJ62-AK62)</f>
        <v/>
      </c>
      <c r="AM62">
        <f>AR61</f>
        <v/>
      </c>
      <c r="AN62">
        <f>AM62*Plan!D12/100/12</f>
        <v/>
      </c>
      <c r="AO62">
        <f>MIN(Plan!E12,AM62+AN62)</f>
        <v/>
      </c>
      <c r="AP62">
        <f>AM62+AN62-AO62</f>
        <v/>
      </c>
      <c r="AQ62">
        <f>MIN(AP62,MAX(0,$B62-((E$5&lt;AO$5)*F62+(K$5&lt;AO$5)*L62+(Q$5&lt;AO$5)*R62+(W$5&lt;AO$5)*X62+(AC$5&lt;AO$5)*AD62+(AI$5&lt;AO$5)*AJ62+(AU$5&lt;AO$5)*AV62)))</f>
        <v/>
      </c>
      <c r="AR62">
        <f>IF(AP62-AQ62&lt;0.005,0,AP62-AQ62)</f>
        <v/>
      </c>
      <c r="AS62">
        <f>AX61</f>
        <v/>
      </c>
      <c r="AT62">
        <f>AS62*Plan!D13/100/12</f>
        <v/>
      </c>
      <c r="AU62">
        <f>MIN(Plan!E13,AS62+AT62)</f>
        <v/>
      </c>
      <c r="AV62">
        <f>AS62+AT62-AU62</f>
        <v/>
      </c>
      <c r="AW62">
        <f>MIN(AV62,MAX(0,$B62-((E$5&lt;AU$5)*F62+(K$5&lt;AU$5)*L62+(Q$5&lt;AU$5)*R62+(W$5&lt;AU$5)*X62+(AC$5&lt;AU$5)*AD62+(AI$5&lt;AU$5)*AJ62+(AO$5&lt;AU$5)*AP62)))</f>
        <v/>
      </c>
      <c r="AX62">
        <f>IF(AV62-AW62&lt;0.005,0,AV62-AW62)</f>
        <v/>
      </c>
      <c r="BC62">
        <f>H62+N62+T62+Z62+AF62+AL62+AR62+AX62</f>
        <v/>
      </c>
    </row>
    <row r="63">
      <c r="A63" t="n">
        <v>57</v>
      </c>
      <c r="B63" s="19">
        <f>MAX(0,$B$3-(E63+K63+Q63+W63+AC63+AI63+AO63+AU63))</f>
        <v/>
      </c>
      <c r="C63">
        <f>H62</f>
        <v/>
      </c>
      <c r="D63">
        <f>C63*Plan!D6/100/12</f>
        <v/>
      </c>
      <c r="E63">
        <f>MIN(Plan!E6,C63+D63)</f>
        <v/>
      </c>
      <c r="F63">
        <f>C63+D63-E63</f>
        <v/>
      </c>
      <c r="G63">
        <f>MIN(F63,MAX(0,$B63-((K$5&lt;E$5)*L63+(Q$5&lt;E$5)*R63+(W$5&lt;E$5)*X63+(AC$5&lt;E$5)*AD63+(AI$5&lt;E$5)*AJ63+(AO$5&lt;E$5)*AP63+(AU$5&lt;E$5)*AV63)))</f>
        <v/>
      </c>
      <c r="H63">
        <f>IF(F63-G63&lt;0.005,0,F63-G63)</f>
        <v/>
      </c>
      <c r="I63">
        <f>N62</f>
        <v/>
      </c>
      <c r="J63">
        <f>I63*Plan!D7/100/12</f>
        <v/>
      </c>
      <c r="K63">
        <f>MIN(Plan!E7,I63+J63)</f>
        <v/>
      </c>
      <c r="L63">
        <f>I63+J63-K63</f>
        <v/>
      </c>
      <c r="M63">
        <f>MIN(L63,MAX(0,$B63-((E$5&lt;K$5)*F63+(Q$5&lt;K$5)*R63+(W$5&lt;K$5)*X63+(AC$5&lt;K$5)*AD63+(AI$5&lt;K$5)*AJ63+(AO$5&lt;K$5)*AP63+(AU$5&lt;K$5)*AV63)))</f>
        <v/>
      </c>
      <c r="N63">
        <f>IF(L63-M63&lt;0.005,0,L63-M63)</f>
        <v/>
      </c>
      <c r="O63">
        <f>T62</f>
        <v/>
      </c>
      <c r="P63">
        <f>O63*Plan!D8/100/12</f>
        <v/>
      </c>
      <c r="Q63">
        <f>MIN(Plan!E8,O63+P63)</f>
        <v/>
      </c>
      <c r="R63">
        <f>O63+P63-Q63</f>
        <v/>
      </c>
      <c r="S63">
        <f>MIN(R63,MAX(0,$B63-((E$5&lt;Q$5)*F63+(K$5&lt;Q$5)*L63+(W$5&lt;Q$5)*X63+(AC$5&lt;Q$5)*AD63+(AI$5&lt;Q$5)*AJ63+(AO$5&lt;Q$5)*AP63+(AU$5&lt;Q$5)*AV63)))</f>
        <v/>
      </c>
      <c r="T63">
        <f>IF(R63-S63&lt;0.005,0,R63-S63)</f>
        <v/>
      </c>
      <c r="U63">
        <f>Z62</f>
        <v/>
      </c>
      <c r="V63">
        <f>U63*Plan!D9/100/12</f>
        <v/>
      </c>
      <c r="W63">
        <f>MIN(Plan!E9,U63+V63)</f>
        <v/>
      </c>
      <c r="X63">
        <f>U63+V63-W63</f>
        <v/>
      </c>
      <c r="Y63">
        <f>MIN(X63,MAX(0,$B63-((E$5&lt;W$5)*F63+(K$5&lt;W$5)*L63+(Q$5&lt;W$5)*R63+(AC$5&lt;W$5)*AD63+(AI$5&lt;W$5)*AJ63+(AO$5&lt;W$5)*AP63+(AU$5&lt;W$5)*AV63)))</f>
        <v/>
      </c>
      <c r="Z63">
        <f>IF(X63-Y63&lt;0.005,0,X63-Y63)</f>
        <v/>
      </c>
      <c r="AA63">
        <f>AF62</f>
        <v/>
      </c>
      <c r="AB63">
        <f>AA63*Plan!D10/100/12</f>
        <v/>
      </c>
      <c r="AC63">
        <f>MIN(Plan!E10,AA63+AB63)</f>
        <v/>
      </c>
      <c r="AD63">
        <f>AA63+AB63-AC63</f>
        <v/>
      </c>
      <c r="AE63">
        <f>MIN(AD63,MAX(0,$B63-((E$5&lt;AC$5)*F63+(K$5&lt;AC$5)*L63+(Q$5&lt;AC$5)*R63+(W$5&lt;AC$5)*X63+(AI$5&lt;AC$5)*AJ63+(AO$5&lt;AC$5)*AP63+(AU$5&lt;AC$5)*AV63)))</f>
        <v/>
      </c>
      <c r="AF63">
        <f>IF(AD63-AE63&lt;0.005,0,AD63-AE63)</f>
        <v/>
      </c>
      <c r="AG63">
        <f>AL62</f>
        <v/>
      </c>
      <c r="AH63">
        <f>AG63*Plan!D11/100/12</f>
        <v/>
      </c>
      <c r="AI63">
        <f>MIN(Plan!E11,AG63+AH63)</f>
        <v/>
      </c>
      <c r="AJ63">
        <f>AG63+AH63-AI63</f>
        <v/>
      </c>
      <c r="AK63">
        <f>MIN(AJ63,MAX(0,$B63-((E$5&lt;AI$5)*F63+(K$5&lt;AI$5)*L63+(Q$5&lt;AI$5)*R63+(W$5&lt;AI$5)*X63+(AC$5&lt;AI$5)*AD63+(AO$5&lt;AI$5)*AP63+(AU$5&lt;AI$5)*AV63)))</f>
        <v/>
      </c>
      <c r="AL63">
        <f>IF(AJ63-AK63&lt;0.005,0,AJ63-AK63)</f>
        <v/>
      </c>
      <c r="AM63">
        <f>AR62</f>
        <v/>
      </c>
      <c r="AN63">
        <f>AM63*Plan!D12/100/12</f>
        <v/>
      </c>
      <c r="AO63">
        <f>MIN(Plan!E12,AM63+AN63)</f>
        <v/>
      </c>
      <c r="AP63">
        <f>AM63+AN63-AO63</f>
        <v/>
      </c>
      <c r="AQ63">
        <f>MIN(AP63,MAX(0,$B63-((E$5&lt;AO$5)*F63+(K$5&lt;AO$5)*L63+(Q$5&lt;AO$5)*R63+(W$5&lt;AO$5)*X63+(AC$5&lt;AO$5)*AD63+(AI$5&lt;AO$5)*AJ63+(AU$5&lt;AO$5)*AV63)))</f>
        <v/>
      </c>
      <c r="AR63">
        <f>IF(AP63-AQ63&lt;0.005,0,AP63-AQ63)</f>
        <v/>
      </c>
      <c r="AS63">
        <f>AX62</f>
        <v/>
      </c>
      <c r="AT63">
        <f>AS63*Plan!D13/100/12</f>
        <v/>
      </c>
      <c r="AU63">
        <f>MIN(Plan!E13,AS63+AT63)</f>
        <v/>
      </c>
      <c r="AV63">
        <f>AS63+AT63-AU63</f>
        <v/>
      </c>
      <c r="AW63">
        <f>MIN(AV63,MAX(0,$B63-((E$5&lt;AU$5)*F63+(K$5&lt;AU$5)*L63+(Q$5&lt;AU$5)*R63+(W$5&lt;AU$5)*X63+(AC$5&lt;AU$5)*AD63+(AI$5&lt;AU$5)*AJ63+(AO$5&lt;AU$5)*AP63)))</f>
        <v/>
      </c>
      <c r="AX63">
        <f>IF(AV63-AW63&lt;0.005,0,AV63-AW63)</f>
        <v/>
      </c>
      <c r="BC63">
        <f>H63+N63+T63+Z63+AF63+AL63+AR63+AX63</f>
        <v/>
      </c>
    </row>
    <row r="64">
      <c r="A64" t="n">
        <v>58</v>
      </c>
      <c r="B64" s="19">
        <f>MAX(0,$B$3-(E64+K64+Q64+W64+AC64+AI64+AO64+AU64))</f>
        <v/>
      </c>
      <c r="C64">
        <f>H63</f>
        <v/>
      </c>
      <c r="D64">
        <f>C64*Plan!D6/100/12</f>
        <v/>
      </c>
      <c r="E64">
        <f>MIN(Plan!E6,C64+D64)</f>
        <v/>
      </c>
      <c r="F64">
        <f>C64+D64-E64</f>
        <v/>
      </c>
      <c r="G64">
        <f>MIN(F64,MAX(0,$B64-((K$5&lt;E$5)*L64+(Q$5&lt;E$5)*R64+(W$5&lt;E$5)*X64+(AC$5&lt;E$5)*AD64+(AI$5&lt;E$5)*AJ64+(AO$5&lt;E$5)*AP64+(AU$5&lt;E$5)*AV64)))</f>
        <v/>
      </c>
      <c r="H64">
        <f>IF(F64-G64&lt;0.005,0,F64-G64)</f>
        <v/>
      </c>
      <c r="I64">
        <f>N63</f>
        <v/>
      </c>
      <c r="J64">
        <f>I64*Plan!D7/100/12</f>
        <v/>
      </c>
      <c r="K64">
        <f>MIN(Plan!E7,I64+J64)</f>
        <v/>
      </c>
      <c r="L64">
        <f>I64+J64-K64</f>
        <v/>
      </c>
      <c r="M64">
        <f>MIN(L64,MAX(0,$B64-((E$5&lt;K$5)*F64+(Q$5&lt;K$5)*R64+(W$5&lt;K$5)*X64+(AC$5&lt;K$5)*AD64+(AI$5&lt;K$5)*AJ64+(AO$5&lt;K$5)*AP64+(AU$5&lt;K$5)*AV64)))</f>
        <v/>
      </c>
      <c r="N64">
        <f>IF(L64-M64&lt;0.005,0,L64-M64)</f>
        <v/>
      </c>
      <c r="O64">
        <f>T63</f>
        <v/>
      </c>
      <c r="P64">
        <f>O64*Plan!D8/100/12</f>
        <v/>
      </c>
      <c r="Q64">
        <f>MIN(Plan!E8,O64+P64)</f>
        <v/>
      </c>
      <c r="R64">
        <f>O64+P64-Q64</f>
        <v/>
      </c>
      <c r="S64">
        <f>MIN(R64,MAX(0,$B64-((E$5&lt;Q$5)*F64+(K$5&lt;Q$5)*L64+(W$5&lt;Q$5)*X64+(AC$5&lt;Q$5)*AD64+(AI$5&lt;Q$5)*AJ64+(AO$5&lt;Q$5)*AP64+(AU$5&lt;Q$5)*AV64)))</f>
        <v/>
      </c>
      <c r="T64">
        <f>IF(R64-S64&lt;0.005,0,R64-S64)</f>
        <v/>
      </c>
      <c r="U64">
        <f>Z63</f>
        <v/>
      </c>
      <c r="V64">
        <f>U64*Plan!D9/100/12</f>
        <v/>
      </c>
      <c r="W64">
        <f>MIN(Plan!E9,U64+V64)</f>
        <v/>
      </c>
      <c r="X64">
        <f>U64+V64-W64</f>
        <v/>
      </c>
      <c r="Y64">
        <f>MIN(X64,MAX(0,$B64-((E$5&lt;W$5)*F64+(K$5&lt;W$5)*L64+(Q$5&lt;W$5)*R64+(AC$5&lt;W$5)*AD64+(AI$5&lt;W$5)*AJ64+(AO$5&lt;W$5)*AP64+(AU$5&lt;W$5)*AV64)))</f>
        <v/>
      </c>
      <c r="Z64">
        <f>IF(X64-Y64&lt;0.005,0,X64-Y64)</f>
        <v/>
      </c>
      <c r="AA64">
        <f>AF63</f>
        <v/>
      </c>
      <c r="AB64">
        <f>AA64*Plan!D10/100/12</f>
        <v/>
      </c>
      <c r="AC64">
        <f>MIN(Plan!E10,AA64+AB64)</f>
        <v/>
      </c>
      <c r="AD64">
        <f>AA64+AB64-AC64</f>
        <v/>
      </c>
      <c r="AE64">
        <f>MIN(AD64,MAX(0,$B64-((E$5&lt;AC$5)*F64+(K$5&lt;AC$5)*L64+(Q$5&lt;AC$5)*R64+(W$5&lt;AC$5)*X64+(AI$5&lt;AC$5)*AJ64+(AO$5&lt;AC$5)*AP64+(AU$5&lt;AC$5)*AV64)))</f>
        <v/>
      </c>
      <c r="AF64">
        <f>IF(AD64-AE64&lt;0.005,0,AD64-AE64)</f>
        <v/>
      </c>
      <c r="AG64">
        <f>AL63</f>
        <v/>
      </c>
      <c r="AH64">
        <f>AG64*Plan!D11/100/12</f>
        <v/>
      </c>
      <c r="AI64">
        <f>MIN(Plan!E11,AG64+AH64)</f>
        <v/>
      </c>
      <c r="AJ64">
        <f>AG64+AH64-AI64</f>
        <v/>
      </c>
      <c r="AK64">
        <f>MIN(AJ64,MAX(0,$B64-((E$5&lt;AI$5)*F64+(K$5&lt;AI$5)*L64+(Q$5&lt;AI$5)*R64+(W$5&lt;AI$5)*X64+(AC$5&lt;AI$5)*AD64+(AO$5&lt;AI$5)*AP64+(AU$5&lt;AI$5)*AV64)))</f>
        <v/>
      </c>
      <c r="AL64">
        <f>IF(AJ64-AK64&lt;0.005,0,AJ64-AK64)</f>
        <v/>
      </c>
      <c r="AM64">
        <f>AR63</f>
        <v/>
      </c>
      <c r="AN64">
        <f>AM64*Plan!D12/100/12</f>
        <v/>
      </c>
      <c r="AO64">
        <f>MIN(Plan!E12,AM64+AN64)</f>
        <v/>
      </c>
      <c r="AP64">
        <f>AM64+AN64-AO64</f>
        <v/>
      </c>
      <c r="AQ64">
        <f>MIN(AP64,MAX(0,$B64-((E$5&lt;AO$5)*F64+(K$5&lt;AO$5)*L64+(Q$5&lt;AO$5)*R64+(W$5&lt;AO$5)*X64+(AC$5&lt;AO$5)*AD64+(AI$5&lt;AO$5)*AJ64+(AU$5&lt;AO$5)*AV64)))</f>
        <v/>
      </c>
      <c r="AR64">
        <f>IF(AP64-AQ64&lt;0.005,0,AP64-AQ64)</f>
        <v/>
      </c>
      <c r="AS64">
        <f>AX63</f>
        <v/>
      </c>
      <c r="AT64">
        <f>AS64*Plan!D13/100/12</f>
        <v/>
      </c>
      <c r="AU64">
        <f>MIN(Plan!E13,AS64+AT64)</f>
        <v/>
      </c>
      <c r="AV64">
        <f>AS64+AT64-AU64</f>
        <v/>
      </c>
      <c r="AW64">
        <f>MIN(AV64,MAX(0,$B64-((E$5&lt;AU$5)*F64+(K$5&lt;AU$5)*L64+(Q$5&lt;AU$5)*R64+(W$5&lt;AU$5)*X64+(AC$5&lt;AU$5)*AD64+(AI$5&lt;AU$5)*AJ64+(AO$5&lt;AU$5)*AP64)))</f>
        <v/>
      </c>
      <c r="AX64">
        <f>IF(AV64-AW64&lt;0.005,0,AV64-AW64)</f>
        <v/>
      </c>
      <c r="BC64">
        <f>H64+N64+T64+Z64+AF64+AL64+AR64+AX64</f>
        <v/>
      </c>
    </row>
    <row r="65">
      <c r="A65" t="n">
        <v>59</v>
      </c>
      <c r="B65" s="19">
        <f>MAX(0,$B$3-(E65+K65+Q65+W65+AC65+AI65+AO65+AU65))</f>
        <v/>
      </c>
      <c r="C65">
        <f>H64</f>
        <v/>
      </c>
      <c r="D65">
        <f>C65*Plan!D6/100/12</f>
        <v/>
      </c>
      <c r="E65">
        <f>MIN(Plan!E6,C65+D65)</f>
        <v/>
      </c>
      <c r="F65">
        <f>C65+D65-E65</f>
        <v/>
      </c>
      <c r="G65">
        <f>MIN(F65,MAX(0,$B65-((K$5&lt;E$5)*L65+(Q$5&lt;E$5)*R65+(W$5&lt;E$5)*X65+(AC$5&lt;E$5)*AD65+(AI$5&lt;E$5)*AJ65+(AO$5&lt;E$5)*AP65+(AU$5&lt;E$5)*AV65)))</f>
        <v/>
      </c>
      <c r="H65">
        <f>IF(F65-G65&lt;0.005,0,F65-G65)</f>
        <v/>
      </c>
      <c r="I65">
        <f>N64</f>
        <v/>
      </c>
      <c r="J65">
        <f>I65*Plan!D7/100/12</f>
        <v/>
      </c>
      <c r="K65">
        <f>MIN(Plan!E7,I65+J65)</f>
        <v/>
      </c>
      <c r="L65">
        <f>I65+J65-K65</f>
        <v/>
      </c>
      <c r="M65">
        <f>MIN(L65,MAX(0,$B65-((E$5&lt;K$5)*F65+(Q$5&lt;K$5)*R65+(W$5&lt;K$5)*X65+(AC$5&lt;K$5)*AD65+(AI$5&lt;K$5)*AJ65+(AO$5&lt;K$5)*AP65+(AU$5&lt;K$5)*AV65)))</f>
        <v/>
      </c>
      <c r="N65">
        <f>IF(L65-M65&lt;0.005,0,L65-M65)</f>
        <v/>
      </c>
      <c r="O65">
        <f>T64</f>
        <v/>
      </c>
      <c r="P65">
        <f>O65*Plan!D8/100/12</f>
        <v/>
      </c>
      <c r="Q65">
        <f>MIN(Plan!E8,O65+P65)</f>
        <v/>
      </c>
      <c r="R65">
        <f>O65+P65-Q65</f>
        <v/>
      </c>
      <c r="S65">
        <f>MIN(R65,MAX(0,$B65-((E$5&lt;Q$5)*F65+(K$5&lt;Q$5)*L65+(W$5&lt;Q$5)*X65+(AC$5&lt;Q$5)*AD65+(AI$5&lt;Q$5)*AJ65+(AO$5&lt;Q$5)*AP65+(AU$5&lt;Q$5)*AV65)))</f>
        <v/>
      </c>
      <c r="T65">
        <f>IF(R65-S65&lt;0.005,0,R65-S65)</f>
        <v/>
      </c>
      <c r="U65">
        <f>Z64</f>
        <v/>
      </c>
      <c r="V65">
        <f>U65*Plan!D9/100/12</f>
        <v/>
      </c>
      <c r="W65">
        <f>MIN(Plan!E9,U65+V65)</f>
        <v/>
      </c>
      <c r="X65">
        <f>U65+V65-W65</f>
        <v/>
      </c>
      <c r="Y65">
        <f>MIN(X65,MAX(0,$B65-((E$5&lt;W$5)*F65+(K$5&lt;W$5)*L65+(Q$5&lt;W$5)*R65+(AC$5&lt;W$5)*AD65+(AI$5&lt;W$5)*AJ65+(AO$5&lt;W$5)*AP65+(AU$5&lt;W$5)*AV65)))</f>
        <v/>
      </c>
      <c r="Z65">
        <f>IF(X65-Y65&lt;0.005,0,X65-Y65)</f>
        <v/>
      </c>
      <c r="AA65">
        <f>AF64</f>
        <v/>
      </c>
      <c r="AB65">
        <f>AA65*Plan!D10/100/12</f>
        <v/>
      </c>
      <c r="AC65">
        <f>MIN(Plan!E10,AA65+AB65)</f>
        <v/>
      </c>
      <c r="AD65">
        <f>AA65+AB65-AC65</f>
        <v/>
      </c>
      <c r="AE65">
        <f>MIN(AD65,MAX(0,$B65-((E$5&lt;AC$5)*F65+(K$5&lt;AC$5)*L65+(Q$5&lt;AC$5)*R65+(W$5&lt;AC$5)*X65+(AI$5&lt;AC$5)*AJ65+(AO$5&lt;AC$5)*AP65+(AU$5&lt;AC$5)*AV65)))</f>
        <v/>
      </c>
      <c r="AF65">
        <f>IF(AD65-AE65&lt;0.005,0,AD65-AE65)</f>
        <v/>
      </c>
      <c r="AG65">
        <f>AL64</f>
        <v/>
      </c>
      <c r="AH65">
        <f>AG65*Plan!D11/100/12</f>
        <v/>
      </c>
      <c r="AI65">
        <f>MIN(Plan!E11,AG65+AH65)</f>
        <v/>
      </c>
      <c r="AJ65">
        <f>AG65+AH65-AI65</f>
        <v/>
      </c>
      <c r="AK65">
        <f>MIN(AJ65,MAX(0,$B65-((E$5&lt;AI$5)*F65+(K$5&lt;AI$5)*L65+(Q$5&lt;AI$5)*R65+(W$5&lt;AI$5)*X65+(AC$5&lt;AI$5)*AD65+(AO$5&lt;AI$5)*AP65+(AU$5&lt;AI$5)*AV65)))</f>
        <v/>
      </c>
      <c r="AL65">
        <f>IF(AJ65-AK65&lt;0.005,0,AJ65-AK65)</f>
        <v/>
      </c>
      <c r="AM65">
        <f>AR64</f>
        <v/>
      </c>
      <c r="AN65">
        <f>AM65*Plan!D12/100/12</f>
        <v/>
      </c>
      <c r="AO65">
        <f>MIN(Plan!E12,AM65+AN65)</f>
        <v/>
      </c>
      <c r="AP65">
        <f>AM65+AN65-AO65</f>
        <v/>
      </c>
      <c r="AQ65">
        <f>MIN(AP65,MAX(0,$B65-((E$5&lt;AO$5)*F65+(K$5&lt;AO$5)*L65+(Q$5&lt;AO$5)*R65+(W$5&lt;AO$5)*X65+(AC$5&lt;AO$5)*AD65+(AI$5&lt;AO$5)*AJ65+(AU$5&lt;AO$5)*AV65)))</f>
        <v/>
      </c>
      <c r="AR65">
        <f>IF(AP65-AQ65&lt;0.005,0,AP65-AQ65)</f>
        <v/>
      </c>
      <c r="AS65">
        <f>AX64</f>
        <v/>
      </c>
      <c r="AT65">
        <f>AS65*Plan!D13/100/12</f>
        <v/>
      </c>
      <c r="AU65">
        <f>MIN(Plan!E13,AS65+AT65)</f>
        <v/>
      </c>
      <c r="AV65">
        <f>AS65+AT65-AU65</f>
        <v/>
      </c>
      <c r="AW65">
        <f>MIN(AV65,MAX(0,$B65-((E$5&lt;AU$5)*F65+(K$5&lt;AU$5)*L65+(Q$5&lt;AU$5)*R65+(W$5&lt;AU$5)*X65+(AC$5&lt;AU$5)*AD65+(AI$5&lt;AU$5)*AJ65+(AO$5&lt;AU$5)*AP65)))</f>
        <v/>
      </c>
      <c r="AX65">
        <f>IF(AV65-AW65&lt;0.005,0,AV65-AW65)</f>
        <v/>
      </c>
      <c r="BC65">
        <f>H65+N65+T65+Z65+AF65+AL65+AR65+AX65</f>
        <v/>
      </c>
    </row>
    <row r="66">
      <c r="A66" t="n">
        <v>60</v>
      </c>
      <c r="B66" s="19">
        <f>MAX(0,$B$3-(E66+K66+Q66+W66+AC66+AI66+AO66+AU66))</f>
        <v/>
      </c>
      <c r="C66">
        <f>H65</f>
        <v/>
      </c>
      <c r="D66">
        <f>C66*Plan!D6/100/12</f>
        <v/>
      </c>
      <c r="E66">
        <f>MIN(Plan!E6,C66+D66)</f>
        <v/>
      </c>
      <c r="F66">
        <f>C66+D66-E66</f>
        <v/>
      </c>
      <c r="G66">
        <f>MIN(F66,MAX(0,$B66-((K$5&lt;E$5)*L66+(Q$5&lt;E$5)*R66+(W$5&lt;E$5)*X66+(AC$5&lt;E$5)*AD66+(AI$5&lt;E$5)*AJ66+(AO$5&lt;E$5)*AP66+(AU$5&lt;E$5)*AV66)))</f>
        <v/>
      </c>
      <c r="H66">
        <f>IF(F66-G66&lt;0.005,0,F66-G66)</f>
        <v/>
      </c>
      <c r="I66">
        <f>N65</f>
        <v/>
      </c>
      <c r="J66">
        <f>I66*Plan!D7/100/12</f>
        <v/>
      </c>
      <c r="K66">
        <f>MIN(Plan!E7,I66+J66)</f>
        <v/>
      </c>
      <c r="L66">
        <f>I66+J66-K66</f>
        <v/>
      </c>
      <c r="M66">
        <f>MIN(L66,MAX(0,$B66-((E$5&lt;K$5)*F66+(Q$5&lt;K$5)*R66+(W$5&lt;K$5)*X66+(AC$5&lt;K$5)*AD66+(AI$5&lt;K$5)*AJ66+(AO$5&lt;K$5)*AP66+(AU$5&lt;K$5)*AV66)))</f>
        <v/>
      </c>
      <c r="N66">
        <f>IF(L66-M66&lt;0.005,0,L66-M66)</f>
        <v/>
      </c>
      <c r="O66">
        <f>T65</f>
        <v/>
      </c>
      <c r="P66">
        <f>O66*Plan!D8/100/12</f>
        <v/>
      </c>
      <c r="Q66">
        <f>MIN(Plan!E8,O66+P66)</f>
        <v/>
      </c>
      <c r="R66">
        <f>O66+P66-Q66</f>
        <v/>
      </c>
      <c r="S66">
        <f>MIN(R66,MAX(0,$B66-((E$5&lt;Q$5)*F66+(K$5&lt;Q$5)*L66+(W$5&lt;Q$5)*X66+(AC$5&lt;Q$5)*AD66+(AI$5&lt;Q$5)*AJ66+(AO$5&lt;Q$5)*AP66+(AU$5&lt;Q$5)*AV66)))</f>
        <v/>
      </c>
      <c r="T66">
        <f>IF(R66-S66&lt;0.005,0,R66-S66)</f>
        <v/>
      </c>
      <c r="U66">
        <f>Z65</f>
        <v/>
      </c>
      <c r="V66">
        <f>U66*Plan!D9/100/12</f>
        <v/>
      </c>
      <c r="W66">
        <f>MIN(Plan!E9,U66+V66)</f>
        <v/>
      </c>
      <c r="X66">
        <f>U66+V66-W66</f>
        <v/>
      </c>
      <c r="Y66">
        <f>MIN(X66,MAX(0,$B66-((E$5&lt;W$5)*F66+(K$5&lt;W$5)*L66+(Q$5&lt;W$5)*R66+(AC$5&lt;W$5)*AD66+(AI$5&lt;W$5)*AJ66+(AO$5&lt;W$5)*AP66+(AU$5&lt;W$5)*AV66)))</f>
        <v/>
      </c>
      <c r="Z66">
        <f>IF(X66-Y66&lt;0.005,0,X66-Y66)</f>
        <v/>
      </c>
      <c r="AA66">
        <f>AF65</f>
        <v/>
      </c>
      <c r="AB66">
        <f>AA66*Plan!D10/100/12</f>
        <v/>
      </c>
      <c r="AC66">
        <f>MIN(Plan!E10,AA66+AB66)</f>
        <v/>
      </c>
      <c r="AD66">
        <f>AA66+AB66-AC66</f>
        <v/>
      </c>
      <c r="AE66">
        <f>MIN(AD66,MAX(0,$B66-((E$5&lt;AC$5)*F66+(K$5&lt;AC$5)*L66+(Q$5&lt;AC$5)*R66+(W$5&lt;AC$5)*X66+(AI$5&lt;AC$5)*AJ66+(AO$5&lt;AC$5)*AP66+(AU$5&lt;AC$5)*AV66)))</f>
        <v/>
      </c>
      <c r="AF66">
        <f>IF(AD66-AE66&lt;0.005,0,AD66-AE66)</f>
        <v/>
      </c>
      <c r="AG66">
        <f>AL65</f>
        <v/>
      </c>
      <c r="AH66">
        <f>AG66*Plan!D11/100/12</f>
        <v/>
      </c>
      <c r="AI66">
        <f>MIN(Plan!E11,AG66+AH66)</f>
        <v/>
      </c>
      <c r="AJ66">
        <f>AG66+AH66-AI66</f>
        <v/>
      </c>
      <c r="AK66">
        <f>MIN(AJ66,MAX(0,$B66-((E$5&lt;AI$5)*F66+(K$5&lt;AI$5)*L66+(Q$5&lt;AI$5)*R66+(W$5&lt;AI$5)*X66+(AC$5&lt;AI$5)*AD66+(AO$5&lt;AI$5)*AP66+(AU$5&lt;AI$5)*AV66)))</f>
        <v/>
      </c>
      <c r="AL66">
        <f>IF(AJ66-AK66&lt;0.005,0,AJ66-AK66)</f>
        <v/>
      </c>
      <c r="AM66">
        <f>AR65</f>
        <v/>
      </c>
      <c r="AN66">
        <f>AM66*Plan!D12/100/12</f>
        <v/>
      </c>
      <c r="AO66">
        <f>MIN(Plan!E12,AM66+AN66)</f>
        <v/>
      </c>
      <c r="AP66">
        <f>AM66+AN66-AO66</f>
        <v/>
      </c>
      <c r="AQ66">
        <f>MIN(AP66,MAX(0,$B66-((E$5&lt;AO$5)*F66+(K$5&lt;AO$5)*L66+(Q$5&lt;AO$5)*R66+(W$5&lt;AO$5)*X66+(AC$5&lt;AO$5)*AD66+(AI$5&lt;AO$5)*AJ66+(AU$5&lt;AO$5)*AV66)))</f>
        <v/>
      </c>
      <c r="AR66">
        <f>IF(AP66-AQ66&lt;0.005,0,AP66-AQ66)</f>
        <v/>
      </c>
      <c r="AS66">
        <f>AX65</f>
        <v/>
      </c>
      <c r="AT66">
        <f>AS66*Plan!D13/100/12</f>
        <v/>
      </c>
      <c r="AU66">
        <f>MIN(Plan!E13,AS66+AT66)</f>
        <v/>
      </c>
      <c r="AV66">
        <f>AS66+AT66-AU66</f>
        <v/>
      </c>
      <c r="AW66">
        <f>MIN(AV66,MAX(0,$B66-((E$5&lt;AU$5)*F66+(K$5&lt;AU$5)*L66+(Q$5&lt;AU$5)*R66+(W$5&lt;AU$5)*X66+(AC$5&lt;AU$5)*AD66+(AI$5&lt;AU$5)*AJ66+(AO$5&lt;AU$5)*AP66)))</f>
        <v/>
      </c>
      <c r="AX66">
        <f>IF(AV66-AW66&lt;0.005,0,AV66-AW66)</f>
        <v/>
      </c>
      <c r="BC66">
        <f>H66+N66+T66+Z66+AF66+AL66+AR66+AX66</f>
        <v/>
      </c>
    </row>
    <row r="67">
      <c r="A67" t="n">
        <v>61</v>
      </c>
      <c r="B67" s="19">
        <f>MAX(0,$B$3-(E67+K67+Q67+W67+AC67+AI67+AO67+AU67))</f>
        <v/>
      </c>
      <c r="C67">
        <f>H66</f>
        <v/>
      </c>
      <c r="D67">
        <f>C67*Plan!D6/100/12</f>
        <v/>
      </c>
      <c r="E67">
        <f>MIN(Plan!E6,C67+D67)</f>
        <v/>
      </c>
      <c r="F67">
        <f>C67+D67-E67</f>
        <v/>
      </c>
      <c r="G67">
        <f>MIN(F67,MAX(0,$B67-((K$5&lt;E$5)*L67+(Q$5&lt;E$5)*R67+(W$5&lt;E$5)*X67+(AC$5&lt;E$5)*AD67+(AI$5&lt;E$5)*AJ67+(AO$5&lt;E$5)*AP67+(AU$5&lt;E$5)*AV67)))</f>
        <v/>
      </c>
      <c r="H67">
        <f>IF(F67-G67&lt;0.005,0,F67-G67)</f>
        <v/>
      </c>
      <c r="I67">
        <f>N66</f>
        <v/>
      </c>
      <c r="J67">
        <f>I67*Plan!D7/100/12</f>
        <v/>
      </c>
      <c r="K67">
        <f>MIN(Plan!E7,I67+J67)</f>
        <v/>
      </c>
      <c r="L67">
        <f>I67+J67-K67</f>
        <v/>
      </c>
      <c r="M67">
        <f>MIN(L67,MAX(0,$B67-((E$5&lt;K$5)*F67+(Q$5&lt;K$5)*R67+(W$5&lt;K$5)*X67+(AC$5&lt;K$5)*AD67+(AI$5&lt;K$5)*AJ67+(AO$5&lt;K$5)*AP67+(AU$5&lt;K$5)*AV67)))</f>
        <v/>
      </c>
      <c r="N67">
        <f>IF(L67-M67&lt;0.005,0,L67-M67)</f>
        <v/>
      </c>
      <c r="O67">
        <f>T66</f>
        <v/>
      </c>
      <c r="P67">
        <f>O67*Plan!D8/100/12</f>
        <v/>
      </c>
      <c r="Q67">
        <f>MIN(Plan!E8,O67+P67)</f>
        <v/>
      </c>
      <c r="R67">
        <f>O67+P67-Q67</f>
        <v/>
      </c>
      <c r="S67">
        <f>MIN(R67,MAX(0,$B67-((E$5&lt;Q$5)*F67+(K$5&lt;Q$5)*L67+(W$5&lt;Q$5)*X67+(AC$5&lt;Q$5)*AD67+(AI$5&lt;Q$5)*AJ67+(AO$5&lt;Q$5)*AP67+(AU$5&lt;Q$5)*AV67)))</f>
        <v/>
      </c>
      <c r="T67">
        <f>IF(R67-S67&lt;0.005,0,R67-S67)</f>
        <v/>
      </c>
      <c r="U67">
        <f>Z66</f>
        <v/>
      </c>
      <c r="V67">
        <f>U67*Plan!D9/100/12</f>
        <v/>
      </c>
      <c r="W67">
        <f>MIN(Plan!E9,U67+V67)</f>
        <v/>
      </c>
      <c r="X67">
        <f>U67+V67-W67</f>
        <v/>
      </c>
      <c r="Y67">
        <f>MIN(X67,MAX(0,$B67-((E$5&lt;W$5)*F67+(K$5&lt;W$5)*L67+(Q$5&lt;W$5)*R67+(AC$5&lt;W$5)*AD67+(AI$5&lt;W$5)*AJ67+(AO$5&lt;W$5)*AP67+(AU$5&lt;W$5)*AV67)))</f>
        <v/>
      </c>
      <c r="Z67">
        <f>IF(X67-Y67&lt;0.005,0,X67-Y67)</f>
        <v/>
      </c>
      <c r="AA67">
        <f>AF66</f>
        <v/>
      </c>
      <c r="AB67">
        <f>AA67*Plan!D10/100/12</f>
        <v/>
      </c>
      <c r="AC67">
        <f>MIN(Plan!E10,AA67+AB67)</f>
        <v/>
      </c>
      <c r="AD67">
        <f>AA67+AB67-AC67</f>
        <v/>
      </c>
      <c r="AE67">
        <f>MIN(AD67,MAX(0,$B67-((E$5&lt;AC$5)*F67+(K$5&lt;AC$5)*L67+(Q$5&lt;AC$5)*R67+(W$5&lt;AC$5)*X67+(AI$5&lt;AC$5)*AJ67+(AO$5&lt;AC$5)*AP67+(AU$5&lt;AC$5)*AV67)))</f>
        <v/>
      </c>
      <c r="AF67">
        <f>IF(AD67-AE67&lt;0.005,0,AD67-AE67)</f>
        <v/>
      </c>
      <c r="AG67">
        <f>AL66</f>
        <v/>
      </c>
      <c r="AH67">
        <f>AG67*Plan!D11/100/12</f>
        <v/>
      </c>
      <c r="AI67">
        <f>MIN(Plan!E11,AG67+AH67)</f>
        <v/>
      </c>
      <c r="AJ67">
        <f>AG67+AH67-AI67</f>
        <v/>
      </c>
      <c r="AK67">
        <f>MIN(AJ67,MAX(0,$B67-((E$5&lt;AI$5)*F67+(K$5&lt;AI$5)*L67+(Q$5&lt;AI$5)*R67+(W$5&lt;AI$5)*X67+(AC$5&lt;AI$5)*AD67+(AO$5&lt;AI$5)*AP67+(AU$5&lt;AI$5)*AV67)))</f>
        <v/>
      </c>
      <c r="AL67">
        <f>IF(AJ67-AK67&lt;0.005,0,AJ67-AK67)</f>
        <v/>
      </c>
      <c r="AM67">
        <f>AR66</f>
        <v/>
      </c>
      <c r="AN67">
        <f>AM67*Plan!D12/100/12</f>
        <v/>
      </c>
      <c r="AO67">
        <f>MIN(Plan!E12,AM67+AN67)</f>
        <v/>
      </c>
      <c r="AP67">
        <f>AM67+AN67-AO67</f>
        <v/>
      </c>
      <c r="AQ67">
        <f>MIN(AP67,MAX(0,$B67-((E$5&lt;AO$5)*F67+(K$5&lt;AO$5)*L67+(Q$5&lt;AO$5)*R67+(W$5&lt;AO$5)*X67+(AC$5&lt;AO$5)*AD67+(AI$5&lt;AO$5)*AJ67+(AU$5&lt;AO$5)*AV67)))</f>
        <v/>
      </c>
      <c r="AR67">
        <f>IF(AP67-AQ67&lt;0.005,0,AP67-AQ67)</f>
        <v/>
      </c>
      <c r="AS67">
        <f>AX66</f>
        <v/>
      </c>
      <c r="AT67">
        <f>AS67*Plan!D13/100/12</f>
        <v/>
      </c>
      <c r="AU67">
        <f>MIN(Plan!E13,AS67+AT67)</f>
        <v/>
      </c>
      <c r="AV67">
        <f>AS67+AT67-AU67</f>
        <v/>
      </c>
      <c r="AW67">
        <f>MIN(AV67,MAX(0,$B67-((E$5&lt;AU$5)*F67+(K$5&lt;AU$5)*L67+(Q$5&lt;AU$5)*R67+(W$5&lt;AU$5)*X67+(AC$5&lt;AU$5)*AD67+(AI$5&lt;AU$5)*AJ67+(AO$5&lt;AU$5)*AP67)))</f>
        <v/>
      </c>
      <c r="AX67">
        <f>IF(AV67-AW67&lt;0.005,0,AV67-AW67)</f>
        <v/>
      </c>
      <c r="BC67">
        <f>H67+N67+T67+Z67+AF67+AL67+AR67+AX67</f>
        <v/>
      </c>
    </row>
    <row r="68">
      <c r="A68" t="n">
        <v>62</v>
      </c>
      <c r="B68" s="19">
        <f>MAX(0,$B$3-(E68+K68+Q68+W68+AC68+AI68+AO68+AU68))</f>
        <v/>
      </c>
      <c r="C68">
        <f>H67</f>
        <v/>
      </c>
      <c r="D68">
        <f>C68*Plan!D6/100/12</f>
        <v/>
      </c>
      <c r="E68">
        <f>MIN(Plan!E6,C68+D68)</f>
        <v/>
      </c>
      <c r="F68">
        <f>C68+D68-E68</f>
        <v/>
      </c>
      <c r="G68">
        <f>MIN(F68,MAX(0,$B68-((K$5&lt;E$5)*L68+(Q$5&lt;E$5)*R68+(W$5&lt;E$5)*X68+(AC$5&lt;E$5)*AD68+(AI$5&lt;E$5)*AJ68+(AO$5&lt;E$5)*AP68+(AU$5&lt;E$5)*AV68)))</f>
        <v/>
      </c>
      <c r="H68">
        <f>IF(F68-G68&lt;0.005,0,F68-G68)</f>
        <v/>
      </c>
      <c r="I68">
        <f>N67</f>
        <v/>
      </c>
      <c r="J68">
        <f>I68*Plan!D7/100/12</f>
        <v/>
      </c>
      <c r="K68">
        <f>MIN(Plan!E7,I68+J68)</f>
        <v/>
      </c>
      <c r="L68">
        <f>I68+J68-K68</f>
        <v/>
      </c>
      <c r="M68">
        <f>MIN(L68,MAX(0,$B68-((E$5&lt;K$5)*F68+(Q$5&lt;K$5)*R68+(W$5&lt;K$5)*X68+(AC$5&lt;K$5)*AD68+(AI$5&lt;K$5)*AJ68+(AO$5&lt;K$5)*AP68+(AU$5&lt;K$5)*AV68)))</f>
        <v/>
      </c>
      <c r="N68">
        <f>IF(L68-M68&lt;0.005,0,L68-M68)</f>
        <v/>
      </c>
      <c r="O68">
        <f>T67</f>
        <v/>
      </c>
      <c r="P68">
        <f>O68*Plan!D8/100/12</f>
        <v/>
      </c>
      <c r="Q68">
        <f>MIN(Plan!E8,O68+P68)</f>
        <v/>
      </c>
      <c r="R68">
        <f>O68+P68-Q68</f>
        <v/>
      </c>
      <c r="S68">
        <f>MIN(R68,MAX(0,$B68-((E$5&lt;Q$5)*F68+(K$5&lt;Q$5)*L68+(W$5&lt;Q$5)*X68+(AC$5&lt;Q$5)*AD68+(AI$5&lt;Q$5)*AJ68+(AO$5&lt;Q$5)*AP68+(AU$5&lt;Q$5)*AV68)))</f>
        <v/>
      </c>
      <c r="T68">
        <f>IF(R68-S68&lt;0.005,0,R68-S68)</f>
        <v/>
      </c>
      <c r="U68">
        <f>Z67</f>
        <v/>
      </c>
      <c r="V68">
        <f>U68*Plan!D9/100/12</f>
        <v/>
      </c>
      <c r="W68">
        <f>MIN(Plan!E9,U68+V68)</f>
        <v/>
      </c>
      <c r="X68">
        <f>U68+V68-W68</f>
        <v/>
      </c>
      <c r="Y68">
        <f>MIN(X68,MAX(0,$B68-((E$5&lt;W$5)*F68+(K$5&lt;W$5)*L68+(Q$5&lt;W$5)*R68+(AC$5&lt;W$5)*AD68+(AI$5&lt;W$5)*AJ68+(AO$5&lt;W$5)*AP68+(AU$5&lt;W$5)*AV68)))</f>
        <v/>
      </c>
      <c r="Z68">
        <f>IF(X68-Y68&lt;0.005,0,X68-Y68)</f>
        <v/>
      </c>
      <c r="AA68">
        <f>AF67</f>
        <v/>
      </c>
      <c r="AB68">
        <f>AA68*Plan!D10/100/12</f>
        <v/>
      </c>
      <c r="AC68">
        <f>MIN(Plan!E10,AA68+AB68)</f>
        <v/>
      </c>
      <c r="AD68">
        <f>AA68+AB68-AC68</f>
        <v/>
      </c>
      <c r="AE68">
        <f>MIN(AD68,MAX(0,$B68-((E$5&lt;AC$5)*F68+(K$5&lt;AC$5)*L68+(Q$5&lt;AC$5)*R68+(W$5&lt;AC$5)*X68+(AI$5&lt;AC$5)*AJ68+(AO$5&lt;AC$5)*AP68+(AU$5&lt;AC$5)*AV68)))</f>
        <v/>
      </c>
      <c r="AF68">
        <f>IF(AD68-AE68&lt;0.005,0,AD68-AE68)</f>
        <v/>
      </c>
      <c r="AG68">
        <f>AL67</f>
        <v/>
      </c>
      <c r="AH68">
        <f>AG68*Plan!D11/100/12</f>
        <v/>
      </c>
      <c r="AI68">
        <f>MIN(Plan!E11,AG68+AH68)</f>
        <v/>
      </c>
      <c r="AJ68">
        <f>AG68+AH68-AI68</f>
        <v/>
      </c>
      <c r="AK68">
        <f>MIN(AJ68,MAX(0,$B68-((E$5&lt;AI$5)*F68+(K$5&lt;AI$5)*L68+(Q$5&lt;AI$5)*R68+(W$5&lt;AI$5)*X68+(AC$5&lt;AI$5)*AD68+(AO$5&lt;AI$5)*AP68+(AU$5&lt;AI$5)*AV68)))</f>
        <v/>
      </c>
      <c r="AL68">
        <f>IF(AJ68-AK68&lt;0.005,0,AJ68-AK68)</f>
        <v/>
      </c>
      <c r="AM68">
        <f>AR67</f>
        <v/>
      </c>
      <c r="AN68">
        <f>AM68*Plan!D12/100/12</f>
        <v/>
      </c>
      <c r="AO68">
        <f>MIN(Plan!E12,AM68+AN68)</f>
        <v/>
      </c>
      <c r="AP68">
        <f>AM68+AN68-AO68</f>
        <v/>
      </c>
      <c r="AQ68">
        <f>MIN(AP68,MAX(0,$B68-((E$5&lt;AO$5)*F68+(K$5&lt;AO$5)*L68+(Q$5&lt;AO$5)*R68+(W$5&lt;AO$5)*X68+(AC$5&lt;AO$5)*AD68+(AI$5&lt;AO$5)*AJ68+(AU$5&lt;AO$5)*AV68)))</f>
        <v/>
      </c>
      <c r="AR68">
        <f>IF(AP68-AQ68&lt;0.005,0,AP68-AQ68)</f>
        <v/>
      </c>
      <c r="AS68">
        <f>AX67</f>
        <v/>
      </c>
      <c r="AT68">
        <f>AS68*Plan!D13/100/12</f>
        <v/>
      </c>
      <c r="AU68">
        <f>MIN(Plan!E13,AS68+AT68)</f>
        <v/>
      </c>
      <c r="AV68">
        <f>AS68+AT68-AU68</f>
        <v/>
      </c>
      <c r="AW68">
        <f>MIN(AV68,MAX(0,$B68-((E$5&lt;AU$5)*F68+(K$5&lt;AU$5)*L68+(Q$5&lt;AU$5)*R68+(W$5&lt;AU$5)*X68+(AC$5&lt;AU$5)*AD68+(AI$5&lt;AU$5)*AJ68+(AO$5&lt;AU$5)*AP68)))</f>
        <v/>
      </c>
      <c r="AX68">
        <f>IF(AV68-AW68&lt;0.005,0,AV68-AW68)</f>
        <v/>
      </c>
      <c r="BC68">
        <f>H68+N68+T68+Z68+AF68+AL68+AR68+AX68</f>
        <v/>
      </c>
    </row>
    <row r="69">
      <c r="A69" t="n">
        <v>63</v>
      </c>
      <c r="B69" s="19">
        <f>MAX(0,$B$3-(E69+K69+Q69+W69+AC69+AI69+AO69+AU69))</f>
        <v/>
      </c>
      <c r="C69">
        <f>H68</f>
        <v/>
      </c>
      <c r="D69">
        <f>C69*Plan!D6/100/12</f>
        <v/>
      </c>
      <c r="E69">
        <f>MIN(Plan!E6,C69+D69)</f>
        <v/>
      </c>
      <c r="F69">
        <f>C69+D69-E69</f>
        <v/>
      </c>
      <c r="G69">
        <f>MIN(F69,MAX(0,$B69-((K$5&lt;E$5)*L69+(Q$5&lt;E$5)*R69+(W$5&lt;E$5)*X69+(AC$5&lt;E$5)*AD69+(AI$5&lt;E$5)*AJ69+(AO$5&lt;E$5)*AP69+(AU$5&lt;E$5)*AV69)))</f>
        <v/>
      </c>
      <c r="H69">
        <f>IF(F69-G69&lt;0.005,0,F69-G69)</f>
        <v/>
      </c>
      <c r="I69">
        <f>N68</f>
        <v/>
      </c>
      <c r="J69">
        <f>I69*Plan!D7/100/12</f>
        <v/>
      </c>
      <c r="K69">
        <f>MIN(Plan!E7,I69+J69)</f>
        <v/>
      </c>
      <c r="L69">
        <f>I69+J69-K69</f>
        <v/>
      </c>
      <c r="M69">
        <f>MIN(L69,MAX(0,$B69-((E$5&lt;K$5)*F69+(Q$5&lt;K$5)*R69+(W$5&lt;K$5)*X69+(AC$5&lt;K$5)*AD69+(AI$5&lt;K$5)*AJ69+(AO$5&lt;K$5)*AP69+(AU$5&lt;K$5)*AV69)))</f>
        <v/>
      </c>
      <c r="N69">
        <f>IF(L69-M69&lt;0.005,0,L69-M69)</f>
        <v/>
      </c>
      <c r="O69">
        <f>T68</f>
        <v/>
      </c>
      <c r="P69">
        <f>O69*Plan!D8/100/12</f>
        <v/>
      </c>
      <c r="Q69">
        <f>MIN(Plan!E8,O69+P69)</f>
        <v/>
      </c>
      <c r="R69">
        <f>O69+P69-Q69</f>
        <v/>
      </c>
      <c r="S69">
        <f>MIN(R69,MAX(0,$B69-((E$5&lt;Q$5)*F69+(K$5&lt;Q$5)*L69+(W$5&lt;Q$5)*X69+(AC$5&lt;Q$5)*AD69+(AI$5&lt;Q$5)*AJ69+(AO$5&lt;Q$5)*AP69+(AU$5&lt;Q$5)*AV69)))</f>
        <v/>
      </c>
      <c r="T69">
        <f>IF(R69-S69&lt;0.005,0,R69-S69)</f>
        <v/>
      </c>
      <c r="U69">
        <f>Z68</f>
        <v/>
      </c>
      <c r="V69">
        <f>U69*Plan!D9/100/12</f>
        <v/>
      </c>
      <c r="W69">
        <f>MIN(Plan!E9,U69+V69)</f>
        <v/>
      </c>
      <c r="X69">
        <f>U69+V69-W69</f>
        <v/>
      </c>
      <c r="Y69">
        <f>MIN(X69,MAX(0,$B69-((E$5&lt;W$5)*F69+(K$5&lt;W$5)*L69+(Q$5&lt;W$5)*R69+(AC$5&lt;W$5)*AD69+(AI$5&lt;W$5)*AJ69+(AO$5&lt;W$5)*AP69+(AU$5&lt;W$5)*AV69)))</f>
        <v/>
      </c>
      <c r="Z69">
        <f>IF(X69-Y69&lt;0.005,0,X69-Y69)</f>
        <v/>
      </c>
      <c r="AA69">
        <f>AF68</f>
        <v/>
      </c>
      <c r="AB69">
        <f>AA69*Plan!D10/100/12</f>
        <v/>
      </c>
      <c r="AC69">
        <f>MIN(Plan!E10,AA69+AB69)</f>
        <v/>
      </c>
      <c r="AD69">
        <f>AA69+AB69-AC69</f>
        <v/>
      </c>
      <c r="AE69">
        <f>MIN(AD69,MAX(0,$B69-((E$5&lt;AC$5)*F69+(K$5&lt;AC$5)*L69+(Q$5&lt;AC$5)*R69+(W$5&lt;AC$5)*X69+(AI$5&lt;AC$5)*AJ69+(AO$5&lt;AC$5)*AP69+(AU$5&lt;AC$5)*AV69)))</f>
        <v/>
      </c>
      <c r="AF69">
        <f>IF(AD69-AE69&lt;0.005,0,AD69-AE69)</f>
        <v/>
      </c>
      <c r="AG69">
        <f>AL68</f>
        <v/>
      </c>
      <c r="AH69">
        <f>AG69*Plan!D11/100/12</f>
        <v/>
      </c>
      <c r="AI69">
        <f>MIN(Plan!E11,AG69+AH69)</f>
        <v/>
      </c>
      <c r="AJ69">
        <f>AG69+AH69-AI69</f>
        <v/>
      </c>
      <c r="AK69">
        <f>MIN(AJ69,MAX(0,$B69-((E$5&lt;AI$5)*F69+(K$5&lt;AI$5)*L69+(Q$5&lt;AI$5)*R69+(W$5&lt;AI$5)*X69+(AC$5&lt;AI$5)*AD69+(AO$5&lt;AI$5)*AP69+(AU$5&lt;AI$5)*AV69)))</f>
        <v/>
      </c>
      <c r="AL69">
        <f>IF(AJ69-AK69&lt;0.005,0,AJ69-AK69)</f>
        <v/>
      </c>
      <c r="AM69">
        <f>AR68</f>
        <v/>
      </c>
      <c r="AN69">
        <f>AM69*Plan!D12/100/12</f>
        <v/>
      </c>
      <c r="AO69">
        <f>MIN(Plan!E12,AM69+AN69)</f>
        <v/>
      </c>
      <c r="AP69">
        <f>AM69+AN69-AO69</f>
        <v/>
      </c>
      <c r="AQ69">
        <f>MIN(AP69,MAX(0,$B69-((E$5&lt;AO$5)*F69+(K$5&lt;AO$5)*L69+(Q$5&lt;AO$5)*R69+(W$5&lt;AO$5)*X69+(AC$5&lt;AO$5)*AD69+(AI$5&lt;AO$5)*AJ69+(AU$5&lt;AO$5)*AV69)))</f>
        <v/>
      </c>
      <c r="AR69">
        <f>IF(AP69-AQ69&lt;0.005,0,AP69-AQ69)</f>
        <v/>
      </c>
      <c r="AS69">
        <f>AX68</f>
        <v/>
      </c>
      <c r="AT69">
        <f>AS69*Plan!D13/100/12</f>
        <v/>
      </c>
      <c r="AU69">
        <f>MIN(Plan!E13,AS69+AT69)</f>
        <v/>
      </c>
      <c r="AV69">
        <f>AS69+AT69-AU69</f>
        <v/>
      </c>
      <c r="AW69">
        <f>MIN(AV69,MAX(0,$B69-((E$5&lt;AU$5)*F69+(K$5&lt;AU$5)*L69+(Q$5&lt;AU$5)*R69+(W$5&lt;AU$5)*X69+(AC$5&lt;AU$5)*AD69+(AI$5&lt;AU$5)*AJ69+(AO$5&lt;AU$5)*AP69)))</f>
        <v/>
      </c>
      <c r="AX69">
        <f>IF(AV69-AW69&lt;0.005,0,AV69-AW69)</f>
        <v/>
      </c>
      <c r="BC69">
        <f>H69+N69+T69+Z69+AF69+AL69+AR69+AX69</f>
        <v/>
      </c>
    </row>
    <row r="70">
      <c r="A70" t="n">
        <v>64</v>
      </c>
      <c r="B70" s="19">
        <f>MAX(0,$B$3-(E70+K70+Q70+W70+AC70+AI70+AO70+AU70))</f>
        <v/>
      </c>
      <c r="C70">
        <f>H69</f>
        <v/>
      </c>
      <c r="D70">
        <f>C70*Plan!D6/100/12</f>
        <v/>
      </c>
      <c r="E70">
        <f>MIN(Plan!E6,C70+D70)</f>
        <v/>
      </c>
      <c r="F70">
        <f>C70+D70-E70</f>
        <v/>
      </c>
      <c r="G70">
        <f>MIN(F70,MAX(0,$B70-((K$5&lt;E$5)*L70+(Q$5&lt;E$5)*R70+(W$5&lt;E$5)*X70+(AC$5&lt;E$5)*AD70+(AI$5&lt;E$5)*AJ70+(AO$5&lt;E$5)*AP70+(AU$5&lt;E$5)*AV70)))</f>
        <v/>
      </c>
      <c r="H70">
        <f>IF(F70-G70&lt;0.005,0,F70-G70)</f>
        <v/>
      </c>
      <c r="I70">
        <f>N69</f>
        <v/>
      </c>
      <c r="J70">
        <f>I70*Plan!D7/100/12</f>
        <v/>
      </c>
      <c r="K70">
        <f>MIN(Plan!E7,I70+J70)</f>
        <v/>
      </c>
      <c r="L70">
        <f>I70+J70-K70</f>
        <v/>
      </c>
      <c r="M70">
        <f>MIN(L70,MAX(0,$B70-((E$5&lt;K$5)*F70+(Q$5&lt;K$5)*R70+(W$5&lt;K$5)*X70+(AC$5&lt;K$5)*AD70+(AI$5&lt;K$5)*AJ70+(AO$5&lt;K$5)*AP70+(AU$5&lt;K$5)*AV70)))</f>
        <v/>
      </c>
      <c r="N70">
        <f>IF(L70-M70&lt;0.005,0,L70-M70)</f>
        <v/>
      </c>
      <c r="O70">
        <f>T69</f>
        <v/>
      </c>
      <c r="P70">
        <f>O70*Plan!D8/100/12</f>
        <v/>
      </c>
      <c r="Q70">
        <f>MIN(Plan!E8,O70+P70)</f>
        <v/>
      </c>
      <c r="R70">
        <f>O70+P70-Q70</f>
        <v/>
      </c>
      <c r="S70">
        <f>MIN(R70,MAX(0,$B70-((E$5&lt;Q$5)*F70+(K$5&lt;Q$5)*L70+(W$5&lt;Q$5)*X70+(AC$5&lt;Q$5)*AD70+(AI$5&lt;Q$5)*AJ70+(AO$5&lt;Q$5)*AP70+(AU$5&lt;Q$5)*AV70)))</f>
        <v/>
      </c>
      <c r="T70">
        <f>IF(R70-S70&lt;0.005,0,R70-S70)</f>
        <v/>
      </c>
      <c r="U70">
        <f>Z69</f>
        <v/>
      </c>
      <c r="V70">
        <f>U70*Plan!D9/100/12</f>
        <v/>
      </c>
      <c r="W70">
        <f>MIN(Plan!E9,U70+V70)</f>
        <v/>
      </c>
      <c r="X70">
        <f>U70+V70-W70</f>
        <v/>
      </c>
      <c r="Y70">
        <f>MIN(X70,MAX(0,$B70-((E$5&lt;W$5)*F70+(K$5&lt;W$5)*L70+(Q$5&lt;W$5)*R70+(AC$5&lt;W$5)*AD70+(AI$5&lt;W$5)*AJ70+(AO$5&lt;W$5)*AP70+(AU$5&lt;W$5)*AV70)))</f>
        <v/>
      </c>
      <c r="Z70">
        <f>IF(X70-Y70&lt;0.005,0,X70-Y70)</f>
        <v/>
      </c>
      <c r="AA70">
        <f>AF69</f>
        <v/>
      </c>
      <c r="AB70">
        <f>AA70*Plan!D10/100/12</f>
        <v/>
      </c>
      <c r="AC70">
        <f>MIN(Plan!E10,AA70+AB70)</f>
        <v/>
      </c>
      <c r="AD70">
        <f>AA70+AB70-AC70</f>
        <v/>
      </c>
      <c r="AE70">
        <f>MIN(AD70,MAX(0,$B70-((E$5&lt;AC$5)*F70+(K$5&lt;AC$5)*L70+(Q$5&lt;AC$5)*R70+(W$5&lt;AC$5)*X70+(AI$5&lt;AC$5)*AJ70+(AO$5&lt;AC$5)*AP70+(AU$5&lt;AC$5)*AV70)))</f>
        <v/>
      </c>
      <c r="AF70">
        <f>IF(AD70-AE70&lt;0.005,0,AD70-AE70)</f>
        <v/>
      </c>
      <c r="AG70">
        <f>AL69</f>
        <v/>
      </c>
      <c r="AH70">
        <f>AG70*Plan!D11/100/12</f>
        <v/>
      </c>
      <c r="AI70">
        <f>MIN(Plan!E11,AG70+AH70)</f>
        <v/>
      </c>
      <c r="AJ70">
        <f>AG70+AH70-AI70</f>
        <v/>
      </c>
      <c r="AK70">
        <f>MIN(AJ70,MAX(0,$B70-((E$5&lt;AI$5)*F70+(K$5&lt;AI$5)*L70+(Q$5&lt;AI$5)*R70+(W$5&lt;AI$5)*X70+(AC$5&lt;AI$5)*AD70+(AO$5&lt;AI$5)*AP70+(AU$5&lt;AI$5)*AV70)))</f>
        <v/>
      </c>
      <c r="AL70">
        <f>IF(AJ70-AK70&lt;0.005,0,AJ70-AK70)</f>
        <v/>
      </c>
      <c r="AM70">
        <f>AR69</f>
        <v/>
      </c>
      <c r="AN70">
        <f>AM70*Plan!D12/100/12</f>
        <v/>
      </c>
      <c r="AO70">
        <f>MIN(Plan!E12,AM70+AN70)</f>
        <v/>
      </c>
      <c r="AP70">
        <f>AM70+AN70-AO70</f>
        <v/>
      </c>
      <c r="AQ70">
        <f>MIN(AP70,MAX(0,$B70-((E$5&lt;AO$5)*F70+(K$5&lt;AO$5)*L70+(Q$5&lt;AO$5)*R70+(W$5&lt;AO$5)*X70+(AC$5&lt;AO$5)*AD70+(AI$5&lt;AO$5)*AJ70+(AU$5&lt;AO$5)*AV70)))</f>
        <v/>
      </c>
      <c r="AR70">
        <f>IF(AP70-AQ70&lt;0.005,0,AP70-AQ70)</f>
        <v/>
      </c>
      <c r="AS70">
        <f>AX69</f>
        <v/>
      </c>
      <c r="AT70">
        <f>AS70*Plan!D13/100/12</f>
        <v/>
      </c>
      <c r="AU70">
        <f>MIN(Plan!E13,AS70+AT70)</f>
        <v/>
      </c>
      <c r="AV70">
        <f>AS70+AT70-AU70</f>
        <v/>
      </c>
      <c r="AW70">
        <f>MIN(AV70,MAX(0,$B70-((E$5&lt;AU$5)*F70+(K$5&lt;AU$5)*L70+(Q$5&lt;AU$5)*R70+(W$5&lt;AU$5)*X70+(AC$5&lt;AU$5)*AD70+(AI$5&lt;AU$5)*AJ70+(AO$5&lt;AU$5)*AP70)))</f>
        <v/>
      </c>
      <c r="AX70">
        <f>IF(AV70-AW70&lt;0.005,0,AV70-AW70)</f>
        <v/>
      </c>
      <c r="BC70">
        <f>H70+N70+T70+Z70+AF70+AL70+AR70+AX70</f>
        <v/>
      </c>
    </row>
    <row r="71">
      <c r="A71" t="n">
        <v>65</v>
      </c>
      <c r="B71" s="19">
        <f>MAX(0,$B$3-(E71+K71+Q71+W71+AC71+AI71+AO71+AU71))</f>
        <v/>
      </c>
      <c r="C71">
        <f>H70</f>
        <v/>
      </c>
      <c r="D71">
        <f>C71*Plan!D6/100/12</f>
        <v/>
      </c>
      <c r="E71">
        <f>MIN(Plan!E6,C71+D71)</f>
        <v/>
      </c>
      <c r="F71">
        <f>C71+D71-E71</f>
        <v/>
      </c>
      <c r="G71">
        <f>MIN(F71,MAX(0,$B71-((K$5&lt;E$5)*L71+(Q$5&lt;E$5)*R71+(W$5&lt;E$5)*X71+(AC$5&lt;E$5)*AD71+(AI$5&lt;E$5)*AJ71+(AO$5&lt;E$5)*AP71+(AU$5&lt;E$5)*AV71)))</f>
        <v/>
      </c>
      <c r="H71">
        <f>IF(F71-G71&lt;0.005,0,F71-G71)</f>
        <v/>
      </c>
      <c r="I71">
        <f>N70</f>
        <v/>
      </c>
      <c r="J71">
        <f>I71*Plan!D7/100/12</f>
        <v/>
      </c>
      <c r="K71">
        <f>MIN(Plan!E7,I71+J71)</f>
        <v/>
      </c>
      <c r="L71">
        <f>I71+J71-K71</f>
        <v/>
      </c>
      <c r="M71">
        <f>MIN(L71,MAX(0,$B71-((E$5&lt;K$5)*F71+(Q$5&lt;K$5)*R71+(W$5&lt;K$5)*X71+(AC$5&lt;K$5)*AD71+(AI$5&lt;K$5)*AJ71+(AO$5&lt;K$5)*AP71+(AU$5&lt;K$5)*AV71)))</f>
        <v/>
      </c>
      <c r="N71">
        <f>IF(L71-M71&lt;0.005,0,L71-M71)</f>
        <v/>
      </c>
      <c r="O71">
        <f>T70</f>
        <v/>
      </c>
      <c r="P71">
        <f>O71*Plan!D8/100/12</f>
        <v/>
      </c>
      <c r="Q71">
        <f>MIN(Plan!E8,O71+P71)</f>
        <v/>
      </c>
      <c r="R71">
        <f>O71+P71-Q71</f>
        <v/>
      </c>
      <c r="S71">
        <f>MIN(R71,MAX(0,$B71-((E$5&lt;Q$5)*F71+(K$5&lt;Q$5)*L71+(W$5&lt;Q$5)*X71+(AC$5&lt;Q$5)*AD71+(AI$5&lt;Q$5)*AJ71+(AO$5&lt;Q$5)*AP71+(AU$5&lt;Q$5)*AV71)))</f>
        <v/>
      </c>
      <c r="T71">
        <f>IF(R71-S71&lt;0.005,0,R71-S71)</f>
        <v/>
      </c>
      <c r="U71">
        <f>Z70</f>
        <v/>
      </c>
      <c r="V71">
        <f>U71*Plan!D9/100/12</f>
        <v/>
      </c>
      <c r="W71">
        <f>MIN(Plan!E9,U71+V71)</f>
        <v/>
      </c>
      <c r="X71">
        <f>U71+V71-W71</f>
        <v/>
      </c>
      <c r="Y71">
        <f>MIN(X71,MAX(0,$B71-((E$5&lt;W$5)*F71+(K$5&lt;W$5)*L71+(Q$5&lt;W$5)*R71+(AC$5&lt;W$5)*AD71+(AI$5&lt;W$5)*AJ71+(AO$5&lt;W$5)*AP71+(AU$5&lt;W$5)*AV71)))</f>
        <v/>
      </c>
      <c r="Z71">
        <f>IF(X71-Y71&lt;0.005,0,X71-Y71)</f>
        <v/>
      </c>
      <c r="AA71">
        <f>AF70</f>
        <v/>
      </c>
      <c r="AB71">
        <f>AA71*Plan!D10/100/12</f>
        <v/>
      </c>
      <c r="AC71">
        <f>MIN(Plan!E10,AA71+AB71)</f>
        <v/>
      </c>
      <c r="AD71">
        <f>AA71+AB71-AC71</f>
        <v/>
      </c>
      <c r="AE71">
        <f>MIN(AD71,MAX(0,$B71-((E$5&lt;AC$5)*F71+(K$5&lt;AC$5)*L71+(Q$5&lt;AC$5)*R71+(W$5&lt;AC$5)*X71+(AI$5&lt;AC$5)*AJ71+(AO$5&lt;AC$5)*AP71+(AU$5&lt;AC$5)*AV71)))</f>
        <v/>
      </c>
      <c r="AF71">
        <f>IF(AD71-AE71&lt;0.005,0,AD71-AE71)</f>
        <v/>
      </c>
      <c r="AG71">
        <f>AL70</f>
        <v/>
      </c>
      <c r="AH71">
        <f>AG71*Plan!D11/100/12</f>
        <v/>
      </c>
      <c r="AI71">
        <f>MIN(Plan!E11,AG71+AH71)</f>
        <v/>
      </c>
      <c r="AJ71">
        <f>AG71+AH71-AI71</f>
        <v/>
      </c>
      <c r="AK71">
        <f>MIN(AJ71,MAX(0,$B71-((E$5&lt;AI$5)*F71+(K$5&lt;AI$5)*L71+(Q$5&lt;AI$5)*R71+(W$5&lt;AI$5)*X71+(AC$5&lt;AI$5)*AD71+(AO$5&lt;AI$5)*AP71+(AU$5&lt;AI$5)*AV71)))</f>
        <v/>
      </c>
      <c r="AL71">
        <f>IF(AJ71-AK71&lt;0.005,0,AJ71-AK71)</f>
        <v/>
      </c>
      <c r="AM71">
        <f>AR70</f>
        <v/>
      </c>
      <c r="AN71">
        <f>AM71*Plan!D12/100/12</f>
        <v/>
      </c>
      <c r="AO71">
        <f>MIN(Plan!E12,AM71+AN71)</f>
        <v/>
      </c>
      <c r="AP71">
        <f>AM71+AN71-AO71</f>
        <v/>
      </c>
      <c r="AQ71">
        <f>MIN(AP71,MAX(0,$B71-((E$5&lt;AO$5)*F71+(K$5&lt;AO$5)*L71+(Q$5&lt;AO$5)*R71+(W$5&lt;AO$5)*X71+(AC$5&lt;AO$5)*AD71+(AI$5&lt;AO$5)*AJ71+(AU$5&lt;AO$5)*AV71)))</f>
        <v/>
      </c>
      <c r="AR71">
        <f>IF(AP71-AQ71&lt;0.005,0,AP71-AQ71)</f>
        <v/>
      </c>
      <c r="AS71">
        <f>AX70</f>
        <v/>
      </c>
      <c r="AT71">
        <f>AS71*Plan!D13/100/12</f>
        <v/>
      </c>
      <c r="AU71">
        <f>MIN(Plan!E13,AS71+AT71)</f>
        <v/>
      </c>
      <c r="AV71">
        <f>AS71+AT71-AU71</f>
        <v/>
      </c>
      <c r="AW71">
        <f>MIN(AV71,MAX(0,$B71-((E$5&lt;AU$5)*F71+(K$5&lt;AU$5)*L71+(Q$5&lt;AU$5)*R71+(W$5&lt;AU$5)*X71+(AC$5&lt;AU$5)*AD71+(AI$5&lt;AU$5)*AJ71+(AO$5&lt;AU$5)*AP71)))</f>
        <v/>
      </c>
      <c r="AX71">
        <f>IF(AV71-AW71&lt;0.005,0,AV71-AW71)</f>
        <v/>
      </c>
      <c r="BC71">
        <f>H71+N71+T71+Z71+AF71+AL71+AR71+AX71</f>
        <v/>
      </c>
    </row>
    <row r="72">
      <c r="A72" t="n">
        <v>66</v>
      </c>
      <c r="B72" s="19">
        <f>MAX(0,$B$3-(E72+K72+Q72+W72+AC72+AI72+AO72+AU72))</f>
        <v/>
      </c>
      <c r="C72">
        <f>H71</f>
        <v/>
      </c>
      <c r="D72">
        <f>C72*Plan!D6/100/12</f>
        <v/>
      </c>
      <c r="E72">
        <f>MIN(Plan!E6,C72+D72)</f>
        <v/>
      </c>
      <c r="F72">
        <f>C72+D72-E72</f>
        <v/>
      </c>
      <c r="G72">
        <f>MIN(F72,MAX(0,$B72-((K$5&lt;E$5)*L72+(Q$5&lt;E$5)*R72+(W$5&lt;E$5)*X72+(AC$5&lt;E$5)*AD72+(AI$5&lt;E$5)*AJ72+(AO$5&lt;E$5)*AP72+(AU$5&lt;E$5)*AV72)))</f>
        <v/>
      </c>
      <c r="H72">
        <f>IF(F72-G72&lt;0.005,0,F72-G72)</f>
        <v/>
      </c>
      <c r="I72">
        <f>N71</f>
        <v/>
      </c>
      <c r="J72">
        <f>I72*Plan!D7/100/12</f>
        <v/>
      </c>
      <c r="K72">
        <f>MIN(Plan!E7,I72+J72)</f>
        <v/>
      </c>
      <c r="L72">
        <f>I72+J72-K72</f>
        <v/>
      </c>
      <c r="M72">
        <f>MIN(L72,MAX(0,$B72-((E$5&lt;K$5)*F72+(Q$5&lt;K$5)*R72+(W$5&lt;K$5)*X72+(AC$5&lt;K$5)*AD72+(AI$5&lt;K$5)*AJ72+(AO$5&lt;K$5)*AP72+(AU$5&lt;K$5)*AV72)))</f>
        <v/>
      </c>
      <c r="N72">
        <f>IF(L72-M72&lt;0.005,0,L72-M72)</f>
        <v/>
      </c>
      <c r="O72">
        <f>T71</f>
        <v/>
      </c>
      <c r="P72">
        <f>O72*Plan!D8/100/12</f>
        <v/>
      </c>
      <c r="Q72">
        <f>MIN(Plan!E8,O72+P72)</f>
        <v/>
      </c>
      <c r="R72">
        <f>O72+P72-Q72</f>
        <v/>
      </c>
      <c r="S72">
        <f>MIN(R72,MAX(0,$B72-((E$5&lt;Q$5)*F72+(K$5&lt;Q$5)*L72+(W$5&lt;Q$5)*X72+(AC$5&lt;Q$5)*AD72+(AI$5&lt;Q$5)*AJ72+(AO$5&lt;Q$5)*AP72+(AU$5&lt;Q$5)*AV72)))</f>
        <v/>
      </c>
      <c r="T72">
        <f>IF(R72-S72&lt;0.005,0,R72-S72)</f>
        <v/>
      </c>
      <c r="U72">
        <f>Z71</f>
        <v/>
      </c>
      <c r="V72">
        <f>U72*Plan!D9/100/12</f>
        <v/>
      </c>
      <c r="W72">
        <f>MIN(Plan!E9,U72+V72)</f>
        <v/>
      </c>
      <c r="X72">
        <f>U72+V72-W72</f>
        <v/>
      </c>
      <c r="Y72">
        <f>MIN(X72,MAX(0,$B72-((E$5&lt;W$5)*F72+(K$5&lt;W$5)*L72+(Q$5&lt;W$5)*R72+(AC$5&lt;W$5)*AD72+(AI$5&lt;W$5)*AJ72+(AO$5&lt;W$5)*AP72+(AU$5&lt;W$5)*AV72)))</f>
        <v/>
      </c>
      <c r="Z72">
        <f>IF(X72-Y72&lt;0.005,0,X72-Y72)</f>
        <v/>
      </c>
      <c r="AA72">
        <f>AF71</f>
        <v/>
      </c>
      <c r="AB72">
        <f>AA72*Plan!D10/100/12</f>
        <v/>
      </c>
      <c r="AC72">
        <f>MIN(Plan!E10,AA72+AB72)</f>
        <v/>
      </c>
      <c r="AD72">
        <f>AA72+AB72-AC72</f>
        <v/>
      </c>
      <c r="AE72">
        <f>MIN(AD72,MAX(0,$B72-((E$5&lt;AC$5)*F72+(K$5&lt;AC$5)*L72+(Q$5&lt;AC$5)*R72+(W$5&lt;AC$5)*X72+(AI$5&lt;AC$5)*AJ72+(AO$5&lt;AC$5)*AP72+(AU$5&lt;AC$5)*AV72)))</f>
        <v/>
      </c>
      <c r="AF72">
        <f>IF(AD72-AE72&lt;0.005,0,AD72-AE72)</f>
        <v/>
      </c>
      <c r="AG72">
        <f>AL71</f>
        <v/>
      </c>
      <c r="AH72">
        <f>AG72*Plan!D11/100/12</f>
        <v/>
      </c>
      <c r="AI72">
        <f>MIN(Plan!E11,AG72+AH72)</f>
        <v/>
      </c>
      <c r="AJ72">
        <f>AG72+AH72-AI72</f>
        <v/>
      </c>
      <c r="AK72">
        <f>MIN(AJ72,MAX(0,$B72-((E$5&lt;AI$5)*F72+(K$5&lt;AI$5)*L72+(Q$5&lt;AI$5)*R72+(W$5&lt;AI$5)*X72+(AC$5&lt;AI$5)*AD72+(AO$5&lt;AI$5)*AP72+(AU$5&lt;AI$5)*AV72)))</f>
        <v/>
      </c>
      <c r="AL72">
        <f>IF(AJ72-AK72&lt;0.005,0,AJ72-AK72)</f>
        <v/>
      </c>
      <c r="AM72">
        <f>AR71</f>
        <v/>
      </c>
      <c r="AN72">
        <f>AM72*Plan!D12/100/12</f>
        <v/>
      </c>
      <c r="AO72">
        <f>MIN(Plan!E12,AM72+AN72)</f>
        <v/>
      </c>
      <c r="AP72">
        <f>AM72+AN72-AO72</f>
        <v/>
      </c>
      <c r="AQ72">
        <f>MIN(AP72,MAX(0,$B72-((E$5&lt;AO$5)*F72+(K$5&lt;AO$5)*L72+(Q$5&lt;AO$5)*R72+(W$5&lt;AO$5)*X72+(AC$5&lt;AO$5)*AD72+(AI$5&lt;AO$5)*AJ72+(AU$5&lt;AO$5)*AV72)))</f>
        <v/>
      </c>
      <c r="AR72">
        <f>IF(AP72-AQ72&lt;0.005,0,AP72-AQ72)</f>
        <v/>
      </c>
      <c r="AS72">
        <f>AX71</f>
        <v/>
      </c>
      <c r="AT72">
        <f>AS72*Plan!D13/100/12</f>
        <v/>
      </c>
      <c r="AU72">
        <f>MIN(Plan!E13,AS72+AT72)</f>
        <v/>
      </c>
      <c r="AV72">
        <f>AS72+AT72-AU72</f>
        <v/>
      </c>
      <c r="AW72">
        <f>MIN(AV72,MAX(0,$B72-((E$5&lt;AU$5)*F72+(K$5&lt;AU$5)*L72+(Q$5&lt;AU$5)*R72+(W$5&lt;AU$5)*X72+(AC$5&lt;AU$5)*AD72+(AI$5&lt;AU$5)*AJ72+(AO$5&lt;AU$5)*AP72)))</f>
        <v/>
      </c>
      <c r="AX72">
        <f>IF(AV72-AW72&lt;0.005,0,AV72-AW72)</f>
        <v/>
      </c>
      <c r="BC72">
        <f>H72+N72+T72+Z72+AF72+AL72+AR72+AX72</f>
        <v/>
      </c>
    </row>
    <row r="73">
      <c r="A73" t="n">
        <v>67</v>
      </c>
      <c r="B73" s="19">
        <f>MAX(0,$B$3-(E73+K73+Q73+W73+AC73+AI73+AO73+AU73))</f>
        <v/>
      </c>
      <c r="C73">
        <f>H72</f>
        <v/>
      </c>
      <c r="D73">
        <f>C73*Plan!D6/100/12</f>
        <v/>
      </c>
      <c r="E73">
        <f>MIN(Plan!E6,C73+D73)</f>
        <v/>
      </c>
      <c r="F73">
        <f>C73+D73-E73</f>
        <v/>
      </c>
      <c r="G73">
        <f>MIN(F73,MAX(0,$B73-((K$5&lt;E$5)*L73+(Q$5&lt;E$5)*R73+(W$5&lt;E$5)*X73+(AC$5&lt;E$5)*AD73+(AI$5&lt;E$5)*AJ73+(AO$5&lt;E$5)*AP73+(AU$5&lt;E$5)*AV73)))</f>
        <v/>
      </c>
      <c r="H73">
        <f>IF(F73-G73&lt;0.005,0,F73-G73)</f>
        <v/>
      </c>
      <c r="I73">
        <f>N72</f>
        <v/>
      </c>
      <c r="J73">
        <f>I73*Plan!D7/100/12</f>
        <v/>
      </c>
      <c r="K73">
        <f>MIN(Plan!E7,I73+J73)</f>
        <v/>
      </c>
      <c r="L73">
        <f>I73+J73-K73</f>
        <v/>
      </c>
      <c r="M73">
        <f>MIN(L73,MAX(0,$B73-((E$5&lt;K$5)*F73+(Q$5&lt;K$5)*R73+(W$5&lt;K$5)*X73+(AC$5&lt;K$5)*AD73+(AI$5&lt;K$5)*AJ73+(AO$5&lt;K$5)*AP73+(AU$5&lt;K$5)*AV73)))</f>
        <v/>
      </c>
      <c r="N73">
        <f>IF(L73-M73&lt;0.005,0,L73-M73)</f>
        <v/>
      </c>
      <c r="O73">
        <f>T72</f>
        <v/>
      </c>
      <c r="P73">
        <f>O73*Plan!D8/100/12</f>
        <v/>
      </c>
      <c r="Q73">
        <f>MIN(Plan!E8,O73+P73)</f>
        <v/>
      </c>
      <c r="R73">
        <f>O73+P73-Q73</f>
        <v/>
      </c>
      <c r="S73">
        <f>MIN(R73,MAX(0,$B73-((E$5&lt;Q$5)*F73+(K$5&lt;Q$5)*L73+(W$5&lt;Q$5)*X73+(AC$5&lt;Q$5)*AD73+(AI$5&lt;Q$5)*AJ73+(AO$5&lt;Q$5)*AP73+(AU$5&lt;Q$5)*AV73)))</f>
        <v/>
      </c>
      <c r="T73">
        <f>IF(R73-S73&lt;0.005,0,R73-S73)</f>
        <v/>
      </c>
      <c r="U73">
        <f>Z72</f>
        <v/>
      </c>
      <c r="V73">
        <f>U73*Plan!D9/100/12</f>
        <v/>
      </c>
      <c r="W73">
        <f>MIN(Plan!E9,U73+V73)</f>
        <v/>
      </c>
      <c r="X73">
        <f>U73+V73-W73</f>
        <v/>
      </c>
      <c r="Y73">
        <f>MIN(X73,MAX(0,$B73-((E$5&lt;W$5)*F73+(K$5&lt;W$5)*L73+(Q$5&lt;W$5)*R73+(AC$5&lt;W$5)*AD73+(AI$5&lt;W$5)*AJ73+(AO$5&lt;W$5)*AP73+(AU$5&lt;W$5)*AV73)))</f>
        <v/>
      </c>
      <c r="Z73">
        <f>IF(X73-Y73&lt;0.005,0,X73-Y73)</f>
        <v/>
      </c>
      <c r="AA73">
        <f>AF72</f>
        <v/>
      </c>
      <c r="AB73">
        <f>AA73*Plan!D10/100/12</f>
        <v/>
      </c>
      <c r="AC73">
        <f>MIN(Plan!E10,AA73+AB73)</f>
        <v/>
      </c>
      <c r="AD73">
        <f>AA73+AB73-AC73</f>
        <v/>
      </c>
      <c r="AE73">
        <f>MIN(AD73,MAX(0,$B73-((E$5&lt;AC$5)*F73+(K$5&lt;AC$5)*L73+(Q$5&lt;AC$5)*R73+(W$5&lt;AC$5)*X73+(AI$5&lt;AC$5)*AJ73+(AO$5&lt;AC$5)*AP73+(AU$5&lt;AC$5)*AV73)))</f>
        <v/>
      </c>
      <c r="AF73">
        <f>IF(AD73-AE73&lt;0.005,0,AD73-AE73)</f>
        <v/>
      </c>
      <c r="AG73">
        <f>AL72</f>
        <v/>
      </c>
      <c r="AH73">
        <f>AG73*Plan!D11/100/12</f>
        <v/>
      </c>
      <c r="AI73">
        <f>MIN(Plan!E11,AG73+AH73)</f>
        <v/>
      </c>
      <c r="AJ73">
        <f>AG73+AH73-AI73</f>
        <v/>
      </c>
      <c r="AK73">
        <f>MIN(AJ73,MAX(0,$B73-((E$5&lt;AI$5)*F73+(K$5&lt;AI$5)*L73+(Q$5&lt;AI$5)*R73+(W$5&lt;AI$5)*X73+(AC$5&lt;AI$5)*AD73+(AO$5&lt;AI$5)*AP73+(AU$5&lt;AI$5)*AV73)))</f>
        <v/>
      </c>
      <c r="AL73">
        <f>IF(AJ73-AK73&lt;0.005,0,AJ73-AK73)</f>
        <v/>
      </c>
      <c r="AM73">
        <f>AR72</f>
        <v/>
      </c>
      <c r="AN73">
        <f>AM73*Plan!D12/100/12</f>
        <v/>
      </c>
      <c r="AO73">
        <f>MIN(Plan!E12,AM73+AN73)</f>
        <v/>
      </c>
      <c r="AP73">
        <f>AM73+AN73-AO73</f>
        <v/>
      </c>
      <c r="AQ73">
        <f>MIN(AP73,MAX(0,$B73-((E$5&lt;AO$5)*F73+(K$5&lt;AO$5)*L73+(Q$5&lt;AO$5)*R73+(W$5&lt;AO$5)*X73+(AC$5&lt;AO$5)*AD73+(AI$5&lt;AO$5)*AJ73+(AU$5&lt;AO$5)*AV73)))</f>
        <v/>
      </c>
      <c r="AR73">
        <f>IF(AP73-AQ73&lt;0.005,0,AP73-AQ73)</f>
        <v/>
      </c>
      <c r="AS73">
        <f>AX72</f>
        <v/>
      </c>
      <c r="AT73">
        <f>AS73*Plan!D13/100/12</f>
        <v/>
      </c>
      <c r="AU73">
        <f>MIN(Plan!E13,AS73+AT73)</f>
        <v/>
      </c>
      <c r="AV73">
        <f>AS73+AT73-AU73</f>
        <v/>
      </c>
      <c r="AW73">
        <f>MIN(AV73,MAX(0,$B73-((E$5&lt;AU$5)*F73+(K$5&lt;AU$5)*L73+(Q$5&lt;AU$5)*R73+(W$5&lt;AU$5)*X73+(AC$5&lt;AU$5)*AD73+(AI$5&lt;AU$5)*AJ73+(AO$5&lt;AU$5)*AP73)))</f>
        <v/>
      </c>
      <c r="AX73">
        <f>IF(AV73-AW73&lt;0.005,0,AV73-AW73)</f>
        <v/>
      </c>
      <c r="BC73">
        <f>H73+N73+T73+Z73+AF73+AL73+AR73+AX73</f>
        <v/>
      </c>
    </row>
    <row r="74">
      <c r="A74" t="n">
        <v>68</v>
      </c>
      <c r="B74" s="19">
        <f>MAX(0,$B$3-(E74+K74+Q74+W74+AC74+AI74+AO74+AU74))</f>
        <v/>
      </c>
      <c r="C74">
        <f>H73</f>
        <v/>
      </c>
      <c r="D74">
        <f>C74*Plan!D6/100/12</f>
        <v/>
      </c>
      <c r="E74">
        <f>MIN(Plan!E6,C74+D74)</f>
        <v/>
      </c>
      <c r="F74">
        <f>C74+D74-E74</f>
        <v/>
      </c>
      <c r="G74">
        <f>MIN(F74,MAX(0,$B74-((K$5&lt;E$5)*L74+(Q$5&lt;E$5)*R74+(W$5&lt;E$5)*X74+(AC$5&lt;E$5)*AD74+(AI$5&lt;E$5)*AJ74+(AO$5&lt;E$5)*AP74+(AU$5&lt;E$5)*AV74)))</f>
        <v/>
      </c>
      <c r="H74">
        <f>IF(F74-G74&lt;0.005,0,F74-G74)</f>
        <v/>
      </c>
      <c r="I74">
        <f>N73</f>
        <v/>
      </c>
      <c r="J74">
        <f>I74*Plan!D7/100/12</f>
        <v/>
      </c>
      <c r="K74">
        <f>MIN(Plan!E7,I74+J74)</f>
        <v/>
      </c>
      <c r="L74">
        <f>I74+J74-K74</f>
        <v/>
      </c>
      <c r="M74">
        <f>MIN(L74,MAX(0,$B74-((E$5&lt;K$5)*F74+(Q$5&lt;K$5)*R74+(W$5&lt;K$5)*X74+(AC$5&lt;K$5)*AD74+(AI$5&lt;K$5)*AJ74+(AO$5&lt;K$5)*AP74+(AU$5&lt;K$5)*AV74)))</f>
        <v/>
      </c>
      <c r="N74">
        <f>IF(L74-M74&lt;0.005,0,L74-M74)</f>
        <v/>
      </c>
      <c r="O74">
        <f>T73</f>
        <v/>
      </c>
      <c r="P74">
        <f>O74*Plan!D8/100/12</f>
        <v/>
      </c>
      <c r="Q74">
        <f>MIN(Plan!E8,O74+P74)</f>
        <v/>
      </c>
      <c r="R74">
        <f>O74+P74-Q74</f>
        <v/>
      </c>
      <c r="S74">
        <f>MIN(R74,MAX(0,$B74-((E$5&lt;Q$5)*F74+(K$5&lt;Q$5)*L74+(W$5&lt;Q$5)*X74+(AC$5&lt;Q$5)*AD74+(AI$5&lt;Q$5)*AJ74+(AO$5&lt;Q$5)*AP74+(AU$5&lt;Q$5)*AV74)))</f>
        <v/>
      </c>
      <c r="T74">
        <f>IF(R74-S74&lt;0.005,0,R74-S74)</f>
        <v/>
      </c>
      <c r="U74">
        <f>Z73</f>
        <v/>
      </c>
      <c r="V74">
        <f>U74*Plan!D9/100/12</f>
        <v/>
      </c>
      <c r="W74">
        <f>MIN(Plan!E9,U74+V74)</f>
        <v/>
      </c>
      <c r="X74">
        <f>U74+V74-W74</f>
        <v/>
      </c>
      <c r="Y74">
        <f>MIN(X74,MAX(0,$B74-((E$5&lt;W$5)*F74+(K$5&lt;W$5)*L74+(Q$5&lt;W$5)*R74+(AC$5&lt;W$5)*AD74+(AI$5&lt;W$5)*AJ74+(AO$5&lt;W$5)*AP74+(AU$5&lt;W$5)*AV74)))</f>
        <v/>
      </c>
      <c r="Z74">
        <f>IF(X74-Y74&lt;0.005,0,X74-Y74)</f>
        <v/>
      </c>
      <c r="AA74">
        <f>AF73</f>
        <v/>
      </c>
      <c r="AB74">
        <f>AA74*Plan!D10/100/12</f>
        <v/>
      </c>
      <c r="AC74">
        <f>MIN(Plan!E10,AA74+AB74)</f>
        <v/>
      </c>
      <c r="AD74">
        <f>AA74+AB74-AC74</f>
        <v/>
      </c>
      <c r="AE74">
        <f>MIN(AD74,MAX(0,$B74-((E$5&lt;AC$5)*F74+(K$5&lt;AC$5)*L74+(Q$5&lt;AC$5)*R74+(W$5&lt;AC$5)*X74+(AI$5&lt;AC$5)*AJ74+(AO$5&lt;AC$5)*AP74+(AU$5&lt;AC$5)*AV74)))</f>
        <v/>
      </c>
      <c r="AF74">
        <f>IF(AD74-AE74&lt;0.005,0,AD74-AE74)</f>
        <v/>
      </c>
      <c r="AG74">
        <f>AL73</f>
        <v/>
      </c>
      <c r="AH74">
        <f>AG74*Plan!D11/100/12</f>
        <v/>
      </c>
      <c r="AI74">
        <f>MIN(Plan!E11,AG74+AH74)</f>
        <v/>
      </c>
      <c r="AJ74">
        <f>AG74+AH74-AI74</f>
        <v/>
      </c>
      <c r="AK74">
        <f>MIN(AJ74,MAX(0,$B74-((E$5&lt;AI$5)*F74+(K$5&lt;AI$5)*L74+(Q$5&lt;AI$5)*R74+(W$5&lt;AI$5)*X74+(AC$5&lt;AI$5)*AD74+(AO$5&lt;AI$5)*AP74+(AU$5&lt;AI$5)*AV74)))</f>
        <v/>
      </c>
      <c r="AL74">
        <f>IF(AJ74-AK74&lt;0.005,0,AJ74-AK74)</f>
        <v/>
      </c>
      <c r="AM74">
        <f>AR73</f>
        <v/>
      </c>
      <c r="AN74">
        <f>AM74*Plan!D12/100/12</f>
        <v/>
      </c>
      <c r="AO74">
        <f>MIN(Plan!E12,AM74+AN74)</f>
        <v/>
      </c>
      <c r="AP74">
        <f>AM74+AN74-AO74</f>
        <v/>
      </c>
      <c r="AQ74">
        <f>MIN(AP74,MAX(0,$B74-((E$5&lt;AO$5)*F74+(K$5&lt;AO$5)*L74+(Q$5&lt;AO$5)*R74+(W$5&lt;AO$5)*X74+(AC$5&lt;AO$5)*AD74+(AI$5&lt;AO$5)*AJ74+(AU$5&lt;AO$5)*AV74)))</f>
        <v/>
      </c>
      <c r="AR74">
        <f>IF(AP74-AQ74&lt;0.005,0,AP74-AQ74)</f>
        <v/>
      </c>
      <c r="AS74">
        <f>AX73</f>
        <v/>
      </c>
      <c r="AT74">
        <f>AS74*Plan!D13/100/12</f>
        <v/>
      </c>
      <c r="AU74">
        <f>MIN(Plan!E13,AS74+AT74)</f>
        <v/>
      </c>
      <c r="AV74">
        <f>AS74+AT74-AU74</f>
        <v/>
      </c>
      <c r="AW74">
        <f>MIN(AV74,MAX(0,$B74-((E$5&lt;AU$5)*F74+(K$5&lt;AU$5)*L74+(Q$5&lt;AU$5)*R74+(W$5&lt;AU$5)*X74+(AC$5&lt;AU$5)*AD74+(AI$5&lt;AU$5)*AJ74+(AO$5&lt;AU$5)*AP74)))</f>
        <v/>
      </c>
      <c r="AX74">
        <f>IF(AV74-AW74&lt;0.005,0,AV74-AW74)</f>
        <v/>
      </c>
      <c r="BC74">
        <f>H74+N74+T74+Z74+AF74+AL74+AR74+AX74</f>
        <v/>
      </c>
    </row>
    <row r="75">
      <c r="A75" t="n">
        <v>69</v>
      </c>
      <c r="B75" s="19">
        <f>MAX(0,$B$3-(E75+K75+Q75+W75+AC75+AI75+AO75+AU75))</f>
        <v/>
      </c>
      <c r="C75">
        <f>H74</f>
        <v/>
      </c>
      <c r="D75">
        <f>C75*Plan!D6/100/12</f>
        <v/>
      </c>
      <c r="E75">
        <f>MIN(Plan!E6,C75+D75)</f>
        <v/>
      </c>
      <c r="F75">
        <f>C75+D75-E75</f>
        <v/>
      </c>
      <c r="G75">
        <f>MIN(F75,MAX(0,$B75-((K$5&lt;E$5)*L75+(Q$5&lt;E$5)*R75+(W$5&lt;E$5)*X75+(AC$5&lt;E$5)*AD75+(AI$5&lt;E$5)*AJ75+(AO$5&lt;E$5)*AP75+(AU$5&lt;E$5)*AV75)))</f>
        <v/>
      </c>
      <c r="H75">
        <f>IF(F75-G75&lt;0.005,0,F75-G75)</f>
        <v/>
      </c>
      <c r="I75">
        <f>N74</f>
        <v/>
      </c>
      <c r="J75">
        <f>I75*Plan!D7/100/12</f>
        <v/>
      </c>
      <c r="K75">
        <f>MIN(Plan!E7,I75+J75)</f>
        <v/>
      </c>
      <c r="L75">
        <f>I75+J75-K75</f>
        <v/>
      </c>
      <c r="M75">
        <f>MIN(L75,MAX(0,$B75-((E$5&lt;K$5)*F75+(Q$5&lt;K$5)*R75+(W$5&lt;K$5)*X75+(AC$5&lt;K$5)*AD75+(AI$5&lt;K$5)*AJ75+(AO$5&lt;K$5)*AP75+(AU$5&lt;K$5)*AV75)))</f>
        <v/>
      </c>
      <c r="N75">
        <f>IF(L75-M75&lt;0.005,0,L75-M75)</f>
        <v/>
      </c>
      <c r="O75">
        <f>T74</f>
        <v/>
      </c>
      <c r="P75">
        <f>O75*Plan!D8/100/12</f>
        <v/>
      </c>
      <c r="Q75">
        <f>MIN(Plan!E8,O75+P75)</f>
        <v/>
      </c>
      <c r="R75">
        <f>O75+P75-Q75</f>
        <v/>
      </c>
      <c r="S75">
        <f>MIN(R75,MAX(0,$B75-((E$5&lt;Q$5)*F75+(K$5&lt;Q$5)*L75+(W$5&lt;Q$5)*X75+(AC$5&lt;Q$5)*AD75+(AI$5&lt;Q$5)*AJ75+(AO$5&lt;Q$5)*AP75+(AU$5&lt;Q$5)*AV75)))</f>
        <v/>
      </c>
      <c r="T75">
        <f>IF(R75-S75&lt;0.005,0,R75-S75)</f>
        <v/>
      </c>
      <c r="U75">
        <f>Z74</f>
        <v/>
      </c>
      <c r="V75">
        <f>U75*Plan!D9/100/12</f>
        <v/>
      </c>
      <c r="W75">
        <f>MIN(Plan!E9,U75+V75)</f>
        <v/>
      </c>
      <c r="X75">
        <f>U75+V75-W75</f>
        <v/>
      </c>
      <c r="Y75">
        <f>MIN(X75,MAX(0,$B75-((E$5&lt;W$5)*F75+(K$5&lt;W$5)*L75+(Q$5&lt;W$5)*R75+(AC$5&lt;W$5)*AD75+(AI$5&lt;W$5)*AJ75+(AO$5&lt;W$5)*AP75+(AU$5&lt;W$5)*AV75)))</f>
        <v/>
      </c>
      <c r="Z75">
        <f>IF(X75-Y75&lt;0.005,0,X75-Y75)</f>
        <v/>
      </c>
      <c r="AA75">
        <f>AF74</f>
        <v/>
      </c>
      <c r="AB75">
        <f>AA75*Plan!D10/100/12</f>
        <v/>
      </c>
      <c r="AC75">
        <f>MIN(Plan!E10,AA75+AB75)</f>
        <v/>
      </c>
      <c r="AD75">
        <f>AA75+AB75-AC75</f>
        <v/>
      </c>
      <c r="AE75">
        <f>MIN(AD75,MAX(0,$B75-((E$5&lt;AC$5)*F75+(K$5&lt;AC$5)*L75+(Q$5&lt;AC$5)*R75+(W$5&lt;AC$5)*X75+(AI$5&lt;AC$5)*AJ75+(AO$5&lt;AC$5)*AP75+(AU$5&lt;AC$5)*AV75)))</f>
        <v/>
      </c>
      <c r="AF75">
        <f>IF(AD75-AE75&lt;0.005,0,AD75-AE75)</f>
        <v/>
      </c>
      <c r="AG75">
        <f>AL74</f>
        <v/>
      </c>
      <c r="AH75">
        <f>AG75*Plan!D11/100/12</f>
        <v/>
      </c>
      <c r="AI75">
        <f>MIN(Plan!E11,AG75+AH75)</f>
        <v/>
      </c>
      <c r="AJ75">
        <f>AG75+AH75-AI75</f>
        <v/>
      </c>
      <c r="AK75">
        <f>MIN(AJ75,MAX(0,$B75-((E$5&lt;AI$5)*F75+(K$5&lt;AI$5)*L75+(Q$5&lt;AI$5)*R75+(W$5&lt;AI$5)*X75+(AC$5&lt;AI$5)*AD75+(AO$5&lt;AI$5)*AP75+(AU$5&lt;AI$5)*AV75)))</f>
        <v/>
      </c>
      <c r="AL75">
        <f>IF(AJ75-AK75&lt;0.005,0,AJ75-AK75)</f>
        <v/>
      </c>
      <c r="AM75">
        <f>AR74</f>
        <v/>
      </c>
      <c r="AN75">
        <f>AM75*Plan!D12/100/12</f>
        <v/>
      </c>
      <c r="AO75">
        <f>MIN(Plan!E12,AM75+AN75)</f>
        <v/>
      </c>
      <c r="AP75">
        <f>AM75+AN75-AO75</f>
        <v/>
      </c>
      <c r="AQ75">
        <f>MIN(AP75,MAX(0,$B75-((E$5&lt;AO$5)*F75+(K$5&lt;AO$5)*L75+(Q$5&lt;AO$5)*R75+(W$5&lt;AO$5)*X75+(AC$5&lt;AO$5)*AD75+(AI$5&lt;AO$5)*AJ75+(AU$5&lt;AO$5)*AV75)))</f>
        <v/>
      </c>
      <c r="AR75">
        <f>IF(AP75-AQ75&lt;0.005,0,AP75-AQ75)</f>
        <v/>
      </c>
      <c r="AS75">
        <f>AX74</f>
        <v/>
      </c>
      <c r="AT75">
        <f>AS75*Plan!D13/100/12</f>
        <v/>
      </c>
      <c r="AU75">
        <f>MIN(Plan!E13,AS75+AT75)</f>
        <v/>
      </c>
      <c r="AV75">
        <f>AS75+AT75-AU75</f>
        <v/>
      </c>
      <c r="AW75">
        <f>MIN(AV75,MAX(0,$B75-((E$5&lt;AU$5)*F75+(K$5&lt;AU$5)*L75+(Q$5&lt;AU$5)*R75+(W$5&lt;AU$5)*X75+(AC$5&lt;AU$5)*AD75+(AI$5&lt;AU$5)*AJ75+(AO$5&lt;AU$5)*AP75)))</f>
        <v/>
      </c>
      <c r="AX75">
        <f>IF(AV75-AW75&lt;0.005,0,AV75-AW75)</f>
        <v/>
      </c>
      <c r="BC75">
        <f>H75+N75+T75+Z75+AF75+AL75+AR75+AX75</f>
        <v/>
      </c>
    </row>
    <row r="76">
      <c r="A76" t="n">
        <v>70</v>
      </c>
      <c r="B76" s="19">
        <f>MAX(0,$B$3-(E76+K76+Q76+W76+AC76+AI76+AO76+AU76))</f>
        <v/>
      </c>
      <c r="C76">
        <f>H75</f>
        <v/>
      </c>
      <c r="D76">
        <f>C76*Plan!D6/100/12</f>
        <v/>
      </c>
      <c r="E76">
        <f>MIN(Plan!E6,C76+D76)</f>
        <v/>
      </c>
      <c r="F76">
        <f>C76+D76-E76</f>
        <v/>
      </c>
      <c r="G76">
        <f>MIN(F76,MAX(0,$B76-((K$5&lt;E$5)*L76+(Q$5&lt;E$5)*R76+(W$5&lt;E$5)*X76+(AC$5&lt;E$5)*AD76+(AI$5&lt;E$5)*AJ76+(AO$5&lt;E$5)*AP76+(AU$5&lt;E$5)*AV76)))</f>
        <v/>
      </c>
      <c r="H76">
        <f>IF(F76-G76&lt;0.005,0,F76-G76)</f>
        <v/>
      </c>
      <c r="I76">
        <f>N75</f>
        <v/>
      </c>
      <c r="J76">
        <f>I76*Plan!D7/100/12</f>
        <v/>
      </c>
      <c r="K76">
        <f>MIN(Plan!E7,I76+J76)</f>
        <v/>
      </c>
      <c r="L76">
        <f>I76+J76-K76</f>
        <v/>
      </c>
      <c r="M76">
        <f>MIN(L76,MAX(0,$B76-((E$5&lt;K$5)*F76+(Q$5&lt;K$5)*R76+(W$5&lt;K$5)*X76+(AC$5&lt;K$5)*AD76+(AI$5&lt;K$5)*AJ76+(AO$5&lt;K$5)*AP76+(AU$5&lt;K$5)*AV76)))</f>
        <v/>
      </c>
      <c r="N76">
        <f>IF(L76-M76&lt;0.005,0,L76-M76)</f>
        <v/>
      </c>
      <c r="O76">
        <f>T75</f>
        <v/>
      </c>
      <c r="P76">
        <f>O76*Plan!D8/100/12</f>
        <v/>
      </c>
      <c r="Q76">
        <f>MIN(Plan!E8,O76+P76)</f>
        <v/>
      </c>
      <c r="R76">
        <f>O76+P76-Q76</f>
        <v/>
      </c>
      <c r="S76">
        <f>MIN(R76,MAX(0,$B76-((E$5&lt;Q$5)*F76+(K$5&lt;Q$5)*L76+(W$5&lt;Q$5)*X76+(AC$5&lt;Q$5)*AD76+(AI$5&lt;Q$5)*AJ76+(AO$5&lt;Q$5)*AP76+(AU$5&lt;Q$5)*AV76)))</f>
        <v/>
      </c>
      <c r="T76">
        <f>IF(R76-S76&lt;0.005,0,R76-S76)</f>
        <v/>
      </c>
      <c r="U76">
        <f>Z75</f>
        <v/>
      </c>
      <c r="V76">
        <f>U76*Plan!D9/100/12</f>
        <v/>
      </c>
      <c r="W76">
        <f>MIN(Plan!E9,U76+V76)</f>
        <v/>
      </c>
      <c r="X76">
        <f>U76+V76-W76</f>
        <v/>
      </c>
      <c r="Y76">
        <f>MIN(X76,MAX(0,$B76-((E$5&lt;W$5)*F76+(K$5&lt;W$5)*L76+(Q$5&lt;W$5)*R76+(AC$5&lt;W$5)*AD76+(AI$5&lt;W$5)*AJ76+(AO$5&lt;W$5)*AP76+(AU$5&lt;W$5)*AV76)))</f>
        <v/>
      </c>
      <c r="Z76">
        <f>IF(X76-Y76&lt;0.005,0,X76-Y76)</f>
        <v/>
      </c>
      <c r="AA76">
        <f>AF75</f>
        <v/>
      </c>
      <c r="AB76">
        <f>AA76*Plan!D10/100/12</f>
        <v/>
      </c>
      <c r="AC76">
        <f>MIN(Plan!E10,AA76+AB76)</f>
        <v/>
      </c>
      <c r="AD76">
        <f>AA76+AB76-AC76</f>
        <v/>
      </c>
      <c r="AE76">
        <f>MIN(AD76,MAX(0,$B76-((E$5&lt;AC$5)*F76+(K$5&lt;AC$5)*L76+(Q$5&lt;AC$5)*R76+(W$5&lt;AC$5)*X76+(AI$5&lt;AC$5)*AJ76+(AO$5&lt;AC$5)*AP76+(AU$5&lt;AC$5)*AV76)))</f>
        <v/>
      </c>
      <c r="AF76">
        <f>IF(AD76-AE76&lt;0.005,0,AD76-AE76)</f>
        <v/>
      </c>
      <c r="AG76">
        <f>AL75</f>
        <v/>
      </c>
      <c r="AH76">
        <f>AG76*Plan!D11/100/12</f>
        <v/>
      </c>
      <c r="AI76">
        <f>MIN(Plan!E11,AG76+AH76)</f>
        <v/>
      </c>
      <c r="AJ76">
        <f>AG76+AH76-AI76</f>
        <v/>
      </c>
      <c r="AK76">
        <f>MIN(AJ76,MAX(0,$B76-((E$5&lt;AI$5)*F76+(K$5&lt;AI$5)*L76+(Q$5&lt;AI$5)*R76+(W$5&lt;AI$5)*X76+(AC$5&lt;AI$5)*AD76+(AO$5&lt;AI$5)*AP76+(AU$5&lt;AI$5)*AV76)))</f>
        <v/>
      </c>
      <c r="AL76">
        <f>IF(AJ76-AK76&lt;0.005,0,AJ76-AK76)</f>
        <v/>
      </c>
      <c r="AM76">
        <f>AR75</f>
        <v/>
      </c>
      <c r="AN76">
        <f>AM76*Plan!D12/100/12</f>
        <v/>
      </c>
      <c r="AO76">
        <f>MIN(Plan!E12,AM76+AN76)</f>
        <v/>
      </c>
      <c r="AP76">
        <f>AM76+AN76-AO76</f>
        <v/>
      </c>
      <c r="AQ76">
        <f>MIN(AP76,MAX(0,$B76-((E$5&lt;AO$5)*F76+(K$5&lt;AO$5)*L76+(Q$5&lt;AO$5)*R76+(W$5&lt;AO$5)*X76+(AC$5&lt;AO$5)*AD76+(AI$5&lt;AO$5)*AJ76+(AU$5&lt;AO$5)*AV76)))</f>
        <v/>
      </c>
      <c r="AR76">
        <f>IF(AP76-AQ76&lt;0.005,0,AP76-AQ76)</f>
        <v/>
      </c>
      <c r="AS76">
        <f>AX75</f>
        <v/>
      </c>
      <c r="AT76">
        <f>AS76*Plan!D13/100/12</f>
        <v/>
      </c>
      <c r="AU76">
        <f>MIN(Plan!E13,AS76+AT76)</f>
        <v/>
      </c>
      <c r="AV76">
        <f>AS76+AT76-AU76</f>
        <v/>
      </c>
      <c r="AW76">
        <f>MIN(AV76,MAX(0,$B76-((E$5&lt;AU$5)*F76+(K$5&lt;AU$5)*L76+(Q$5&lt;AU$5)*R76+(W$5&lt;AU$5)*X76+(AC$5&lt;AU$5)*AD76+(AI$5&lt;AU$5)*AJ76+(AO$5&lt;AU$5)*AP76)))</f>
        <v/>
      </c>
      <c r="AX76">
        <f>IF(AV76-AW76&lt;0.005,0,AV76-AW76)</f>
        <v/>
      </c>
      <c r="BC76">
        <f>H76+N76+T76+Z76+AF76+AL76+AR76+AX76</f>
        <v/>
      </c>
    </row>
    <row r="77">
      <c r="A77" t="n">
        <v>71</v>
      </c>
      <c r="B77" s="19">
        <f>MAX(0,$B$3-(E77+K77+Q77+W77+AC77+AI77+AO77+AU77))</f>
        <v/>
      </c>
      <c r="C77">
        <f>H76</f>
        <v/>
      </c>
      <c r="D77">
        <f>C77*Plan!D6/100/12</f>
        <v/>
      </c>
      <c r="E77">
        <f>MIN(Plan!E6,C77+D77)</f>
        <v/>
      </c>
      <c r="F77">
        <f>C77+D77-E77</f>
        <v/>
      </c>
      <c r="G77">
        <f>MIN(F77,MAX(0,$B77-((K$5&lt;E$5)*L77+(Q$5&lt;E$5)*R77+(W$5&lt;E$5)*X77+(AC$5&lt;E$5)*AD77+(AI$5&lt;E$5)*AJ77+(AO$5&lt;E$5)*AP77+(AU$5&lt;E$5)*AV77)))</f>
        <v/>
      </c>
      <c r="H77">
        <f>IF(F77-G77&lt;0.005,0,F77-G77)</f>
        <v/>
      </c>
      <c r="I77">
        <f>N76</f>
        <v/>
      </c>
      <c r="J77">
        <f>I77*Plan!D7/100/12</f>
        <v/>
      </c>
      <c r="K77">
        <f>MIN(Plan!E7,I77+J77)</f>
        <v/>
      </c>
      <c r="L77">
        <f>I77+J77-K77</f>
        <v/>
      </c>
      <c r="M77">
        <f>MIN(L77,MAX(0,$B77-((E$5&lt;K$5)*F77+(Q$5&lt;K$5)*R77+(W$5&lt;K$5)*X77+(AC$5&lt;K$5)*AD77+(AI$5&lt;K$5)*AJ77+(AO$5&lt;K$5)*AP77+(AU$5&lt;K$5)*AV77)))</f>
        <v/>
      </c>
      <c r="N77">
        <f>IF(L77-M77&lt;0.005,0,L77-M77)</f>
        <v/>
      </c>
      <c r="O77">
        <f>T76</f>
        <v/>
      </c>
      <c r="P77">
        <f>O77*Plan!D8/100/12</f>
        <v/>
      </c>
      <c r="Q77">
        <f>MIN(Plan!E8,O77+P77)</f>
        <v/>
      </c>
      <c r="R77">
        <f>O77+P77-Q77</f>
        <v/>
      </c>
      <c r="S77">
        <f>MIN(R77,MAX(0,$B77-((E$5&lt;Q$5)*F77+(K$5&lt;Q$5)*L77+(W$5&lt;Q$5)*X77+(AC$5&lt;Q$5)*AD77+(AI$5&lt;Q$5)*AJ77+(AO$5&lt;Q$5)*AP77+(AU$5&lt;Q$5)*AV77)))</f>
        <v/>
      </c>
      <c r="T77">
        <f>IF(R77-S77&lt;0.005,0,R77-S77)</f>
        <v/>
      </c>
      <c r="U77">
        <f>Z76</f>
        <v/>
      </c>
      <c r="V77">
        <f>U77*Plan!D9/100/12</f>
        <v/>
      </c>
      <c r="W77">
        <f>MIN(Plan!E9,U77+V77)</f>
        <v/>
      </c>
      <c r="X77">
        <f>U77+V77-W77</f>
        <v/>
      </c>
      <c r="Y77">
        <f>MIN(X77,MAX(0,$B77-((E$5&lt;W$5)*F77+(K$5&lt;W$5)*L77+(Q$5&lt;W$5)*R77+(AC$5&lt;W$5)*AD77+(AI$5&lt;W$5)*AJ77+(AO$5&lt;W$5)*AP77+(AU$5&lt;W$5)*AV77)))</f>
        <v/>
      </c>
      <c r="Z77">
        <f>IF(X77-Y77&lt;0.005,0,X77-Y77)</f>
        <v/>
      </c>
      <c r="AA77">
        <f>AF76</f>
        <v/>
      </c>
      <c r="AB77">
        <f>AA77*Plan!D10/100/12</f>
        <v/>
      </c>
      <c r="AC77">
        <f>MIN(Plan!E10,AA77+AB77)</f>
        <v/>
      </c>
      <c r="AD77">
        <f>AA77+AB77-AC77</f>
        <v/>
      </c>
      <c r="AE77">
        <f>MIN(AD77,MAX(0,$B77-((E$5&lt;AC$5)*F77+(K$5&lt;AC$5)*L77+(Q$5&lt;AC$5)*R77+(W$5&lt;AC$5)*X77+(AI$5&lt;AC$5)*AJ77+(AO$5&lt;AC$5)*AP77+(AU$5&lt;AC$5)*AV77)))</f>
        <v/>
      </c>
      <c r="AF77">
        <f>IF(AD77-AE77&lt;0.005,0,AD77-AE77)</f>
        <v/>
      </c>
      <c r="AG77">
        <f>AL76</f>
        <v/>
      </c>
      <c r="AH77">
        <f>AG77*Plan!D11/100/12</f>
        <v/>
      </c>
      <c r="AI77">
        <f>MIN(Plan!E11,AG77+AH77)</f>
        <v/>
      </c>
      <c r="AJ77">
        <f>AG77+AH77-AI77</f>
        <v/>
      </c>
      <c r="AK77">
        <f>MIN(AJ77,MAX(0,$B77-((E$5&lt;AI$5)*F77+(K$5&lt;AI$5)*L77+(Q$5&lt;AI$5)*R77+(W$5&lt;AI$5)*X77+(AC$5&lt;AI$5)*AD77+(AO$5&lt;AI$5)*AP77+(AU$5&lt;AI$5)*AV77)))</f>
        <v/>
      </c>
      <c r="AL77">
        <f>IF(AJ77-AK77&lt;0.005,0,AJ77-AK77)</f>
        <v/>
      </c>
      <c r="AM77">
        <f>AR76</f>
        <v/>
      </c>
      <c r="AN77">
        <f>AM77*Plan!D12/100/12</f>
        <v/>
      </c>
      <c r="AO77">
        <f>MIN(Plan!E12,AM77+AN77)</f>
        <v/>
      </c>
      <c r="AP77">
        <f>AM77+AN77-AO77</f>
        <v/>
      </c>
      <c r="AQ77">
        <f>MIN(AP77,MAX(0,$B77-((E$5&lt;AO$5)*F77+(K$5&lt;AO$5)*L77+(Q$5&lt;AO$5)*R77+(W$5&lt;AO$5)*X77+(AC$5&lt;AO$5)*AD77+(AI$5&lt;AO$5)*AJ77+(AU$5&lt;AO$5)*AV77)))</f>
        <v/>
      </c>
      <c r="AR77">
        <f>IF(AP77-AQ77&lt;0.005,0,AP77-AQ77)</f>
        <v/>
      </c>
      <c r="AS77">
        <f>AX76</f>
        <v/>
      </c>
      <c r="AT77">
        <f>AS77*Plan!D13/100/12</f>
        <v/>
      </c>
      <c r="AU77">
        <f>MIN(Plan!E13,AS77+AT77)</f>
        <v/>
      </c>
      <c r="AV77">
        <f>AS77+AT77-AU77</f>
        <v/>
      </c>
      <c r="AW77">
        <f>MIN(AV77,MAX(0,$B77-((E$5&lt;AU$5)*F77+(K$5&lt;AU$5)*L77+(Q$5&lt;AU$5)*R77+(W$5&lt;AU$5)*X77+(AC$5&lt;AU$5)*AD77+(AI$5&lt;AU$5)*AJ77+(AO$5&lt;AU$5)*AP77)))</f>
        <v/>
      </c>
      <c r="AX77">
        <f>IF(AV77-AW77&lt;0.005,0,AV77-AW77)</f>
        <v/>
      </c>
      <c r="BC77">
        <f>H77+N77+T77+Z77+AF77+AL77+AR77+AX77</f>
        <v/>
      </c>
    </row>
    <row r="78">
      <c r="A78" t="n">
        <v>72</v>
      </c>
      <c r="B78" s="19">
        <f>MAX(0,$B$3-(E78+K78+Q78+W78+AC78+AI78+AO78+AU78))</f>
        <v/>
      </c>
      <c r="C78">
        <f>H77</f>
        <v/>
      </c>
      <c r="D78">
        <f>C78*Plan!D6/100/12</f>
        <v/>
      </c>
      <c r="E78">
        <f>MIN(Plan!E6,C78+D78)</f>
        <v/>
      </c>
      <c r="F78">
        <f>C78+D78-E78</f>
        <v/>
      </c>
      <c r="G78">
        <f>MIN(F78,MAX(0,$B78-((K$5&lt;E$5)*L78+(Q$5&lt;E$5)*R78+(W$5&lt;E$5)*X78+(AC$5&lt;E$5)*AD78+(AI$5&lt;E$5)*AJ78+(AO$5&lt;E$5)*AP78+(AU$5&lt;E$5)*AV78)))</f>
        <v/>
      </c>
      <c r="H78">
        <f>IF(F78-G78&lt;0.005,0,F78-G78)</f>
        <v/>
      </c>
      <c r="I78">
        <f>N77</f>
        <v/>
      </c>
      <c r="J78">
        <f>I78*Plan!D7/100/12</f>
        <v/>
      </c>
      <c r="K78">
        <f>MIN(Plan!E7,I78+J78)</f>
        <v/>
      </c>
      <c r="L78">
        <f>I78+J78-K78</f>
        <v/>
      </c>
      <c r="M78">
        <f>MIN(L78,MAX(0,$B78-((E$5&lt;K$5)*F78+(Q$5&lt;K$5)*R78+(W$5&lt;K$5)*X78+(AC$5&lt;K$5)*AD78+(AI$5&lt;K$5)*AJ78+(AO$5&lt;K$5)*AP78+(AU$5&lt;K$5)*AV78)))</f>
        <v/>
      </c>
      <c r="N78">
        <f>IF(L78-M78&lt;0.005,0,L78-M78)</f>
        <v/>
      </c>
      <c r="O78">
        <f>T77</f>
        <v/>
      </c>
      <c r="P78">
        <f>O78*Plan!D8/100/12</f>
        <v/>
      </c>
      <c r="Q78">
        <f>MIN(Plan!E8,O78+P78)</f>
        <v/>
      </c>
      <c r="R78">
        <f>O78+P78-Q78</f>
        <v/>
      </c>
      <c r="S78">
        <f>MIN(R78,MAX(0,$B78-((E$5&lt;Q$5)*F78+(K$5&lt;Q$5)*L78+(W$5&lt;Q$5)*X78+(AC$5&lt;Q$5)*AD78+(AI$5&lt;Q$5)*AJ78+(AO$5&lt;Q$5)*AP78+(AU$5&lt;Q$5)*AV78)))</f>
        <v/>
      </c>
      <c r="T78">
        <f>IF(R78-S78&lt;0.005,0,R78-S78)</f>
        <v/>
      </c>
      <c r="U78">
        <f>Z77</f>
        <v/>
      </c>
      <c r="V78">
        <f>U78*Plan!D9/100/12</f>
        <v/>
      </c>
      <c r="W78">
        <f>MIN(Plan!E9,U78+V78)</f>
        <v/>
      </c>
      <c r="X78">
        <f>U78+V78-W78</f>
        <v/>
      </c>
      <c r="Y78">
        <f>MIN(X78,MAX(0,$B78-((E$5&lt;W$5)*F78+(K$5&lt;W$5)*L78+(Q$5&lt;W$5)*R78+(AC$5&lt;W$5)*AD78+(AI$5&lt;W$5)*AJ78+(AO$5&lt;W$5)*AP78+(AU$5&lt;W$5)*AV78)))</f>
        <v/>
      </c>
      <c r="Z78">
        <f>IF(X78-Y78&lt;0.005,0,X78-Y78)</f>
        <v/>
      </c>
      <c r="AA78">
        <f>AF77</f>
        <v/>
      </c>
      <c r="AB78">
        <f>AA78*Plan!D10/100/12</f>
        <v/>
      </c>
      <c r="AC78">
        <f>MIN(Plan!E10,AA78+AB78)</f>
        <v/>
      </c>
      <c r="AD78">
        <f>AA78+AB78-AC78</f>
        <v/>
      </c>
      <c r="AE78">
        <f>MIN(AD78,MAX(0,$B78-((E$5&lt;AC$5)*F78+(K$5&lt;AC$5)*L78+(Q$5&lt;AC$5)*R78+(W$5&lt;AC$5)*X78+(AI$5&lt;AC$5)*AJ78+(AO$5&lt;AC$5)*AP78+(AU$5&lt;AC$5)*AV78)))</f>
        <v/>
      </c>
      <c r="AF78">
        <f>IF(AD78-AE78&lt;0.005,0,AD78-AE78)</f>
        <v/>
      </c>
      <c r="AG78">
        <f>AL77</f>
        <v/>
      </c>
      <c r="AH78">
        <f>AG78*Plan!D11/100/12</f>
        <v/>
      </c>
      <c r="AI78">
        <f>MIN(Plan!E11,AG78+AH78)</f>
        <v/>
      </c>
      <c r="AJ78">
        <f>AG78+AH78-AI78</f>
        <v/>
      </c>
      <c r="AK78">
        <f>MIN(AJ78,MAX(0,$B78-((E$5&lt;AI$5)*F78+(K$5&lt;AI$5)*L78+(Q$5&lt;AI$5)*R78+(W$5&lt;AI$5)*X78+(AC$5&lt;AI$5)*AD78+(AO$5&lt;AI$5)*AP78+(AU$5&lt;AI$5)*AV78)))</f>
        <v/>
      </c>
      <c r="AL78">
        <f>IF(AJ78-AK78&lt;0.005,0,AJ78-AK78)</f>
        <v/>
      </c>
      <c r="AM78">
        <f>AR77</f>
        <v/>
      </c>
      <c r="AN78">
        <f>AM78*Plan!D12/100/12</f>
        <v/>
      </c>
      <c r="AO78">
        <f>MIN(Plan!E12,AM78+AN78)</f>
        <v/>
      </c>
      <c r="AP78">
        <f>AM78+AN78-AO78</f>
        <v/>
      </c>
      <c r="AQ78">
        <f>MIN(AP78,MAX(0,$B78-((E$5&lt;AO$5)*F78+(K$5&lt;AO$5)*L78+(Q$5&lt;AO$5)*R78+(W$5&lt;AO$5)*X78+(AC$5&lt;AO$5)*AD78+(AI$5&lt;AO$5)*AJ78+(AU$5&lt;AO$5)*AV78)))</f>
        <v/>
      </c>
      <c r="AR78">
        <f>IF(AP78-AQ78&lt;0.005,0,AP78-AQ78)</f>
        <v/>
      </c>
      <c r="AS78">
        <f>AX77</f>
        <v/>
      </c>
      <c r="AT78">
        <f>AS78*Plan!D13/100/12</f>
        <v/>
      </c>
      <c r="AU78">
        <f>MIN(Plan!E13,AS78+AT78)</f>
        <v/>
      </c>
      <c r="AV78">
        <f>AS78+AT78-AU78</f>
        <v/>
      </c>
      <c r="AW78">
        <f>MIN(AV78,MAX(0,$B78-((E$5&lt;AU$5)*F78+(K$5&lt;AU$5)*L78+(Q$5&lt;AU$5)*R78+(W$5&lt;AU$5)*X78+(AC$5&lt;AU$5)*AD78+(AI$5&lt;AU$5)*AJ78+(AO$5&lt;AU$5)*AP78)))</f>
        <v/>
      </c>
      <c r="AX78">
        <f>IF(AV78-AW78&lt;0.005,0,AV78-AW78)</f>
        <v/>
      </c>
      <c r="BC78">
        <f>H78+N78+T78+Z78+AF78+AL78+AR78+AX78</f>
        <v/>
      </c>
    </row>
    <row r="79">
      <c r="A79" t="n">
        <v>73</v>
      </c>
      <c r="B79" s="19">
        <f>MAX(0,$B$3-(E79+K79+Q79+W79+AC79+AI79+AO79+AU79))</f>
        <v/>
      </c>
      <c r="C79">
        <f>H78</f>
        <v/>
      </c>
      <c r="D79">
        <f>C79*Plan!D6/100/12</f>
        <v/>
      </c>
      <c r="E79">
        <f>MIN(Plan!E6,C79+D79)</f>
        <v/>
      </c>
      <c r="F79">
        <f>C79+D79-E79</f>
        <v/>
      </c>
      <c r="G79">
        <f>MIN(F79,MAX(0,$B79-((K$5&lt;E$5)*L79+(Q$5&lt;E$5)*R79+(W$5&lt;E$5)*X79+(AC$5&lt;E$5)*AD79+(AI$5&lt;E$5)*AJ79+(AO$5&lt;E$5)*AP79+(AU$5&lt;E$5)*AV79)))</f>
        <v/>
      </c>
      <c r="H79">
        <f>IF(F79-G79&lt;0.005,0,F79-G79)</f>
        <v/>
      </c>
      <c r="I79">
        <f>N78</f>
        <v/>
      </c>
      <c r="J79">
        <f>I79*Plan!D7/100/12</f>
        <v/>
      </c>
      <c r="K79">
        <f>MIN(Plan!E7,I79+J79)</f>
        <v/>
      </c>
      <c r="L79">
        <f>I79+J79-K79</f>
        <v/>
      </c>
      <c r="M79">
        <f>MIN(L79,MAX(0,$B79-((E$5&lt;K$5)*F79+(Q$5&lt;K$5)*R79+(W$5&lt;K$5)*X79+(AC$5&lt;K$5)*AD79+(AI$5&lt;K$5)*AJ79+(AO$5&lt;K$5)*AP79+(AU$5&lt;K$5)*AV79)))</f>
        <v/>
      </c>
      <c r="N79">
        <f>IF(L79-M79&lt;0.005,0,L79-M79)</f>
        <v/>
      </c>
      <c r="O79">
        <f>T78</f>
        <v/>
      </c>
      <c r="P79">
        <f>O79*Plan!D8/100/12</f>
        <v/>
      </c>
      <c r="Q79">
        <f>MIN(Plan!E8,O79+P79)</f>
        <v/>
      </c>
      <c r="R79">
        <f>O79+P79-Q79</f>
        <v/>
      </c>
      <c r="S79">
        <f>MIN(R79,MAX(0,$B79-((E$5&lt;Q$5)*F79+(K$5&lt;Q$5)*L79+(W$5&lt;Q$5)*X79+(AC$5&lt;Q$5)*AD79+(AI$5&lt;Q$5)*AJ79+(AO$5&lt;Q$5)*AP79+(AU$5&lt;Q$5)*AV79)))</f>
        <v/>
      </c>
      <c r="T79">
        <f>IF(R79-S79&lt;0.005,0,R79-S79)</f>
        <v/>
      </c>
      <c r="U79">
        <f>Z78</f>
        <v/>
      </c>
      <c r="V79">
        <f>U79*Plan!D9/100/12</f>
        <v/>
      </c>
      <c r="W79">
        <f>MIN(Plan!E9,U79+V79)</f>
        <v/>
      </c>
      <c r="X79">
        <f>U79+V79-W79</f>
        <v/>
      </c>
      <c r="Y79">
        <f>MIN(X79,MAX(0,$B79-((E$5&lt;W$5)*F79+(K$5&lt;W$5)*L79+(Q$5&lt;W$5)*R79+(AC$5&lt;W$5)*AD79+(AI$5&lt;W$5)*AJ79+(AO$5&lt;W$5)*AP79+(AU$5&lt;W$5)*AV79)))</f>
        <v/>
      </c>
      <c r="Z79">
        <f>IF(X79-Y79&lt;0.005,0,X79-Y79)</f>
        <v/>
      </c>
      <c r="AA79">
        <f>AF78</f>
        <v/>
      </c>
      <c r="AB79">
        <f>AA79*Plan!D10/100/12</f>
        <v/>
      </c>
      <c r="AC79">
        <f>MIN(Plan!E10,AA79+AB79)</f>
        <v/>
      </c>
      <c r="AD79">
        <f>AA79+AB79-AC79</f>
        <v/>
      </c>
      <c r="AE79">
        <f>MIN(AD79,MAX(0,$B79-((E$5&lt;AC$5)*F79+(K$5&lt;AC$5)*L79+(Q$5&lt;AC$5)*R79+(W$5&lt;AC$5)*X79+(AI$5&lt;AC$5)*AJ79+(AO$5&lt;AC$5)*AP79+(AU$5&lt;AC$5)*AV79)))</f>
        <v/>
      </c>
      <c r="AF79">
        <f>IF(AD79-AE79&lt;0.005,0,AD79-AE79)</f>
        <v/>
      </c>
      <c r="AG79">
        <f>AL78</f>
        <v/>
      </c>
      <c r="AH79">
        <f>AG79*Plan!D11/100/12</f>
        <v/>
      </c>
      <c r="AI79">
        <f>MIN(Plan!E11,AG79+AH79)</f>
        <v/>
      </c>
      <c r="AJ79">
        <f>AG79+AH79-AI79</f>
        <v/>
      </c>
      <c r="AK79">
        <f>MIN(AJ79,MAX(0,$B79-((E$5&lt;AI$5)*F79+(K$5&lt;AI$5)*L79+(Q$5&lt;AI$5)*R79+(W$5&lt;AI$5)*X79+(AC$5&lt;AI$5)*AD79+(AO$5&lt;AI$5)*AP79+(AU$5&lt;AI$5)*AV79)))</f>
        <v/>
      </c>
      <c r="AL79">
        <f>IF(AJ79-AK79&lt;0.005,0,AJ79-AK79)</f>
        <v/>
      </c>
      <c r="AM79">
        <f>AR78</f>
        <v/>
      </c>
      <c r="AN79">
        <f>AM79*Plan!D12/100/12</f>
        <v/>
      </c>
      <c r="AO79">
        <f>MIN(Plan!E12,AM79+AN79)</f>
        <v/>
      </c>
      <c r="AP79">
        <f>AM79+AN79-AO79</f>
        <v/>
      </c>
      <c r="AQ79">
        <f>MIN(AP79,MAX(0,$B79-((E$5&lt;AO$5)*F79+(K$5&lt;AO$5)*L79+(Q$5&lt;AO$5)*R79+(W$5&lt;AO$5)*X79+(AC$5&lt;AO$5)*AD79+(AI$5&lt;AO$5)*AJ79+(AU$5&lt;AO$5)*AV79)))</f>
        <v/>
      </c>
      <c r="AR79">
        <f>IF(AP79-AQ79&lt;0.005,0,AP79-AQ79)</f>
        <v/>
      </c>
      <c r="AS79">
        <f>AX78</f>
        <v/>
      </c>
      <c r="AT79">
        <f>AS79*Plan!D13/100/12</f>
        <v/>
      </c>
      <c r="AU79">
        <f>MIN(Plan!E13,AS79+AT79)</f>
        <v/>
      </c>
      <c r="AV79">
        <f>AS79+AT79-AU79</f>
        <v/>
      </c>
      <c r="AW79">
        <f>MIN(AV79,MAX(0,$B79-((E$5&lt;AU$5)*F79+(K$5&lt;AU$5)*L79+(Q$5&lt;AU$5)*R79+(W$5&lt;AU$5)*X79+(AC$5&lt;AU$5)*AD79+(AI$5&lt;AU$5)*AJ79+(AO$5&lt;AU$5)*AP79)))</f>
        <v/>
      </c>
      <c r="AX79">
        <f>IF(AV79-AW79&lt;0.005,0,AV79-AW79)</f>
        <v/>
      </c>
      <c r="BC79">
        <f>H79+N79+T79+Z79+AF79+AL79+AR79+AX79</f>
        <v/>
      </c>
    </row>
    <row r="80">
      <c r="A80" t="n">
        <v>74</v>
      </c>
      <c r="B80" s="19">
        <f>MAX(0,$B$3-(E80+K80+Q80+W80+AC80+AI80+AO80+AU80))</f>
        <v/>
      </c>
      <c r="C80">
        <f>H79</f>
        <v/>
      </c>
      <c r="D80">
        <f>C80*Plan!D6/100/12</f>
        <v/>
      </c>
      <c r="E80">
        <f>MIN(Plan!E6,C80+D80)</f>
        <v/>
      </c>
      <c r="F80">
        <f>C80+D80-E80</f>
        <v/>
      </c>
      <c r="G80">
        <f>MIN(F80,MAX(0,$B80-((K$5&lt;E$5)*L80+(Q$5&lt;E$5)*R80+(W$5&lt;E$5)*X80+(AC$5&lt;E$5)*AD80+(AI$5&lt;E$5)*AJ80+(AO$5&lt;E$5)*AP80+(AU$5&lt;E$5)*AV80)))</f>
        <v/>
      </c>
      <c r="H80">
        <f>IF(F80-G80&lt;0.005,0,F80-G80)</f>
        <v/>
      </c>
      <c r="I80">
        <f>N79</f>
        <v/>
      </c>
      <c r="J80">
        <f>I80*Plan!D7/100/12</f>
        <v/>
      </c>
      <c r="K80">
        <f>MIN(Plan!E7,I80+J80)</f>
        <v/>
      </c>
      <c r="L80">
        <f>I80+J80-K80</f>
        <v/>
      </c>
      <c r="M80">
        <f>MIN(L80,MAX(0,$B80-((E$5&lt;K$5)*F80+(Q$5&lt;K$5)*R80+(W$5&lt;K$5)*X80+(AC$5&lt;K$5)*AD80+(AI$5&lt;K$5)*AJ80+(AO$5&lt;K$5)*AP80+(AU$5&lt;K$5)*AV80)))</f>
        <v/>
      </c>
      <c r="N80">
        <f>IF(L80-M80&lt;0.005,0,L80-M80)</f>
        <v/>
      </c>
      <c r="O80">
        <f>T79</f>
        <v/>
      </c>
      <c r="P80">
        <f>O80*Plan!D8/100/12</f>
        <v/>
      </c>
      <c r="Q80">
        <f>MIN(Plan!E8,O80+P80)</f>
        <v/>
      </c>
      <c r="R80">
        <f>O80+P80-Q80</f>
        <v/>
      </c>
      <c r="S80">
        <f>MIN(R80,MAX(0,$B80-((E$5&lt;Q$5)*F80+(K$5&lt;Q$5)*L80+(W$5&lt;Q$5)*X80+(AC$5&lt;Q$5)*AD80+(AI$5&lt;Q$5)*AJ80+(AO$5&lt;Q$5)*AP80+(AU$5&lt;Q$5)*AV80)))</f>
        <v/>
      </c>
      <c r="T80">
        <f>IF(R80-S80&lt;0.005,0,R80-S80)</f>
        <v/>
      </c>
      <c r="U80">
        <f>Z79</f>
        <v/>
      </c>
      <c r="V80">
        <f>U80*Plan!D9/100/12</f>
        <v/>
      </c>
      <c r="W80">
        <f>MIN(Plan!E9,U80+V80)</f>
        <v/>
      </c>
      <c r="X80">
        <f>U80+V80-W80</f>
        <v/>
      </c>
      <c r="Y80">
        <f>MIN(X80,MAX(0,$B80-((E$5&lt;W$5)*F80+(K$5&lt;W$5)*L80+(Q$5&lt;W$5)*R80+(AC$5&lt;W$5)*AD80+(AI$5&lt;W$5)*AJ80+(AO$5&lt;W$5)*AP80+(AU$5&lt;W$5)*AV80)))</f>
        <v/>
      </c>
      <c r="Z80">
        <f>IF(X80-Y80&lt;0.005,0,X80-Y80)</f>
        <v/>
      </c>
      <c r="AA80">
        <f>AF79</f>
        <v/>
      </c>
      <c r="AB80">
        <f>AA80*Plan!D10/100/12</f>
        <v/>
      </c>
      <c r="AC80">
        <f>MIN(Plan!E10,AA80+AB80)</f>
        <v/>
      </c>
      <c r="AD80">
        <f>AA80+AB80-AC80</f>
        <v/>
      </c>
      <c r="AE80">
        <f>MIN(AD80,MAX(0,$B80-((E$5&lt;AC$5)*F80+(K$5&lt;AC$5)*L80+(Q$5&lt;AC$5)*R80+(W$5&lt;AC$5)*X80+(AI$5&lt;AC$5)*AJ80+(AO$5&lt;AC$5)*AP80+(AU$5&lt;AC$5)*AV80)))</f>
        <v/>
      </c>
      <c r="AF80">
        <f>IF(AD80-AE80&lt;0.005,0,AD80-AE80)</f>
        <v/>
      </c>
      <c r="AG80">
        <f>AL79</f>
        <v/>
      </c>
      <c r="AH80">
        <f>AG80*Plan!D11/100/12</f>
        <v/>
      </c>
      <c r="AI80">
        <f>MIN(Plan!E11,AG80+AH80)</f>
        <v/>
      </c>
      <c r="AJ80">
        <f>AG80+AH80-AI80</f>
        <v/>
      </c>
      <c r="AK80">
        <f>MIN(AJ80,MAX(0,$B80-((E$5&lt;AI$5)*F80+(K$5&lt;AI$5)*L80+(Q$5&lt;AI$5)*R80+(W$5&lt;AI$5)*X80+(AC$5&lt;AI$5)*AD80+(AO$5&lt;AI$5)*AP80+(AU$5&lt;AI$5)*AV80)))</f>
        <v/>
      </c>
      <c r="AL80">
        <f>IF(AJ80-AK80&lt;0.005,0,AJ80-AK80)</f>
        <v/>
      </c>
      <c r="AM80">
        <f>AR79</f>
        <v/>
      </c>
      <c r="AN80">
        <f>AM80*Plan!D12/100/12</f>
        <v/>
      </c>
      <c r="AO80">
        <f>MIN(Plan!E12,AM80+AN80)</f>
        <v/>
      </c>
      <c r="AP80">
        <f>AM80+AN80-AO80</f>
        <v/>
      </c>
      <c r="AQ80">
        <f>MIN(AP80,MAX(0,$B80-((E$5&lt;AO$5)*F80+(K$5&lt;AO$5)*L80+(Q$5&lt;AO$5)*R80+(W$5&lt;AO$5)*X80+(AC$5&lt;AO$5)*AD80+(AI$5&lt;AO$5)*AJ80+(AU$5&lt;AO$5)*AV80)))</f>
        <v/>
      </c>
      <c r="AR80">
        <f>IF(AP80-AQ80&lt;0.005,0,AP80-AQ80)</f>
        <v/>
      </c>
      <c r="AS80">
        <f>AX79</f>
        <v/>
      </c>
      <c r="AT80">
        <f>AS80*Plan!D13/100/12</f>
        <v/>
      </c>
      <c r="AU80">
        <f>MIN(Plan!E13,AS80+AT80)</f>
        <v/>
      </c>
      <c r="AV80">
        <f>AS80+AT80-AU80</f>
        <v/>
      </c>
      <c r="AW80">
        <f>MIN(AV80,MAX(0,$B80-((E$5&lt;AU$5)*F80+(K$5&lt;AU$5)*L80+(Q$5&lt;AU$5)*R80+(W$5&lt;AU$5)*X80+(AC$5&lt;AU$5)*AD80+(AI$5&lt;AU$5)*AJ80+(AO$5&lt;AU$5)*AP80)))</f>
        <v/>
      </c>
      <c r="AX80">
        <f>IF(AV80-AW80&lt;0.005,0,AV80-AW80)</f>
        <v/>
      </c>
      <c r="BC80">
        <f>H80+N80+T80+Z80+AF80+AL80+AR80+AX80</f>
        <v/>
      </c>
    </row>
    <row r="81">
      <c r="A81" t="n">
        <v>75</v>
      </c>
      <c r="B81" s="19">
        <f>MAX(0,$B$3-(E81+K81+Q81+W81+AC81+AI81+AO81+AU81))</f>
        <v/>
      </c>
      <c r="C81">
        <f>H80</f>
        <v/>
      </c>
      <c r="D81">
        <f>C81*Plan!D6/100/12</f>
        <v/>
      </c>
      <c r="E81">
        <f>MIN(Plan!E6,C81+D81)</f>
        <v/>
      </c>
      <c r="F81">
        <f>C81+D81-E81</f>
        <v/>
      </c>
      <c r="G81">
        <f>MIN(F81,MAX(0,$B81-((K$5&lt;E$5)*L81+(Q$5&lt;E$5)*R81+(W$5&lt;E$5)*X81+(AC$5&lt;E$5)*AD81+(AI$5&lt;E$5)*AJ81+(AO$5&lt;E$5)*AP81+(AU$5&lt;E$5)*AV81)))</f>
        <v/>
      </c>
      <c r="H81">
        <f>IF(F81-G81&lt;0.005,0,F81-G81)</f>
        <v/>
      </c>
      <c r="I81">
        <f>N80</f>
        <v/>
      </c>
      <c r="J81">
        <f>I81*Plan!D7/100/12</f>
        <v/>
      </c>
      <c r="K81">
        <f>MIN(Plan!E7,I81+J81)</f>
        <v/>
      </c>
      <c r="L81">
        <f>I81+J81-K81</f>
        <v/>
      </c>
      <c r="M81">
        <f>MIN(L81,MAX(0,$B81-((E$5&lt;K$5)*F81+(Q$5&lt;K$5)*R81+(W$5&lt;K$5)*X81+(AC$5&lt;K$5)*AD81+(AI$5&lt;K$5)*AJ81+(AO$5&lt;K$5)*AP81+(AU$5&lt;K$5)*AV81)))</f>
        <v/>
      </c>
      <c r="N81">
        <f>IF(L81-M81&lt;0.005,0,L81-M81)</f>
        <v/>
      </c>
      <c r="O81">
        <f>T80</f>
        <v/>
      </c>
      <c r="P81">
        <f>O81*Plan!D8/100/12</f>
        <v/>
      </c>
      <c r="Q81">
        <f>MIN(Plan!E8,O81+P81)</f>
        <v/>
      </c>
      <c r="R81">
        <f>O81+P81-Q81</f>
        <v/>
      </c>
      <c r="S81">
        <f>MIN(R81,MAX(0,$B81-((E$5&lt;Q$5)*F81+(K$5&lt;Q$5)*L81+(W$5&lt;Q$5)*X81+(AC$5&lt;Q$5)*AD81+(AI$5&lt;Q$5)*AJ81+(AO$5&lt;Q$5)*AP81+(AU$5&lt;Q$5)*AV81)))</f>
        <v/>
      </c>
      <c r="T81">
        <f>IF(R81-S81&lt;0.005,0,R81-S81)</f>
        <v/>
      </c>
      <c r="U81">
        <f>Z80</f>
        <v/>
      </c>
      <c r="V81">
        <f>U81*Plan!D9/100/12</f>
        <v/>
      </c>
      <c r="W81">
        <f>MIN(Plan!E9,U81+V81)</f>
        <v/>
      </c>
      <c r="X81">
        <f>U81+V81-W81</f>
        <v/>
      </c>
      <c r="Y81">
        <f>MIN(X81,MAX(0,$B81-((E$5&lt;W$5)*F81+(K$5&lt;W$5)*L81+(Q$5&lt;W$5)*R81+(AC$5&lt;W$5)*AD81+(AI$5&lt;W$5)*AJ81+(AO$5&lt;W$5)*AP81+(AU$5&lt;W$5)*AV81)))</f>
        <v/>
      </c>
      <c r="Z81">
        <f>IF(X81-Y81&lt;0.005,0,X81-Y81)</f>
        <v/>
      </c>
      <c r="AA81">
        <f>AF80</f>
        <v/>
      </c>
      <c r="AB81">
        <f>AA81*Plan!D10/100/12</f>
        <v/>
      </c>
      <c r="AC81">
        <f>MIN(Plan!E10,AA81+AB81)</f>
        <v/>
      </c>
      <c r="AD81">
        <f>AA81+AB81-AC81</f>
        <v/>
      </c>
      <c r="AE81">
        <f>MIN(AD81,MAX(0,$B81-((E$5&lt;AC$5)*F81+(K$5&lt;AC$5)*L81+(Q$5&lt;AC$5)*R81+(W$5&lt;AC$5)*X81+(AI$5&lt;AC$5)*AJ81+(AO$5&lt;AC$5)*AP81+(AU$5&lt;AC$5)*AV81)))</f>
        <v/>
      </c>
      <c r="AF81">
        <f>IF(AD81-AE81&lt;0.005,0,AD81-AE81)</f>
        <v/>
      </c>
      <c r="AG81">
        <f>AL80</f>
        <v/>
      </c>
      <c r="AH81">
        <f>AG81*Plan!D11/100/12</f>
        <v/>
      </c>
      <c r="AI81">
        <f>MIN(Plan!E11,AG81+AH81)</f>
        <v/>
      </c>
      <c r="AJ81">
        <f>AG81+AH81-AI81</f>
        <v/>
      </c>
      <c r="AK81">
        <f>MIN(AJ81,MAX(0,$B81-((E$5&lt;AI$5)*F81+(K$5&lt;AI$5)*L81+(Q$5&lt;AI$5)*R81+(W$5&lt;AI$5)*X81+(AC$5&lt;AI$5)*AD81+(AO$5&lt;AI$5)*AP81+(AU$5&lt;AI$5)*AV81)))</f>
        <v/>
      </c>
      <c r="AL81">
        <f>IF(AJ81-AK81&lt;0.005,0,AJ81-AK81)</f>
        <v/>
      </c>
      <c r="AM81">
        <f>AR80</f>
        <v/>
      </c>
      <c r="AN81">
        <f>AM81*Plan!D12/100/12</f>
        <v/>
      </c>
      <c r="AO81">
        <f>MIN(Plan!E12,AM81+AN81)</f>
        <v/>
      </c>
      <c r="AP81">
        <f>AM81+AN81-AO81</f>
        <v/>
      </c>
      <c r="AQ81">
        <f>MIN(AP81,MAX(0,$B81-((E$5&lt;AO$5)*F81+(K$5&lt;AO$5)*L81+(Q$5&lt;AO$5)*R81+(W$5&lt;AO$5)*X81+(AC$5&lt;AO$5)*AD81+(AI$5&lt;AO$5)*AJ81+(AU$5&lt;AO$5)*AV81)))</f>
        <v/>
      </c>
      <c r="AR81">
        <f>IF(AP81-AQ81&lt;0.005,0,AP81-AQ81)</f>
        <v/>
      </c>
      <c r="AS81">
        <f>AX80</f>
        <v/>
      </c>
      <c r="AT81">
        <f>AS81*Plan!D13/100/12</f>
        <v/>
      </c>
      <c r="AU81">
        <f>MIN(Plan!E13,AS81+AT81)</f>
        <v/>
      </c>
      <c r="AV81">
        <f>AS81+AT81-AU81</f>
        <v/>
      </c>
      <c r="AW81">
        <f>MIN(AV81,MAX(0,$B81-((E$5&lt;AU$5)*F81+(K$5&lt;AU$5)*L81+(Q$5&lt;AU$5)*R81+(W$5&lt;AU$5)*X81+(AC$5&lt;AU$5)*AD81+(AI$5&lt;AU$5)*AJ81+(AO$5&lt;AU$5)*AP81)))</f>
        <v/>
      </c>
      <c r="AX81">
        <f>IF(AV81-AW81&lt;0.005,0,AV81-AW81)</f>
        <v/>
      </c>
      <c r="BC81">
        <f>H81+N81+T81+Z81+AF81+AL81+AR81+AX81</f>
        <v/>
      </c>
    </row>
    <row r="82">
      <c r="A82" t="n">
        <v>76</v>
      </c>
      <c r="B82" s="19">
        <f>MAX(0,$B$3-(E82+K82+Q82+W82+AC82+AI82+AO82+AU82))</f>
        <v/>
      </c>
      <c r="C82">
        <f>H81</f>
        <v/>
      </c>
      <c r="D82">
        <f>C82*Plan!D6/100/12</f>
        <v/>
      </c>
      <c r="E82">
        <f>MIN(Plan!E6,C82+D82)</f>
        <v/>
      </c>
      <c r="F82">
        <f>C82+D82-E82</f>
        <v/>
      </c>
      <c r="G82">
        <f>MIN(F82,MAX(0,$B82-((K$5&lt;E$5)*L82+(Q$5&lt;E$5)*R82+(W$5&lt;E$5)*X82+(AC$5&lt;E$5)*AD82+(AI$5&lt;E$5)*AJ82+(AO$5&lt;E$5)*AP82+(AU$5&lt;E$5)*AV82)))</f>
        <v/>
      </c>
      <c r="H82">
        <f>IF(F82-G82&lt;0.005,0,F82-G82)</f>
        <v/>
      </c>
      <c r="I82">
        <f>N81</f>
        <v/>
      </c>
      <c r="J82">
        <f>I82*Plan!D7/100/12</f>
        <v/>
      </c>
      <c r="K82">
        <f>MIN(Plan!E7,I82+J82)</f>
        <v/>
      </c>
      <c r="L82">
        <f>I82+J82-K82</f>
        <v/>
      </c>
      <c r="M82">
        <f>MIN(L82,MAX(0,$B82-((E$5&lt;K$5)*F82+(Q$5&lt;K$5)*R82+(W$5&lt;K$5)*X82+(AC$5&lt;K$5)*AD82+(AI$5&lt;K$5)*AJ82+(AO$5&lt;K$5)*AP82+(AU$5&lt;K$5)*AV82)))</f>
        <v/>
      </c>
      <c r="N82">
        <f>IF(L82-M82&lt;0.005,0,L82-M82)</f>
        <v/>
      </c>
      <c r="O82">
        <f>T81</f>
        <v/>
      </c>
      <c r="P82">
        <f>O82*Plan!D8/100/12</f>
        <v/>
      </c>
      <c r="Q82">
        <f>MIN(Plan!E8,O82+P82)</f>
        <v/>
      </c>
      <c r="R82">
        <f>O82+P82-Q82</f>
        <v/>
      </c>
      <c r="S82">
        <f>MIN(R82,MAX(0,$B82-((E$5&lt;Q$5)*F82+(K$5&lt;Q$5)*L82+(W$5&lt;Q$5)*X82+(AC$5&lt;Q$5)*AD82+(AI$5&lt;Q$5)*AJ82+(AO$5&lt;Q$5)*AP82+(AU$5&lt;Q$5)*AV82)))</f>
        <v/>
      </c>
      <c r="T82">
        <f>IF(R82-S82&lt;0.005,0,R82-S82)</f>
        <v/>
      </c>
      <c r="U82">
        <f>Z81</f>
        <v/>
      </c>
      <c r="V82">
        <f>U82*Plan!D9/100/12</f>
        <v/>
      </c>
      <c r="W82">
        <f>MIN(Plan!E9,U82+V82)</f>
        <v/>
      </c>
      <c r="X82">
        <f>U82+V82-W82</f>
        <v/>
      </c>
      <c r="Y82">
        <f>MIN(X82,MAX(0,$B82-((E$5&lt;W$5)*F82+(K$5&lt;W$5)*L82+(Q$5&lt;W$5)*R82+(AC$5&lt;W$5)*AD82+(AI$5&lt;W$5)*AJ82+(AO$5&lt;W$5)*AP82+(AU$5&lt;W$5)*AV82)))</f>
        <v/>
      </c>
      <c r="Z82">
        <f>IF(X82-Y82&lt;0.005,0,X82-Y82)</f>
        <v/>
      </c>
      <c r="AA82">
        <f>AF81</f>
        <v/>
      </c>
      <c r="AB82">
        <f>AA82*Plan!D10/100/12</f>
        <v/>
      </c>
      <c r="AC82">
        <f>MIN(Plan!E10,AA82+AB82)</f>
        <v/>
      </c>
      <c r="AD82">
        <f>AA82+AB82-AC82</f>
        <v/>
      </c>
      <c r="AE82">
        <f>MIN(AD82,MAX(0,$B82-((E$5&lt;AC$5)*F82+(K$5&lt;AC$5)*L82+(Q$5&lt;AC$5)*R82+(W$5&lt;AC$5)*X82+(AI$5&lt;AC$5)*AJ82+(AO$5&lt;AC$5)*AP82+(AU$5&lt;AC$5)*AV82)))</f>
        <v/>
      </c>
      <c r="AF82">
        <f>IF(AD82-AE82&lt;0.005,0,AD82-AE82)</f>
        <v/>
      </c>
      <c r="AG82">
        <f>AL81</f>
        <v/>
      </c>
      <c r="AH82">
        <f>AG82*Plan!D11/100/12</f>
        <v/>
      </c>
      <c r="AI82">
        <f>MIN(Plan!E11,AG82+AH82)</f>
        <v/>
      </c>
      <c r="AJ82">
        <f>AG82+AH82-AI82</f>
        <v/>
      </c>
      <c r="AK82">
        <f>MIN(AJ82,MAX(0,$B82-((E$5&lt;AI$5)*F82+(K$5&lt;AI$5)*L82+(Q$5&lt;AI$5)*R82+(W$5&lt;AI$5)*X82+(AC$5&lt;AI$5)*AD82+(AO$5&lt;AI$5)*AP82+(AU$5&lt;AI$5)*AV82)))</f>
        <v/>
      </c>
      <c r="AL82">
        <f>IF(AJ82-AK82&lt;0.005,0,AJ82-AK82)</f>
        <v/>
      </c>
      <c r="AM82">
        <f>AR81</f>
        <v/>
      </c>
      <c r="AN82">
        <f>AM82*Plan!D12/100/12</f>
        <v/>
      </c>
      <c r="AO82">
        <f>MIN(Plan!E12,AM82+AN82)</f>
        <v/>
      </c>
      <c r="AP82">
        <f>AM82+AN82-AO82</f>
        <v/>
      </c>
      <c r="AQ82">
        <f>MIN(AP82,MAX(0,$B82-((E$5&lt;AO$5)*F82+(K$5&lt;AO$5)*L82+(Q$5&lt;AO$5)*R82+(W$5&lt;AO$5)*X82+(AC$5&lt;AO$5)*AD82+(AI$5&lt;AO$5)*AJ82+(AU$5&lt;AO$5)*AV82)))</f>
        <v/>
      </c>
      <c r="AR82">
        <f>IF(AP82-AQ82&lt;0.005,0,AP82-AQ82)</f>
        <v/>
      </c>
      <c r="AS82">
        <f>AX81</f>
        <v/>
      </c>
      <c r="AT82">
        <f>AS82*Plan!D13/100/12</f>
        <v/>
      </c>
      <c r="AU82">
        <f>MIN(Plan!E13,AS82+AT82)</f>
        <v/>
      </c>
      <c r="AV82">
        <f>AS82+AT82-AU82</f>
        <v/>
      </c>
      <c r="AW82">
        <f>MIN(AV82,MAX(0,$B82-((E$5&lt;AU$5)*F82+(K$5&lt;AU$5)*L82+(Q$5&lt;AU$5)*R82+(W$5&lt;AU$5)*X82+(AC$5&lt;AU$5)*AD82+(AI$5&lt;AU$5)*AJ82+(AO$5&lt;AU$5)*AP82)))</f>
        <v/>
      </c>
      <c r="AX82">
        <f>IF(AV82-AW82&lt;0.005,0,AV82-AW82)</f>
        <v/>
      </c>
      <c r="BC82">
        <f>H82+N82+T82+Z82+AF82+AL82+AR82+AX82</f>
        <v/>
      </c>
    </row>
    <row r="83">
      <c r="A83" t="n">
        <v>77</v>
      </c>
      <c r="B83" s="19">
        <f>MAX(0,$B$3-(E83+K83+Q83+W83+AC83+AI83+AO83+AU83))</f>
        <v/>
      </c>
      <c r="C83">
        <f>H82</f>
        <v/>
      </c>
      <c r="D83">
        <f>C83*Plan!D6/100/12</f>
        <v/>
      </c>
      <c r="E83">
        <f>MIN(Plan!E6,C83+D83)</f>
        <v/>
      </c>
      <c r="F83">
        <f>C83+D83-E83</f>
        <v/>
      </c>
      <c r="G83">
        <f>MIN(F83,MAX(0,$B83-((K$5&lt;E$5)*L83+(Q$5&lt;E$5)*R83+(W$5&lt;E$5)*X83+(AC$5&lt;E$5)*AD83+(AI$5&lt;E$5)*AJ83+(AO$5&lt;E$5)*AP83+(AU$5&lt;E$5)*AV83)))</f>
        <v/>
      </c>
      <c r="H83">
        <f>IF(F83-G83&lt;0.005,0,F83-G83)</f>
        <v/>
      </c>
      <c r="I83">
        <f>N82</f>
        <v/>
      </c>
      <c r="J83">
        <f>I83*Plan!D7/100/12</f>
        <v/>
      </c>
      <c r="K83">
        <f>MIN(Plan!E7,I83+J83)</f>
        <v/>
      </c>
      <c r="L83">
        <f>I83+J83-K83</f>
        <v/>
      </c>
      <c r="M83">
        <f>MIN(L83,MAX(0,$B83-((E$5&lt;K$5)*F83+(Q$5&lt;K$5)*R83+(W$5&lt;K$5)*X83+(AC$5&lt;K$5)*AD83+(AI$5&lt;K$5)*AJ83+(AO$5&lt;K$5)*AP83+(AU$5&lt;K$5)*AV83)))</f>
        <v/>
      </c>
      <c r="N83">
        <f>IF(L83-M83&lt;0.005,0,L83-M83)</f>
        <v/>
      </c>
      <c r="O83">
        <f>T82</f>
        <v/>
      </c>
      <c r="P83">
        <f>O83*Plan!D8/100/12</f>
        <v/>
      </c>
      <c r="Q83">
        <f>MIN(Plan!E8,O83+P83)</f>
        <v/>
      </c>
      <c r="R83">
        <f>O83+P83-Q83</f>
        <v/>
      </c>
      <c r="S83">
        <f>MIN(R83,MAX(0,$B83-((E$5&lt;Q$5)*F83+(K$5&lt;Q$5)*L83+(W$5&lt;Q$5)*X83+(AC$5&lt;Q$5)*AD83+(AI$5&lt;Q$5)*AJ83+(AO$5&lt;Q$5)*AP83+(AU$5&lt;Q$5)*AV83)))</f>
        <v/>
      </c>
      <c r="T83">
        <f>IF(R83-S83&lt;0.005,0,R83-S83)</f>
        <v/>
      </c>
      <c r="U83">
        <f>Z82</f>
        <v/>
      </c>
      <c r="V83">
        <f>U83*Plan!D9/100/12</f>
        <v/>
      </c>
      <c r="W83">
        <f>MIN(Plan!E9,U83+V83)</f>
        <v/>
      </c>
      <c r="X83">
        <f>U83+V83-W83</f>
        <v/>
      </c>
      <c r="Y83">
        <f>MIN(X83,MAX(0,$B83-((E$5&lt;W$5)*F83+(K$5&lt;W$5)*L83+(Q$5&lt;W$5)*R83+(AC$5&lt;W$5)*AD83+(AI$5&lt;W$5)*AJ83+(AO$5&lt;W$5)*AP83+(AU$5&lt;W$5)*AV83)))</f>
        <v/>
      </c>
      <c r="Z83">
        <f>IF(X83-Y83&lt;0.005,0,X83-Y83)</f>
        <v/>
      </c>
      <c r="AA83">
        <f>AF82</f>
        <v/>
      </c>
      <c r="AB83">
        <f>AA83*Plan!D10/100/12</f>
        <v/>
      </c>
      <c r="AC83">
        <f>MIN(Plan!E10,AA83+AB83)</f>
        <v/>
      </c>
      <c r="AD83">
        <f>AA83+AB83-AC83</f>
        <v/>
      </c>
      <c r="AE83">
        <f>MIN(AD83,MAX(0,$B83-((E$5&lt;AC$5)*F83+(K$5&lt;AC$5)*L83+(Q$5&lt;AC$5)*R83+(W$5&lt;AC$5)*X83+(AI$5&lt;AC$5)*AJ83+(AO$5&lt;AC$5)*AP83+(AU$5&lt;AC$5)*AV83)))</f>
        <v/>
      </c>
      <c r="AF83">
        <f>IF(AD83-AE83&lt;0.005,0,AD83-AE83)</f>
        <v/>
      </c>
      <c r="AG83">
        <f>AL82</f>
        <v/>
      </c>
      <c r="AH83">
        <f>AG83*Plan!D11/100/12</f>
        <v/>
      </c>
      <c r="AI83">
        <f>MIN(Plan!E11,AG83+AH83)</f>
        <v/>
      </c>
      <c r="AJ83">
        <f>AG83+AH83-AI83</f>
        <v/>
      </c>
      <c r="AK83">
        <f>MIN(AJ83,MAX(0,$B83-((E$5&lt;AI$5)*F83+(K$5&lt;AI$5)*L83+(Q$5&lt;AI$5)*R83+(W$5&lt;AI$5)*X83+(AC$5&lt;AI$5)*AD83+(AO$5&lt;AI$5)*AP83+(AU$5&lt;AI$5)*AV83)))</f>
        <v/>
      </c>
      <c r="AL83">
        <f>IF(AJ83-AK83&lt;0.005,0,AJ83-AK83)</f>
        <v/>
      </c>
      <c r="AM83">
        <f>AR82</f>
        <v/>
      </c>
      <c r="AN83">
        <f>AM83*Plan!D12/100/12</f>
        <v/>
      </c>
      <c r="AO83">
        <f>MIN(Plan!E12,AM83+AN83)</f>
        <v/>
      </c>
      <c r="AP83">
        <f>AM83+AN83-AO83</f>
        <v/>
      </c>
      <c r="AQ83">
        <f>MIN(AP83,MAX(0,$B83-((E$5&lt;AO$5)*F83+(K$5&lt;AO$5)*L83+(Q$5&lt;AO$5)*R83+(W$5&lt;AO$5)*X83+(AC$5&lt;AO$5)*AD83+(AI$5&lt;AO$5)*AJ83+(AU$5&lt;AO$5)*AV83)))</f>
        <v/>
      </c>
      <c r="AR83">
        <f>IF(AP83-AQ83&lt;0.005,0,AP83-AQ83)</f>
        <v/>
      </c>
      <c r="AS83">
        <f>AX82</f>
        <v/>
      </c>
      <c r="AT83">
        <f>AS83*Plan!D13/100/12</f>
        <v/>
      </c>
      <c r="AU83">
        <f>MIN(Plan!E13,AS83+AT83)</f>
        <v/>
      </c>
      <c r="AV83">
        <f>AS83+AT83-AU83</f>
        <v/>
      </c>
      <c r="AW83">
        <f>MIN(AV83,MAX(0,$B83-((E$5&lt;AU$5)*F83+(K$5&lt;AU$5)*L83+(Q$5&lt;AU$5)*R83+(W$5&lt;AU$5)*X83+(AC$5&lt;AU$5)*AD83+(AI$5&lt;AU$5)*AJ83+(AO$5&lt;AU$5)*AP83)))</f>
        <v/>
      </c>
      <c r="AX83">
        <f>IF(AV83-AW83&lt;0.005,0,AV83-AW83)</f>
        <v/>
      </c>
      <c r="BC83">
        <f>H83+N83+T83+Z83+AF83+AL83+AR83+AX83</f>
        <v/>
      </c>
    </row>
    <row r="84">
      <c r="A84" t="n">
        <v>78</v>
      </c>
      <c r="B84" s="19">
        <f>MAX(0,$B$3-(E84+K84+Q84+W84+AC84+AI84+AO84+AU84))</f>
        <v/>
      </c>
      <c r="C84">
        <f>H83</f>
        <v/>
      </c>
      <c r="D84">
        <f>C84*Plan!D6/100/12</f>
        <v/>
      </c>
      <c r="E84">
        <f>MIN(Plan!E6,C84+D84)</f>
        <v/>
      </c>
      <c r="F84">
        <f>C84+D84-E84</f>
        <v/>
      </c>
      <c r="G84">
        <f>MIN(F84,MAX(0,$B84-((K$5&lt;E$5)*L84+(Q$5&lt;E$5)*R84+(W$5&lt;E$5)*X84+(AC$5&lt;E$5)*AD84+(AI$5&lt;E$5)*AJ84+(AO$5&lt;E$5)*AP84+(AU$5&lt;E$5)*AV84)))</f>
        <v/>
      </c>
      <c r="H84">
        <f>IF(F84-G84&lt;0.005,0,F84-G84)</f>
        <v/>
      </c>
      <c r="I84">
        <f>N83</f>
        <v/>
      </c>
      <c r="J84">
        <f>I84*Plan!D7/100/12</f>
        <v/>
      </c>
      <c r="K84">
        <f>MIN(Plan!E7,I84+J84)</f>
        <v/>
      </c>
      <c r="L84">
        <f>I84+J84-K84</f>
        <v/>
      </c>
      <c r="M84">
        <f>MIN(L84,MAX(0,$B84-((E$5&lt;K$5)*F84+(Q$5&lt;K$5)*R84+(W$5&lt;K$5)*X84+(AC$5&lt;K$5)*AD84+(AI$5&lt;K$5)*AJ84+(AO$5&lt;K$5)*AP84+(AU$5&lt;K$5)*AV84)))</f>
        <v/>
      </c>
      <c r="N84">
        <f>IF(L84-M84&lt;0.005,0,L84-M84)</f>
        <v/>
      </c>
      <c r="O84">
        <f>T83</f>
        <v/>
      </c>
      <c r="P84">
        <f>O84*Plan!D8/100/12</f>
        <v/>
      </c>
      <c r="Q84">
        <f>MIN(Plan!E8,O84+P84)</f>
        <v/>
      </c>
      <c r="R84">
        <f>O84+P84-Q84</f>
        <v/>
      </c>
      <c r="S84">
        <f>MIN(R84,MAX(0,$B84-((E$5&lt;Q$5)*F84+(K$5&lt;Q$5)*L84+(W$5&lt;Q$5)*X84+(AC$5&lt;Q$5)*AD84+(AI$5&lt;Q$5)*AJ84+(AO$5&lt;Q$5)*AP84+(AU$5&lt;Q$5)*AV84)))</f>
        <v/>
      </c>
      <c r="T84">
        <f>IF(R84-S84&lt;0.005,0,R84-S84)</f>
        <v/>
      </c>
      <c r="U84">
        <f>Z83</f>
        <v/>
      </c>
      <c r="V84">
        <f>U84*Plan!D9/100/12</f>
        <v/>
      </c>
      <c r="W84">
        <f>MIN(Plan!E9,U84+V84)</f>
        <v/>
      </c>
      <c r="X84">
        <f>U84+V84-W84</f>
        <v/>
      </c>
      <c r="Y84">
        <f>MIN(X84,MAX(0,$B84-((E$5&lt;W$5)*F84+(K$5&lt;W$5)*L84+(Q$5&lt;W$5)*R84+(AC$5&lt;W$5)*AD84+(AI$5&lt;W$5)*AJ84+(AO$5&lt;W$5)*AP84+(AU$5&lt;W$5)*AV84)))</f>
        <v/>
      </c>
      <c r="Z84">
        <f>IF(X84-Y84&lt;0.005,0,X84-Y84)</f>
        <v/>
      </c>
      <c r="AA84">
        <f>AF83</f>
        <v/>
      </c>
      <c r="AB84">
        <f>AA84*Plan!D10/100/12</f>
        <v/>
      </c>
      <c r="AC84">
        <f>MIN(Plan!E10,AA84+AB84)</f>
        <v/>
      </c>
      <c r="AD84">
        <f>AA84+AB84-AC84</f>
        <v/>
      </c>
      <c r="AE84">
        <f>MIN(AD84,MAX(0,$B84-((E$5&lt;AC$5)*F84+(K$5&lt;AC$5)*L84+(Q$5&lt;AC$5)*R84+(W$5&lt;AC$5)*X84+(AI$5&lt;AC$5)*AJ84+(AO$5&lt;AC$5)*AP84+(AU$5&lt;AC$5)*AV84)))</f>
        <v/>
      </c>
      <c r="AF84">
        <f>IF(AD84-AE84&lt;0.005,0,AD84-AE84)</f>
        <v/>
      </c>
      <c r="AG84">
        <f>AL83</f>
        <v/>
      </c>
      <c r="AH84">
        <f>AG84*Plan!D11/100/12</f>
        <v/>
      </c>
      <c r="AI84">
        <f>MIN(Plan!E11,AG84+AH84)</f>
        <v/>
      </c>
      <c r="AJ84">
        <f>AG84+AH84-AI84</f>
        <v/>
      </c>
      <c r="AK84">
        <f>MIN(AJ84,MAX(0,$B84-((E$5&lt;AI$5)*F84+(K$5&lt;AI$5)*L84+(Q$5&lt;AI$5)*R84+(W$5&lt;AI$5)*X84+(AC$5&lt;AI$5)*AD84+(AO$5&lt;AI$5)*AP84+(AU$5&lt;AI$5)*AV84)))</f>
        <v/>
      </c>
      <c r="AL84">
        <f>IF(AJ84-AK84&lt;0.005,0,AJ84-AK84)</f>
        <v/>
      </c>
      <c r="AM84">
        <f>AR83</f>
        <v/>
      </c>
      <c r="AN84">
        <f>AM84*Plan!D12/100/12</f>
        <v/>
      </c>
      <c r="AO84">
        <f>MIN(Plan!E12,AM84+AN84)</f>
        <v/>
      </c>
      <c r="AP84">
        <f>AM84+AN84-AO84</f>
        <v/>
      </c>
      <c r="AQ84">
        <f>MIN(AP84,MAX(0,$B84-((E$5&lt;AO$5)*F84+(K$5&lt;AO$5)*L84+(Q$5&lt;AO$5)*R84+(W$5&lt;AO$5)*X84+(AC$5&lt;AO$5)*AD84+(AI$5&lt;AO$5)*AJ84+(AU$5&lt;AO$5)*AV84)))</f>
        <v/>
      </c>
      <c r="AR84">
        <f>IF(AP84-AQ84&lt;0.005,0,AP84-AQ84)</f>
        <v/>
      </c>
      <c r="AS84">
        <f>AX83</f>
        <v/>
      </c>
      <c r="AT84">
        <f>AS84*Plan!D13/100/12</f>
        <v/>
      </c>
      <c r="AU84">
        <f>MIN(Plan!E13,AS84+AT84)</f>
        <v/>
      </c>
      <c r="AV84">
        <f>AS84+AT84-AU84</f>
        <v/>
      </c>
      <c r="AW84">
        <f>MIN(AV84,MAX(0,$B84-((E$5&lt;AU$5)*F84+(K$5&lt;AU$5)*L84+(Q$5&lt;AU$5)*R84+(W$5&lt;AU$5)*X84+(AC$5&lt;AU$5)*AD84+(AI$5&lt;AU$5)*AJ84+(AO$5&lt;AU$5)*AP84)))</f>
        <v/>
      </c>
      <c r="AX84">
        <f>IF(AV84-AW84&lt;0.005,0,AV84-AW84)</f>
        <v/>
      </c>
      <c r="BC84">
        <f>H84+N84+T84+Z84+AF84+AL84+AR84+AX84</f>
        <v/>
      </c>
    </row>
    <row r="85">
      <c r="A85" t="n">
        <v>79</v>
      </c>
      <c r="B85" s="19">
        <f>MAX(0,$B$3-(E85+K85+Q85+W85+AC85+AI85+AO85+AU85))</f>
        <v/>
      </c>
      <c r="C85">
        <f>H84</f>
        <v/>
      </c>
      <c r="D85">
        <f>C85*Plan!D6/100/12</f>
        <v/>
      </c>
      <c r="E85">
        <f>MIN(Plan!E6,C85+D85)</f>
        <v/>
      </c>
      <c r="F85">
        <f>C85+D85-E85</f>
        <v/>
      </c>
      <c r="G85">
        <f>MIN(F85,MAX(0,$B85-((K$5&lt;E$5)*L85+(Q$5&lt;E$5)*R85+(W$5&lt;E$5)*X85+(AC$5&lt;E$5)*AD85+(AI$5&lt;E$5)*AJ85+(AO$5&lt;E$5)*AP85+(AU$5&lt;E$5)*AV85)))</f>
        <v/>
      </c>
      <c r="H85">
        <f>IF(F85-G85&lt;0.005,0,F85-G85)</f>
        <v/>
      </c>
      <c r="I85">
        <f>N84</f>
        <v/>
      </c>
      <c r="J85">
        <f>I85*Plan!D7/100/12</f>
        <v/>
      </c>
      <c r="K85">
        <f>MIN(Plan!E7,I85+J85)</f>
        <v/>
      </c>
      <c r="L85">
        <f>I85+J85-K85</f>
        <v/>
      </c>
      <c r="M85">
        <f>MIN(L85,MAX(0,$B85-((E$5&lt;K$5)*F85+(Q$5&lt;K$5)*R85+(W$5&lt;K$5)*X85+(AC$5&lt;K$5)*AD85+(AI$5&lt;K$5)*AJ85+(AO$5&lt;K$5)*AP85+(AU$5&lt;K$5)*AV85)))</f>
        <v/>
      </c>
      <c r="N85">
        <f>IF(L85-M85&lt;0.005,0,L85-M85)</f>
        <v/>
      </c>
      <c r="O85">
        <f>T84</f>
        <v/>
      </c>
      <c r="P85">
        <f>O85*Plan!D8/100/12</f>
        <v/>
      </c>
      <c r="Q85">
        <f>MIN(Plan!E8,O85+P85)</f>
        <v/>
      </c>
      <c r="R85">
        <f>O85+P85-Q85</f>
        <v/>
      </c>
      <c r="S85">
        <f>MIN(R85,MAX(0,$B85-((E$5&lt;Q$5)*F85+(K$5&lt;Q$5)*L85+(W$5&lt;Q$5)*X85+(AC$5&lt;Q$5)*AD85+(AI$5&lt;Q$5)*AJ85+(AO$5&lt;Q$5)*AP85+(AU$5&lt;Q$5)*AV85)))</f>
        <v/>
      </c>
      <c r="T85">
        <f>IF(R85-S85&lt;0.005,0,R85-S85)</f>
        <v/>
      </c>
      <c r="U85">
        <f>Z84</f>
        <v/>
      </c>
      <c r="V85">
        <f>U85*Plan!D9/100/12</f>
        <v/>
      </c>
      <c r="W85">
        <f>MIN(Plan!E9,U85+V85)</f>
        <v/>
      </c>
      <c r="X85">
        <f>U85+V85-W85</f>
        <v/>
      </c>
      <c r="Y85">
        <f>MIN(X85,MAX(0,$B85-((E$5&lt;W$5)*F85+(K$5&lt;W$5)*L85+(Q$5&lt;W$5)*R85+(AC$5&lt;W$5)*AD85+(AI$5&lt;W$5)*AJ85+(AO$5&lt;W$5)*AP85+(AU$5&lt;W$5)*AV85)))</f>
        <v/>
      </c>
      <c r="Z85">
        <f>IF(X85-Y85&lt;0.005,0,X85-Y85)</f>
        <v/>
      </c>
      <c r="AA85">
        <f>AF84</f>
        <v/>
      </c>
      <c r="AB85">
        <f>AA85*Plan!D10/100/12</f>
        <v/>
      </c>
      <c r="AC85">
        <f>MIN(Plan!E10,AA85+AB85)</f>
        <v/>
      </c>
      <c r="AD85">
        <f>AA85+AB85-AC85</f>
        <v/>
      </c>
      <c r="AE85">
        <f>MIN(AD85,MAX(0,$B85-((E$5&lt;AC$5)*F85+(K$5&lt;AC$5)*L85+(Q$5&lt;AC$5)*R85+(W$5&lt;AC$5)*X85+(AI$5&lt;AC$5)*AJ85+(AO$5&lt;AC$5)*AP85+(AU$5&lt;AC$5)*AV85)))</f>
        <v/>
      </c>
      <c r="AF85">
        <f>IF(AD85-AE85&lt;0.005,0,AD85-AE85)</f>
        <v/>
      </c>
      <c r="AG85">
        <f>AL84</f>
        <v/>
      </c>
      <c r="AH85">
        <f>AG85*Plan!D11/100/12</f>
        <v/>
      </c>
      <c r="AI85">
        <f>MIN(Plan!E11,AG85+AH85)</f>
        <v/>
      </c>
      <c r="AJ85">
        <f>AG85+AH85-AI85</f>
        <v/>
      </c>
      <c r="AK85">
        <f>MIN(AJ85,MAX(0,$B85-((E$5&lt;AI$5)*F85+(K$5&lt;AI$5)*L85+(Q$5&lt;AI$5)*R85+(W$5&lt;AI$5)*X85+(AC$5&lt;AI$5)*AD85+(AO$5&lt;AI$5)*AP85+(AU$5&lt;AI$5)*AV85)))</f>
        <v/>
      </c>
      <c r="AL85">
        <f>IF(AJ85-AK85&lt;0.005,0,AJ85-AK85)</f>
        <v/>
      </c>
      <c r="AM85">
        <f>AR84</f>
        <v/>
      </c>
      <c r="AN85">
        <f>AM85*Plan!D12/100/12</f>
        <v/>
      </c>
      <c r="AO85">
        <f>MIN(Plan!E12,AM85+AN85)</f>
        <v/>
      </c>
      <c r="AP85">
        <f>AM85+AN85-AO85</f>
        <v/>
      </c>
      <c r="AQ85">
        <f>MIN(AP85,MAX(0,$B85-((E$5&lt;AO$5)*F85+(K$5&lt;AO$5)*L85+(Q$5&lt;AO$5)*R85+(W$5&lt;AO$5)*X85+(AC$5&lt;AO$5)*AD85+(AI$5&lt;AO$5)*AJ85+(AU$5&lt;AO$5)*AV85)))</f>
        <v/>
      </c>
      <c r="AR85">
        <f>IF(AP85-AQ85&lt;0.005,0,AP85-AQ85)</f>
        <v/>
      </c>
      <c r="AS85">
        <f>AX84</f>
        <v/>
      </c>
      <c r="AT85">
        <f>AS85*Plan!D13/100/12</f>
        <v/>
      </c>
      <c r="AU85">
        <f>MIN(Plan!E13,AS85+AT85)</f>
        <v/>
      </c>
      <c r="AV85">
        <f>AS85+AT85-AU85</f>
        <v/>
      </c>
      <c r="AW85">
        <f>MIN(AV85,MAX(0,$B85-((E$5&lt;AU$5)*F85+(K$5&lt;AU$5)*L85+(Q$5&lt;AU$5)*R85+(W$5&lt;AU$5)*X85+(AC$5&lt;AU$5)*AD85+(AI$5&lt;AU$5)*AJ85+(AO$5&lt;AU$5)*AP85)))</f>
        <v/>
      </c>
      <c r="AX85">
        <f>IF(AV85-AW85&lt;0.005,0,AV85-AW85)</f>
        <v/>
      </c>
      <c r="BC85">
        <f>H85+N85+T85+Z85+AF85+AL85+AR85+AX85</f>
        <v/>
      </c>
    </row>
    <row r="86">
      <c r="A86" t="n">
        <v>80</v>
      </c>
      <c r="B86" s="19">
        <f>MAX(0,$B$3-(E86+K86+Q86+W86+AC86+AI86+AO86+AU86))</f>
        <v/>
      </c>
      <c r="C86">
        <f>H85</f>
        <v/>
      </c>
      <c r="D86">
        <f>C86*Plan!D6/100/12</f>
        <v/>
      </c>
      <c r="E86">
        <f>MIN(Plan!E6,C86+D86)</f>
        <v/>
      </c>
      <c r="F86">
        <f>C86+D86-E86</f>
        <v/>
      </c>
      <c r="G86">
        <f>MIN(F86,MAX(0,$B86-((K$5&lt;E$5)*L86+(Q$5&lt;E$5)*R86+(W$5&lt;E$5)*X86+(AC$5&lt;E$5)*AD86+(AI$5&lt;E$5)*AJ86+(AO$5&lt;E$5)*AP86+(AU$5&lt;E$5)*AV86)))</f>
        <v/>
      </c>
      <c r="H86">
        <f>IF(F86-G86&lt;0.005,0,F86-G86)</f>
        <v/>
      </c>
      <c r="I86">
        <f>N85</f>
        <v/>
      </c>
      <c r="J86">
        <f>I86*Plan!D7/100/12</f>
        <v/>
      </c>
      <c r="K86">
        <f>MIN(Plan!E7,I86+J86)</f>
        <v/>
      </c>
      <c r="L86">
        <f>I86+J86-K86</f>
        <v/>
      </c>
      <c r="M86">
        <f>MIN(L86,MAX(0,$B86-((E$5&lt;K$5)*F86+(Q$5&lt;K$5)*R86+(W$5&lt;K$5)*X86+(AC$5&lt;K$5)*AD86+(AI$5&lt;K$5)*AJ86+(AO$5&lt;K$5)*AP86+(AU$5&lt;K$5)*AV86)))</f>
        <v/>
      </c>
      <c r="N86">
        <f>IF(L86-M86&lt;0.005,0,L86-M86)</f>
        <v/>
      </c>
      <c r="O86">
        <f>T85</f>
        <v/>
      </c>
      <c r="P86">
        <f>O86*Plan!D8/100/12</f>
        <v/>
      </c>
      <c r="Q86">
        <f>MIN(Plan!E8,O86+P86)</f>
        <v/>
      </c>
      <c r="R86">
        <f>O86+P86-Q86</f>
        <v/>
      </c>
      <c r="S86">
        <f>MIN(R86,MAX(0,$B86-((E$5&lt;Q$5)*F86+(K$5&lt;Q$5)*L86+(W$5&lt;Q$5)*X86+(AC$5&lt;Q$5)*AD86+(AI$5&lt;Q$5)*AJ86+(AO$5&lt;Q$5)*AP86+(AU$5&lt;Q$5)*AV86)))</f>
        <v/>
      </c>
      <c r="T86">
        <f>IF(R86-S86&lt;0.005,0,R86-S86)</f>
        <v/>
      </c>
      <c r="U86">
        <f>Z85</f>
        <v/>
      </c>
      <c r="V86">
        <f>U86*Plan!D9/100/12</f>
        <v/>
      </c>
      <c r="W86">
        <f>MIN(Plan!E9,U86+V86)</f>
        <v/>
      </c>
      <c r="X86">
        <f>U86+V86-W86</f>
        <v/>
      </c>
      <c r="Y86">
        <f>MIN(X86,MAX(0,$B86-((E$5&lt;W$5)*F86+(K$5&lt;W$5)*L86+(Q$5&lt;W$5)*R86+(AC$5&lt;W$5)*AD86+(AI$5&lt;W$5)*AJ86+(AO$5&lt;W$5)*AP86+(AU$5&lt;W$5)*AV86)))</f>
        <v/>
      </c>
      <c r="Z86">
        <f>IF(X86-Y86&lt;0.005,0,X86-Y86)</f>
        <v/>
      </c>
      <c r="AA86">
        <f>AF85</f>
        <v/>
      </c>
      <c r="AB86">
        <f>AA86*Plan!D10/100/12</f>
        <v/>
      </c>
      <c r="AC86">
        <f>MIN(Plan!E10,AA86+AB86)</f>
        <v/>
      </c>
      <c r="AD86">
        <f>AA86+AB86-AC86</f>
        <v/>
      </c>
      <c r="AE86">
        <f>MIN(AD86,MAX(0,$B86-((E$5&lt;AC$5)*F86+(K$5&lt;AC$5)*L86+(Q$5&lt;AC$5)*R86+(W$5&lt;AC$5)*X86+(AI$5&lt;AC$5)*AJ86+(AO$5&lt;AC$5)*AP86+(AU$5&lt;AC$5)*AV86)))</f>
        <v/>
      </c>
      <c r="AF86">
        <f>IF(AD86-AE86&lt;0.005,0,AD86-AE86)</f>
        <v/>
      </c>
      <c r="AG86">
        <f>AL85</f>
        <v/>
      </c>
      <c r="AH86">
        <f>AG86*Plan!D11/100/12</f>
        <v/>
      </c>
      <c r="AI86">
        <f>MIN(Plan!E11,AG86+AH86)</f>
        <v/>
      </c>
      <c r="AJ86">
        <f>AG86+AH86-AI86</f>
        <v/>
      </c>
      <c r="AK86">
        <f>MIN(AJ86,MAX(0,$B86-((E$5&lt;AI$5)*F86+(K$5&lt;AI$5)*L86+(Q$5&lt;AI$5)*R86+(W$5&lt;AI$5)*X86+(AC$5&lt;AI$5)*AD86+(AO$5&lt;AI$5)*AP86+(AU$5&lt;AI$5)*AV86)))</f>
        <v/>
      </c>
      <c r="AL86">
        <f>IF(AJ86-AK86&lt;0.005,0,AJ86-AK86)</f>
        <v/>
      </c>
      <c r="AM86">
        <f>AR85</f>
        <v/>
      </c>
      <c r="AN86">
        <f>AM86*Plan!D12/100/12</f>
        <v/>
      </c>
      <c r="AO86">
        <f>MIN(Plan!E12,AM86+AN86)</f>
        <v/>
      </c>
      <c r="AP86">
        <f>AM86+AN86-AO86</f>
        <v/>
      </c>
      <c r="AQ86">
        <f>MIN(AP86,MAX(0,$B86-((E$5&lt;AO$5)*F86+(K$5&lt;AO$5)*L86+(Q$5&lt;AO$5)*R86+(W$5&lt;AO$5)*X86+(AC$5&lt;AO$5)*AD86+(AI$5&lt;AO$5)*AJ86+(AU$5&lt;AO$5)*AV86)))</f>
        <v/>
      </c>
      <c r="AR86">
        <f>IF(AP86-AQ86&lt;0.005,0,AP86-AQ86)</f>
        <v/>
      </c>
      <c r="AS86">
        <f>AX85</f>
        <v/>
      </c>
      <c r="AT86">
        <f>AS86*Plan!D13/100/12</f>
        <v/>
      </c>
      <c r="AU86">
        <f>MIN(Plan!E13,AS86+AT86)</f>
        <v/>
      </c>
      <c r="AV86">
        <f>AS86+AT86-AU86</f>
        <v/>
      </c>
      <c r="AW86">
        <f>MIN(AV86,MAX(0,$B86-((E$5&lt;AU$5)*F86+(K$5&lt;AU$5)*L86+(Q$5&lt;AU$5)*R86+(W$5&lt;AU$5)*X86+(AC$5&lt;AU$5)*AD86+(AI$5&lt;AU$5)*AJ86+(AO$5&lt;AU$5)*AP86)))</f>
        <v/>
      </c>
      <c r="AX86">
        <f>IF(AV86-AW86&lt;0.005,0,AV86-AW86)</f>
        <v/>
      </c>
      <c r="BC86">
        <f>H86+N86+T86+Z86+AF86+AL86+AR86+AX86</f>
        <v/>
      </c>
    </row>
    <row r="87">
      <c r="A87" t="n">
        <v>81</v>
      </c>
      <c r="B87" s="19">
        <f>MAX(0,$B$3-(E87+K87+Q87+W87+AC87+AI87+AO87+AU87))</f>
        <v/>
      </c>
      <c r="C87">
        <f>H86</f>
        <v/>
      </c>
      <c r="D87">
        <f>C87*Plan!D6/100/12</f>
        <v/>
      </c>
      <c r="E87">
        <f>MIN(Plan!E6,C87+D87)</f>
        <v/>
      </c>
      <c r="F87">
        <f>C87+D87-E87</f>
        <v/>
      </c>
      <c r="G87">
        <f>MIN(F87,MAX(0,$B87-((K$5&lt;E$5)*L87+(Q$5&lt;E$5)*R87+(W$5&lt;E$5)*X87+(AC$5&lt;E$5)*AD87+(AI$5&lt;E$5)*AJ87+(AO$5&lt;E$5)*AP87+(AU$5&lt;E$5)*AV87)))</f>
        <v/>
      </c>
      <c r="H87">
        <f>IF(F87-G87&lt;0.005,0,F87-G87)</f>
        <v/>
      </c>
      <c r="I87">
        <f>N86</f>
        <v/>
      </c>
      <c r="J87">
        <f>I87*Plan!D7/100/12</f>
        <v/>
      </c>
      <c r="K87">
        <f>MIN(Plan!E7,I87+J87)</f>
        <v/>
      </c>
      <c r="L87">
        <f>I87+J87-K87</f>
        <v/>
      </c>
      <c r="M87">
        <f>MIN(L87,MAX(0,$B87-((E$5&lt;K$5)*F87+(Q$5&lt;K$5)*R87+(W$5&lt;K$5)*X87+(AC$5&lt;K$5)*AD87+(AI$5&lt;K$5)*AJ87+(AO$5&lt;K$5)*AP87+(AU$5&lt;K$5)*AV87)))</f>
        <v/>
      </c>
      <c r="N87">
        <f>IF(L87-M87&lt;0.005,0,L87-M87)</f>
        <v/>
      </c>
      <c r="O87">
        <f>T86</f>
        <v/>
      </c>
      <c r="P87">
        <f>O87*Plan!D8/100/12</f>
        <v/>
      </c>
      <c r="Q87">
        <f>MIN(Plan!E8,O87+P87)</f>
        <v/>
      </c>
      <c r="R87">
        <f>O87+P87-Q87</f>
        <v/>
      </c>
      <c r="S87">
        <f>MIN(R87,MAX(0,$B87-((E$5&lt;Q$5)*F87+(K$5&lt;Q$5)*L87+(W$5&lt;Q$5)*X87+(AC$5&lt;Q$5)*AD87+(AI$5&lt;Q$5)*AJ87+(AO$5&lt;Q$5)*AP87+(AU$5&lt;Q$5)*AV87)))</f>
        <v/>
      </c>
      <c r="T87">
        <f>IF(R87-S87&lt;0.005,0,R87-S87)</f>
        <v/>
      </c>
      <c r="U87">
        <f>Z86</f>
        <v/>
      </c>
      <c r="V87">
        <f>U87*Plan!D9/100/12</f>
        <v/>
      </c>
      <c r="W87">
        <f>MIN(Plan!E9,U87+V87)</f>
        <v/>
      </c>
      <c r="X87">
        <f>U87+V87-W87</f>
        <v/>
      </c>
      <c r="Y87">
        <f>MIN(X87,MAX(0,$B87-((E$5&lt;W$5)*F87+(K$5&lt;W$5)*L87+(Q$5&lt;W$5)*R87+(AC$5&lt;W$5)*AD87+(AI$5&lt;W$5)*AJ87+(AO$5&lt;W$5)*AP87+(AU$5&lt;W$5)*AV87)))</f>
        <v/>
      </c>
      <c r="Z87">
        <f>IF(X87-Y87&lt;0.005,0,X87-Y87)</f>
        <v/>
      </c>
      <c r="AA87">
        <f>AF86</f>
        <v/>
      </c>
      <c r="AB87">
        <f>AA87*Plan!D10/100/12</f>
        <v/>
      </c>
      <c r="AC87">
        <f>MIN(Plan!E10,AA87+AB87)</f>
        <v/>
      </c>
      <c r="AD87">
        <f>AA87+AB87-AC87</f>
        <v/>
      </c>
      <c r="AE87">
        <f>MIN(AD87,MAX(0,$B87-((E$5&lt;AC$5)*F87+(K$5&lt;AC$5)*L87+(Q$5&lt;AC$5)*R87+(W$5&lt;AC$5)*X87+(AI$5&lt;AC$5)*AJ87+(AO$5&lt;AC$5)*AP87+(AU$5&lt;AC$5)*AV87)))</f>
        <v/>
      </c>
      <c r="AF87">
        <f>IF(AD87-AE87&lt;0.005,0,AD87-AE87)</f>
        <v/>
      </c>
      <c r="AG87">
        <f>AL86</f>
        <v/>
      </c>
      <c r="AH87">
        <f>AG87*Plan!D11/100/12</f>
        <v/>
      </c>
      <c r="AI87">
        <f>MIN(Plan!E11,AG87+AH87)</f>
        <v/>
      </c>
      <c r="AJ87">
        <f>AG87+AH87-AI87</f>
        <v/>
      </c>
      <c r="AK87">
        <f>MIN(AJ87,MAX(0,$B87-((E$5&lt;AI$5)*F87+(K$5&lt;AI$5)*L87+(Q$5&lt;AI$5)*R87+(W$5&lt;AI$5)*X87+(AC$5&lt;AI$5)*AD87+(AO$5&lt;AI$5)*AP87+(AU$5&lt;AI$5)*AV87)))</f>
        <v/>
      </c>
      <c r="AL87">
        <f>IF(AJ87-AK87&lt;0.005,0,AJ87-AK87)</f>
        <v/>
      </c>
      <c r="AM87">
        <f>AR86</f>
        <v/>
      </c>
      <c r="AN87">
        <f>AM87*Plan!D12/100/12</f>
        <v/>
      </c>
      <c r="AO87">
        <f>MIN(Plan!E12,AM87+AN87)</f>
        <v/>
      </c>
      <c r="AP87">
        <f>AM87+AN87-AO87</f>
        <v/>
      </c>
      <c r="AQ87">
        <f>MIN(AP87,MAX(0,$B87-((E$5&lt;AO$5)*F87+(K$5&lt;AO$5)*L87+(Q$5&lt;AO$5)*R87+(W$5&lt;AO$5)*X87+(AC$5&lt;AO$5)*AD87+(AI$5&lt;AO$5)*AJ87+(AU$5&lt;AO$5)*AV87)))</f>
        <v/>
      </c>
      <c r="AR87">
        <f>IF(AP87-AQ87&lt;0.005,0,AP87-AQ87)</f>
        <v/>
      </c>
      <c r="AS87">
        <f>AX86</f>
        <v/>
      </c>
      <c r="AT87">
        <f>AS87*Plan!D13/100/12</f>
        <v/>
      </c>
      <c r="AU87">
        <f>MIN(Plan!E13,AS87+AT87)</f>
        <v/>
      </c>
      <c r="AV87">
        <f>AS87+AT87-AU87</f>
        <v/>
      </c>
      <c r="AW87">
        <f>MIN(AV87,MAX(0,$B87-((E$5&lt;AU$5)*F87+(K$5&lt;AU$5)*L87+(Q$5&lt;AU$5)*R87+(W$5&lt;AU$5)*X87+(AC$5&lt;AU$5)*AD87+(AI$5&lt;AU$5)*AJ87+(AO$5&lt;AU$5)*AP87)))</f>
        <v/>
      </c>
      <c r="AX87">
        <f>IF(AV87-AW87&lt;0.005,0,AV87-AW87)</f>
        <v/>
      </c>
      <c r="BC87">
        <f>H87+N87+T87+Z87+AF87+AL87+AR87+AX87</f>
        <v/>
      </c>
    </row>
    <row r="88">
      <c r="A88" t="n">
        <v>82</v>
      </c>
      <c r="B88" s="19">
        <f>MAX(0,$B$3-(E88+K88+Q88+W88+AC88+AI88+AO88+AU88))</f>
        <v/>
      </c>
      <c r="C88">
        <f>H87</f>
        <v/>
      </c>
      <c r="D88">
        <f>C88*Plan!D6/100/12</f>
        <v/>
      </c>
      <c r="E88">
        <f>MIN(Plan!E6,C88+D88)</f>
        <v/>
      </c>
      <c r="F88">
        <f>C88+D88-E88</f>
        <v/>
      </c>
      <c r="G88">
        <f>MIN(F88,MAX(0,$B88-((K$5&lt;E$5)*L88+(Q$5&lt;E$5)*R88+(W$5&lt;E$5)*X88+(AC$5&lt;E$5)*AD88+(AI$5&lt;E$5)*AJ88+(AO$5&lt;E$5)*AP88+(AU$5&lt;E$5)*AV88)))</f>
        <v/>
      </c>
      <c r="H88">
        <f>IF(F88-G88&lt;0.005,0,F88-G88)</f>
        <v/>
      </c>
      <c r="I88">
        <f>N87</f>
        <v/>
      </c>
      <c r="J88">
        <f>I88*Plan!D7/100/12</f>
        <v/>
      </c>
      <c r="K88">
        <f>MIN(Plan!E7,I88+J88)</f>
        <v/>
      </c>
      <c r="L88">
        <f>I88+J88-K88</f>
        <v/>
      </c>
      <c r="M88">
        <f>MIN(L88,MAX(0,$B88-((E$5&lt;K$5)*F88+(Q$5&lt;K$5)*R88+(W$5&lt;K$5)*X88+(AC$5&lt;K$5)*AD88+(AI$5&lt;K$5)*AJ88+(AO$5&lt;K$5)*AP88+(AU$5&lt;K$5)*AV88)))</f>
        <v/>
      </c>
      <c r="N88">
        <f>IF(L88-M88&lt;0.005,0,L88-M88)</f>
        <v/>
      </c>
      <c r="O88">
        <f>T87</f>
        <v/>
      </c>
      <c r="P88">
        <f>O88*Plan!D8/100/12</f>
        <v/>
      </c>
      <c r="Q88">
        <f>MIN(Plan!E8,O88+P88)</f>
        <v/>
      </c>
      <c r="R88">
        <f>O88+P88-Q88</f>
        <v/>
      </c>
      <c r="S88">
        <f>MIN(R88,MAX(0,$B88-((E$5&lt;Q$5)*F88+(K$5&lt;Q$5)*L88+(W$5&lt;Q$5)*X88+(AC$5&lt;Q$5)*AD88+(AI$5&lt;Q$5)*AJ88+(AO$5&lt;Q$5)*AP88+(AU$5&lt;Q$5)*AV88)))</f>
        <v/>
      </c>
      <c r="T88">
        <f>IF(R88-S88&lt;0.005,0,R88-S88)</f>
        <v/>
      </c>
      <c r="U88">
        <f>Z87</f>
        <v/>
      </c>
      <c r="V88">
        <f>U88*Plan!D9/100/12</f>
        <v/>
      </c>
      <c r="W88">
        <f>MIN(Plan!E9,U88+V88)</f>
        <v/>
      </c>
      <c r="X88">
        <f>U88+V88-W88</f>
        <v/>
      </c>
      <c r="Y88">
        <f>MIN(X88,MAX(0,$B88-((E$5&lt;W$5)*F88+(K$5&lt;W$5)*L88+(Q$5&lt;W$5)*R88+(AC$5&lt;W$5)*AD88+(AI$5&lt;W$5)*AJ88+(AO$5&lt;W$5)*AP88+(AU$5&lt;W$5)*AV88)))</f>
        <v/>
      </c>
      <c r="Z88">
        <f>IF(X88-Y88&lt;0.005,0,X88-Y88)</f>
        <v/>
      </c>
      <c r="AA88">
        <f>AF87</f>
        <v/>
      </c>
      <c r="AB88">
        <f>AA88*Plan!D10/100/12</f>
        <v/>
      </c>
      <c r="AC88">
        <f>MIN(Plan!E10,AA88+AB88)</f>
        <v/>
      </c>
      <c r="AD88">
        <f>AA88+AB88-AC88</f>
        <v/>
      </c>
      <c r="AE88">
        <f>MIN(AD88,MAX(0,$B88-((E$5&lt;AC$5)*F88+(K$5&lt;AC$5)*L88+(Q$5&lt;AC$5)*R88+(W$5&lt;AC$5)*X88+(AI$5&lt;AC$5)*AJ88+(AO$5&lt;AC$5)*AP88+(AU$5&lt;AC$5)*AV88)))</f>
        <v/>
      </c>
      <c r="AF88">
        <f>IF(AD88-AE88&lt;0.005,0,AD88-AE88)</f>
        <v/>
      </c>
      <c r="AG88">
        <f>AL87</f>
        <v/>
      </c>
      <c r="AH88">
        <f>AG88*Plan!D11/100/12</f>
        <v/>
      </c>
      <c r="AI88">
        <f>MIN(Plan!E11,AG88+AH88)</f>
        <v/>
      </c>
      <c r="AJ88">
        <f>AG88+AH88-AI88</f>
        <v/>
      </c>
      <c r="AK88">
        <f>MIN(AJ88,MAX(0,$B88-((E$5&lt;AI$5)*F88+(K$5&lt;AI$5)*L88+(Q$5&lt;AI$5)*R88+(W$5&lt;AI$5)*X88+(AC$5&lt;AI$5)*AD88+(AO$5&lt;AI$5)*AP88+(AU$5&lt;AI$5)*AV88)))</f>
        <v/>
      </c>
      <c r="AL88">
        <f>IF(AJ88-AK88&lt;0.005,0,AJ88-AK88)</f>
        <v/>
      </c>
      <c r="AM88">
        <f>AR87</f>
        <v/>
      </c>
      <c r="AN88">
        <f>AM88*Plan!D12/100/12</f>
        <v/>
      </c>
      <c r="AO88">
        <f>MIN(Plan!E12,AM88+AN88)</f>
        <v/>
      </c>
      <c r="AP88">
        <f>AM88+AN88-AO88</f>
        <v/>
      </c>
      <c r="AQ88">
        <f>MIN(AP88,MAX(0,$B88-((E$5&lt;AO$5)*F88+(K$5&lt;AO$5)*L88+(Q$5&lt;AO$5)*R88+(W$5&lt;AO$5)*X88+(AC$5&lt;AO$5)*AD88+(AI$5&lt;AO$5)*AJ88+(AU$5&lt;AO$5)*AV88)))</f>
        <v/>
      </c>
      <c r="AR88">
        <f>IF(AP88-AQ88&lt;0.005,0,AP88-AQ88)</f>
        <v/>
      </c>
      <c r="AS88">
        <f>AX87</f>
        <v/>
      </c>
      <c r="AT88">
        <f>AS88*Plan!D13/100/12</f>
        <v/>
      </c>
      <c r="AU88">
        <f>MIN(Plan!E13,AS88+AT88)</f>
        <v/>
      </c>
      <c r="AV88">
        <f>AS88+AT88-AU88</f>
        <v/>
      </c>
      <c r="AW88">
        <f>MIN(AV88,MAX(0,$B88-((E$5&lt;AU$5)*F88+(K$5&lt;AU$5)*L88+(Q$5&lt;AU$5)*R88+(W$5&lt;AU$5)*X88+(AC$5&lt;AU$5)*AD88+(AI$5&lt;AU$5)*AJ88+(AO$5&lt;AU$5)*AP88)))</f>
        <v/>
      </c>
      <c r="AX88">
        <f>IF(AV88-AW88&lt;0.005,0,AV88-AW88)</f>
        <v/>
      </c>
      <c r="BC88">
        <f>H88+N88+T88+Z88+AF88+AL88+AR88+AX88</f>
        <v/>
      </c>
    </row>
    <row r="89">
      <c r="A89" t="n">
        <v>83</v>
      </c>
      <c r="B89" s="19">
        <f>MAX(0,$B$3-(E89+K89+Q89+W89+AC89+AI89+AO89+AU89))</f>
        <v/>
      </c>
      <c r="C89">
        <f>H88</f>
        <v/>
      </c>
      <c r="D89">
        <f>C89*Plan!D6/100/12</f>
        <v/>
      </c>
      <c r="E89">
        <f>MIN(Plan!E6,C89+D89)</f>
        <v/>
      </c>
      <c r="F89">
        <f>C89+D89-E89</f>
        <v/>
      </c>
      <c r="G89">
        <f>MIN(F89,MAX(0,$B89-((K$5&lt;E$5)*L89+(Q$5&lt;E$5)*R89+(W$5&lt;E$5)*X89+(AC$5&lt;E$5)*AD89+(AI$5&lt;E$5)*AJ89+(AO$5&lt;E$5)*AP89+(AU$5&lt;E$5)*AV89)))</f>
        <v/>
      </c>
      <c r="H89">
        <f>IF(F89-G89&lt;0.005,0,F89-G89)</f>
        <v/>
      </c>
      <c r="I89">
        <f>N88</f>
        <v/>
      </c>
      <c r="J89">
        <f>I89*Plan!D7/100/12</f>
        <v/>
      </c>
      <c r="K89">
        <f>MIN(Plan!E7,I89+J89)</f>
        <v/>
      </c>
      <c r="L89">
        <f>I89+J89-K89</f>
        <v/>
      </c>
      <c r="M89">
        <f>MIN(L89,MAX(0,$B89-((E$5&lt;K$5)*F89+(Q$5&lt;K$5)*R89+(W$5&lt;K$5)*X89+(AC$5&lt;K$5)*AD89+(AI$5&lt;K$5)*AJ89+(AO$5&lt;K$5)*AP89+(AU$5&lt;K$5)*AV89)))</f>
        <v/>
      </c>
      <c r="N89">
        <f>IF(L89-M89&lt;0.005,0,L89-M89)</f>
        <v/>
      </c>
      <c r="O89">
        <f>T88</f>
        <v/>
      </c>
      <c r="P89">
        <f>O89*Plan!D8/100/12</f>
        <v/>
      </c>
      <c r="Q89">
        <f>MIN(Plan!E8,O89+P89)</f>
        <v/>
      </c>
      <c r="R89">
        <f>O89+P89-Q89</f>
        <v/>
      </c>
      <c r="S89">
        <f>MIN(R89,MAX(0,$B89-((E$5&lt;Q$5)*F89+(K$5&lt;Q$5)*L89+(W$5&lt;Q$5)*X89+(AC$5&lt;Q$5)*AD89+(AI$5&lt;Q$5)*AJ89+(AO$5&lt;Q$5)*AP89+(AU$5&lt;Q$5)*AV89)))</f>
        <v/>
      </c>
      <c r="T89">
        <f>IF(R89-S89&lt;0.005,0,R89-S89)</f>
        <v/>
      </c>
      <c r="U89">
        <f>Z88</f>
        <v/>
      </c>
      <c r="V89">
        <f>U89*Plan!D9/100/12</f>
        <v/>
      </c>
      <c r="W89">
        <f>MIN(Plan!E9,U89+V89)</f>
        <v/>
      </c>
      <c r="X89">
        <f>U89+V89-W89</f>
        <v/>
      </c>
      <c r="Y89">
        <f>MIN(X89,MAX(0,$B89-((E$5&lt;W$5)*F89+(K$5&lt;W$5)*L89+(Q$5&lt;W$5)*R89+(AC$5&lt;W$5)*AD89+(AI$5&lt;W$5)*AJ89+(AO$5&lt;W$5)*AP89+(AU$5&lt;W$5)*AV89)))</f>
        <v/>
      </c>
      <c r="Z89">
        <f>IF(X89-Y89&lt;0.005,0,X89-Y89)</f>
        <v/>
      </c>
      <c r="AA89">
        <f>AF88</f>
        <v/>
      </c>
      <c r="AB89">
        <f>AA89*Plan!D10/100/12</f>
        <v/>
      </c>
      <c r="AC89">
        <f>MIN(Plan!E10,AA89+AB89)</f>
        <v/>
      </c>
      <c r="AD89">
        <f>AA89+AB89-AC89</f>
        <v/>
      </c>
      <c r="AE89">
        <f>MIN(AD89,MAX(0,$B89-((E$5&lt;AC$5)*F89+(K$5&lt;AC$5)*L89+(Q$5&lt;AC$5)*R89+(W$5&lt;AC$5)*X89+(AI$5&lt;AC$5)*AJ89+(AO$5&lt;AC$5)*AP89+(AU$5&lt;AC$5)*AV89)))</f>
        <v/>
      </c>
      <c r="AF89">
        <f>IF(AD89-AE89&lt;0.005,0,AD89-AE89)</f>
        <v/>
      </c>
      <c r="AG89">
        <f>AL88</f>
        <v/>
      </c>
      <c r="AH89">
        <f>AG89*Plan!D11/100/12</f>
        <v/>
      </c>
      <c r="AI89">
        <f>MIN(Plan!E11,AG89+AH89)</f>
        <v/>
      </c>
      <c r="AJ89">
        <f>AG89+AH89-AI89</f>
        <v/>
      </c>
      <c r="AK89">
        <f>MIN(AJ89,MAX(0,$B89-((E$5&lt;AI$5)*F89+(K$5&lt;AI$5)*L89+(Q$5&lt;AI$5)*R89+(W$5&lt;AI$5)*X89+(AC$5&lt;AI$5)*AD89+(AO$5&lt;AI$5)*AP89+(AU$5&lt;AI$5)*AV89)))</f>
        <v/>
      </c>
      <c r="AL89">
        <f>IF(AJ89-AK89&lt;0.005,0,AJ89-AK89)</f>
        <v/>
      </c>
      <c r="AM89">
        <f>AR88</f>
        <v/>
      </c>
      <c r="AN89">
        <f>AM89*Plan!D12/100/12</f>
        <v/>
      </c>
      <c r="AO89">
        <f>MIN(Plan!E12,AM89+AN89)</f>
        <v/>
      </c>
      <c r="AP89">
        <f>AM89+AN89-AO89</f>
        <v/>
      </c>
      <c r="AQ89">
        <f>MIN(AP89,MAX(0,$B89-((E$5&lt;AO$5)*F89+(K$5&lt;AO$5)*L89+(Q$5&lt;AO$5)*R89+(W$5&lt;AO$5)*X89+(AC$5&lt;AO$5)*AD89+(AI$5&lt;AO$5)*AJ89+(AU$5&lt;AO$5)*AV89)))</f>
        <v/>
      </c>
      <c r="AR89">
        <f>IF(AP89-AQ89&lt;0.005,0,AP89-AQ89)</f>
        <v/>
      </c>
      <c r="AS89">
        <f>AX88</f>
        <v/>
      </c>
      <c r="AT89">
        <f>AS89*Plan!D13/100/12</f>
        <v/>
      </c>
      <c r="AU89">
        <f>MIN(Plan!E13,AS89+AT89)</f>
        <v/>
      </c>
      <c r="AV89">
        <f>AS89+AT89-AU89</f>
        <v/>
      </c>
      <c r="AW89">
        <f>MIN(AV89,MAX(0,$B89-((E$5&lt;AU$5)*F89+(K$5&lt;AU$5)*L89+(Q$5&lt;AU$5)*R89+(W$5&lt;AU$5)*X89+(AC$5&lt;AU$5)*AD89+(AI$5&lt;AU$5)*AJ89+(AO$5&lt;AU$5)*AP89)))</f>
        <v/>
      </c>
      <c r="AX89">
        <f>IF(AV89-AW89&lt;0.005,0,AV89-AW89)</f>
        <v/>
      </c>
      <c r="BC89">
        <f>H89+N89+T89+Z89+AF89+AL89+AR89+AX89</f>
        <v/>
      </c>
    </row>
    <row r="90">
      <c r="A90" t="n">
        <v>84</v>
      </c>
      <c r="B90" s="19">
        <f>MAX(0,$B$3-(E90+K90+Q90+W90+AC90+AI90+AO90+AU90))</f>
        <v/>
      </c>
      <c r="C90">
        <f>H89</f>
        <v/>
      </c>
      <c r="D90">
        <f>C90*Plan!D6/100/12</f>
        <v/>
      </c>
      <c r="E90">
        <f>MIN(Plan!E6,C90+D90)</f>
        <v/>
      </c>
      <c r="F90">
        <f>C90+D90-E90</f>
        <v/>
      </c>
      <c r="G90">
        <f>MIN(F90,MAX(0,$B90-((K$5&lt;E$5)*L90+(Q$5&lt;E$5)*R90+(W$5&lt;E$5)*X90+(AC$5&lt;E$5)*AD90+(AI$5&lt;E$5)*AJ90+(AO$5&lt;E$5)*AP90+(AU$5&lt;E$5)*AV90)))</f>
        <v/>
      </c>
      <c r="H90">
        <f>IF(F90-G90&lt;0.005,0,F90-G90)</f>
        <v/>
      </c>
      <c r="I90">
        <f>N89</f>
        <v/>
      </c>
      <c r="J90">
        <f>I90*Plan!D7/100/12</f>
        <v/>
      </c>
      <c r="K90">
        <f>MIN(Plan!E7,I90+J90)</f>
        <v/>
      </c>
      <c r="L90">
        <f>I90+J90-K90</f>
        <v/>
      </c>
      <c r="M90">
        <f>MIN(L90,MAX(0,$B90-((E$5&lt;K$5)*F90+(Q$5&lt;K$5)*R90+(W$5&lt;K$5)*X90+(AC$5&lt;K$5)*AD90+(AI$5&lt;K$5)*AJ90+(AO$5&lt;K$5)*AP90+(AU$5&lt;K$5)*AV90)))</f>
        <v/>
      </c>
      <c r="N90">
        <f>IF(L90-M90&lt;0.005,0,L90-M90)</f>
        <v/>
      </c>
      <c r="O90">
        <f>T89</f>
        <v/>
      </c>
      <c r="P90">
        <f>O90*Plan!D8/100/12</f>
        <v/>
      </c>
      <c r="Q90">
        <f>MIN(Plan!E8,O90+P90)</f>
        <v/>
      </c>
      <c r="R90">
        <f>O90+P90-Q90</f>
        <v/>
      </c>
      <c r="S90">
        <f>MIN(R90,MAX(0,$B90-((E$5&lt;Q$5)*F90+(K$5&lt;Q$5)*L90+(W$5&lt;Q$5)*X90+(AC$5&lt;Q$5)*AD90+(AI$5&lt;Q$5)*AJ90+(AO$5&lt;Q$5)*AP90+(AU$5&lt;Q$5)*AV90)))</f>
        <v/>
      </c>
      <c r="T90">
        <f>IF(R90-S90&lt;0.005,0,R90-S90)</f>
        <v/>
      </c>
      <c r="U90">
        <f>Z89</f>
        <v/>
      </c>
      <c r="V90">
        <f>U90*Plan!D9/100/12</f>
        <v/>
      </c>
      <c r="W90">
        <f>MIN(Plan!E9,U90+V90)</f>
        <v/>
      </c>
      <c r="X90">
        <f>U90+V90-W90</f>
        <v/>
      </c>
      <c r="Y90">
        <f>MIN(X90,MAX(0,$B90-((E$5&lt;W$5)*F90+(K$5&lt;W$5)*L90+(Q$5&lt;W$5)*R90+(AC$5&lt;W$5)*AD90+(AI$5&lt;W$5)*AJ90+(AO$5&lt;W$5)*AP90+(AU$5&lt;W$5)*AV90)))</f>
        <v/>
      </c>
      <c r="Z90">
        <f>IF(X90-Y90&lt;0.005,0,X90-Y90)</f>
        <v/>
      </c>
      <c r="AA90">
        <f>AF89</f>
        <v/>
      </c>
      <c r="AB90">
        <f>AA90*Plan!D10/100/12</f>
        <v/>
      </c>
      <c r="AC90">
        <f>MIN(Plan!E10,AA90+AB90)</f>
        <v/>
      </c>
      <c r="AD90">
        <f>AA90+AB90-AC90</f>
        <v/>
      </c>
      <c r="AE90">
        <f>MIN(AD90,MAX(0,$B90-((E$5&lt;AC$5)*F90+(K$5&lt;AC$5)*L90+(Q$5&lt;AC$5)*R90+(W$5&lt;AC$5)*X90+(AI$5&lt;AC$5)*AJ90+(AO$5&lt;AC$5)*AP90+(AU$5&lt;AC$5)*AV90)))</f>
        <v/>
      </c>
      <c r="AF90">
        <f>IF(AD90-AE90&lt;0.005,0,AD90-AE90)</f>
        <v/>
      </c>
      <c r="AG90">
        <f>AL89</f>
        <v/>
      </c>
      <c r="AH90">
        <f>AG90*Plan!D11/100/12</f>
        <v/>
      </c>
      <c r="AI90">
        <f>MIN(Plan!E11,AG90+AH90)</f>
        <v/>
      </c>
      <c r="AJ90">
        <f>AG90+AH90-AI90</f>
        <v/>
      </c>
      <c r="AK90">
        <f>MIN(AJ90,MAX(0,$B90-((E$5&lt;AI$5)*F90+(K$5&lt;AI$5)*L90+(Q$5&lt;AI$5)*R90+(W$5&lt;AI$5)*X90+(AC$5&lt;AI$5)*AD90+(AO$5&lt;AI$5)*AP90+(AU$5&lt;AI$5)*AV90)))</f>
        <v/>
      </c>
      <c r="AL90">
        <f>IF(AJ90-AK90&lt;0.005,0,AJ90-AK90)</f>
        <v/>
      </c>
      <c r="AM90">
        <f>AR89</f>
        <v/>
      </c>
      <c r="AN90">
        <f>AM90*Plan!D12/100/12</f>
        <v/>
      </c>
      <c r="AO90">
        <f>MIN(Plan!E12,AM90+AN90)</f>
        <v/>
      </c>
      <c r="AP90">
        <f>AM90+AN90-AO90</f>
        <v/>
      </c>
      <c r="AQ90">
        <f>MIN(AP90,MAX(0,$B90-((E$5&lt;AO$5)*F90+(K$5&lt;AO$5)*L90+(Q$5&lt;AO$5)*R90+(W$5&lt;AO$5)*X90+(AC$5&lt;AO$5)*AD90+(AI$5&lt;AO$5)*AJ90+(AU$5&lt;AO$5)*AV90)))</f>
        <v/>
      </c>
      <c r="AR90">
        <f>IF(AP90-AQ90&lt;0.005,0,AP90-AQ90)</f>
        <v/>
      </c>
      <c r="AS90">
        <f>AX89</f>
        <v/>
      </c>
      <c r="AT90">
        <f>AS90*Plan!D13/100/12</f>
        <v/>
      </c>
      <c r="AU90">
        <f>MIN(Plan!E13,AS90+AT90)</f>
        <v/>
      </c>
      <c r="AV90">
        <f>AS90+AT90-AU90</f>
        <v/>
      </c>
      <c r="AW90">
        <f>MIN(AV90,MAX(0,$B90-((E$5&lt;AU$5)*F90+(K$5&lt;AU$5)*L90+(Q$5&lt;AU$5)*R90+(W$5&lt;AU$5)*X90+(AC$5&lt;AU$5)*AD90+(AI$5&lt;AU$5)*AJ90+(AO$5&lt;AU$5)*AP90)))</f>
        <v/>
      </c>
      <c r="AX90">
        <f>IF(AV90-AW90&lt;0.005,0,AV90-AW90)</f>
        <v/>
      </c>
      <c r="BC90">
        <f>H90+N90+T90+Z90+AF90+AL90+AR90+AX90</f>
        <v/>
      </c>
    </row>
    <row r="91">
      <c r="A91" t="n">
        <v>85</v>
      </c>
      <c r="B91" s="19">
        <f>MAX(0,$B$3-(E91+K91+Q91+W91+AC91+AI91+AO91+AU91))</f>
        <v/>
      </c>
      <c r="C91">
        <f>H90</f>
        <v/>
      </c>
      <c r="D91">
        <f>C91*Plan!D6/100/12</f>
        <v/>
      </c>
      <c r="E91">
        <f>MIN(Plan!E6,C91+D91)</f>
        <v/>
      </c>
      <c r="F91">
        <f>C91+D91-E91</f>
        <v/>
      </c>
      <c r="G91">
        <f>MIN(F91,MAX(0,$B91-((K$5&lt;E$5)*L91+(Q$5&lt;E$5)*R91+(W$5&lt;E$5)*X91+(AC$5&lt;E$5)*AD91+(AI$5&lt;E$5)*AJ91+(AO$5&lt;E$5)*AP91+(AU$5&lt;E$5)*AV91)))</f>
        <v/>
      </c>
      <c r="H91">
        <f>IF(F91-G91&lt;0.005,0,F91-G91)</f>
        <v/>
      </c>
      <c r="I91">
        <f>N90</f>
        <v/>
      </c>
      <c r="J91">
        <f>I91*Plan!D7/100/12</f>
        <v/>
      </c>
      <c r="K91">
        <f>MIN(Plan!E7,I91+J91)</f>
        <v/>
      </c>
      <c r="L91">
        <f>I91+J91-K91</f>
        <v/>
      </c>
      <c r="M91">
        <f>MIN(L91,MAX(0,$B91-((E$5&lt;K$5)*F91+(Q$5&lt;K$5)*R91+(W$5&lt;K$5)*X91+(AC$5&lt;K$5)*AD91+(AI$5&lt;K$5)*AJ91+(AO$5&lt;K$5)*AP91+(AU$5&lt;K$5)*AV91)))</f>
        <v/>
      </c>
      <c r="N91">
        <f>IF(L91-M91&lt;0.005,0,L91-M91)</f>
        <v/>
      </c>
      <c r="O91">
        <f>T90</f>
        <v/>
      </c>
      <c r="P91">
        <f>O91*Plan!D8/100/12</f>
        <v/>
      </c>
      <c r="Q91">
        <f>MIN(Plan!E8,O91+P91)</f>
        <v/>
      </c>
      <c r="R91">
        <f>O91+P91-Q91</f>
        <v/>
      </c>
      <c r="S91">
        <f>MIN(R91,MAX(0,$B91-((E$5&lt;Q$5)*F91+(K$5&lt;Q$5)*L91+(W$5&lt;Q$5)*X91+(AC$5&lt;Q$5)*AD91+(AI$5&lt;Q$5)*AJ91+(AO$5&lt;Q$5)*AP91+(AU$5&lt;Q$5)*AV91)))</f>
        <v/>
      </c>
      <c r="T91">
        <f>IF(R91-S91&lt;0.005,0,R91-S91)</f>
        <v/>
      </c>
      <c r="U91">
        <f>Z90</f>
        <v/>
      </c>
      <c r="V91">
        <f>U91*Plan!D9/100/12</f>
        <v/>
      </c>
      <c r="W91">
        <f>MIN(Plan!E9,U91+V91)</f>
        <v/>
      </c>
      <c r="X91">
        <f>U91+V91-W91</f>
        <v/>
      </c>
      <c r="Y91">
        <f>MIN(X91,MAX(0,$B91-((E$5&lt;W$5)*F91+(K$5&lt;W$5)*L91+(Q$5&lt;W$5)*R91+(AC$5&lt;W$5)*AD91+(AI$5&lt;W$5)*AJ91+(AO$5&lt;W$5)*AP91+(AU$5&lt;W$5)*AV91)))</f>
        <v/>
      </c>
      <c r="Z91">
        <f>IF(X91-Y91&lt;0.005,0,X91-Y91)</f>
        <v/>
      </c>
      <c r="AA91">
        <f>AF90</f>
        <v/>
      </c>
      <c r="AB91">
        <f>AA91*Plan!D10/100/12</f>
        <v/>
      </c>
      <c r="AC91">
        <f>MIN(Plan!E10,AA91+AB91)</f>
        <v/>
      </c>
      <c r="AD91">
        <f>AA91+AB91-AC91</f>
        <v/>
      </c>
      <c r="AE91">
        <f>MIN(AD91,MAX(0,$B91-((E$5&lt;AC$5)*F91+(K$5&lt;AC$5)*L91+(Q$5&lt;AC$5)*R91+(W$5&lt;AC$5)*X91+(AI$5&lt;AC$5)*AJ91+(AO$5&lt;AC$5)*AP91+(AU$5&lt;AC$5)*AV91)))</f>
        <v/>
      </c>
      <c r="AF91">
        <f>IF(AD91-AE91&lt;0.005,0,AD91-AE91)</f>
        <v/>
      </c>
      <c r="AG91">
        <f>AL90</f>
        <v/>
      </c>
      <c r="AH91">
        <f>AG91*Plan!D11/100/12</f>
        <v/>
      </c>
      <c r="AI91">
        <f>MIN(Plan!E11,AG91+AH91)</f>
        <v/>
      </c>
      <c r="AJ91">
        <f>AG91+AH91-AI91</f>
        <v/>
      </c>
      <c r="AK91">
        <f>MIN(AJ91,MAX(0,$B91-((E$5&lt;AI$5)*F91+(K$5&lt;AI$5)*L91+(Q$5&lt;AI$5)*R91+(W$5&lt;AI$5)*X91+(AC$5&lt;AI$5)*AD91+(AO$5&lt;AI$5)*AP91+(AU$5&lt;AI$5)*AV91)))</f>
        <v/>
      </c>
      <c r="AL91">
        <f>IF(AJ91-AK91&lt;0.005,0,AJ91-AK91)</f>
        <v/>
      </c>
      <c r="AM91">
        <f>AR90</f>
        <v/>
      </c>
      <c r="AN91">
        <f>AM91*Plan!D12/100/12</f>
        <v/>
      </c>
      <c r="AO91">
        <f>MIN(Plan!E12,AM91+AN91)</f>
        <v/>
      </c>
      <c r="AP91">
        <f>AM91+AN91-AO91</f>
        <v/>
      </c>
      <c r="AQ91">
        <f>MIN(AP91,MAX(0,$B91-((E$5&lt;AO$5)*F91+(K$5&lt;AO$5)*L91+(Q$5&lt;AO$5)*R91+(W$5&lt;AO$5)*X91+(AC$5&lt;AO$5)*AD91+(AI$5&lt;AO$5)*AJ91+(AU$5&lt;AO$5)*AV91)))</f>
        <v/>
      </c>
      <c r="AR91">
        <f>IF(AP91-AQ91&lt;0.005,0,AP91-AQ91)</f>
        <v/>
      </c>
      <c r="AS91">
        <f>AX90</f>
        <v/>
      </c>
      <c r="AT91">
        <f>AS91*Plan!D13/100/12</f>
        <v/>
      </c>
      <c r="AU91">
        <f>MIN(Plan!E13,AS91+AT91)</f>
        <v/>
      </c>
      <c r="AV91">
        <f>AS91+AT91-AU91</f>
        <v/>
      </c>
      <c r="AW91">
        <f>MIN(AV91,MAX(0,$B91-((E$5&lt;AU$5)*F91+(K$5&lt;AU$5)*L91+(Q$5&lt;AU$5)*R91+(W$5&lt;AU$5)*X91+(AC$5&lt;AU$5)*AD91+(AI$5&lt;AU$5)*AJ91+(AO$5&lt;AU$5)*AP91)))</f>
        <v/>
      </c>
      <c r="AX91">
        <f>IF(AV91-AW91&lt;0.005,0,AV91-AW91)</f>
        <v/>
      </c>
      <c r="BC91">
        <f>H91+N91+T91+Z91+AF91+AL91+AR91+AX91</f>
        <v/>
      </c>
    </row>
    <row r="92">
      <c r="A92" t="n">
        <v>86</v>
      </c>
      <c r="B92" s="19">
        <f>MAX(0,$B$3-(E92+K92+Q92+W92+AC92+AI92+AO92+AU92))</f>
        <v/>
      </c>
      <c r="C92">
        <f>H91</f>
        <v/>
      </c>
      <c r="D92">
        <f>C92*Plan!D6/100/12</f>
        <v/>
      </c>
      <c r="E92">
        <f>MIN(Plan!E6,C92+D92)</f>
        <v/>
      </c>
      <c r="F92">
        <f>C92+D92-E92</f>
        <v/>
      </c>
      <c r="G92">
        <f>MIN(F92,MAX(0,$B92-((K$5&lt;E$5)*L92+(Q$5&lt;E$5)*R92+(W$5&lt;E$5)*X92+(AC$5&lt;E$5)*AD92+(AI$5&lt;E$5)*AJ92+(AO$5&lt;E$5)*AP92+(AU$5&lt;E$5)*AV92)))</f>
        <v/>
      </c>
      <c r="H92">
        <f>IF(F92-G92&lt;0.005,0,F92-G92)</f>
        <v/>
      </c>
      <c r="I92">
        <f>N91</f>
        <v/>
      </c>
      <c r="J92">
        <f>I92*Plan!D7/100/12</f>
        <v/>
      </c>
      <c r="K92">
        <f>MIN(Plan!E7,I92+J92)</f>
        <v/>
      </c>
      <c r="L92">
        <f>I92+J92-K92</f>
        <v/>
      </c>
      <c r="M92">
        <f>MIN(L92,MAX(0,$B92-((E$5&lt;K$5)*F92+(Q$5&lt;K$5)*R92+(W$5&lt;K$5)*X92+(AC$5&lt;K$5)*AD92+(AI$5&lt;K$5)*AJ92+(AO$5&lt;K$5)*AP92+(AU$5&lt;K$5)*AV92)))</f>
        <v/>
      </c>
      <c r="N92">
        <f>IF(L92-M92&lt;0.005,0,L92-M92)</f>
        <v/>
      </c>
      <c r="O92">
        <f>T91</f>
        <v/>
      </c>
      <c r="P92">
        <f>O92*Plan!D8/100/12</f>
        <v/>
      </c>
      <c r="Q92">
        <f>MIN(Plan!E8,O92+P92)</f>
        <v/>
      </c>
      <c r="R92">
        <f>O92+P92-Q92</f>
        <v/>
      </c>
      <c r="S92">
        <f>MIN(R92,MAX(0,$B92-((E$5&lt;Q$5)*F92+(K$5&lt;Q$5)*L92+(W$5&lt;Q$5)*X92+(AC$5&lt;Q$5)*AD92+(AI$5&lt;Q$5)*AJ92+(AO$5&lt;Q$5)*AP92+(AU$5&lt;Q$5)*AV92)))</f>
        <v/>
      </c>
      <c r="T92">
        <f>IF(R92-S92&lt;0.005,0,R92-S92)</f>
        <v/>
      </c>
      <c r="U92">
        <f>Z91</f>
        <v/>
      </c>
      <c r="V92">
        <f>U92*Plan!D9/100/12</f>
        <v/>
      </c>
      <c r="W92">
        <f>MIN(Plan!E9,U92+V92)</f>
        <v/>
      </c>
      <c r="X92">
        <f>U92+V92-W92</f>
        <v/>
      </c>
      <c r="Y92">
        <f>MIN(X92,MAX(0,$B92-((E$5&lt;W$5)*F92+(K$5&lt;W$5)*L92+(Q$5&lt;W$5)*R92+(AC$5&lt;W$5)*AD92+(AI$5&lt;W$5)*AJ92+(AO$5&lt;W$5)*AP92+(AU$5&lt;W$5)*AV92)))</f>
        <v/>
      </c>
      <c r="Z92">
        <f>IF(X92-Y92&lt;0.005,0,X92-Y92)</f>
        <v/>
      </c>
      <c r="AA92">
        <f>AF91</f>
        <v/>
      </c>
      <c r="AB92">
        <f>AA92*Plan!D10/100/12</f>
        <v/>
      </c>
      <c r="AC92">
        <f>MIN(Plan!E10,AA92+AB92)</f>
        <v/>
      </c>
      <c r="AD92">
        <f>AA92+AB92-AC92</f>
        <v/>
      </c>
      <c r="AE92">
        <f>MIN(AD92,MAX(0,$B92-((E$5&lt;AC$5)*F92+(K$5&lt;AC$5)*L92+(Q$5&lt;AC$5)*R92+(W$5&lt;AC$5)*X92+(AI$5&lt;AC$5)*AJ92+(AO$5&lt;AC$5)*AP92+(AU$5&lt;AC$5)*AV92)))</f>
        <v/>
      </c>
      <c r="AF92">
        <f>IF(AD92-AE92&lt;0.005,0,AD92-AE92)</f>
        <v/>
      </c>
      <c r="AG92">
        <f>AL91</f>
        <v/>
      </c>
      <c r="AH92">
        <f>AG92*Plan!D11/100/12</f>
        <v/>
      </c>
      <c r="AI92">
        <f>MIN(Plan!E11,AG92+AH92)</f>
        <v/>
      </c>
      <c r="AJ92">
        <f>AG92+AH92-AI92</f>
        <v/>
      </c>
      <c r="AK92">
        <f>MIN(AJ92,MAX(0,$B92-((E$5&lt;AI$5)*F92+(K$5&lt;AI$5)*L92+(Q$5&lt;AI$5)*R92+(W$5&lt;AI$5)*X92+(AC$5&lt;AI$5)*AD92+(AO$5&lt;AI$5)*AP92+(AU$5&lt;AI$5)*AV92)))</f>
        <v/>
      </c>
      <c r="AL92">
        <f>IF(AJ92-AK92&lt;0.005,0,AJ92-AK92)</f>
        <v/>
      </c>
      <c r="AM92">
        <f>AR91</f>
        <v/>
      </c>
      <c r="AN92">
        <f>AM92*Plan!D12/100/12</f>
        <v/>
      </c>
      <c r="AO92">
        <f>MIN(Plan!E12,AM92+AN92)</f>
        <v/>
      </c>
      <c r="AP92">
        <f>AM92+AN92-AO92</f>
        <v/>
      </c>
      <c r="AQ92">
        <f>MIN(AP92,MAX(0,$B92-((E$5&lt;AO$5)*F92+(K$5&lt;AO$5)*L92+(Q$5&lt;AO$5)*R92+(W$5&lt;AO$5)*X92+(AC$5&lt;AO$5)*AD92+(AI$5&lt;AO$5)*AJ92+(AU$5&lt;AO$5)*AV92)))</f>
        <v/>
      </c>
      <c r="AR92">
        <f>IF(AP92-AQ92&lt;0.005,0,AP92-AQ92)</f>
        <v/>
      </c>
      <c r="AS92">
        <f>AX91</f>
        <v/>
      </c>
      <c r="AT92">
        <f>AS92*Plan!D13/100/12</f>
        <v/>
      </c>
      <c r="AU92">
        <f>MIN(Plan!E13,AS92+AT92)</f>
        <v/>
      </c>
      <c r="AV92">
        <f>AS92+AT92-AU92</f>
        <v/>
      </c>
      <c r="AW92">
        <f>MIN(AV92,MAX(0,$B92-((E$5&lt;AU$5)*F92+(K$5&lt;AU$5)*L92+(Q$5&lt;AU$5)*R92+(W$5&lt;AU$5)*X92+(AC$5&lt;AU$5)*AD92+(AI$5&lt;AU$5)*AJ92+(AO$5&lt;AU$5)*AP92)))</f>
        <v/>
      </c>
      <c r="AX92">
        <f>IF(AV92-AW92&lt;0.005,0,AV92-AW92)</f>
        <v/>
      </c>
      <c r="BC92">
        <f>H92+N92+T92+Z92+AF92+AL92+AR92+AX92</f>
        <v/>
      </c>
    </row>
    <row r="93">
      <c r="A93" t="n">
        <v>87</v>
      </c>
      <c r="B93" s="19">
        <f>MAX(0,$B$3-(E93+K93+Q93+W93+AC93+AI93+AO93+AU93))</f>
        <v/>
      </c>
      <c r="C93">
        <f>H92</f>
        <v/>
      </c>
      <c r="D93">
        <f>C93*Plan!D6/100/12</f>
        <v/>
      </c>
      <c r="E93">
        <f>MIN(Plan!E6,C93+D93)</f>
        <v/>
      </c>
      <c r="F93">
        <f>C93+D93-E93</f>
        <v/>
      </c>
      <c r="G93">
        <f>MIN(F93,MAX(0,$B93-((K$5&lt;E$5)*L93+(Q$5&lt;E$5)*R93+(W$5&lt;E$5)*X93+(AC$5&lt;E$5)*AD93+(AI$5&lt;E$5)*AJ93+(AO$5&lt;E$5)*AP93+(AU$5&lt;E$5)*AV93)))</f>
        <v/>
      </c>
      <c r="H93">
        <f>IF(F93-G93&lt;0.005,0,F93-G93)</f>
        <v/>
      </c>
      <c r="I93">
        <f>N92</f>
        <v/>
      </c>
      <c r="J93">
        <f>I93*Plan!D7/100/12</f>
        <v/>
      </c>
      <c r="K93">
        <f>MIN(Plan!E7,I93+J93)</f>
        <v/>
      </c>
      <c r="L93">
        <f>I93+J93-K93</f>
        <v/>
      </c>
      <c r="M93">
        <f>MIN(L93,MAX(0,$B93-((E$5&lt;K$5)*F93+(Q$5&lt;K$5)*R93+(W$5&lt;K$5)*X93+(AC$5&lt;K$5)*AD93+(AI$5&lt;K$5)*AJ93+(AO$5&lt;K$5)*AP93+(AU$5&lt;K$5)*AV93)))</f>
        <v/>
      </c>
      <c r="N93">
        <f>IF(L93-M93&lt;0.005,0,L93-M93)</f>
        <v/>
      </c>
      <c r="O93">
        <f>T92</f>
        <v/>
      </c>
      <c r="P93">
        <f>O93*Plan!D8/100/12</f>
        <v/>
      </c>
      <c r="Q93">
        <f>MIN(Plan!E8,O93+P93)</f>
        <v/>
      </c>
      <c r="R93">
        <f>O93+P93-Q93</f>
        <v/>
      </c>
      <c r="S93">
        <f>MIN(R93,MAX(0,$B93-((E$5&lt;Q$5)*F93+(K$5&lt;Q$5)*L93+(W$5&lt;Q$5)*X93+(AC$5&lt;Q$5)*AD93+(AI$5&lt;Q$5)*AJ93+(AO$5&lt;Q$5)*AP93+(AU$5&lt;Q$5)*AV93)))</f>
        <v/>
      </c>
      <c r="T93">
        <f>IF(R93-S93&lt;0.005,0,R93-S93)</f>
        <v/>
      </c>
      <c r="U93">
        <f>Z92</f>
        <v/>
      </c>
      <c r="V93">
        <f>U93*Plan!D9/100/12</f>
        <v/>
      </c>
      <c r="W93">
        <f>MIN(Plan!E9,U93+V93)</f>
        <v/>
      </c>
      <c r="X93">
        <f>U93+V93-W93</f>
        <v/>
      </c>
      <c r="Y93">
        <f>MIN(X93,MAX(0,$B93-((E$5&lt;W$5)*F93+(K$5&lt;W$5)*L93+(Q$5&lt;W$5)*R93+(AC$5&lt;W$5)*AD93+(AI$5&lt;W$5)*AJ93+(AO$5&lt;W$5)*AP93+(AU$5&lt;W$5)*AV93)))</f>
        <v/>
      </c>
      <c r="Z93">
        <f>IF(X93-Y93&lt;0.005,0,X93-Y93)</f>
        <v/>
      </c>
      <c r="AA93">
        <f>AF92</f>
        <v/>
      </c>
      <c r="AB93">
        <f>AA93*Plan!D10/100/12</f>
        <v/>
      </c>
      <c r="AC93">
        <f>MIN(Plan!E10,AA93+AB93)</f>
        <v/>
      </c>
      <c r="AD93">
        <f>AA93+AB93-AC93</f>
        <v/>
      </c>
      <c r="AE93">
        <f>MIN(AD93,MAX(0,$B93-((E$5&lt;AC$5)*F93+(K$5&lt;AC$5)*L93+(Q$5&lt;AC$5)*R93+(W$5&lt;AC$5)*X93+(AI$5&lt;AC$5)*AJ93+(AO$5&lt;AC$5)*AP93+(AU$5&lt;AC$5)*AV93)))</f>
        <v/>
      </c>
      <c r="AF93">
        <f>IF(AD93-AE93&lt;0.005,0,AD93-AE93)</f>
        <v/>
      </c>
      <c r="AG93">
        <f>AL92</f>
        <v/>
      </c>
      <c r="AH93">
        <f>AG93*Plan!D11/100/12</f>
        <v/>
      </c>
      <c r="AI93">
        <f>MIN(Plan!E11,AG93+AH93)</f>
        <v/>
      </c>
      <c r="AJ93">
        <f>AG93+AH93-AI93</f>
        <v/>
      </c>
      <c r="AK93">
        <f>MIN(AJ93,MAX(0,$B93-((E$5&lt;AI$5)*F93+(K$5&lt;AI$5)*L93+(Q$5&lt;AI$5)*R93+(W$5&lt;AI$5)*X93+(AC$5&lt;AI$5)*AD93+(AO$5&lt;AI$5)*AP93+(AU$5&lt;AI$5)*AV93)))</f>
        <v/>
      </c>
      <c r="AL93">
        <f>IF(AJ93-AK93&lt;0.005,0,AJ93-AK93)</f>
        <v/>
      </c>
      <c r="AM93">
        <f>AR92</f>
        <v/>
      </c>
      <c r="AN93">
        <f>AM93*Plan!D12/100/12</f>
        <v/>
      </c>
      <c r="AO93">
        <f>MIN(Plan!E12,AM93+AN93)</f>
        <v/>
      </c>
      <c r="AP93">
        <f>AM93+AN93-AO93</f>
        <v/>
      </c>
      <c r="AQ93">
        <f>MIN(AP93,MAX(0,$B93-((E$5&lt;AO$5)*F93+(K$5&lt;AO$5)*L93+(Q$5&lt;AO$5)*R93+(W$5&lt;AO$5)*X93+(AC$5&lt;AO$5)*AD93+(AI$5&lt;AO$5)*AJ93+(AU$5&lt;AO$5)*AV93)))</f>
        <v/>
      </c>
      <c r="AR93">
        <f>IF(AP93-AQ93&lt;0.005,0,AP93-AQ93)</f>
        <v/>
      </c>
      <c r="AS93">
        <f>AX92</f>
        <v/>
      </c>
      <c r="AT93">
        <f>AS93*Plan!D13/100/12</f>
        <v/>
      </c>
      <c r="AU93">
        <f>MIN(Plan!E13,AS93+AT93)</f>
        <v/>
      </c>
      <c r="AV93">
        <f>AS93+AT93-AU93</f>
        <v/>
      </c>
      <c r="AW93">
        <f>MIN(AV93,MAX(0,$B93-((E$5&lt;AU$5)*F93+(K$5&lt;AU$5)*L93+(Q$5&lt;AU$5)*R93+(W$5&lt;AU$5)*X93+(AC$5&lt;AU$5)*AD93+(AI$5&lt;AU$5)*AJ93+(AO$5&lt;AU$5)*AP93)))</f>
        <v/>
      </c>
      <c r="AX93">
        <f>IF(AV93-AW93&lt;0.005,0,AV93-AW93)</f>
        <v/>
      </c>
      <c r="BC93">
        <f>H93+N93+T93+Z93+AF93+AL93+AR93+AX93</f>
        <v/>
      </c>
    </row>
    <row r="94">
      <c r="A94" t="n">
        <v>88</v>
      </c>
      <c r="B94" s="19">
        <f>MAX(0,$B$3-(E94+K94+Q94+W94+AC94+AI94+AO94+AU94))</f>
        <v/>
      </c>
      <c r="C94">
        <f>H93</f>
        <v/>
      </c>
      <c r="D94">
        <f>C94*Plan!D6/100/12</f>
        <v/>
      </c>
      <c r="E94">
        <f>MIN(Plan!E6,C94+D94)</f>
        <v/>
      </c>
      <c r="F94">
        <f>C94+D94-E94</f>
        <v/>
      </c>
      <c r="G94">
        <f>MIN(F94,MAX(0,$B94-((K$5&lt;E$5)*L94+(Q$5&lt;E$5)*R94+(W$5&lt;E$5)*X94+(AC$5&lt;E$5)*AD94+(AI$5&lt;E$5)*AJ94+(AO$5&lt;E$5)*AP94+(AU$5&lt;E$5)*AV94)))</f>
        <v/>
      </c>
      <c r="H94">
        <f>IF(F94-G94&lt;0.005,0,F94-G94)</f>
        <v/>
      </c>
      <c r="I94">
        <f>N93</f>
        <v/>
      </c>
      <c r="J94">
        <f>I94*Plan!D7/100/12</f>
        <v/>
      </c>
      <c r="K94">
        <f>MIN(Plan!E7,I94+J94)</f>
        <v/>
      </c>
      <c r="L94">
        <f>I94+J94-K94</f>
        <v/>
      </c>
      <c r="M94">
        <f>MIN(L94,MAX(0,$B94-((E$5&lt;K$5)*F94+(Q$5&lt;K$5)*R94+(W$5&lt;K$5)*X94+(AC$5&lt;K$5)*AD94+(AI$5&lt;K$5)*AJ94+(AO$5&lt;K$5)*AP94+(AU$5&lt;K$5)*AV94)))</f>
        <v/>
      </c>
      <c r="N94">
        <f>IF(L94-M94&lt;0.005,0,L94-M94)</f>
        <v/>
      </c>
      <c r="O94">
        <f>T93</f>
        <v/>
      </c>
      <c r="P94">
        <f>O94*Plan!D8/100/12</f>
        <v/>
      </c>
      <c r="Q94">
        <f>MIN(Plan!E8,O94+P94)</f>
        <v/>
      </c>
      <c r="R94">
        <f>O94+P94-Q94</f>
        <v/>
      </c>
      <c r="S94">
        <f>MIN(R94,MAX(0,$B94-((E$5&lt;Q$5)*F94+(K$5&lt;Q$5)*L94+(W$5&lt;Q$5)*X94+(AC$5&lt;Q$5)*AD94+(AI$5&lt;Q$5)*AJ94+(AO$5&lt;Q$5)*AP94+(AU$5&lt;Q$5)*AV94)))</f>
        <v/>
      </c>
      <c r="T94">
        <f>IF(R94-S94&lt;0.005,0,R94-S94)</f>
        <v/>
      </c>
      <c r="U94">
        <f>Z93</f>
        <v/>
      </c>
      <c r="V94">
        <f>U94*Plan!D9/100/12</f>
        <v/>
      </c>
      <c r="W94">
        <f>MIN(Plan!E9,U94+V94)</f>
        <v/>
      </c>
      <c r="X94">
        <f>U94+V94-W94</f>
        <v/>
      </c>
      <c r="Y94">
        <f>MIN(X94,MAX(0,$B94-((E$5&lt;W$5)*F94+(K$5&lt;W$5)*L94+(Q$5&lt;W$5)*R94+(AC$5&lt;W$5)*AD94+(AI$5&lt;W$5)*AJ94+(AO$5&lt;W$5)*AP94+(AU$5&lt;W$5)*AV94)))</f>
        <v/>
      </c>
      <c r="Z94">
        <f>IF(X94-Y94&lt;0.005,0,X94-Y94)</f>
        <v/>
      </c>
      <c r="AA94">
        <f>AF93</f>
        <v/>
      </c>
      <c r="AB94">
        <f>AA94*Plan!D10/100/12</f>
        <v/>
      </c>
      <c r="AC94">
        <f>MIN(Plan!E10,AA94+AB94)</f>
        <v/>
      </c>
      <c r="AD94">
        <f>AA94+AB94-AC94</f>
        <v/>
      </c>
      <c r="AE94">
        <f>MIN(AD94,MAX(0,$B94-((E$5&lt;AC$5)*F94+(K$5&lt;AC$5)*L94+(Q$5&lt;AC$5)*R94+(W$5&lt;AC$5)*X94+(AI$5&lt;AC$5)*AJ94+(AO$5&lt;AC$5)*AP94+(AU$5&lt;AC$5)*AV94)))</f>
        <v/>
      </c>
      <c r="AF94">
        <f>IF(AD94-AE94&lt;0.005,0,AD94-AE94)</f>
        <v/>
      </c>
      <c r="AG94">
        <f>AL93</f>
        <v/>
      </c>
      <c r="AH94">
        <f>AG94*Plan!D11/100/12</f>
        <v/>
      </c>
      <c r="AI94">
        <f>MIN(Plan!E11,AG94+AH94)</f>
        <v/>
      </c>
      <c r="AJ94">
        <f>AG94+AH94-AI94</f>
        <v/>
      </c>
      <c r="AK94">
        <f>MIN(AJ94,MAX(0,$B94-((E$5&lt;AI$5)*F94+(K$5&lt;AI$5)*L94+(Q$5&lt;AI$5)*R94+(W$5&lt;AI$5)*X94+(AC$5&lt;AI$5)*AD94+(AO$5&lt;AI$5)*AP94+(AU$5&lt;AI$5)*AV94)))</f>
        <v/>
      </c>
      <c r="AL94">
        <f>IF(AJ94-AK94&lt;0.005,0,AJ94-AK94)</f>
        <v/>
      </c>
      <c r="AM94">
        <f>AR93</f>
        <v/>
      </c>
      <c r="AN94">
        <f>AM94*Plan!D12/100/12</f>
        <v/>
      </c>
      <c r="AO94">
        <f>MIN(Plan!E12,AM94+AN94)</f>
        <v/>
      </c>
      <c r="AP94">
        <f>AM94+AN94-AO94</f>
        <v/>
      </c>
      <c r="AQ94">
        <f>MIN(AP94,MAX(0,$B94-((E$5&lt;AO$5)*F94+(K$5&lt;AO$5)*L94+(Q$5&lt;AO$5)*R94+(W$5&lt;AO$5)*X94+(AC$5&lt;AO$5)*AD94+(AI$5&lt;AO$5)*AJ94+(AU$5&lt;AO$5)*AV94)))</f>
        <v/>
      </c>
      <c r="AR94">
        <f>IF(AP94-AQ94&lt;0.005,0,AP94-AQ94)</f>
        <v/>
      </c>
      <c r="AS94">
        <f>AX93</f>
        <v/>
      </c>
      <c r="AT94">
        <f>AS94*Plan!D13/100/12</f>
        <v/>
      </c>
      <c r="AU94">
        <f>MIN(Plan!E13,AS94+AT94)</f>
        <v/>
      </c>
      <c r="AV94">
        <f>AS94+AT94-AU94</f>
        <v/>
      </c>
      <c r="AW94">
        <f>MIN(AV94,MAX(0,$B94-((E$5&lt;AU$5)*F94+(K$5&lt;AU$5)*L94+(Q$5&lt;AU$5)*R94+(W$5&lt;AU$5)*X94+(AC$5&lt;AU$5)*AD94+(AI$5&lt;AU$5)*AJ94+(AO$5&lt;AU$5)*AP94)))</f>
        <v/>
      </c>
      <c r="AX94">
        <f>IF(AV94-AW94&lt;0.005,0,AV94-AW94)</f>
        <v/>
      </c>
      <c r="BC94">
        <f>H94+N94+T94+Z94+AF94+AL94+AR94+AX94</f>
        <v/>
      </c>
    </row>
    <row r="95">
      <c r="A95" t="n">
        <v>89</v>
      </c>
      <c r="B95" s="19">
        <f>MAX(0,$B$3-(E95+K95+Q95+W95+AC95+AI95+AO95+AU95))</f>
        <v/>
      </c>
      <c r="C95">
        <f>H94</f>
        <v/>
      </c>
      <c r="D95">
        <f>C95*Plan!D6/100/12</f>
        <v/>
      </c>
      <c r="E95">
        <f>MIN(Plan!E6,C95+D95)</f>
        <v/>
      </c>
      <c r="F95">
        <f>C95+D95-E95</f>
        <v/>
      </c>
      <c r="G95">
        <f>MIN(F95,MAX(0,$B95-((K$5&lt;E$5)*L95+(Q$5&lt;E$5)*R95+(W$5&lt;E$5)*X95+(AC$5&lt;E$5)*AD95+(AI$5&lt;E$5)*AJ95+(AO$5&lt;E$5)*AP95+(AU$5&lt;E$5)*AV95)))</f>
        <v/>
      </c>
      <c r="H95">
        <f>IF(F95-G95&lt;0.005,0,F95-G95)</f>
        <v/>
      </c>
      <c r="I95">
        <f>N94</f>
        <v/>
      </c>
      <c r="J95">
        <f>I95*Plan!D7/100/12</f>
        <v/>
      </c>
      <c r="K95">
        <f>MIN(Plan!E7,I95+J95)</f>
        <v/>
      </c>
      <c r="L95">
        <f>I95+J95-K95</f>
        <v/>
      </c>
      <c r="M95">
        <f>MIN(L95,MAX(0,$B95-((E$5&lt;K$5)*F95+(Q$5&lt;K$5)*R95+(W$5&lt;K$5)*X95+(AC$5&lt;K$5)*AD95+(AI$5&lt;K$5)*AJ95+(AO$5&lt;K$5)*AP95+(AU$5&lt;K$5)*AV95)))</f>
        <v/>
      </c>
      <c r="N95">
        <f>IF(L95-M95&lt;0.005,0,L95-M95)</f>
        <v/>
      </c>
      <c r="O95">
        <f>T94</f>
        <v/>
      </c>
      <c r="P95">
        <f>O95*Plan!D8/100/12</f>
        <v/>
      </c>
      <c r="Q95">
        <f>MIN(Plan!E8,O95+P95)</f>
        <v/>
      </c>
      <c r="R95">
        <f>O95+P95-Q95</f>
        <v/>
      </c>
      <c r="S95">
        <f>MIN(R95,MAX(0,$B95-((E$5&lt;Q$5)*F95+(K$5&lt;Q$5)*L95+(W$5&lt;Q$5)*X95+(AC$5&lt;Q$5)*AD95+(AI$5&lt;Q$5)*AJ95+(AO$5&lt;Q$5)*AP95+(AU$5&lt;Q$5)*AV95)))</f>
        <v/>
      </c>
      <c r="T95">
        <f>IF(R95-S95&lt;0.005,0,R95-S95)</f>
        <v/>
      </c>
      <c r="U95">
        <f>Z94</f>
        <v/>
      </c>
      <c r="V95">
        <f>U95*Plan!D9/100/12</f>
        <v/>
      </c>
      <c r="W95">
        <f>MIN(Plan!E9,U95+V95)</f>
        <v/>
      </c>
      <c r="X95">
        <f>U95+V95-W95</f>
        <v/>
      </c>
      <c r="Y95">
        <f>MIN(X95,MAX(0,$B95-((E$5&lt;W$5)*F95+(K$5&lt;W$5)*L95+(Q$5&lt;W$5)*R95+(AC$5&lt;W$5)*AD95+(AI$5&lt;W$5)*AJ95+(AO$5&lt;W$5)*AP95+(AU$5&lt;W$5)*AV95)))</f>
        <v/>
      </c>
      <c r="Z95">
        <f>IF(X95-Y95&lt;0.005,0,X95-Y95)</f>
        <v/>
      </c>
      <c r="AA95">
        <f>AF94</f>
        <v/>
      </c>
      <c r="AB95">
        <f>AA95*Plan!D10/100/12</f>
        <v/>
      </c>
      <c r="AC95">
        <f>MIN(Plan!E10,AA95+AB95)</f>
        <v/>
      </c>
      <c r="AD95">
        <f>AA95+AB95-AC95</f>
        <v/>
      </c>
      <c r="AE95">
        <f>MIN(AD95,MAX(0,$B95-((E$5&lt;AC$5)*F95+(K$5&lt;AC$5)*L95+(Q$5&lt;AC$5)*R95+(W$5&lt;AC$5)*X95+(AI$5&lt;AC$5)*AJ95+(AO$5&lt;AC$5)*AP95+(AU$5&lt;AC$5)*AV95)))</f>
        <v/>
      </c>
      <c r="AF95">
        <f>IF(AD95-AE95&lt;0.005,0,AD95-AE95)</f>
        <v/>
      </c>
      <c r="AG95">
        <f>AL94</f>
        <v/>
      </c>
      <c r="AH95">
        <f>AG95*Plan!D11/100/12</f>
        <v/>
      </c>
      <c r="AI95">
        <f>MIN(Plan!E11,AG95+AH95)</f>
        <v/>
      </c>
      <c r="AJ95">
        <f>AG95+AH95-AI95</f>
        <v/>
      </c>
      <c r="AK95">
        <f>MIN(AJ95,MAX(0,$B95-((E$5&lt;AI$5)*F95+(K$5&lt;AI$5)*L95+(Q$5&lt;AI$5)*R95+(W$5&lt;AI$5)*X95+(AC$5&lt;AI$5)*AD95+(AO$5&lt;AI$5)*AP95+(AU$5&lt;AI$5)*AV95)))</f>
        <v/>
      </c>
      <c r="AL95">
        <f>IF(AJ95-AK95&lt;0.005,0,AJ95-AK95)</f>
        <v/>
      </c>
      <c r="AM95">
        <f>AR94</f>
        <v/>
      </c>
      <c r="AN95">
        <f>AM95*Plan!D12/100/12</f>
        <v/>
      </c>
      <c r="AO95">
        <f>MIN(Plan!E12,AM95+AN95)</f>
        <v/>
      </c>
      <c r="AP95">
        <f>AM95+AN95-AO95</f>
        <v/>
      </c>
      <c r="AQ95">
        <f>MIN(AP95,MAX(0,$B95-((E$5&lt;AO$5)*F95+(K$5&lt;AO$5)*L95+(Q$5&lt;AO$5)*R95+(W$5&lt;AO$5)*X95+(AC$5&lt;AO$5)*AD95+(AI$5&lt;AO$5)*AJ95+(AU$5&lt;AO$5)*AV95)))</f>
        <v/>
      </c>
      <c r="AR95">
        <f>IF(AP95-AQ95&lt;0.005,0,AP95-AQ95)</f>
        <v/>
      </c>
      <c r="AS95">
        <f>AX94</f>
        <v/>
      </c>
      <c r="AT95">
        <f>AS95*Plan!D13/100/12</f>
        <v/>
      </c>
      <c r="AU95">
        <f>MIN(Plan!E13,AS95+AT95)</f>
        <v/>
      </c>
      <c r="AV95">
        <f>AS95+AT95-AU95</f>
        <v/>
      </c>
      <c r="AW95">
        <f>MIN(AV95,MAX(0,$B95-((E$5&lt;AU$5)*F95+(K$5&lt;AU$5)*L95+(Q$5&lt;AU$5)*R95+(W$5&lt;AU$5)*X95+(AC$5&lt;AU$5)*AD95+(AI$5&lt;AU$5)*AJ95+(AO$5&lt;AU$5)*AP95)))</f>
        <v/>
      </c>
      <c r="AX95">
        <f>IF(AV95-AW95&lt;0.005,0,AV95-AW95)</f>
        <v/>
      </c>
      <c r="BC95">
        <f>H95+N95+T95+Z95+AF95+AL95+AR95+AX95</f>
        <v/>
      </c>
    </row>
    <row r="96">
      <c r="A96" t="n">
        <v>90</v>
      </c>
      <c r="B96" s="19">
        <f>MAX(0,$B$3-(E96+K96+Q96+W96+AC96+AI96+AO96+AU96))</f>
        <v/>
      </c>
      <c r="C96">
        <f>H95</f>
        <v/>
      </c>
      <c r="D96">
        <f>C96*Plan!D6/100/12</f>
        <v/>
      </c>
      <c r="E96">
        <f>MIN(Plan!E6,C96+D96)</f>
        <v/>
      </c>
      <c r="F96">
        <f>C96+D96-E96</f>
        <v/>
      </c>
      <c r="G96">
        <f>MIN(F96,MAX(0,$B96-((K$5&lt;E$5)*L96+(Q$5&lt;E$5)*R96+(W$5&lt;E$5)*X96+(AC$5&lt;E$5)*AD96+(AI$5&lt;E$5)*AJ96+(AO$5&lt;E$5)*AP96+(AU$5&lt;E$5)*AV96)))</f>
        <v/>
      </c>
      <c r="H96">
        <f>IF(F96-G96&lt;0.005,0,F96-G96)</f>
        <v/>
      </c>
      <c r="I96">
        <f>N95</f>
        <v/>
      </c>
      <c r="J96">
        <f>I96*Plan!D7/100/12</f>
        <v/>
      </c>
      <c r="K96">
        <f>MIN(Plan!E7,I96+J96)</f>
        <v/>
      </c>
      <c r="L96">
        <f>I96+J96-K96</f>
        <v/>
      </c>
      <c r="M96">
        <f>MIN(L96,MAX(0,$B96-((E$5&lt;K$5)*F96+(Q$5&lt;K$5)*R96+(W$5&lt;K$5)*X96+(AC$5&lt;K$5)*AD96+(AI$5&lt;K$5)*AJ96+(AO$5&lt;K$5)*AP96+(AU$5&lt;K$5)*AV96)))</f>
        <v/>
      </c>
      <c r="N96">
        <f>IF(L96-M96&lt;0.005,0,L96-M96)</f>
        <v/>
      </c>
      <c r="O96">
        <f>T95</f>
        <v/>
      </c>
      <c r="P96">
        <f>O96*Plan!D8/100/12</f>
        <v/>
      </c>
      <c r="Q96">
        <f>MIN(Plan!E8,O96+P96)</f>
        <v/>
      </c>
      <c r="R96">
        <f>O96+P96-Q96</f>
        <v/>
      </c>
      <c r="S96">
        <f>MIN(R96,MAX(0,$B96-((E$5&lt;Q$5)*F96+(K$5&lt;Q$5)*L96+(W$5&lt;Q$5)*X96+(AC$5&lt;Q$5)*AD96+(AI$5&lt;Q$5)*AJ96+(AO$5&lt;Q$5)*AP96+(AU$5&lt;Q$5)*AV96)))</f>
        <v/>
      </c>
      <c r="T96">
        <f>IF(R96-S96&lt;0.005,0,R96-S96)</f>
        <v/>
      </c>
      <c r="U96">
        <f>Z95</f>
        <v/>
      </c>
      <c r="V96">
        <f>U96*Plan!D9/100/12</f>
        <v/>
      </c>
      <c r="W96">
        <f>MIN(Plan!E9,U96+V96)</f>
        <v/>
      </c>
      <c r="X96">
        <f>U96+V96-W96</f>
        <v/>
      </c>
      <c r="Y96">
        <f>MIN(X96,MAX(0,$B96-((E$5&lt;W$5)*F96+(K$5&lt;W$5)*L96+(Q$5&lt;W$5)*R96+(AC$5&lt;W$5)*AD96+(AI$5&lt;W$5)*AJ96+(AO$5&lt;W$5)*AP96+(AU$5&lt;W$5)*AV96)))</f>
        <v/>
      </c>
      <c r="Z96">
        <f>IF(X96-Y96&lt;0.005,0,X96-Y96)</f>
        <v/>
      </c>
      <c r="AA96">
        <f>AF95</f>
        <v/>
      </c>
      <c r="AB96">
        <f>AA96*Plan!D10/100/12</f>
        <v/>
      </c>
      <c r="AC96">
        <f>MIN(Plan!E10,AA96+AB96)</f>
        <v/>
      </c>
      <c r="AD96">
        <f>AA96+AB96-AC96</f>
        <v/>
      </c>
      <c r="AE96">
        <f>MIN(AD96,MAX(0,$B96-((E$5&lt;AC$5)*F96+(K$5&lt;AC$5)*L96+(Q$5&lt;AC$5)*R96+(W$5&lt;AC$5)*X96+(AI$5&lt;AC$5)*AJ96+(AO$5&lt;AC$5)*AP96+(AU$5&lt;AC$5)*AV96)))</f>
        <v/>
      </c>
      <c r="AF96">
        <f>IF(AD96-AE96&lt;0.005,0,AD96-AE96)</f>
        <v/>
      </c>
      <c r="AG96">
        <f>AL95</f>
        <v/>
      </c>
      <c r="AH96">
        <f>AG96*Plan!D11/100/12</f>
        <v/>
      </c>
      <c r="AI96">
        <f>MIN(Plan!E11,AG96+AH96)</f>
        <v/>
      </c>
      <c r="AJ96">
        <f>AG96+AH96-AI96</f>
        <v/>
      </c>
      <c r="AK96">
        <f>MIN(AJ96,MAX(0,$B96-((E$5&lt;AI$5)*F96+(K$5&lt;AI$5)*L96+(Q$5&lt;AI$5)*R96+(W$5&lt;AI$5)*X96+(AC$5&lt;AI$5)*AD96+(AO$5&lt;AI$5)*AP96+(AU$5&lt;AI$5)*AV96)))</f>
        <v/>
      </c>
      <c r="AL96">
        <f>IF(AJ96-AK96&lt;0.005,0,AJ96-AK96)</f>
        <v/>
      </c>
      <c r="AM96">
        <f>AR95</f>
        <v/>
      </c>
      <c r="AN96">
        <f>AM96*Plan!D12/100/12</f>
        <v/>
      </c>
      <c r="AO96">
        <f>MIN(Plan!E12,AM96+AN96)</f>
        <v/>
      </c>
      <c r="AP96">
        <f>AM96+AN96-AO96</f>
        <v/>
      </c>
      <c r="AQ96">
        <f>MIN(AP96,MAX(0,$B96-((E$5&lt;AO$5)*F96+(K$5&lt;AO$5)*L96+(Q$5&lt;AO$5)*R96+(W$5&lt;AO$5)*X96+(AC$5&lt;AO$5)*AD96+(AI$5&lt;AO$5)*AJ96+(AU$5&lt;AO$5)*AV96)))</f>
        <v/>
      </c>
      <c r="AR96">
        <f>IF(AP96-AQ96&lt;0.005,0,AP96-AQ96)</f>
        <v/>
      </c>
      <c r="AS96">
        <f>AX95</f>
        <v/>
      </c>
      <c r="AT96">
        <f>AS96*Plan!D13/100/12</f>
        <v/>
      </c>
      <c r="AU96">
        <f>MIN(Plan!E13,AS96+AT96)</f>
        <v/>
      </c>
      <c r="AV96">
        <f>AS96+AT96-AU96</f>
        <v/>
      </c>
      <c r="AW96">
        <f>MIN(AV96,MAX(0,$B96-((E$5&lt;AU$5)*F96+(K$5&lt;AU$5)*L96+(Q$5&lt;AU$5)*R96+(W$5&lt;AU$5)*X96+(AC$5&lt;AU$5)*AD96+(AI$5&lt;AU$5)*AJ96+(AO$5&lt;AU$5)*AP96)))</f>
        <v/>
      </c>
      <c r="AX96">
        <f>IF(AV96-AW96&lt;0.005,0,AV96-AW96)</f>
        <v/>
      </c>
      <c r="BC96">
        <f>H96+N96+T96+Z96+AF96+AL96+AR96+AX96</f>
        <v/>
      </c>
    </row>
    <row r="97">
      <c r="A97" t="n">
        <v>91</v>
      </c>
      <c r="B97" s="19">
        <f>MAX(0,$B$3-(E97+K97+Q97+W97+AC97+AI97+AO97+AU97))</f>
        <v/>
      </c>
      <c r="C97">
        <f>H96</f>
        <v/>
      </c>
      <c r="D97">
        <f>C97*Plan!D6/100/12</f>
        <v/>
      </c>
      <c r="E97">
        <f>MIN(Plan!E6,C97+D97)</f>
        <v/>
      </c>
      <c r="F97">
        <f>C97+D97-E97</f>
        <v/>
      </c>
      <c r="G97">
        <f>MIN(F97,MAX(0,$B97-((K$5&lt;E$5)*L97+(Q$5&lt;E$5)*R97+(W$5&lt;E$5)*X97+(AC$5&lt;E$5)*AD97+(AI$5&lt;E$5)*AJ97+(AO$5&lt;E$5)*AP97+(AU$5&lt;E$5)*AV97)))</f>
        <v/>
      </c>
      <c r="H97">
        <f>IF(F97-G97&lt;0.005,0,F97-G97)</f>
        <v/>
      </c>
      <c r="I97">
        <f>N96</f>
        <v/>
      </c>
      <c r="J97">
        <f>I97*Plan!D7/100/12</f>
        <v/>
      </c>
      <c r="K97">
        <f>MIN(Plan!E7,I97+J97)</f>
        <v/>
      </c>
      <c r="L97">
        <f>I97+J97-K97</f>
        <v/>
      </c>
      <c r="M97">
        <f>MIN(L97,MAX(0,$B97-((E$5&lt;K$5)*F97+(Q$5&lt;K$5)*R97+(W$5&lt;K$5)*X97+(AC$5&lt;K$5)*AD97+(AI$5&lt;K$5)*AJ97+(AO$5&lt;K$5)*AP97+(AU$5&lt;K$5)*AV97)))</f>
        <v/>
      </c>
      <c r="N97">
        <f>IF(L97-M97&lt;0.005,0,L97-M97)</f>
        <v/>
      </c>
      <c r="O97">
        <f>T96</f>
        <v/>
      </c>
      <c r="P97">
        <f>O97*Plan!D8/100/12</f>
        <v/>
      </c>
      <c r="Q97">
        <f>MIN(Plan!E8,O97+P97)</f>
        <v/>
      </c>
      <c r="R97">
        <f>O97+P97-Q97</f>
        <v/>
      </c>
      <c r="S97">
        <f>MIN(R97,MAX(0,$B97-((E$5&lt;Q$5)*F97+(K$5&lt;Q$5)*L97+(W$5&lt;Q$5)*X97+(AC$5&lt;Q$5)*AD97+(AI$5&lt;Q$5)*AJ97+(AO$5&lt;Q$5)*AP97+(AU$5&lt;Q$5)*AV97)))</f>
        <v/>
      </c>
      <c r="T97">
        <f>IF(R97-S97&lt;0.005,0,R97-S97)</f>
        <v/>
      </c>
      <c r="U97">
        <f>Z96</f>
        <v/>
      </c>
      <c r="V97">
        <f>U97*Plan!D9/100/12</f>
        <v/>
      </c>
      <c r="W97">
        <f>MIN(Plan!E9,U97+V97)</f>
        <v/>
      </c>
      <c r="X97">
        <f>U97+V97-W97</f>
        <v/>
      </c>
      <c r="Y97">
        <f>MIN(X97,MAX(0,$B97-((E$5&lt;W$5)*F97+(K$5&lt;W$5)*L97+(Q$5&lt;W$5)*R97+(AC$5&lt;W$5)*AD97+(AI$5&lt;W$5)*AJ97+(AO$5&lt;W$5)*AP97+(AU$5&lt;W$5)*AV97)))</f>
        <v/>
      </c>
      <c r="Z97">
        <f>IF(X97-Y97&lt;0.005,0,X97-Y97)</f>
        <v/>
      </c>
      <c r="AA97">
        <f>AF96</f>
        <v/>
      </c>
      <c r="AB97">
        <f>AA97*Plan!D10/100/12</f>
        <v/>
      </c>
      <c r="AC97">
        <f>MIN(Plan!E10,AA97+AB97)</f>
        <v/>
      </c>
      <c r="AD97">
        <f>AA97+AB97-AC97</f>
        <v/>
      </c>
      <c r="AE97">
        <f>MIN(AD97,MAX(0,$B97-((E$5&lt;AC$5)*F97+(K$5&lt;AC$5)*L97+(Q$5&lt;AC$5)*R97+(W$5&lt;AC$5)*X97+(AI$5&lt;AC$5)*AJ97+(AO$5&lt;AC$5)*AP97+(AU$5&lt;AC$5)*AV97)))</f>
        <v/>
      </c>
      <c r="AF97">
        <f>IF(AD97-AE97&lt;0.005,0,AD97-AE97)</f>
        <v/>
      </c>
      <c r="AG97">
        <f>AL96</f>
        <v/>
      </c>
      <c r="AH97">
        <f>AG97*Plan!D11/100/12</f>
        <v/>
      </c>
      <c r="AI97">
        <f>MIN(Plan!E11,AG97+AH97)</f>
        <v/>
      </c>
      <c r="AJ97">
        <f>AG97+AH97-AI97</f>
        <v/>
      </c>
      <c r="AK97">
        <f>MIN(AJ97,MAX(0,$B97-((E$5&lt;AI$5)*F97+(K$5&lt;AI$5)*L97+(Q$5&lt;AI$5)*R97+(W$5&lt;AI$5)*X97+(AC$5&lt;AI$5)*AD97+(AO$5&lt;AI$5)*AP97+(AU$5&lt;AI$5)*AV97)))</f>
        <v/>
      </c>
      <c r="AL97">
        <f>IF(AJ97-AK97&lt;0.005,0,AJ97-AK97)</f>
        <v/>
      </c>
      <c r="AM97">
        <f>AR96</f>
        <v/>
      </c>
      <c r="AN97">
        <f>AM97*Plan!D12/100/12</f>
        <v/>
      </c>
      <c r="AO97">
        <f>MIN(Plan!E12,AM97+AN97)</f>
        <v/>
      </c>
      <c r="AP97">
        <f>AM97+AN97-AO97</f>
        <v/>
      </c>
      <c r="AQ97">
        <f>MIN(AP97,MAX(0,$B97-((E$5&lt;AO$5)*F97+(K$5&lt;AO$5)*L97+(Q$5&lt;AO$5)*R97+(W$5&lt;AO$5)*X97+(AC$5&lt;AO$5)*AD97+(AI$5&lt;AO$5)*AJ97+(AU$5&lt;AO$5)*AV97)))</f>
        <v/>
      </c>
      <c r="AR97">
        <f>IF(AP97-AQ97&lt;0.005,0,AP97-AQ97)</f>
        <v/>
      </c>
      <c r="AS97">
        <f>AX96</f>
        <v/>
      </c>
      <c r="AT97">
        <f>AS97*Plan!D13/100/12</f>
        <v/>
      </c>
      <c r="AU97">
        <f>MIN(Plan!E13,AS97+AT97)</f>
        <v/>
      </c>
      <c r="AV97">
        <f>AS97+AT97-AU97</f>
        <v/>
      </c>
      <c r="AW97">
        <f>MIN(AV97,MAX(0,$B97-((E$5&lt;AU$5)*F97+(K$5&lt;AU$5)*L97+(Q$5&lt;AU$5)*R97+(W$5&lt;AU$5)*X97+(AC$5&lt;AU$5)*AD97+(AI$5&lt;AU$5)*AJ97+(AO$5&lt;AU$5)*AP97)))</f>
        <v/>
      </c>
      <c r="AX97">
        <f>IF(AV97-AW97&lt;0.005,0,AV97-AW97)</f>
        <v/>
      </c>
      <c r="BC97">
        <f>H97+N97+T97+Z97+AF97+AL97+AR97+AX97</f>
        <v/>
      </c>
    </row>
    <row r="98">
      <c r="A98" t="n">
        <v>92</v>
      </c>
      <c r="B98" s="19">
        <f>MAX(0,$B$3-(E98+K98+Q98+W98+AC98+AI98+AO98+AU98))</f>
        <v/>
      </c>
      <c r="C98">
        <f>H97</f>
        <v/>
      </c>
      <c r="D98">
        <f>C98*Plan!D6/100/12</f>
        <v/>
      </c>
      <c r="E98">
        <f>MIN(Plan!E6,C98+D98)</f>
        <v/>
      </c>
      <c r="F98">
        <f>C98+D98-E98</f>
        <v/>
      </c>
      <c r="G98">
        <f>MIN(F98,MAX(0,$B98-((K$5&lt;E$5)*L98+(Q$5&lt;E$5)*R98+(W$5&lt;E$5)*X98+(AC$5&lt;E$5)*AD98+(AI$5&lt;E$5)*AJ98+(AO$5&lt;E$5)*AP98+(AU$5&lt;E$5)*AV98)))</f>
        <v/>
      </c>
      <c r="H98">
        <f>IF(F98-G98&lt;0.005,0,F98-G98)</f>
        <v/>
      </c>
      <c r="I98">
        <f>N97</f>
        <v/>
      </c>
      <c r="J98">
        <f>I98*Plan!D7/100/12</f>
        <v/>
      </c>
      <c r="K98">
        <f>MIN(Plan!E7,I98+J98)</f>
        <v/>
      </c>
      <c r="L98">
        <f>I98+J98-K98</f>
        <v/>
      </c>
      <c r="M98">
        <f>MIN(L98,MAX(0,$B98-((E$5&lt;K$5)*F98+(Q$5&lt;K$5)*R98+(W$5&lt;K$5)*X98+(AC$5&lt;K$5)*AD98+(AI$5&lt;K$5)*AJ98+(AO$5&lt;K$5)*AP98+(AU$5&lt;K$5)*AV98)))</f>
        <v/>
      </c>
      <c r="N98">
        <f>IF(L98-M98&lt;0.005,0,L98-M98)</f>
        <v/>
      </c>
      <c r="O98">
        <f>T97</f>
        <v/>
      </c>
      <c r="P98">
        <f>O98*Plan!D8/100/12</f>
        <v/>
      </c>
      <c r="Q98">
        <f>MIN(Plan!E8,O98+P98)</f>
        <v/>
      </c>
      <c r="R98">
        <f>O98+P98-Q98</f>
        <v/>
      </c>
      <c r="S98">
        <f>MIN(R98,MAX(0,$B98-((E$5&lt;Q$5)*F98+(K$5&lt;Q$5)*L98+(W$5&lt;Q$5)*X98+(AC$5&lt;Q$5)*AD98+(AI$5&lt;Q$5)*AJ98+(AO$5&lt;Q$5)*AP98+(AU$5&lt;Q$5)*AV98)))</f>
        <v/>
      </c>
      <c r="T98">
        <f>IF(R98-S98&lt;0.005,0,R98-S98)</f>
        <v/>
      </c>
      <c r="U98">
        <f>Z97</f>
        <v/>
      </c>
      <c r="V98">
        <f>U98*Plan!D9/100/12</f>
        <v/>
      </c>
      <c r="W98">
        <f>MIN(Plan!E9,U98+V98)</f>
        <v/>
      </c>
      <c r="X98">
        <f>U98+V98-W98</f>
        <v/>
      </c>
      <c r="Y98">
        <f>MIN(X98,MAX(0,$B98-((E$5&lt;W$5)*F98+(K$5&lt;W$5)*L98+(Q$5&lt;W$5)*R98+(AC$5&lt;W$5)*AD98+(AI$5&lt;W$5)*AJ98+(AO$5&lt;W$5)*AP98+(AU$5&lt;W$5)*AV98)))</f>
        <v/>
      </c>
      <c r="Z98">
        <f>IF(X98-Y98&lt;0.005,0,X98-Y98)</f>
        <v/>
      </c>
      <c r="AA98">
        <f>AF97</f>
        <v/>
      </c>
      <c r="AB98">
        <f>AA98*Plan!D10/100/12</f>
        <v/>
      </c>
      <c r="AC98">
        <f>MIN(Plan!E10,AA98+AB98)</f>
        <v/>
      </c>
      <c r="AD98">
        <f>AA98+AB98-AC98</f>
        <v/>
      </c>
      <c r="AE98">
        <f>MIN(AD98,MAX(0,$B98-((E$5&lt;AC$5)*F98+(K$5&lt;AC$5)*L98+(Q$5&lt;AC$5)*R98+(W$5&lt;AC$5)*X98+(AI$5&lt;AC$5)*AJ98+(AO$5&lt;AC$5)*AP98+(AU$5&lt;AC$5)*AV98)))</f>
        <v/>
      </c>
      <c r="AF98">
        <f>IF(AD98-AE98&lt;0.005,0,AD98-AE98)</f>
        <v/>
      </c>
      <c r="AG98">
        <f>AL97</f>
        <v/>
      </c>
      <c r="AH98">
        <f>AG98*Plan!D11/100/12</f>
        <v/>
      </c>
      <c r="AI98">
        <f>MIN(Plan!E11,AG98+AH98)</f>
        <v/>
      </c>
      <c r="AJ98">
        <f>AG98+AH98-AI98</f>
        <v/>
      </c>
      <c r="AK98">
        <f>MIN(AJ98,MAX(0,$B98-((E$5&lt;AI$5)*F98+(K$5&lt;AI$5)*L98+(Q$5&lt;AI$5)*R98+(W$5&lt;AI$5)*X98+(AC$5&lt;AI$5)*AD98+(AO$5&lt;AI$5)*AP98+(AU$5&lt;AI$5)*AV98)))</f>
        <v/>
      </c>
      <c r="AL98">
        <f>IF(AJ98-AK98&lt;0.005,0,AJ98-AK98)</f>
        <v/>
      </c>
      <c r="AM98">
        <f>AR97</f>
        <v/>
      </c>
      <c r="AN98">
        <f>AM98*Plan!D12/100/12</f>
        <v/>
      </c>
      <c r="AO98">
        <f>MIN(Plan!E12,AM98+AN98)</f>
        <v/>
      </c>
      <c r="AP98">
        <f>AM98+AN98-AO98</f>
        <v/>
      </c>
      <c r="AQ98">
        <f>MIN(AP98,MAX(0,$B98-((E$5&lt;AO$5)*F98+(K$5&lt;AO$5)*L98+(Q$5&lt;AO$5)*R98+(W$5&lt;AO$5)*X98+(AC$5&lt;AO$5)*AD98+(AI$5&lt;AO$5)*AJ98+(AU$5&lt;AO$5)*AV98)))</f>
        <v/>
      </c>
      <c r="AR98">
        <f>IF(AP98-AQ98&lt;0.005,0,AP98-AQ98)</f>
        <v/>
      </c>
      <c r="AS98">
        <f>AX97</f>
        <v/>
      </c>
      <c r="AT98">
        <f>AS98*Plan!D13/100/12</f>
        <v/>
      </c>
      <c r="AU98">
        <f>MIN(Plan!E13,AS98+AT98)</f>
        <v/>
      </c>
      <c r="AV98">
        <f>AS98+AT98-AU98</f>
        <v/>
      </c>
      <c r="AW98">
        <f>MIN(AV98,MAX(0,$B98-((E$5&lt;AU$5)*F98+(K$5&lt;AU$5)*L98+(Q$5&lt;AU$5)*R98+(W$5&lt;AU$5)*X98+(AC$5&lt;AU$5)*AD98+(AI$5&lt;AU$5)*AJ98+(AO$5&lt;AU$5)*AP98)))</f>
        <v/>
      </c>
      <c r="AX98">
        <f>IF(AV98-AW98&lt;0.005,0,AV98-AW98)</f>
        <v/>
      </c>
      <c r="BC98">
        <f>H98+N98+T98+Z98+AF98+AL98+AR98+AX98</f>
        <v/>
      </c>
    </row>
    <row r="99">
      <c r="A99" t="n">
        <v>93</v>
      </c>
      <c r="B99" s="19">
        <f>MAX(0,$B$3-(E99+K99+Q99+W99+AC99+AI99+AO99+AU99))</f>
        <v/>
      </c>
      <c r="C99">
        <f>H98</f>
        <v/>
      </c>
      <c r="D99">
        <f>C99*Plan!D6/100/12</f>
        <v/>
      </c>
      <c r="E99">
        <f>MIN(Plan!E6,C99+D99)</f>
        <v/>
      </c>
      <c r="F99">
        <f>C99+D99-E99</f>
        <v/>
      </c>
      <c r="G99">
        <f>MIN(F99,MAX(0,$B99-((K$5&lt;E$5)*L99+(Q$5&lt;E$5)*R99+(W$5&lt;E$5)*X99+(AC$5&lt;E$5)*AD99+(AI$5&lt;E$5)*AJ99+(AO$5&lt;E$5)*AP99+(AU$5&lt;E$5)*AV99)))</f>
        <v/>
      </c>
      <c r="H99">
        <f>IF(F99-G99&lt;0.005,0,F99-G99)</f>
        <v/>
      </c>
      <c r="I99">
        <f>N98</f>
        <v/>
      </c>
      <c r="J99">
        <f>I99*Plan!D7/100/12</f>
        <v/>
      </c>
      <c r="K99">
        <f>MIN(Plan!E7,I99+J99)</f>
        <v/>
      </c>
      <c r="L99">
        <f>I99+J99-K99</f>
        <v/>
      </c>
      <c r="M99">
        <f>MIN(L99,MAX(0,$B99-((E$5&lt;K$5)*F99+(Q$5&lt;K$5)*R99+(W$5&lt;K$5)*X99+(AC$5&lt;K$5)*AD99+(AI$5&lt;K$5)*AJ99+(AO$5&lt;K$5)*AP99+(AU$5&lt;K$5)*AV99)))</f>
        <v/>
      </c>
      <c r="N99">
        <f>IF(L99-M99&lt;0.005,0,L99-M99)</f>
        <v/>
      </c>
      <c r="O99">
        <f>T98</f>
        <v/>
      </c>
      <c r="P99">
        <f>O99*Plan!D8/100/12</f>
        <v/>
      </c>
      <c r="Q99">
        <f>MIN(Plan!E8,O99+P99)</f>
        <v/>
      </c>
      <c r="R99">
        <f>O99+P99-Q99</f>
        <v/>
      </c>
      <c r="S99">
        <f>MIN(R99,MAX(0,$B99-((E$5&lt;Q$5)*F99+(K$5&lt;Q$5)*L99+(W$5&lt;Q$5)*X99+(AC$5&lt;Q$5)*AD99+(AI$5&lt;Q$5)*AJ99+(AO$5&lt;Q$5)*AP99+(AU$5&lt;Q$5)*AV99)))</f>
        <v/>
      </c>
      <c r="T99">
        <f>IF(R99-S99&lt;0.005,0,R99-S99)</f>
        <v/>
      </c>
      <c r="U99">
        <f>Z98</f>
        <v/>
      </c>
      <c r="V99">
        <f>U99*Plan!D9/100/12</f>
        <v/>
      </c>
      <c r="W99">
        <f>MIN(Plan!E9,U99+V99)</f>
        <v/>
      </c>
      <c r="X99">
        <f>U99+V99-W99</f>
        <v/>
      </c>
      <c r="Y99">
        <f>MIN(X99,MAX(0,$B99-((E$5&lt;W$5)*F99+(K$5&lt;W$5)*L99+(Q$5&lt;W$5)*R99+(AC$5&lt;W$5)*AD99+(AI$5&lt;W$5)*AJ99+(AO$5&lt;W$5)*AP99+(AU$5&lt;W$5)*AV99)))</f>
        <v/>
      </c>
      <c r="Z99">
        <f>IF(X99-Y99&lt;0.005,0,X99-Y99)</f>
        <v/>
      </c>
      <c r="AA99">
        <f>AF98</f>
        <v/>
      </c>
      <c r="AB99">
        <f>AA99*Plan!D10/100/12</f>
        <v/>
      </c>
      <c r="AC99">
        <f>MIN(Plan!E10,AA99+AB99)</f>
        <v/>
      </c>
      <c r="AD99">
        <f>AA99+AB99-AC99</f>
        <v/>
      </c>
      <c r="AE99">
        <f>MIN(AD99,MAX(0,$B99-((E$5&lt;AC$5)*F99+(K$5&lt;AC$5)*L99+(Q$5&lt;AC$5)*R99+(W$5&lt;AC$5)*X99+(AI$5&lt;AC$5)*AJ99+(AO$5&lt;AC$5)*AP99+(AU$5&lt;AC$5)*AV99)))</f>
        <v/>
      </c>
      <c r="AF99">
        <f>IF(AD99-AE99&lt;0.005,0,AD99-AE99)</f>
        <v/>
      </c>
      <c r="AG99">
        <f>AL98</f>
        <v/>
      </c>
      <c r="AH99">
        <f>AG99*Plan!D11/100/12</f>
        <v/>
      </c>
      <c r="AI99">
        <f>MIN(Plan!E11,AG99+AH99)</f>
        <v/>
      </c>
      <c r="AJ99">
        <f>AG99+AH99-AI99</f>
        <v/>
      </c>
      <c r="AK99">
        <f>MIN(AJ99,MAX(0,$B99-((E$5&lt;AI$5)*F99+(K$5&lt;AI$5)*L99+(Q$5&lt;AI$5)*R99+(W$5&lt;AI$5)*X99+(AC$5&lt;AI$5)*AD99+(AO$5&lt;AI$5)*AP99+(AU$5&lt;AI$5)*AV99)))</f>
        <v/>
      </c>
      <c r="AL99">
        <f>IF(AJ99-AK99&lt;0.005,0,AJ99-AK99)</f>
        <v/>
      </c>
      <c r="AM99">
        <f>AR98</f>
        <v/>
      </c>
      <c r="AN99">
        <f>AM99*Plan!D12/100/12</f>
        <v/>
      </c>
      <c r="AO99">
        <f>MIN(Plan!E12,AM99+AN99)</f>
        <v/>
      </c>
      <c r="AP99">
        <f>AM99+AN99-AO99</f>
        <v/>
      </c>
      <c r="AQ99">
        <f>MIN(AP99,MAX(0,$B99-((E$5&lt;AO$5)*F99+(K$5&lt;AO$5)*L99+(Q$5&lt;AO$5)*R99+(W$5&lt;AO$5)*X99+(AC$5&lt;AO$5)*AD99+(AI$5&lt;AO$5)*AJ99+(AU$5&lt;AO$5)*AV99)))</f>
        <v/>
      </c>
      <c r="AR99">
        <f>IF(AP99-AQ99&lt;0.005,0,AP99-AQ99)</f>
        <v/>
      </c>
      <c r="AS99">
        <f>AX98</f>
        <v/>
      </c>
      <c r="AT99">
        <f>AS99*Plan!D13/100/12</f>
        <v/>
      </c>
      <c r="AU99">
        <f>MIN(Plan!E13,AS99+AT99)</f>
        <v/>
      </c>
      <c r="AV99">
        <f>AS99+AT99-AU99</f>
        <v/>
      </c>
      <c r="AW99">
        <f>MIN(AV99,MAX(0,$B99-((E$5&lt;AU$5)*F99+(K$5&lt;AU$5)*L99+(Q$5&lt;AU$5)*R99+(W$5&lt;AU$5)*X99+(AC$5&lt;AU$5)*AD99+(AI$5&lt;AU$5)*AJ99+(AO$5&lt;AU$5)*AP99)))</f>
        <v/>
      </c>
      <c r="AX99">
        <f>IF(AV99-AW99&lt;0.005,0,AV99-AW99)</f>
        <v/>
      </c>
      <c r="BC99">
        <f>H99+N99+T99+Z99+AF99+AL99+AR99+AX99</f>
        <v/>
      </c>
    </row>
    <row r="100">
      <c r="A100" t="n">
        <v>94</v>
      </c>
      <c r="B100" s="19">
        <f>MAX(0,$B$3-(E100+K100+Q100+W100+AC100+AI100+AO100+AU100))</f>
        <v/>
      </c>
      <c r="C100">
        <f>H99</f>
        <v/>
      </c>
      <c r="D100">
        <f>C100*Plan!D6/100/12</f>
        <v/>
      </c>
      <c r="E100">
        <f>MIN(Plan!E6,C100+D100)</f>
        <v/>
      </c>
      <c r="F100">
        <f>C100+D100-E100</f>
        <v/>
      </c>
      <c r="G100">
        <f>MIN(F100,MAX(0,$B100-((K$5&lt;E$5)*L100+(Q$5&lt;E$5)*R100+(W$5&lt;E$5)*X100+(AC$5&lt;E$5)*AD100+(AI$5&lt;E$5)*AJ100+(AO$5&lt;E$5)*AP100+(AU$5&lt;E$5)*AV100)))</f>
        <v/>
      </c>
      <c r="H100">
        <f>IF(F100-G100&lt;0.005,0,F100-G100)</f>
        <v/>
      </c>
      <c r="I100">
        <f>N99</f>
        <v/>
      </c>
      <c r="J100">
        <f>I100*Plan!D7/100/12</f>
        <v/>
      </c>
      <c r="K100">
        <f>MIN(Plan!E7,I100+J100)</f>
        <v/>
      </c>
      <c r="L100">
        <f>I100+J100-K100</f>
        <v/>
      </c>
      <c r="M100">
        <f>MIN(L100,MAX(0,$B100-((E$5&lt;K$5)*F100+(Q$5&lt;K$5)*R100+(W$5&lt;K$5)*X100+(AC$5&lt;K$5)*AD100+(AI$5&lt;K$5)*AJ100+(AO$5&lt;K$5)*AP100+(AU$5&lt;K$5)*AV100)))</f>
        <v/>
      </c>
      <c r="N100">
        <f>IF(L100-M100&lt;0.005,0,L100-M100)</f>
        <v/>
      </c>
      <c r="O100">
        <f>T99</f>
        <v/>
      </c>
      <c r="P100">
        <f>O100*Plan!D8/100/12</f>
        <v/>
      </c>
      <c r="Q100">
        <f>MIN(Plan!E8,O100+P100)</f>
        <v/>
      </c>
      <c r="R100">
        <f>O100+P100-Q100</f>
        <v/>
      </c>
      <c r="S100">
        <f>MIN(R100,MAX(0,$B100-((E$5&lt;Q$5)*F100+(K$5&lt;Q$5)*L100+(W$5&lt;Q$5)*X100+(AC$5&lt;Q$5)*AD100+(AI$5&lt;Q$5)*AJ100+(AO$5&lt;Q$5)*AP100+(AU$5&lt;Q$5)*AV100)))</f>
        <v/>
      </c>
      <c r="T100">
        <f>IF(R100-S100&lt;0.005,0,R100-S100)</f>
        <v/>
      </c>
      <c r="U100">
        <f>Z99</f>
        <v/>
      </c>
      <c r="V100">
        <f>U100*Plan!D9/100/12</f>
        <v/>
      </c>
      <c r="W100">
        <f>MIN(Plan!E9,U100+V100)</f>
        <v/>
      </c>
      <c r="X100">
        <f>U100+V100-W100</f>
        <v/>
      </c>
      <c r="Y100">
        <f>MIN(X100,MAX(0,$B100-((E$5&lt;W$5)*F100+(K$5&lt;W$5)*L100+(Q$5&lt;W$5)*R100+(AC$5&lt;W$5)*AD100+(AI$5&lt;W$5)*AJ100+(AO$5&lt;W$5)*AP100+(AU$5&lt;W$5)*AV100)))</f>
        <v/>
      </c>
      <c r="Z100">
        <f>IF(X100-Y100&lt;0.005,0,X100-Y100)</f>
        <v/>
      </c>
      <c r="AA100">
        <f>AF99</f>
        <v/>
      </c>
      <c r="AB100">
        <f>AA100*Plan!D10/100/12</f>
        <v/>
      </c>
      <c r="AC100">
        <f>MIN(Plan!E10,AA100+AB100)</f>
        <v/>
      </c>
      <c r="AD100">
        <f>AA100+AB100-AC100</f>
        <v/>
      </c>
      <c r="AE100">
        <f>MIN(AD100,MAX(0,$B100-((E$5&lt;AC$5)*F100+(K$5&lt;AC$5)*L100+(Q$5&lt;AC$5)*R100+(W$5&lt;AC$5)*X100+(AI$5&lt;AC$5)*AJ100+(AO$5&lt;AC$5)*AP100+(AU$5&lt;AC$5)*AV100)))</f>
        <v/>
      </c>
      <c r="AF100">
        <f>IF(AD100-AE100&lt;0.005,0,AD100-AE100)</f>
        <v/>
      </c>
      <c r="AG100">
        <f>AL99</f>
        <v/>
      </c>
      <c r="AH100">
        <f>AG100*Plan!D11/100/12</f>
        <v/>
      </c>
      <c r="AI100">
        <f>MIN(Plan!E11,AG100+AH100)</f>
        <v/>
      </c>
      <c r="AJ100">
        <f>AG100+AH100-AI100</f>
        <v/>
      </c>
      <c r="AK100">
        <f>MIN(AJ100,MAX(0,$B100-((E$5&lt;AI$5)*F100+(K$5&lt;AI$5)*L100+(Q$5&lt;AI$5)*R100+(W$5&lt;AI$5)*X100+(AC$5&lt;AI$5)*AD100+(AO$5&lt;AI$5)*AP100+(AU$5&lt;AI$5)*AV100)))</f>
        <v/>
      </c>
      <c r="AL100">
        <f>IF(AJ100-AK100&lt;0.005,0,AJ100-AK100)</f>
        <v/>
      </c>
      <c r="AM100">
        <f>AR99</f>
        <v/>
      </c>
      <c r="AN100">
        <f>AM100*Plan!D12/100/12</f>
        <v/>
      </c>
      <c r="AO100">
        <f>MIN(Plan!E12,AM100+AN100)</f>
        <v/>
      </c>
      <c r="AP100">
        <f>AM100+AN100-AO100</f>
        <v/>
      </c>
      <c r="AQ100">
        <f>MIN(AP100,MAX(0,$B100-((E$5&lt;AO$5)*F100+(K$5&lt;AO$5)*L100+(Q$5&lt;AO$5)*R100+(W$5&lt;AO$5)*X100+(AC$5&lt;AO$5)*AD100+(AI$5&lt;AO$5)*AJ100+(AU$5&lt;AO$5)*AV100)))</f>
        <v/>
      </c>
      <c r="AR100">
        <f>IF(AP100-AQ100&lt;0.005,0,AP100-AQ100)</f>
        <v/>
      </c>
      <c r="AS100">
        <f>AX99</f>
        <v/>
      </c>
      <c r="AT100">
        <f>AS100*Plan!D13/100/12</f>
        <v/>
      </c>
      <c r="AU100">
        <f>MIN(Plan!E13,AS100+AT100)</f>
        <v/>
      </c>
      <c r="AV100">
        <f>AS100+AT100-AU100</f>
        <v/>
      </c>
      <c r="AW100">
        <f>MIN(AV100,MAX(0,$B100-((E$5&lt;AU$5)*F100+(K$5&lt;AU$5)*L100+(Q$5&lt;AU$5)*R100+(W$5&lt;AU$5)*X100+(AC$5&lt;AU$5)*AD100+(AI$5&lt;AU$5)*AJ100+(AO$5&lt;AU$5)*AP100)))</f>
        <v/>
      </c>
      <c r="AX100">
        <f>IF(AV100-AW100&lt;0.005,0,AV100-AW100)</f>
        <v/>
      </c>
      <c r="BC100">
        <f>H100+N100+T100+Z100+AF100+AL100+AR100+AX100</f>
        <v/>
      </c>
    </row>
    <row r="101">
      <c r="A101" t="n">
        <v>95</v>
      </c>
      <c r="B101" s="19">
        <f>MAX(0,$B$3-(E101+K101+Q101+W101+AC101+AI101+AO101+AU101))</f>
        <v/>
      </c>
      <c r="C101">
        <f>H100</f>
        <v/>
      </c>
      <c r="D101">
        <f>C101*Plan!D6/100/12</f>
        <v/>
      </c>
      <c r="E101">
        <f>MIN(Plan!E6,C101+D101)</f>
        <v/>
      </c>
      <c r="F101">
        <f>C101+D101-E101</f>
        <v/>
      </c>
      <c r="G101">
        <f>MIN(F101,MAX(0,$B101-((K$5&lt;E$5)*L101+(Q$5&lt;E$5)*R101+(W$5&lt;E$5)*X101+(AC$5&lt;E$5)*AD101+(AI$5&lt;E$5)*AJ101+(AO$5&lt;E$5)*AP101+(AU$5&lt;E$5)*AV101)))</f>
        <v/>
      </c>
      <c r="H101">
        <f>IF(F101-G101&lt;0.005,0,F101-G101)</f>
        <v/>
      </c>
      <c r="I101">
        <f>N100</f>
        <v/>
      </c>
      <c r="J101">
        <f>I101*Plan!D7/100/12</f>
        <v/>
      </c>
      <c r="K101">
        <f>MIN(Plan!E7,I101+J101)</f>
        <v/>
      </c>
      <c r="L101">
        <f>I101+J101-K101</f>
        <v/>
      </c>
      <c r="M101">
        <f>MIN(L101,MAX(0,$B101-((E$5&lt;K$5)*F101+(Q$5&lt;K$5)*R101+(W$5&lt;K$5)*X101+(AC$5&lt;K$5)*AD101+(AI$5&lt;K$5)*AJ101+(AO$5&lt;K$5)*AP101+(AU$5&lt;K$5)*AV101)))</f>
        <v/>
      </c>
      <c r="N101">
        <f>IF(L101-M101&lt;0.005,0,L101-M101)</f>
        <v/>
      </c>
      <c r="O101">
        <f>T100</f>
        <v/>
      </c>
      <c r="P101">
        <f>O101*Plan!D8/100/12</f>
        <v/>
      </c>
      <c r="Q101">
        <f>MIN(Plan!E8,O101+P101)</f>
        <v/>
      </c>
      <c r="R101">
        <f>O101+P101-Q101</f>
        <v/>
      </c>
      <c r="S101">
        <f>MIN(R101,MAX(0,$B101-((E$5&lt;Q$5)*F101+(K$5&lt;Q$5)*L101+(W$5&lt;Q$5)*X101+(AC$5&lt;Q$5)*AD101+(AI$5&lt;Q$5)*AJ101+(AO$5&lt;Q$5)*AP101+(AU$5&lt;Q$5)*AV101)))</f>
        <v/>
      </c>
      <c r="T101">
        <f>IF(R101-S101&lt;0.005,0,R101-S101)</f>
        <v/>
      </c>
      <c r="U101">
        <f>Z100</f>
        <v/>
      </c>
      <c r="V101">
        <f>U101*Plan!D9/100/12</f>
        <v/>
      </c>
      <c r="W101">
        <f>MIN(Plan!E9,U101+V101)</f>
        <v/>
      </c>
      <c r="X101">
        <f>U101+V101-W101</f>
        <v/>
      </c>
      <c r="Y101">
        <f>MIN(X101,MAX(0,$B101-((E$5&lt;W$5)*F101+(K$5&lt;W$5)*L101+(Q$5&lt;W$5)*R101+(AC$5&lt;W$5)*AD101+(AI$5&lt;W$5)*AJ101+(AO$5&lt;W$5)*AP101+(AU$5&lt;W$5)*AV101)))</f>
        <v/>
      </c>
      <c r="Z101">
        <f>IF(X101-Y101&lt;0.005,0,X101-Y101)</f>
        <v/>
      </c>
      <c r="AA101">
        <f>AF100</f>
        <v/>
      </c>
      <c r="AB101">
        <f>AA101*Plan!D10/100/12</f>
        <v/>
      </c>
      <c r="AC101">
        <f>MIN(Plan!E10,AA101+AB101)</f>
        <v/>
      </c>
      <c r="AD101">
        <f>AA101+AB101-AC101</f>
        <v/>
      </c>
      <c r="AE101">
        <f>MIN(AD101,MAX(0,$B101-((E$5&lt;AC$5)*F101+(K$5&lt;AC$5)*L101+(Q$5&lt;AC$5)*R101+(W$5&lt;AC$5)*X101+(AI$5&lt;AC$5)*AJ101+(AO$5&lt;AC$5)*AP101+(AU$5&lt;AC$5)*AV101)))</f>
        <v/>
      </c>
      <c r="AF101">
        <f>IF(AD101-AE101&lt;0.005,0,AD101-AE101)</f>
        <v/>
      </c>
      <c r="AG101">
        <f>AL100</f>
        <v/>
      </c>
      <c r="AH101">
        <f>AG101*Plan!D11/100/12</f>
        <v/>
      </c>
      <c r="AI101">
        <f>MIN(Plan!E11,AG101+AH101)</f>
        <v/>
      </c>
      <c r="AJ101">
        <f>AG101+AH101-AI101</f>
        <v/>
      </c>
      <c r="AK101">
        <f>MIN(AJ101,MAX(0,$B101-((E$5&lt;AI$5)*F101+(K$5&lt;AI$5)*L101+(Q$5&lt;AI$5)*R101+(W$5&lt;AI$5)*X101+(AC$5&lt;AI$5)*AD101+(AO$5&lt;AI$5)*AP101+(AU$5&lt;AI$5)*AV101)))</f>
        <v/>
      </c>
      <c r="AL101">
        <f>IF(AJ101-AK101&lt;0.005,0,AJ101-AK101)</f>
        <v/>
      </c>
      <c r="AM101">
        <f>AR100</f>
        <v/>
      </c>
      <c r="AN101">
        <f>AM101*Plan!D12/100/12</f>
        <v/>
      </c>
      <c r="AO101">
        <f>MIN(Plan!E12,AM101+AN101)</f>
        <v/>
      </c>
      <c r="AP101">
        <f>AM101+AN101-AO101</f>
        <v/>
      </c>
      <c r="AQ101">
        <f>MIN(AP101,MAX(0,$B101-((E$5&lt;AO$5)*F101+(K$5&lt;AO$5)*L101+(Q$5&lt;AO$5)*R101+(W$5&lt;AO$5)*X101+(AC$5&lt;AO$5)*AD101+(AI$5&lt;AO$5)*AJ101+(AU$5&lt;AO$5)*AV101)))</f>
        <v/>
      </c>
      <c r="AR101">
        <f>IF(AP101-AQ101&lt;0.005,0,AP101-AQ101)</f>
        <v/>
      </c>
      <c r="AS101">
        <f>AX100</f>
        <v/>
      </c>
      <c r="AT101">
        <f>AS101*Plan!D13/100/12</f>
        <v/>
      </c>
      <c r="AU101">
        <f>MIN(Plan!E13,AS101+AT101)</f>
        <v/>
      </c>
      <c r="AV101">
        <f>AS101+AT101-AU101</f>
        <v/>
      </c>
      <c r="AW101">
        <f>MIN(AV101,MAX(0,$B101-((E$5&lt;AU$5)*F101+(K$5&lt;AU$5)*L101+(Q$5&lt;AU$5)*R101+(W$5&lt;AU$5)*X101+(AC$5&lt;AU$5)*AD101+(AI$5&lt;AU$5)*AJ101+(AO$5&lt;AU$5)*AP101)))</f>
        <v/>
      </c>
      <c r="AX101">
        <f>IF(AV101-AW101&lt;0.005,0,AV101-AW101)</f>
        <v/>
      </c>
      <c r="BC101">
        <f>H101+N101+T101+Z101+AF101+AL101+AR101+AX101</f>
        <v/>
      </c>
    </row>
    <row r="102">
      <c r="A102" t="n">
        <v>96</v>
      </c>
      <c r="B102" s="19">
        <f>MAX(0,$B$3-(E102+K102+Q102+W102+AC102+AI102+AO102+AU102))</f>
        <v/>
      </c>
      <c r="C102">
        <f>H101</f>
        <v/>
      </c>
      <c r="D102">
        <f>C102*Plan!D6/100/12</f>
        <v/>
      </c>
      <c r="E102">
        <f>MIN(Plan!E6,C102+D102)</f>
        <v/>
      </c>
      <c r="F102">
        <f>C102+D102-E102</f>
        <v/>
      </c>
      <c r="G102">
        <f>MIN(F102,MAX(0,$B102-((K$5&lt;E$5)*L102+(Q$5&lt;E$5)*R102+(W$5&lt;E$5)*X102+(AC$5&lt;E$5)*AD102+(AI$5&lt;E$5)*AJ102+(AO$5&lt;E$5)*AP102+(AU$5&lt;E$5)*AV102)))</f>
        <v/>
      </c>
      <c r="H102">
        <f>IF(F102-G102&lt;0.005,0,F102-G102)</f>
        <v/>
      </c>
      <c r="I102">
        <f>N101</f>
        <v/>
      </c>
      <c r="J102">
        <f>I102*Plan!D7/100/12</f>
        <v/>
      </c>
      <c r="K102">
        <f>MIN(Plan!E7,I102+J102)</f>
        <v/>
      </c>
      <c r="L102">
        <f>I102+J102-K102</f>
        <v/>
      </c>
      <c r="M102">
        <f>MIN(L102,MAX(0,$B102-((E$5&lt;K$5)*F102+(Q$5&lt;K$5)*R102+(W$5&lt;K$5)*X102+(AC$5&lt;K$5)*AD102+(AI$5&lt;K$5)*AJ102+(AO$5&lt;K$5)*AP102+(AU$5&lt;K$5)*AV102)))</f>
        <v/>
      </c>
      <c r="N102">
        <f>IF(L102-M102&lt;0.005,0,L102-M102)</f>
        <v/>
      </c>
      <c r="O102">
        <f>T101</f>
        <v/>
      </c>
      <c r="P102">
        <f>O102*Plan!D8/100/12</f>
        <v/>
      </c>
      <c r="Q102">
        <f>MIN(Plan!E8,O102+P102)</f>
        <v/>
      </c>
      <c r="R102">
        <f>O102+P102-Q102</f>
        <v/>
      </c>
      <c r="S102">
        <f>MIN(R102,MAX(0,$B102-((E$5&lt;Q$5)*F102+(K$5&lt;Q$5)*L102+(W$5&lt;Q$5)*X102+(AC$5&lt;Q$5)*AD102+(AI$5&lt;Q$5)*AJ102+(AO$5&lt;Q$5)*AP102+(AU$5&lt;Q$5)*AV102)))</f>
        <v/>
      </c>
      <c r="T102">
        <f>IF(R102-S102&lt;0.005,0,R102-S102)</f>
        <v/>
      </c>
      <c r="U102">
        <f>Z101</f>
        <v/>
      </c>
      <c r="V102">
        <f>U102*Plan!D9/100/12</f>
        <v/>
      </c>
      <c r="W102">
        <f>MIN(Plan!E9,U102+V102)</f>
        <v/>
      </c>
      <c r="X102">
        <f>U102+V102-W102</f>
        <v/>
      </c>
      <c r="Y102">
        <f>MIN(X102,MAX(0,$B102-((E$5&lt;W$5)*F102+(K$5&lt;W$5)*L102+(Q$5&lt;W$5)*R102+(AC$5&lt;W$5)*AD102+(AI$5&lt;W$5)*AJ102+(AO$5&lt;W$5)*AP102+(AU$5&lt;W$5)*AV102)))</f>
        <v/>
      </c>
      <c r="Z102">
        <f>IF(X102-Y102&lt;0.005,0,X102-Y102)</f>
        <v/>
      </c>
      <c r="AA102">
        <f>AF101</f>
        <v/>
      </c>
      <c r="AB102">
        <f>AA102*Plan!D10/100/12</f>
        <v/>
      </c>
      <c r="AC102">
        <f>MIN(Plan!E10,AA102+AB102)</f>
        <v/>
      </c>
      <c r="AD102">
        <f>AA102+AB102-AC102</f>
        <v/>
      </c>
      <c r="AE102">
        <f>MIN(AD102,MAX(0,$B102-((E$5&lt;AC$5)*F102+(K$5&lt;AC$5)*L102+(Q$5&lt;AC$5)*R102+(W$5&lt;AC$5)*X102+(AI$5&lt;AC$5)*AJ102+(AO$5&lt;AC$5)*AP102+(AU$5&lt;AC$5)*AV102)))</f>
        <v/>
      </c>
      <c r="AF102">
        <f>IF(AD102-AE102&lt;0.005,0,AD102-AE102)</f>
        <v/>
      </c>
      <c r="AG102">
        <f>AL101</f>
        <v/>
      </c>
      <c r="AH102">
        <f>AG102*Plan!D11/100/12</f>
        <v/>
      </c>
      <c r="AI102">
        <f>MIN(Plan!E11,AG102+AH102)</f>
        <v/>
      </c>
      <c r="AJ102">
        <f>AG102+AH102-AI102</f>
        <v/>
      </c>
      <c r="AK102">
        <f>MIN(AJ102,MAX(0,$B102-((E$5&lt;AI$5)*F102+(K$5&lt;AI$5)*L102+(Q$5&lt;AI$5)*R102+(W$5&lt;AI$5)*X102+(AC$5&lt;AI$5)*AD102+(AO$5&lt;AI$5)*AP102+(AU$5&lt;AI$5)*AV102)))</f>
        <v/>
      </c>
      <c r="AL102">
        <f>IF(AJ102-AK102&lt;0.005,0,AJ102-AK102)</f>
        <v/>
      </c>
      <c r="AM102">
        <f>AR101</f>
        <v/>
      </c>
      <c r="AN102">
        <f>AM102*Plan!D12/100/12</f>
        <v/>
      </c>
      <c r="AO102">
        <f>MIN(Plan!E12,AM102+AN102)</f>
        <v/>
      </c>
      <c r="AP102">
        <f>AM102+AN102-AO102</f>
        <v/>
      </c>
      <c r="AQ102">
        <f>MIN(AP102,MAX(0,$B102-((E$5&lt;AO$5)*F102+(K$5&lt;AO$5)*L102+(Q$5&lt;AO$5)*R102+(W$5&lt;AO$5)*X102+(AC$5&lt;AO$5)*AD102+(AI$5&lt;AO$5)*AJ102+(AU$5&lt;AO$5)*AV102)))</f>
        <v/>
      </c>
      <c r="AR102">
        <f>IF(AP102-AQ102&lt;0.005,0,AP102-AQ102)</f>
        <v/>
      </c>
      <c r="AS102">
        <f>AX101</f>
        <v/>
      </c>
      <c r="AT102">
        <f>AS102*Plan!D13/100/12</f>
        <v/>
      </c>
      <c r="AU102">
        <f>MIN(Plan!E13,AS102+AT102)</f>
        <v/>
      </c>
      <c r="AV102">
        <f>AS102+AT102-AU102</f>
        <v/>
      </c>
      <c r="AW102">
        <f>MIN(AV102,MAX(0,$B102-((E$5&lt;AU$5)*F102+(K$5&lt;AU$5)*L102+(Q$5&lt;AU$5)*R102+(W$5&lt;AU$5)*X102+(AC$5&lt;AU$5)*AD102+(AI$5&lt;AU$5)*AJ102+(AO$5&lt;AU$5)*AP102)))</f>
        <v/>
      </c>
      <c r="AX102">
        <f>IF(AV102-AW102&lt;0.005,0,AV102-AW102)</f>
        <v/>
      </c>
      <c r="BC102">
        <f>H102+N102+T102+Z102+AF102+AL102+AR102+AX102</f>
        <v/>
      </c>
    </row>
    <row r="103">
      <c r="A103" t="n">
        <v>97</v>
      </c>
      <c r="B103" s="19">
        <f>MAX(0,$B$3-(E103+K103+Q103+W103+AC103+AI103+AO103+AU103))</f>
        <v/>
      </c>
      <c r="C103">
        <f>H102</f>
        <v/>
      </c>
      <c r="D103">
        <f>C103*Plan!D6/100/12</f>
        <v/>
      </c>
      <c r="E103">
        <f>MIN(Plan!E6,C103+D103)</f>
        <v/>
      </c>
      <c r="F103">
        <f>C103+D103-E103</f>
        <v/>
      </c>
      <c r="G103">
        <f>MIN(F103,MAX(0,$B103-((K$5&lt;E$5)*L103+(Q$5&lt;E$5)*R103+(W$5&lt;E$5)*X103+(AC$5&lt;E$5)*AD103+(AI$5&lt;E$5)*AJ103+(AO$5&lt;E$5)*AP103+(AU$5&lt;E$5)*AV103)))</f>
        <v/>
      </c>
      <c r="H103">
        <f>IF(F103-G103&lt;0.005,0,F103-G103)</f>
        <v/>
      </c>
      <c r="I103">
        <f>N102</f>
        <v/>
      </c>
      <c r="J103">
        <f>I103*Plan!D7/100/12</f>
        <v/>
      </c>
      <c r="K103">
        <f>MIN(Plan!E7,I103+J103)</f>
        <v/>
      </c>
      <c r="L103">
        <f>I103+J103-K103</f>
        <v/>
      </c>
      <c r="M103">
        <f>MIN(L103,MAX(0,$B103-((E$5&lt;K$5)*F103+(Q$5&lt;K$5)*R103+(W$5&lt;K$5)*X103+(AC$5&lt;K$5)*AD103+(AI$5&lt;K$5)*AJ103+(AO$5&lt;K$5)*AP103+(AU$5&lt;K$5)*AV103)))</f>
        <v/>
      </c>
      <c r="N103">
        <f>IF(L103-M103&lt;0.005,0,L103-M103)</f>
        <v/>
      </c>
      <c r="O103">
        <f>T102</f>
        <v/>
      </c>
      <c r="P103">
        <f>O103*Plan!D8/100/12</f>
        <v/>
      </c>
      <c r="Q103">
        <f>MIN(Plan!E8,O103+P103)</f>
        <v/>
      </c>
      <c r="R103">
        <f>O103+P103-Q103</f>
        <v/>
      </c>
      <c r="S103">
        <f>MIN(R103,MAX(0,$B103-((E$5&lt;Q$5)*F103+(K$5&lt;Q$5)*L103+(W$5&lt;Q$5)*X103+(AC$5&lt;Q$5)*AD103+(AI$5&lt;Q$5)*AJ103+(AO$5&lt;Q$5)*AP103+(AU$5&lt;Q$5)*AV103)))</f>
        <v/>
      </c>
      <c r="T103">
        <f>IF(R103-S103&lt;0.005,0,R103-S103)</f>
        <v/>
      </c>
      <c r="U103">
        <f>Z102</f>
        <v/>
      </c>
      <c r="V103">
        <f>U103*Plan!D9/100/12</f>
        <v/>
      </c>
      <c r="W103">
        <f>MIN(Plan!E9,U103+V103)</f>
        <v/>
      </c>
      <c r="X103">
        <f>U103+V103-W103</f>
        <v/>
      </c>
      <c r="Y103">
        <f>MIN(X103,MAX(0,$B103-((E$5&lt;W$5)*F103+(K$5&lt;W$5)*L103+(Q$5&lt;W$5)*R103+(AC$5&lt;W$5)*AD103+(AI$5&lt;W$5)*AJ103+(AO$5&lt;W$5)*AP103+(AU$5&lt;W$5)*AV103)))</f>
        <v/>
      </c>
      <c r="Z103">
        <f>IF(X103-Y103&lt;0.005,0,X103-Y103)</f>
        <v/>
      </c>
      <c r="AA103">
        <f>AF102</f>
        <v/>
      </c>
      <c r="AB103">
        <f>AA103*Plan!D10/100/12</f>
        <v/>
      </c>
      <c r="AC103">
        <f>MIN(Plan!E10,AA103+AB103)</f>
        <v/>
      </c>
      <c r="AD103">
        <f>AA103+AB103-AC103</f>
        <v/>
      </c>
      <c r="AE103">
        <f>MIN(AD103,MAX(0,$B103-((E$5&lt;AC$5)*F103+(K$5&lt;AC$5)*L103+(Q$5&lt;AC$5)*R103+(W$5&lt;AC$5)*X103+(AI$5&lt;AC$5)*AJ103+(AO$5&lt;AC$5)*AP103+(AU$5&lt;AC$5)*AV103)))</f>
        <v/>
      </c>
      <c r="AF103">
        <f>IF(AD103-AE103&lt;0.005,0,AD103-AE103)</f>
        <v/>
      </c>
      <c r="AG103">
        <f>AL102</f>
        <v/>
      </c>
      <c r="AH103">
        <f>AG103*Plan!D11/100/12</f>
        <v/>
      </c>
      <c r="AI103">
        <f>MIN(Plan!E11,AG103+AH103)</f>
        <v/>
      </c>
      <c r="AJ103">
        <f>AG103+AH103-AI103</f>
        <v/>
      </c>
      <c r="AK103">
        <f>MIN(AJ103,MAX(0,$B103-((E$5&lt;AI$5)*F103+(K$5&lt;AI$5)*L103+(Q$5&lt;AI$5)*R103+(W$5&lt;AI$5)*X103+(AC$5&lt;AI$5)*AD103+(AO$5&lt;AI$5)*AP103+(AU$5&lt;AI$5)*AV103)))</f>
        <v/>
      </c>
      <c r="AL103">
        <f>IF(AJ103-AK103&lt;0.005,0,AJ103-AK103)</f>
        <v/>
      </c>
      <c r="AM103">
        <f>AR102</f>
        <v/>
      </c>
      <c r="AN103">
        <f>AM103*Plan!D12/100/12</f>
        <v/>
      </c>
      <c r="AO103">
        <f>MIN(Plan!E12,AM103+AN103)</f>
        <v/>
      </c>
      <c r="AP103">
        <f>AM103+AN103-AO103</f>
        <v/>
      </c>
      <c r="AQ103">
        <f>MIN(AP103,MAX(0,$B103-((E$5&lt;AO$5)*F103+(K$5&lt;AO$5)*L103+(Q$5&lt;AO$5)*R103+(W$5&lt;AO$5)*X103+(AC$5&lt;AO$5)*AD103+(AI$5&lt;AO$5)*AJ103+(AU$5&lt;AO$5)*AV103)))</f>
        <v/>
      </c>
      <c r="AR103">
        <f>IF(AP103-AQ103&lt;0.005,0,AP103-AQ103)</f>
        <v/>
      </c>
      <c r="AS103">
        <f>AX102</f>
        <v/>
      </c>
      <c r="AT103">
        <f>AS103*Plan!D13/100/12</f>
        <v/>
      </c>
      <c r="AU103">
        <f>MIN(Plan!E13,AS103+AT103)</f>
        <v/>
      </c>
      <c r="AV103">
        <f>AS103+AT103-AU103</f>
        <v/>
      </c>
      <c r="AW103">
        <f>MIN(AV103,MAX(0,$B103-((E$5&lt;AU$5)*F103+(K$5&lt;AU$5)*L103+(Q$5&lt;AU$5)*R103+(W$5&lt;AU$5)*X103+(AC$5&lt;AU$5)*AD103+(AI$5&lt;AU$5)*AJ103+(AO$5&lt;AU$5)*AP103)))</f>
        <v/>
      </c>
      <c r="AX103">
        <f>IF(AV103-AW103&lt;0.005,0,AV103-AW103)</f>
        <v/>
      </c>
      <c r="BC103">
        <f>H103+N103+T103+Z103+AF103+AL103+AR103+AX103</f>
        <v/>
      </c>
    </row>
    <row r="104">
      <c r="A104" t="n">
        <v>98</v>
      </c>
      <c r="B104" s="19">
        <f>MAX(0,$B$3-(E104+K104+Q104+W104+AC104+AI104+AO104+AU104))</f>
        <v/>
      </c>
      <c r="C104">
        <f>H103</f>
        <v/>
      </c>
      <c r="D104">
        <f>C104*Plan!D6/100/12</f>
        <v/>
      </c>
      <c r="E104">
        <f>MIN(Plan!E6,C104+D104)</f>
        <v/>
      </c>
      <c r="F104">
        <f>C104+D104-E104</f>
        <v/>
      </c>
      <c r="G104">
        <f>MIN(F104,MAX(0,$B104-((K$5&lt;E$5)*L104+(Q$5&lt;E$5)*R104+(W$5&lt;E$5)*X104+(AC$5&lt;E$5)*AD104+(AI$5&lt;E$5)*AJ104+(AO$5&lt;E$5)*AP104+(AU$5&lt;E$5)*AV104)))</f>
        <v/>
      </c>
      <c r="H104">
        <f>IF(F104-G104&lt;0.005,0,F104-G104)</f>
        <v/>
      </c>
      <c r="I104">
        <f>N103</f>
        <v/>
      </c>
      <c r="J104">
        <f>I104*Plan!D7/100/12</f>
        <v/>
      </c>
      <c r="K104">
        <f>MIN(Plan!E7,I104+J104)</f>
        <v/>
      </c>
      <c r="L104">
        <f>I104+J104-K104</f>
        <v/>
      </c>
      <c r="M104">
        <f>MIN(L104,MAX(0,$B104-((E$5&lt;K$5)*F104+(Q$5&lt;K$5)*R104+(W$5&lt;K$5)*X104+(AC$5&lt;K$5)*AD104+(AI$5&lt;K$5)*AJ104+(AO$5&lt;K$5)*AP104+(AU$5&lt;K$5)*AV104)))</f>
        <v/>
      </c>
      <c r="N104">
        <f>IF(L104-M104&lt;0.005,0,L104-M104)</f>
        <v/>
      </c>
      <c r="O104">
        <f>T103</f>
        <v/>
      </c>
      <c r="P104">
        <f>O104*Plan!D8/100/12</f>
        <v/>
      </c>
      <c r="Q104">
        <f>MIN(Plan!E8,O104+P104)</f>
        <v/>
      </c>
      <c r="R104">
        <f>O104+P104-Q104</f>
        <v/>
      </c>
      <c r="S104">
        <f>MIN(R104,MAX(0,$B104-((E$5&lt;Q$5)*F104+(K$5&lt;Q$5)*L104+(W$5&lt;Q$5)*X104+(AC$5&lt;Q$5)*AD104+(AI$5&lt;Q$5)*AJ104+(AO$5&lt;Q$5)*AP104+(AU$5&lt;Q$5)*AV104)))</f>
        <v/>
      </c>
      <c r="T104">
        <f>IF(R104-S104&lt;0.005,0,R104-S104)</f>
        <v/>
      </c>
      <c r="U104">
        <f>Z103</f>
        <v/>
      </c>
      <c r="V104">
        <f>U104*Plan!D9/100/12</f>
        <v/>
      </c>
      <c r="W104">
        <f>MIN(Plan!E9,U104+V104)</f>
        <v/>
      </c>
      <c r="X104">
        <f>U104+V104-W104</f>
        <v/>
      </c>
      <c r="Y104">
        <f>MIN(X104,MAX(0,$B104-((E$5&lt;W$5)*F104+(K$5&lt;W$5)*L104+(Q$5&lt;W$5)*R104+(AC$5&lt;W$5)*AD104+(AI$5&lt;W$5)*AJ104+(AO$5&lt;W$5)*AP104+(AU$5&lt;W$5)*AV104)))</f>
        <v/>
      </c>
      <c r="Z104">
        <f>IF(X104-Y104&lt;0.005,0,X104-Y104)</f>
        <v/>
      </c>
      <c r="AA104">
        <f>AF103</f>
        <v/>
      </c>
      <c r="AB104">
        <f>AA104*Plan!D10/100/12</f>
        <v/>
      </c>
      <c r="AC104">
        <f>MIN(Plan!E10,AA104+AB104)</f>
        <v/>
      </c>
      <c r="AD104">
        <f>AA104+AB104-AC104</f>
        <v/>
      </c>
      <c r="AE104">
        <f>MIN(AD104,MAX(0,$B104-((E$5&lt;AC$5)*F104+(K$5&lt;AC$5)*L104+(Q$5&lt;AC$5)*R104+(W$5&lt;AC$5)*X104+(AI$5&lt;AC$5)*AJ104+(AO$5&lt;AC$5)*AP104+(AU$5&lt;AC$5)*AV104)))</f>
        <v/>
      </c>
      <c r="AF104">
        <f>IF(AD104-AE104&lt;0.005,0,AD104-AE104)</f>
        <v/>
      </c>
      <c r="AG104">
        <f>AL103</f>
        <v/>
      </c>
      <c r="AH104">
        <f>AG104*Plan!D11/100/12</f>
        <v/>
      </c>
      <c r="AI104">
        <f>MIN(Plan!E11,AG104+AH104)</f>
        <v/>
      </c>
      <c r="AJ104">
        <f>AG104+AH104-AI104</f>
        <v/>
      </c>
      <c r="AK104">
        <f>MIN(AJ104,MAX(0,$B104-((E$5&lt;AI$5)*F104+(K$5&lt;AI$5)*L104+(Q$5&lt;AI$5)*R104+(W$5&lt;AI$5)*X104+(AC$5&lt;AI$5)*AD104+(AO$5&lt;AI$5)*AP104+(AU$5&lt;AI$5)*AV104)))</f>
        <v/>
      </c>
      <c r="AL104">
        <f>IF(AJ104-AK104&lt;0.005,0,AJ104-AK104)</f>
        <v/>
      </c>
      <c r="AM104">
        <f>AR103</f>
        <v/>
      </c>
      <c r="AN104">
        <f>AM104*Plan!D12/100/12</f>
        <v/>
      </c>
      <c r="AO104">
        <f>MIN(Plan!E12,AM104+AN104)</f>
        <v/>
      </c>
      <c r="AP104">
        <f>AM104+AN104-AO104</f>
        <v/>
      </c>
      <c r="AQ104">
        <f>MIN(AP104,MAX(0,$B104-((E$5&lt;AO$5)*F104+(K$5&lt;AO$5)*L104+(Q$5&lt;AO$5)*R104+(W$5&lt;AO$5)*X104+(AC$5&lt;AO$5)*AD104+(AI$5&lt;AO$5)*AJ104+(AU$5&lt;AO$5)*AV104)))</f>
        <v/>
      </c>
      <c r="AR104">
        <f>IF(AP104-AQ104&lt;0.005,0,AP104-AQ104)</f>
        <v/>
      </c>
      <c r="AS104">
        <f>AX103</f>
        <v/>
      </c>
      <c r="AT104">
        <f>AS104*Plan!D13/100/12</f>
        <v/>
      </c>
      <c r="AU104">
        <f>MIN(Plan!E13,AS104+AT104)</f>
        <v/>
      </c>
      <c r="AV104">
        <f>AS104+AT104-AU104</f>
        <v/>
      </c>
      <c r="AW104">
        <f>MIN(AV104,MAX(0,$B104-((E$5&lt;AU$5)*F104+(K$5&lt;AU$5)*L104+(Q$5&lt;AU$5)*R104+(W$5&lt;AU$5)*X104+(AC$5&lt;AU$5)*AD104+(AI$5&lt;AU$5)*AJ104+(AO$5&lt;AU$5)*AP104)))</f>
        <v/>
      </c>
      <c r="AX104">
        <f>IF(AV104-AW104&lt;0.005,0,AV104-AW104)</f>
        <v/>
      </c>
      <c r="BC104">
        <f>H104+N104+T104+Z104+AF104+AL104+AR104+AX104</f>
        <v/>
      </c>
    </row>
    <row r="105">
      <c r="A105" t="n">
        <v>99</v>
      </c>
      <c r="B105" s="19">
        <f>MAX(0,$B$3-(E105+K105+Q105+W105+AC105+AI105+AO105+AU105))</f>
        <v/>
      </c>
      <c r="C105">
        <f>H104</f>
        <v/>
      </c>
      <c r="D105">
        <f>C105*Plan!D6/100/12</f>
        <v/>
      </c>
      <c r="E105">
        <f>MIN(Plan!E6,C105+D105)</f>
        <v/>
      </c>
      <c r="F105">
        <f>C105+D105-E105</f>
        <v/>
      </c>
      <c r="G105">
        <f>MIN(F105,MAX(0,$B105-((K$5&lt;E$5)*L105+(Q$5&lt;E$5)*R105+(W$5&lt;E$5)*X105+(AC$5&lt;E$5)*AD105+(AI$5&lt;E$5)*AJ105+(AO$5&lt;E$5)*AP105+(AU$5&lt;E$5)*AV105)))</f>
        <v/>
      </c>
      <c r="H105">
        <f>IF(F105-G105&lt;0.005,0,F105-G105)</f>
        <v/>
      </c>
      <c r="I105">
        <f>N104</f>
        <v/>
      </c>
      <c r="J105">
        <f>I105*Plan!D7/100/12</f>
        <v/>
      </c>
      <c r="K105">
        <f>MIN(Plan!E7,I105+J105)</f>
        <v/>
      </c>
      <c r="L105">
        <f>I105+J105-K105</f>
        <v/>
      </c>
      <c r="M105">
        <f>MIN(L105,MAX(0,$B105-((E$5&lt;K$5)*F105+(Q$5&lt;K$5)*R105+(W$5&lt;K$5)*X105+(AC$5&lt;K$5)*AD105+(AI$5&lt;K$5)*AJ105+(AO$5&lt;K$5)*AP105+(AU$5&lt;K$5)*AV105)))</f>
        <v/>
      </c>
      <c r="N105">
        <f>IF(L105-M105&lt;0.005,0,L105-M105)</f>
        <v/>
      </c>
      <c r="O105">
        <f>T104</f>
        <v/>
      </c>
      <c r="P105">
        <f>O105*Plan!D8/100/12</f>
        <v/>
      </c>
      <c r="Q105">
        <f>MIN(Plan!E8,O105+P105)</f>
        <v/>
      </c>
      <c r="R105">
        <f>O105+P105-Q105</f>
        <v/>
      </c>
      <c r="S105">
        <f>MIN(R105,MAX(0,$B105-((E$5&lt;Q$5)*F105+(K$5&lt;Q$5)*L105+(W$5&lt;Q$5)*X105+(AC$5&lt;Q$5)*AD105+(AI$5&lt;Q$5)*AJ105+(AO$5&lt;Q$5)*AP105+(AU$5&lt;Q$5)*AV105)))</f>
        <v/>
      </c>
      <c r="T105">
        <f>IF(R105-S105&lt;0.005,0,R105-S105)</f>
        <v/>
      </c>
      <c r="U105">
        <f>Z104</f>
        <v/>
      </c>
      <c r="V105">
        <f>U105*Plan!D9/100/12</f>
        <v/>
      </c>
      <c r="W105">
        <f>MIN(Plan!E9,U105+V105)</f>
        <v/>
      </c>
      <c r="X105">
        <f>U105+V105-W105</f>
        <v/>
      </c>
      <c r="Y105">
        <f>MIN(X105,MAX(0,$B105-((E$5&lt;W$5)*F105+(K$5&lt;W$5)*L105+(Q$5&lt;W$5)*R105+(AC$5&lt;W$5)*AD105+(AI$5&lt;W$5)*AJ105+(AO$5&lt;W$5)*AP105+(AU$5&lt;W$5)*AV105)))</f>
        <v/>
      </c>
      <c r="Z105">
        <f>IF(X105-Y105&lt;0.005,0,X105-Y105)</f>
        <v/>
      </c>
      <c r="AA105">
        <f>AF104</f>
        <v/>
      </c>
      <c r="AB105">
        <f>AA105*Plan!D10/100/12</f>
        <v/>
      </c>
      <c r="AC105">
        <f>MIN(Plan!E10,AA105+AB105)</f>
        <v/>
      </c>
      <c r="AD105">
        <f>AA105+AB105-AC105</f>
        <v/>
      </c>
      <c r="AE105">
        <f>MIN(AD105,MAX(0,$B105-((E$5&lt;AC$5)*F105+(K$5&lt;AC$5)*L105+(Q$5&lt;AC$5)*R105+(W$5&lt;AC$5)*X105+(AI$5&lt;AC$5)*AJ105+(AO$5&lt;AC$5)*AP105+(AU$5&lt;AC$5)*AV105)))</f>
        <v/>
      </c>
      <c r="AF105">
        <f>IF(AD105-AE105&lt;0.005,0,AD105-AE105)</f>
        <v/>
      </c>
      <c r="AG105">
        <f>AL104</f>
        <v/>
      </c>
      <c r="AH105">
        <f>AG105*Plan!D11/100/12</f>
        <v/>
      </c>
      <c r="AI105">
        <f>MIN(Plan!E11,AG105+AH105)</f>
        <v/>
      </c>
      <c r="AJ105">
        <f>AG105+AH105-AI105</f>
        <v/>
      </c>
      <c r="AK105">
        <f>MIN(AJ105,MAX(0,$B105-((E$5&lt;AI$5)*F105+(K$5&lt;AI$5)*L105+(Q$5&lt;AI$5)*R105+(W$5&lt;AI$5)*X105+(AC$5&lt;AI$5)*AD105+(AO$5&lt;AI$5)*AP105+(AU$5&lt;AI$5)*AV105)))</f>
        <v/>
      </c>
      <c r="AL105">
        <f>IF(AJ105-AK105&lt;0.005,0,AJ105-AK105)</f>
        <v/>
      </c>
      <c r="AM105">
        <f>AR104</f>
        <v/>
      </c>
      <c r="AN105">
        <f>AM105*Plan!D12/100/12</f>
        <v/>
      </c>
      <c r="AO105">
        <f>MIN(Plan!E12,AM105+AN105)</f>
        <v/>
      </c>
      <c r="AP105">
        <f>AM105+AN105-AO105</f>
        <v/>
      </c>
      <c r="AQ105">
        <f>MIN(AP105,MAX(0,$B105-((E$5&lt;AO$5)*F105+(K$5&lt;AO$5)*L105+(Q$5&lt;AO$5)*R105+(W$5&lt;AO$5)*X105+(AC$5&lt;AO$5)*AD105+(AI$5&lt;AO$5)*AJ105+(AU$5&lt;AO$5)*AV105)))</f>
        <v/>
      </c>
      <c r="AR105">
        <f>IF(AP105-AQ105&lt;0.005,0,AP105-AQ105)</f>
        <v/>
      </c>
      <c r="AS105">
        <f>AX104</f>
        <v/>
      </c>
      <c r="AT105">
        <f>AS105*Plan!D13/100/12</f>
        <v/>
      </c>
      <c r="AU105">
        <f>MIN(Plan!E13,AS105+AT105)</f>
        <v/>
      </c>
      <c r="AV105">
        <f>AS105+AT105-AU105</f>
        <v/>
      </c>
      <c r="AW105">
        <f>MIN(AV105,MAX(0,$B105-((E$5&lt;AU$5)*F105+(K$5&lt;AU$5)*L105+(Q$5&lt;AU$5)*R105+(W$5&lt;AU$5)*X105+(AC$5&lt;AU$5)*AD105+(AI$5&lt;AU$5)*AJ105+(AO$5&lt;AU$5)*AP105)))</f>
        <v/>
      </c>
      <c r="AX105">
        <f>IF(AV105-AW105&lt;0.005,0,AV105-AW105)</f>
        <v/>
      </c>
      <c r="BC105">
        <f>H105+N105+T105+Z105+AF105+AL105+AR105+AX105</f>
        <v/>
      </c>
    </row>
    <row r="106">
      <c r="A106" t="n">
        <v>100</v>
      </c>
      <c r="B106" s="19">
        <f>MAX(0,$B$3-(E106+K106+Q106+W106+AC106+AI106+AO106+AU106))</f>
        <v/>
      </c>
      <c r="C106">
        <f>H105</f>
        <v/>
      </c>
      <c r="D106">
        <f>C106*Plan!D6/100/12</f>
        <v/>
      </c>
      <c r="E106">
        <f>MIN(Plan!E6,C106+D106)</f>
        <v/>
      </c>
      <c r="F106">
        <f>C106+D106-E106</f>
        <v/>
      </c>
      <c r="G106">
        <f>MIN(F106,MAX(0,$B106-((K$5&lt;E$5)*L106+(Q$5&lt;E$5)*R106+(W$5&lt;E$5)*X106+(AC$5&lt;E$5)*AD106+(AI$5&lt;E$5)*AJ106+(AO$5&lt;E$5)*AP106+(AU$5&lt;E$5)*AV106)))</f>
        <v/>
      </c>
      <c r="H106">
        <f>IF(F106-G106&lt;0.005,0,F106-G106)</f>
        <v/>
      </c>
      <c r="I106">
        <f>N105</f>
        <v/>
      </c>
      <c r="J106">
        <f>I106*Plan!D7/100/12</f>
        <v/>
      </c>
      <c r="K106">
        <f>MIN(Plan!E7,I106+J106)</f>
        <v/>
      </c>
      <c r="L106">
        <f>I106+J106-K106</f>
        <v/>
      </c>
      <c r="M106">
        <f>MIN(L106,MAX(0,$B106-((E$5&lt;K$5)*F106+(Q$5&lt;K$5)*R106+(W$5&lt;K$5)*X106+(AC$5&lt;K$5)*AD106+(AI$5&lt;K$5)*AJ106+(AO$5&lt;K$5)*AP106+(AU$5&lt;K$5)*AV106)))</f>
        <v/>
      </c>
      <c r="N106">
        <f>IF(L106-M106&lt;0.005,0,L106-M106)</f>
        <v/>
      </c>
      <c r="O106">
        <f>T105</f>
        <v/>
      </c>
      <c r="P106">
        <f>O106*Plan!D8/100/12</f>
        <v/>
      </c>
      <c r="Q106">
        <f>MIN(Plan!E8,O106+P106)</f>
        <v/>
      </c>
      <c r="R106">
        <f>O106+P106-Q106</f>
        <v/>
      </c>
      <c r="S106">
        <f>MIN(R106,MAX(0,$B106-((E$5&lt;Q$5)*F106+(K$5&lt;Q$5)*L106+(W$5&lt;Q$5)*X106+(AC$5&lt;Q$5)*AD106+(AI$5&lt;Q$5)*AJ106+(AO$5&lt;Q$5)*AP106+(AU$5&lt;Q$5)*AV106)))</f>
        <v/>
      </c>
      <c r="T106">
        <f>IF(R106-S106&lt;0.005,0,R106-S106)</f>
        <v/>
      </c>
      <c r="U106">
        <f>Z105</f>
        <v/>
      </c>
      <c r="V106">
        <f>U106*Plan!D9/100/12</f>
        <v/>
      </c>
      <c r="W106">
        <f>MIN(Plan!E9,U106+V106)</f>
        <v/>
      </c>
      <c r="X106">
        <f>U106+V106-W106</f>
        <v/>
      </c>
      <c r="Y106">
        <f>MIN(X106,MAX(0,$B106-((E$5&lt;W$5)*F106+(K$5&lt;W$5)*L106+(Q$5&lt;W$5)*R106+(AC$5&lt;W$5)*AD106+(AI$5&lt;W$5)*AJ106+(AO$5&lt;W$5)*AP106+(AU$5&lt;W$5)*AV106)))</f>
        <v/>
      </c>
      <c r="Z106">
        <f>IF(X106-Y106&lt;0.005,0,X106-Y106)</f>
        <v/>
      </c>
      <c r="AA106">
        <f>AF105</f>
        <v/>
      </c>
      <c r="AB106">
        <f>AA106*Plan!D10/100/12</f>
        <v/>
      </c>
      <c r="AC106">
        <f>MIN(Plan!E10,AA106+AB106)</f>
        <v/>
      </c>
      <c r="AD106">
        <f>AA106+AB106-AC106</f>
        <v/>
      </c>
      <c r="AE106">
        <f>MIN(AD106,MAX(0,$B106-((E$5&lt;AC$5)*F106+(K$5&lt;AC$5)*L106+(Q$5&lt;AC$5)*R106+(W$5&lt;AC$5)*X106+(AI$5&lt;AC$5)*AJ106+(AO$5&lt;AC$5)*AP106+(AU$5&lt;AC$5)*AV106)))</f>
        <v/>
      </c>
      <c r="AF106">
        <f>IF(AD106-AE106&lt;0.005,0,AD106-AE106)</f>
        <v/>
      </c>
      <c r="AG106">
        <f>AL105</f>
        <v/>
      </c>
      <c r="AH106">
        <f>AG106*Plan!D11/100/12</f>
        <v/>
      </c>
      <c r="AI106">
        <f>MIN(Plan!E11,AG106+AH106)</f>
        <v/>
      </c>
      <c r="AJ106">
        <f>AG106+AH106-AI106</f>
        <v/>
      </c>
      <c r="AK106">
        <f>MIN(AJ106,MAX(0,$B106-((E$5&lt;AI$5)*F106+(K$5&lt;AI$5)*L106+(Q$5&lt;AI$5)*R106+(W$5&lt;AI$5)*X106+(AC$5&lt;AI$5)*AD106+(AO$5&lt;AI$5)*AP106+(AU$5&lt;AI$5)*AV106)))</f>
        <v/>
      </c>
      <c r="AL106">
        <f>IF(AJ106-AK106&lt;0.005,0,AJ106-AK106)</f>
        <v/>
      </c>
      <c r="AM106">
        <f>AR105</f>
        <v/>
      </c>
      <c r="AN106">
        <f>AM106*Plan!D12/100/12</f>
        <v/>
      </c>
      <c r="AO106">
        <f>MIN(Plan!E12,AM106+AN106)</f>
        <v/>
      </c>
      <c r="AP106">
        <f>AM106+AN106-AO106</f>
        <v/>
      </c>
      <c r="AQ106">
        <f>MIN(AP106,MAX(0,$B106-((E$5&lt;AO$5)*F106+(K$5&lt;AO$5)*L106+(Q$5&lt;AO$5)*R106+(W$5&lt;AO$5)*X106+(AC$5&lt;AO$5)*AD106+(AI$5&lt;AO$5)*AJ106+(AU$5&lt;AO$5)*AV106)))</f>
        <v/>
      </c>
      <c r="AR106">
        <f>IF(AP106-AQ106&lt;0.005,0,AP106-AQ106)</f>
        <v/>
      </c>
      <c r="AS106">
        <f>AX105</f>
        <v/>
      </c>
      <c r="AT106">
        <f>AS106*Plan!D13/100/12</f>
        <v/>
      </c>
      <c r="AU106">
        <f>MIN(Plan!E13,AS106+AT106)</f>
        <v/>
      </c>
      <c r="AV106">
        <f>AS106+AT106-AU106</f>
        <v/>
      </c>
      <c r="AW106">
        <f>MIN(AV106,MAX(0,$B106-((E$5&lt;AU$5)*F106+(K$5&lt;AU$5)*L106+(Q$5&lt;AU$5)*R106+(W$5&lt;AU$5)*X106+(AC$5&lt;AU$5)*AD106+(AI$5&lt;AU$5)*AJ106+(AO$5&lt;AU$5)*AP106)))</f>
        <v/>
      </c>
      <c r="AX106">
        <f>IF(AV106-AW106&lt;0.005,0,AV106-AW106)</f>
        <v/>
      </c>
      <c r="BC106">
        <f>H106+N106+T106+Z106+AF106+AL106+AR106+AX106</f>
        <v/>
      </c>
    </row>
    <row r="107">
      <c r="A107" t="n">
        <v>101</v>
      </c>
      <c r="B107" s="19">
        <f>MAX(0,$B$3-(E107+K107+Q107+W107+AC107+AI107+AO107+AU107))</f>
        <v/>
      </c>
      <c r="C107">
        <f>H106</f>
        <v/>
      </c>
      <c r="D107">
        <f>C107*Plan!D6/100/12</f>
        <v/>
      </c>
      <c r="E107">
        <f>MIN(Plan!E6,C107+D107)</f>
        <v/>
      </c>
      <c r="F107">
        <f>C107+D107-E107</f>
        <v/>
      </c>
      <c r="G107">
        <f>MIN(F107,MAX(0,$B107-((K$5&lt;E$5)*L107+(Q$5&lt;E$5)*R107+(W$5&lt;E$5)*X107+(AC$5&lt;E$5)*AD107+(AI$5&lt;E$5)*AJ107+(AO$5&lt;E$5)*AP107+(AU$5&lt;E$5)*AV107)))</f>
        <v/>
      </c>
      <c r="H107">
        <f>IF(F107-G107&lt;0.005,0,F107-G107)</f>
        <v/>
      </c>
      <c r="I107">
        <f>N106</f>
        <v/>
      </c>
      <c r="J107">
        <f>I107*Plan!D7/100/12</f>
        <v/>
      </c>
      <c r="K107">
        <f>MIN(Plan!E7,I107+J107)</f>
        <v/>
      </c>
      <c r="L107">
        <f>I107+J107-K107</f>
        <v/>
      </c>
      <c r="M107">
        <f>MIN(L107,MAX(0,$B107-((E$5&lt;K$5)*F107+(Q$5&lt;K$5)*R107+(W$5&lt;K$5)*X107+(AC$5&lt;K$5)*AD107+(AI$5&lt;K$5)*AJ107+(AO$5&lt;K$5)*AP107+(AU$5&lt;K$5)*AV107)))</f>
        <v/>
      </c>
      <c r="N107">
        <f>IF(L107-M107&lt;0.005,0,L107-M107)</f>
        <v/>
      </c>
      <c r="O107">
        <f>T106</f>
        <v/>
      </c>
      <c r="P107">
        <f>O107*Plan!D8/100/12</f>
        <v/>
      </c>
      <c r="Q107">
        <f>MIN(Plan!E8,O107+P107)</f>
        <v/>
      </c>
      <c r="R107">
        <f>O107+P107-Q107</f>
        <v/>
      </c>
      <c r="S107">
        <f>MIN(R107,MAX(0,$B107-((E$5&lt;Q$5)*F107+(K$5&lt;Q$5)*L107+(W$5&lt;Q$5)*X107+(AC$5&lt;Q$5)*AD107+(AI$5&lt;Q$5)*AJ107+(AO$5&lt;Q$5)*AP107+(AU$5&lt;Q$5)*AV107)))</f>
        <v/>
      </c>
      <c r="T107">
        <f>IF(R107-S107&lt;0.005,0,R107-S107)</f>
        <v/>
      </c>
      <c r="U107">
        <f>Z106</f>
        <v/>
      </c>
      <c r="V107">
        <f>U107*Plan!D9/100/12</f>
        <v/>
      </c>
      <c r="W107">
        <f>MIN(Plan!E9,U107+V107)</f>
        <v/>
      </c>
      <c r="X107">
        <f>U107+V107-W107</f>
        <v/>
      </c>
      <c r="Y107">
        <f>MIN(X107,MAX(0,$B107-((E$5&lt;W$5)*F107+(K$5&lt;W$5)*L107+(Q$5&lt;W$5)*R107+(AC$5&lt;W$5)*AD107+(AI$5&lt;W$5)*AJ107+(AO$5&lt;W$5)*AP107+(AU$5&lt;W$5)*AV107)))</f>
        <v/>
      </c>
      <c r="Z107">
        <f>IF(X107-Y107&lt;0.005,0,X107-Y107)</f>
        <v/>
      </c>
      <c r="AA107">
        <f>AF106</f>
        <v/>
      </c>
      <c r="AB107">
        <f>AA107*Plan!D10/100/12</f>
        <v/>
      </c>
      <c r="AC107">
        <f>MIN(Plan!E10,AA107+AB107)</f>
        <v/>
      </c>
      <c r="AD107">
        <f>AA107+AB107-AC107</f>
        <v/>
      </c>
      <c r="AE107">
        <f>MIN(AD107,MAX(0,$B107-((E$5&lt;AC$5)*F107+(K$5&lt;AC$5)*L107+(Q$5&lt;AC$5)*R107+(W$5&lt;AC$5)*X107+(AI$5&lt;AC$5)*AJ107+(AO$5&lt;AC$5)*AP107+(AU$5&lt;AC$5)*AV107)))</f>
        <v/>
      </c>
      <c r="AF107">
        <f>IF(AD107-AE107&lt;0.005,0,AD107-AE107)</f>
        <v/>
      </c>
      <c r="AG107">
        <f>AL106</f>
        <v/>
      </c>
      <c r="AH107">
        <f>AG107*Plan!D11/100/12</f>
        <v/>
      </c>
      <c r="AI107">
        <f>MIN(Plan!E11,AG107+AH107)</f>
        <v/>
      </c>
      <c r="AJ107">
        <f>AG107+AH107-AI107</f>
        <v/>
      </c>
      <c r="AK107">
        <f>MIN(AJ107,MAX(0,$B107-((E$5&lt;AI$5)*F107+(K$5&lt;AI$5)*L107+(Q$5&lt;AI$5)*R107+(W$5&lt;AI$5)*X107+(AC$5&lt;AI$5)*AD107+(AO$5&lt;AI$5)*AP107+(AU$5&lt;AI$5)*AV107)))</f>
        <v/>
      </c>
      <c r="AL107">
        <f>IF(AJ107-AK107&lt;0.005,0,AJ107-AK107)</f>
        <v/>
      </c>
      <c r="AM107">
        <f>AR106</f>
        <v/>
      </c>
      <c r="AN107">
        <f>AM107*Plan!D12/100/12</f>
        <v/>
      </c>
      <c r="AO107">
        <f>MIN(Plan!E12,AM107+AN107)</f>
        <v/>
      </c>
      <c r="AP107">
        <f>AM107+AN107-AO107</f>
        <v/>
      </c>
      <c r="AQ107">
        <f>MIN(AP107,MAX(0,$B107-((E$5&lt;AO$5)*F107+(K$5&lt;AO$5)*L107+(Q$5&lt;AO$5)*R107+(W$5&lt;AO$5)*X107+(AC$5&lt;AO$5)*AD107+(AI$5&lt;AO$5)*AJ107+(AU$5&lt;AO$5)*AV107)))</f>
        <v/>
      </c>
      <c r="AR107">
        <f>IF(AP107-AQ107&lt;0.005,0,AP107-AQ107)</f>
        <v/>
      </c>
      <c r="AS107">
        <f>AX106</f>
        <v/>
      </c>
      <c r="AT107">
        <f>AS107*Plan!D13/100/12</f>
        <v/>
      </c>
      <c r="AU107">
        <f>MIN(Plan!E13,AS107+AT107)</f>
        <v/>
      </c>
      <c r="AV107">
        <f>AS107+AT107-AU107</f>
        <v/>
      </c>
      <c r="AW107">
        <f>MIN(AV107,MAX(0,$B107-((E$5&lt;AU$5)*F107+(K$5&lt;AU$5)*L107+(Q$5&lt;AU$5)*R107+(W$5&lt;AU$5)*X107+(AC$5&lt;AU$5)*AD107+(AI$5&lt;AU$5)*AJ107+(AO$5&lt;AU$5)*AP107)))</f>
        <v/>
      </c>
      <c r="AX107">
        <f>IF(AV107-AW107&lt;0.005,0,AV107-AW107)</f>
        <v/>
      </c>
      <c r="BC107">
        <f>H107+N107+T107+Z107+AF107+AL107+AR107+AX107</f>
        <v/>
      </c>
    </row>
    <row r="108">
      <c r="A108" t="n">
        <v>102</v>
      </c>
      <c r="B108" s="19">
        <f>MAX(0,$B$3-(E108+K108+Q108+W108+AC108+AI108+AO108+AU108))</f>
        <v/>
      </c>
      <c r="C108">
        <f>H107</f>
        <v/>
      </c>
      <c r="D108">
        <f>C108*Plan!D6/100/12</f>
        <v/>
      </c>
      <c r="E108">
        <f>MIN(Plan!E6,C108+D108)</f>
        <v/>
      </c>
      <c r="F108">
        <f>C108+D108-E108</f>
        <v/>
      </c>
      <c r="G108">
        <f>MIN(F108,MAX(0,$B108-((K$5&lt;E$5)*L108+(Q$5&lt;E$5)*R108+(W$5&lt;E$5)*X108+(AC$5&lt;E$5)*AD108+(AI$5&lt;E$5)*AJ108+(AO$5&lt;E$5)*AP108+(AU$5&lt;E$5)*AV108)))</f>
        <v/>
      </c>
      <c r="H108">
        <f>IF(F108-G108&lt;0.005,0,F108-G108)</f>
        <v/>
      </c>
      <c r="I108">
        <f>N107</f>
        <v/>
      </c>
      <c r="J108">
        <f>I108*Plan!D7/100/12</f>
        <v/>
      </c>
      <c r="K108">
        <f>MIN(Plan!E7,I108+J108)</f>
        <v/>
      </c>
      <c r="L108">
        <f>I108+J108-K108</f>
        <v/>
      </c>
      <c r="M108">
        <f>MIN(L108,MAX(0,$B108-((E$5&lt;K$5)*F108+(Q$5&lt;K$5)*R108+(W$5&lt;K$5)*X108+(AC$5&lt;K$5)*AD108+(AI$5&lt;K$5)*AJ108+(AO$5&lt;K$5)*AP108+(AU$5&lt;K$5)*AV108)))</f>
        <v/>
      </c>
      <c r="N108">
        <f>IF(L108-M108&lt;0.005,0,L108-M108)</f>
        <v/>
      </c>
      <c r="O108">
        <f>T107</f>
        <v/>
      </c>
      <c r="P108">
        <f>O108*Plan!D8/100/12</f>
        <v/>
      </c>
      <c r="Q108">
        <f>MIN(Plan!E8,O108+P108)</f>
        <v/>
      </c>
      <c r="R108">
        <f>O108+P108-Q108</f>
        <v/>
      </c>
      <c r="S108">
        <f>MIN(R108,MAX(0,$B108-((E$5&lt;Q$5)*F108+(K$5&lt;Q$5)*L108+(W$5&lt;Q$5)*X108+(AC$5&lt;Q$5)*AD108+(AI$5&lt;Q$5)*AJ108+(AO$5&lt;Q$5)*AP108+(AU$5&lt;Q$5)*AV108)))</f>
        <v/>
      </c>
      <c r="T108">
        <f>IF(R108-S108&lt;0.005,0,R108-S108)</f>
        <v/>
      </c>
      <c r="U108">
        <f>Z107</f>
        <v/>
      </c>
      <c r="V108">
        <f>U108*Plan!D9/100/12</f>
        <v/>
      </c>
      <c r="W108">
        <f>MIN(Plan!E9,U108+V108)</f>
        <v/>
      </c>
      <c r="X108">
        <f>U108+V108-W108</f>
        <v/>
      </c>
      <c r="Y108">
        <f>MIN(X108,MAX(0,$B108-((E$5&lt;W$5)*F108+(K$5&lt;W$5)*L108+(Q$5&lt;W$5)*R108+(AC$5&lt;W$5)*AD108+(AI$5&lt;W$5)*AJ108+(AO$5&lt;W$5)*AP108+(AU$5&lt;W$5)*AV108)))</f>
        <v/>
      </c>
      <c r="Z108">
        <f>IF(X108-Y108&lt;0.005,0,X108-Y108)</f>
        <v/>
      </c>
      <c r="AA108">
        <f>AF107</f>
        <v/>
      </c>
      <c r="AB108">
        <f>AA108*Plan!D10/100/12</f>
        <v/>
      </c>
      <c r="AC108">
        <f>MIN(Plan!E10,AA108+AB108)</f>
        <v/>
      </c>
      <c r="AD108">
        <f>AA108+AB108-AC108</f>
        <v/>
      </c>
      <c r="AE108">
        <f>MIN(AD108,MAX(0,$B108-((E$5&lt;AC$5)*F108+(K$5&lt;AC$5)*L108+(Q$5&lt;AC$5)*R108+(W$5&lt;AC$5)*X108+(AI$5&lt;AC$5)*AJ108+(AO$5&lt;AC$5)*AP108+(AU$5&lt;AC$5)*AV108)))</f>
        <v/>
      </c>
      <c r="AF108">
        <f>IF(AD108-AE108&lt;0.005,0,AD108-AE108)</f>
        <v/>
      </c>
      <c r="AG108">
        <f>AL107</f>
        <v/>
      </c>
      <c r="AH108">
        <f>AG108*Plan!D11/100/12</f>
        <v/>
      </c>
      <c r="AI108">
        <f>MIN(Plan!E11,AG108+AH108)</f>
        <v/>
      </c>
      <c r="AJ108">
        <f>AG108+AH108-AI108</f>
        <v/>
      </c>
      <c r="AK108">
        <f>MIN(AJ108,MAX(0,$B108-((E$5&lt;AI$5)*F108+(K$5&lt;AI$5)*L108+(Q$5&lt;AI$5)*R108+(W$5&lt;AI$5)*X108+(AC$5&lt;AI$5)*AD108+(AO$5&lt;AI$5)*AP108+(AU$5&lt;AI$5)*AV108)))</f>
        <v/>
      </c>
      <c r="AL108">
        <f>IF(AJ108-AK108&lt;0.005,0,AJ108-AK108)</f>
        <v/>
      </c>
      <c r="AM108">
        <f>AR107</f>
        <v/>
      </c>
      <c r="AN108">
        <f>AM108*Plan!D12/100/12</f>
        <v/>
      </c>
      <c r="AO108">
        <f>MIN(Plan!E12,AM108+AN108)</f>
        <v/>
      </c>
      <c r="AP108">
        <f>AM108+AN108-AO108</f>
        <v/>
      </c>
      <c r="AQ108">
        <f>MIN(AP108,MAX(0,$B108-((E$5&lt;AO$5)*F108+(K$5&lt;AO$5)*L108+(Q$5&lt;AO$5)*R108+(W$5&lt;AO$5)*X108+(AC$5&lt;AO$5)*AD108+(AI$5&lt;AO$5)*AJ108+(AU$5&lt;AO$5)*AV108)))</f>
        <v/>
      </c>
      <c r="AR108">
        <f>IF(AP108-AQ108&lt;0.005,0,AP108-AQ108)</f>
        <v/>
      </c>
      <c r="AS108">
        <f>AX107</f>
        <v/>
      </c>
      <c r="AT108">
        <f>AS108*Plan!D13/100/12</f>
        <v/>
      </c>
      <c r="AU108">
        <f>MIN(Plan!E13,AS108+AT108)</f>
        <v/>
      </c>
      <c r="AV108">
        <f>AS108+AT108-AU108</f>
        <v/>
      </c>
      <c r="AW108">
        <f>MIN(AV108,MAX(0,$B108-((E$5&lt;AU$5)*F108+(K$5&lt;AU$5)*L108+(Q$5&lt;AU$5)*R108+(W$5&lt;AU$5)*X108+(AC$5&lt;AU$5)*AD108+(AI$5&lt;AU$5)*AJ108+(AO$5&lt;AU$5)*AP108)))</f>
        <v/>
      </c>
      <c r="AX108">
        <f>IF(AV108-AW108&lt;0.005,0,AV108-AW108)</f>
        <v/>
      </c>
      <c r="BC108">
        <f>H108+N108+T108+Z108+AF108+AL108+AR108+AX108</f>
        <v/>
      </c>
    </row>
    <row r="109">
      <c r="A109" t="n">
        <v>103</v>
      </c>
      <c r="B109" s="19">
        <f>MAX(0,$B$3-(E109+K109+Q109+W109+AC109+AI109+AO109+AU109))</f>
        <v/>
      </c>
      <c r="C109">
        <f>H108</f>
        <v/>
      </c>
      <c r="D109">
        <f>C109*Plan!D6/100/12</f>
        <v/>
      </c>
      <c r="E109">
        <f>MIN(Plan!E6,C109+D109)</f>
        <v/>
      </c>
      <c r="F109">
        <f>C109+D109-E109</f>
        <v/>
      </c>
      <c r="G109">
        <f>MIN(F109,MAX(0,$B109-((K$5&lt;E$5)*L109+(Q$5&lt;E$5)*R109+(W$5&lt;E$5)*X109+(AC$5&lt;E$5)*AD109+(AI$5&lt;E$5)*AJ109+(AO$5&lt;E$5)*AP109+(AU$5&lt;E$5)*AV109)))</f>
        <v/>
      </c>
      <c r="H109">
        <f>IF(F109-G109&lt;0.005,0,F109-G109)</f>
        <v/>
      </c>
      <c r="I109">
        <f>N108</f>
        <v/>
      </c>
      <c r="J109">
        <f>I109*Plan!D7/100/12</f>
        <v/>
      </c>
      <c r="K109">
        <f>MIN(Plan!E7,I109+J109)</f>
        <v/>
      </c>
      <c r="L109">
        <f>I109+J109-K109</f>
        <v/>
      </c>
      <c r="M109">
        <f>MIN(L109,MAX(0,$B109-((E$5&lt;K$5)*F109+(Q$5&lt;K$5)*R109+(W$5&lt;K$5)*X109+(AC$5&lt;K$5)*AD109+(AI$5&lt;K$5)*AJ109+(AO$5&lt;K$5)*AP109+(AU$5&lt;K$5)*AV109)))</f>
        <v/>
      </c>
      <c r="N109">
        <f>IF(L109-M109&lt;0.005,0,L109-M109)</f>
        <v/>
      </c>
      <c r="O109">
        <f>T108</f>
        <v/>
      </c>
      <c r="P109">
        <f>O109*Plan!D8/100/12</f>
        <v/>
      </c>
      <c r="Q109">
        <f>MIN(Plan!E8,O109+P109)</f>
        <v/>
      </c>
      <c r="R109">
        <f>O109+P109-Q109</f>
        <v/>
      </c>
      <c r="S109">
        <f>MIN(R109,MAX(0,$B109-((E$5&lt;Q$5)*F109+(K$5&lt;Q$5)*L109+(W$5&lt;Q$5)*X109+(AC$5&lt;Q$5)*AD109+(AI$5&lt;Q$5)*AJ109+(AO$5&lt;Q$5)*AP109+(AU$5&lt;Q$5)*AV109)))</f>
        <v/>
      </c>
      <c r="T109">
        <f>IF(R109-S109&lt;0.005,0,R109-S109)</f>
        <v/>
      </c>
      <c r="U109">
        <f>Z108</f>
        <v/>
      </c>
      <c r="V109">
        <f>U109*Plan!D9/100/12</f>
        <v/>
      </c>
      <c r="W109">
        <f>MIN(Plan!E9,U109+V109)</f>
        <v/>
      </c>
      <c r="X109">
        <f>U109+V109-W109</f>
        <v/>
      </c>
      <c r="Y109">
        <f>MIN(X109,MAX(0,$B109-((E$5&lt;W$5)*F109+(K$5&lt;W$5)*L109+(Q$5&lt;W$5)*R109+(AC$5&lt;W$5)*AD109+(AI$5&lt;W$5)*AJ109+(AO$5&lt;W$5)*AP109+(AU$5&lt;W$5)*AV109)))</f>
        <v/>
      </c>
      <c r="Z109">
        <f>IF(X109-Y109&lt;0.005,0,X109-Y109)</f>
        <v/>
      </c>
      <c r="AA109">
        <f>AF108</f>
        <v/>
      </c>
      <c r="AB109">
        <f>AA109*Plan!D10/100/12</f>
        <v/>
      </c>
      <c r="AC109">
        <f>MIN(Plan!E10,AA109+AB109)</f>
        <v/>
      </c>
      <c r="AD109">
        <f>AA109+AB109-AC109</f>
        <v/>
      </c>
      <c r="AE109">
        <f>MIN(AD109,MAX(0,$B109-((E$5&lt;AC$5)*F109+(K$5&lt;AC$5)*L109+(Q$5&lt;AC$5)*R109+(W$5&lt;AC$5)*X109+(AI$5&lt;AC$5)*AJ109+(AO$5&lt;AC$5)*AP109+(AU$5&lt;AC$5)*AV109)))</f>
        <v/>
      </c>
      <c r="AF109">
        <f>IF(AD109-AE109&lt;0.005,0,AD109-AE109)</f>
        <v/>
      </c>
      <c r="AG109">
        <f>AL108</f>
        <v/>
      </c>
      <c r="AH109">
        <f>AG109*Plan!D11/100/12</f>
        <v/>
      </c>
      <c r="AI109">
        <f>MIN(Plan!E11,AG109+AH109)</f>
        <v/>
      </c>
      <c r="AJ109">
        <f>AG109+AH109-AI109</f>
        <v/>
      </c>
      <c r="AK109">
        <f>MIN(AJ109,MAX(0,$B109-((E$5&lt;AI$5)*F109+(K$5&lt;AI$5)*L109+(Q$5&lt;AI$5)*R109+(W$5&lt;AI$5)*X109+(AC$5&lt;AI$5)*AD109+(AO$5&lt;AI$5)*AP109+(AU$5&lt;AI$5)*AV109)))</f>
        <v/>
      </c>
      <c r="AL109">
        <f>IF(AJ109-AK109&lt;0.005,0,AJ109-AK109)</f>
        <v/>
      </c>
      <c r="AM109">
        <f>AR108</f>
        <v/>
      </c>
      <c r="AN109">
        <f>AM109*Plan!D12/100/12</f>
        <v/>
      </c>
      <c r="AO109">
        <f>MIN(Plan!E12,AM109+AN109)</f>
        <v/>
      </c>
      <c r="AP109">
        <f>AM109+AN109-AO109</f>
        <v/>
      </c>
      <c r="AQ109">
        <f>MIN(AP109,MAX(0,$B109-((E$5&lt;AO$5)*F109+(K$5&lt;AO$5)*L109+(Q$5&lt;AO$5)*R109+(W$5&lt;AO$5)*X109+(AC$5&lt;AO$5)*AD109+(AI$5&lt;AO$5)*AJ109+(AU$5&lt;AO$5)*AV109)))</f>
        <v/>
      </c>
      <c r="AR109">
        <f>IF(AP109-AQ109&lt;0.005,0,AP109-AQ109)</f>
        <v/>
      </c>
      <c r="AS109">
        <f>AX108</f>
        <v/>
      </c>
      <c r="AT109">
        <f>AS109*Plan!D13/100/12</f>
        <v/>
      </c>
      <c r="AU109">
        <f>MIN(Plan!E13,AS109+AT109)</f>
        <v/>
      </c>
      <c r="AV109">
        <f>AS109+AT109-AU109</f>
        <v/>
      </c>
      <c r="AW109">
        <f>MIN(AV109,MAX(0,$B109-((E$5&lt;AU$5)*F109+(K$5&lt;AU$5)*L109+(Q$5&lt;AU$5)*R109+(W$5&lt;AU$5)*X109+(AC$5&lt;AU$5)*AD109+(AI$5&lt;AU$5)*AJ109+(AO$5&lt;AU$5)*AP109)))</f>
        <v/>
      </c>
      <c r="AX109">
        <f>IF(AV109-AW109&lt;0.005,0,AV109-AW109)</f>
        <v/>
      </c>
      <c r="BC109">
        <f>H109+N109+T109+Z109+AF109+AL109+AR109+AX109</f>
        <v/>
      </c>
    </row>
    <row r="110">
      <c r="A110" t="n">
        <v>104</v>
      </c>
      <c r="B110" s="19">
        <f>MAX(0,$B$3-(E110+K110+Q110+W110+AC110+AI110+AO110+AU110))</f>
        <v/>
      </c>
      <c r="C110">
        <f>H109</f>
        <v/>
      </c>
      <c r="D110">
        <f>C110*Plan!D6/100/12</f>
        <v/>
      </c>
      <c r="E110">
        <f>MIN(Plan!E6,C110+D110)</f>
        <v/>
      </c>
      <c r="F110">
        <f>C110+D110-E110</f>
        <v/>
      </c>
      <c r="G110">
        <f>MIN(F110,MAX(0,$B110-((K$5&lt;E$5)*L110+(Q$5&lt;E$5)*R110+(W$5&lt;E$5)*X110+(AC$5&lt;E$5)*AD110+(AI$5&lt;E$5)*AJ110+(AO$5&lt;E$5)*AP110+(AU$5&lt;E$5)*AV110)))</f>
        <v/>
      </c>
      <c r="H110">
        <f>IF(F110-G110&lt;0.005,0,F110-G110)</f>
        <v/>
      </c>
      <c r="I110">
        <f>N109</f>
        <v/>
      </c>
      <c r="J110">
        <f>I110*Plan!D7/100/12</f>
        <v/>
      </c>
      <c r="K110">
        <f>MIN(Plan!E7,I110+J110)</f>
        <v/>
      </c>
      <c r="L110">
        <f>I110+J110-K110</f>
        <v/>
      </c>
      <c r="M110">
        <f>MIN(L110,MAX(0,$B110-((E$5&lt;K$5)*F110+(Q$5&lt;K$5)*R110+(W$5&lt;K$5)*X110+(AC$5&lt;K$5)*AD110+(AI$5&lt;K$5)*AJ110+(AO$5&lt;K$5)*AP110+(AU$5&lt;K$5)*AV110)))</f>
        <v/>
      </c>
      <c r="N110">
        <f>IF(L110-M110&lt;0.005,0,L110-M110)</f>
        <v/>
      </c>
      <c r="O110">
        <f>T109</f>
        <v/>
      </c>
      <c r="P110">
        <f>O110*Plan!D8/100/12</f>
        <v/>
      </c>
      <c r="Q110">
        <f>MIN(Plan!E8,O110+P110)</f>
        <v/>
      </c>
      <c r="R110">
        <f>O110+P110-Q110</f>
        <v/>
      </c>
      <c r="S110">
        <f>MIN(R110,MAX(0,$B110-((E$5&lt;Q$5)*F110+(K$5&lt;Q$5)*L110+(W$5&lt;Q$5)*X110+(AC$5&lt;Q$5)*AD110+(AI$5&lt;Q$5)*AJ110+(AO$5&lt;Q$5)*AP110+(AU$5&lt;Q$5)*AV110)))</f>
        <v/>
      </c>
      <c r="T110">
        <f>IF(R110-S110&lt;0.005,0,R110-S110)</f>
        <v/>
      </c>
      <c r="U110">
        <f>Z109</f>
        <v/>
      </c>
      <c r="V110">
        <f>U110*Plan!D9/100/12</f>
        <v/>
      </c>
      <c r="W110">
        <f>MIN(Plan!E9,U110+V110)</f>
        <v/>
      </c>
      <c r="X110">
        <f>U110+V110-W110</f>
        <v/>
      </c>
      <c r="Y110">
        <f>MIN(X110,MAX(0,$B110-((E$5&lt;W$5)*F110+(K$5&lt;W$5)*L110+(Q$5&lt;W$5)*R110+(AC$5&lt;W$5)*AD110+(AI$5&lt;W$5)*AJ110+(AO$5&lt;W$5)*AP110+(AU$5&lt;W$5)*AV110)))</f>
        <v/>
      </c>
      <c r="Z110">
        <f>IF(X110-Y110&lt;0.005,0,X110-Y110)</f>
        <v/>
      </c>
      <c r="AA110">
        <f>AF109</f>
        <v/>
      </c>
      <c r="AB110">
        <f>AA110*Plan!D10/100/12</f>
        <v/>
      </c>
      <c r="AC110">
        <f>MIN(Plan!E10,AA110+AB110)</f>
        <v/>
      </c>
      <c r="AD110">
        <f>AA110+AB110-AC110</f>
        <v/>
      </c>
      <c r="AE110">
        <f>MIN(AD110,MAX(0,$B110-((E$5&lt;AC$5)*F110+(K$5&lt;AC$5)*L110+(Q$5&lt;AC$5)*R110+(W$5&lt;AC$5)*X110+(AI$5&lt;AC$5)*AJ110+(AO$5&lt;AC$5)*AP110+(AU$5&lt;AC$5)*AV110)))</f>
        <v/>
      </c>
      <c r="AF110">
        <f>IF(AD110-AE110&lt;0.005,0,AD110-AE110)</f>
        <v/>
      </c>
      <c r="AG110">
        <f>AL109</f>
        <v/>
      </c>
      <c r="AH110">
        <f>AG110*Plan!D11/100/12</f>
        <v/>
      </c>
      <c r="AI110">
        <f>MIN(Plan!E11,AG110+AH110)</f>
        <v/>
      </c>
      <c r="AJ110">
        <f>AG110+AH110-AI110</f>
        <v/>
      </c>
      <c r="AK110">
        <f>MIN(AJ110,MAX(0,$B110-((E$5&lt;AI$5)*F110+(K$5&lt;AI$5)*L110+(Q$5&lt;AI$5)*R110+(W$5&lt;AI$5)*X110+(AC$5&lt;AI$5)*AD110+(AO$5&lt;AI$5)*AP110+(AU$5&lt;AI$5)*AV110)))</f>
        <v/>
      </c>
      <c r="AL110">
        <f>IF(AJ110-AK110&lt;0.005,0,AJ110-AK110)</f>
        <v/>
      </c>
      <c r="AM110">
        <f>AR109</f>
        <v/>
      </c>
      <c r="AN110">
        <f>AM110*Plan!D12/100/12</f>
        <v/>
      </c>
      <c r="AO110">
        <f>MIN(Plan!E12,AM110+AN110)</f>
        <v/>
      </c>
      <c r="AP110">
        <f>AM110+AN110-AO110</f>
        <v/>
      </c>
      <c r="AQ110">
        <f>MIN(AP110,MAX(0,$B110-((E$5&lt;AO$5)*F110+(K$5&lt;AO$5)*L110+(Q$5&lt;AO$5)*R110+(W$5&lt;AO$5)*X110+(AC$5&lt;AO$5)*AD110+(AI$5&lt;AO$5)*AJ110+(AU$5&lt;AO$5)*AV110)))</f>
        <v/>
      </c>
      <c r="AR110">
        <f>IF(AP110-AQ110&lt;0.005,0,AP110-AQ110)</f>
        <v/>
      </c>
      <c r="AS110">
        <f>AX109</f>
        <v/>
      </c>
      <c r="AT110">
        <f>AS110*Plan!D13/100/12</f>
        <v/>
      </c>
      <c r="AU110">
        <f>MIN(Plan!E13,AS110+AT110)</f>
        <v/>
      </c>
      <c r="AV110">
        <f>AS110+AT110-AU110</f>
        <v/>
      </c>
      <c r="AW110">
        <f>MIN(AV110,MAX(0,$B110-((E$5&lt;AU$5)*F110+(K$5&lt;AU$5)*L110+(Q$5&lt;AU$5)*R110+(W$5&lt;AU$5)*X110+(AC$5&lt;AU$5)*AD110+(AI$5&lt;AU$5)*AJ110+(AO$5&lt;AU$5)*AP110)))</f>
        <v/>
      </c>
      <c r="AX110">
        <f>IF(AV110-AW110&lt;0.005,0,AV110-AW110)</f>
        <v/>
      </c>
      <c r="BC110">
        <f>H110+N110+T110+Z110+AF110+AL110+AR110+AX110</f>
        <v/>
      </c>
    </row>
    <row r="111">
      <c r="A111" t="n">
        <v>105</v>
      </c>
      <c r="B111" s="19">
        <f>MAX(0,$B$3-(E111+K111+Q111+W111+AC111+AI111+AO111+AU111))</f>
        <v/>
      </c>
      <c r="C111">
        <f>H110</f>
        <v/>
      </c>
      <c r="D111">
        <f>C111*Plan!D6/100/12</f>
        <v/>
      </c>
      <c r="E111">
        <f>MIN(Plan!E6,C111+D111)</f>
        <v/>
      </c>
      <c r="F111">
        <f>C111+D111-E111</f>
        <v/>
      </c>
      <c r="G111">
        <f>MIN(F111,MAX(0,$B111-((K$5&lt;E$5)*L111+(Q$5&lt;E$5)*R111+(W$5&lt;E$5)*X111+(AC$5&lt;E$5)*AD111+(AI$5&lt;E$5)*AJ111+(AO$5&lt;E$5)*AP111+(AU$5&lt;E$5)*AV111)))</f>
        <v/>
      </c>
      <c r="H111">
        <f>IF(F111-G111&lt;0.005,0,F111-G111)</f>
        <v/>
      </c>
      <c r="I111">
        <f>N110</f>
        <v/>
      </c>
      <c r="J111">
        <f>I111*Plan!D7/100/12</f>
        <v/>
      </c>
      <c r="K111">
        <f>MIN(Plan!E7,I111+J111)</f>
        <v/>
      </c>
      <c r="L111">
        <f>I111+J111-K111</f>
        <v/>
      </c>
      <c r="M111">
        <f>MIN(L111,MAX(0,$B111-((E$5&lt;K$5)*F111+(Q$5&lt;K$5)*R111+(W$5&lt;K$5)*X111+(AC$5&lt;K$5)*AD111+(AI$5&lt;K$5)*AJ111+(AO$5&lt;K$5)*AP111+(AU$5&lt;K$5)*AV111)))</f>
        <v/>
      </c>
      <c r="N111">
        <f>IF(L111-M111&lt;0.005,0,L111-M111)</f>
        <v/>
      </c>
      <c r="O111">
        <f>T110</f>
        <v/>
      </c>
      <c r="P111">
        <f>O111*Plan!D8/100/12</f>
        <v/>
      </c>
      <c r="Q111">
        <f>MIN(Plan!E8,O111+P111)</f>
        <v/>
      </c>
      <c r="R111">
        <f>O111+P111-Q111</f>
        <v/>
      </c>
      <c r="S111">
        <f>MIN(R111,MAX(0,$B111-((E$5&lt;Q$5)*F111+(K$5&lt;Q$5)*L111+(W$5&lt;Q$5)*X111+(AC$5&lt;Q$5)*AD111+(AI$5&lt;Q$5)*AJ111+(AO$5&lt;Q$5)*AP111+(AU$5&lt;Q$5)*AV111)))</f>
        <v/>
      </c>
      <c r="T111">
        <f>IF(R111-S111&lt;0.005,0,R111-S111)</f>
        <v/>
      </c>
      <c r="U111">
        <f>Z110</f>
        <v/>
      </c>
      <c r="V111">
        <f>U111*Plan!D9/100/12</f>
        <v/>
      </c>
      <c r="W111">
        <f>MIN(Plan!E9,U111+V111)</f>
        <v/>
      </c>
      <c r="X111">
        <f>U111+V111-W111</f>
        <v/>
      </c>
      <c r="Y111">
        <f>MIN(X111,MAX(0,$B111-((E$5&lt;W$5)*F111+(K$5&lt;W$5)*L111+(Q$5&lt;W$5)*R111+(AC$5&lt;W$5)*AD111+(AI$5&lt;W$5)*AJ111+(AO$5&lt;W$5)*AP111+(AU$5&lt;W$5)*AV111)))</f>
        <v/>
      </c>
      <c r="Z111">
        <f>IF(X111-Y111&lt;0.005,0,X111-Y111)</f>
        <v/>
      </c>
      <c r="AA111">
        <f>AF110</f>
        <v/>
      </c>
      <c r="AB111">
        <f>AA111*Plan!D10/100/12</f>
        <v/>
      </c>
      <c r="AC111">
        <f>MIN(Plan!E10,AA111+AB111)</f>
        <v/>
      </c>
      <c r="AD111">
        <f>AA111+AB111-AC111</f>
        <v/>
      </c>
      <c r="AE111">
        <f>MIN(AD111,MAX(0,$B111-((E$5&lt;AC$5)*F111+(K$5&lt;AC$5)*L111+(Q$5&lt;AC$5)*R111+(W$5&lt;AC$5)*X111+(AI$5&lt;AC$5)*AJ111+(AO$5&lt;AC$5)*AP111+(AU$5&lt;AC$5)*AV111)))</f>
        <v/>
      </c>
      <c r="AF111">
        <f>IF(AD111-AE111&lt;0.005,0,AD111-AE111)</f>
        <v/>
      </c>
      <c r="AG111">
        <f>AL110</f>
        <v/>
      </c>
      <c r="AH111">
        <f>AG111*Plan!D11/100/12</f>
        <v/>
      </c>
      <c r="AI111">
        <f>MIN(Plan!E11,AG111+AH111)</f>
        <v/>
      </c>
      <c r="AJ111">
        <f>AG111+AH111-AI111</f>
        <v/>
      </c>
      <c r="AK111">
        <f>MIN(AJ111,MAX(0,$B111-((E$5&lt;AI$5)*F111+(K$5&lt;AI$5)*L111+(Q$5&lt;AI$5)*R111+(W$5&lt;AI$5)*X111+(AC$5&lt;AI$5)*AD111+(AO$5&lt;AI$5)*AP111+(AU$5&lt;AI$5)*AV111)))</f>
        <v/>
      </c>
      <c r="AL111">
        <f>IF(AJ111-AK111&lt;0.005,0,AJ111-AK111)</f>
        <v/>
      </c>
      <c r="AM111">
        <f>AR110</f>
        <v/>
      </c>
      <c r="AN111">
        <f>AM111*Plan!D12/100/12</f>
        <v/>
      </c>
      <c r="AO111">
        <f>MIN(Plan!E12,AM111+AN111)</f>
        <v/>
      </c>
      <c r="AP111">
        <f>AM111+AN111-AO111</f>
        <v/>
      </c>
      <c r="AQ111">
        <f>MIN(AP111,MAX(0,$B111-((E$5&lt;AO$5)*F111+(K$5&lt;AO$5)*L111+(Q$5&lt;AO$5)*R111+(W$5&lt;AO$5)*X111+(AC$5&lt;AO$5)*AD111+(AI$5&lt;AO$5)*AJ111+(AU$5&lt;AO$5)*AV111)))</f>
        <v/>
      </c>
      <c r="AR111">
        <f>IF(AP111-AQ111&lt;0.005,0,AP111-AQ111)</f>
        <v/>
      </c>
      <c r="AS111">
        <f>AX110</f>
        <v/>
      </c>
      <c r="AT111">
        <f>AS111*Plan!D13/100/12</f>
        <v/>
      </c>
      <c r="AU111">
        <f>MIN(Plan!E13,AS111+AT111)</f>
        <v/>
      </c>
      <c r="AV111">
        <f>AS111+AT111-AU111</f>
        <v/>
      </c>
      <c r="AW111">
        <f>MIN(AV111,MAX(0,$B111-((E$5&lt;AU$5)*F111+(K$5&lt;AU$5)*L111+(Q$5&lt;AU$5)*R111+(W$5&lt;AU$5)*X111+(AC$5&lt;AU$5)*AD111+(AI$5&lt;AU$5)*AJ111+(AO$5&lt;AU$5)*AP111)))</f>
        <v/>
      </c>
      <c r="AX111">
        <f>IF(AV111-AW111&lt;0.005,0,AV111-AW111)</f>
        <v/>
      </c>
      <c r="BC111">
        <f>H111+N111+T111+Z111+AF111+AL111+AR111+AX111</f>
        <v/>
      </c>
    </row>
    <row r="112">
      <c r="A112" t="n">
        <v>106</v>
      </c>
      <c r="B112" s="19">
        <f>MAX(0,$B$3-(E112+K112+Q112+W112+AC112+AI112+AO112+AU112))</f>
        <v/>
      </c>
      <c r="C112">
        <f>H111</f>
        <v/>
      </c>
      <c r="D112">
        <f>C112*Plan!D6/100/12</f>
        <v/>
      </c>
      <c r="E112">
        <f>MIN(Plan!E6,C112+D112)</f>
        <v/>
      </c>
      <c r="F112">
        <f>C112+D112-E112</f>
        <v/>
      </c>
      <c r="G112">
        <f>MIN(F112,MAX(0,$B112-((K$5&lt;E$5)*L112+(Q$5&lt;E$5)*R112+(W$5&lt;E$5)*X112+(AC$5&lt;E$5)*AD112+(AI$5&lt;E$5)*AJ112+(AO$5&lt;E$5)*AP112+(AU$5&lt;E$5)*AV112)))</f>
        <v/>
      </c>
      <c r="H112">
        <f>IF(F112-G112&lt;0.005,0,F112-G112)</f>
        <v/>
      </c>
      <c r="I112">
        <f>N111</f>
        <v/>
      </c>
      <c r="J112">
        <f>I112*Plan!D7/100/12</f>
        <v/>
      </c>
      <c r="K112">
        <f>MIN(Plan!E7,I112+J112)</f>
        <v/>
      </c>
      <c r="L112">
        <f>I112+J112-K112</f>
        <v/>
      </c>
      <c r="M112">
        <f>MIN(L112,MAX(0,$B112-((E$5&lt;K$5)*F112+(Q$5&lt;K$5)*R112+(W$5&lt;K$5)*X112+(AC$5&lt;K$5)*AD112+(AI$5&lt;K$5)*AJ112+(AO$5&lt;K$5)*AP112+(AU$5&lt;K$5)*AV112)))</f>
        <v/>
      </c>
      <c r="N112">
        <f>IF(L112-M112&lt;0.005,0,L112-M112)</f>
        <v/>
      </c>
      <c r="O112">
        <f>T111</f>
        <v/>
      </c>
      <c r="P112">
        <f>O112*Plan!D8/100/12</f>
        <v/>
      </c>
      <c r="Q112">
        <f>MIN(Plan!E8,O112+P112)</f>
        <v/>
      </c>
      <c r="R112">
        <f>O112+P112-Q112</f>
        <v/>
      </c>
      <c r="S112">
        <f>MIN(R112,MAX(0,$B112-((E$5&lt;Q$5)*F112+(K$5&lt;Q$5)*L112+(W$5&lt;Q$5)*X112+(AC$5&lt;Q$5)*AD112+(AI$5&lt;Q$5)*AJ112+(AO$5&lt;Q$5)*AP112+(AU$5&lt;Q$5)*AV112)))</f>
        <v/>
      </c>
      <c r="T112">
        <f>IF(R112-S112&lt;0.005,0,R112-S112)</f>
        <v/>
      </c>
      <c r="U112">
        <f>Z111</f>
        <v/>
      </c>
      <c r="V112">
        <f>U112*Plan!D9/100/12</f>
        <v/>
      </c>
      <c r="W112">
        <f>MIN(Plan!E9,U112+V112)</f>
        <v/>
      </c>
      <c r="X112">
        <f>U112+V112-W112</f>
        <v/>
      </c>
      <c r="Y112">
        <f>MIN(X112,MAX(0,$B112-((E$5&lt;W$5)*F112+(K$5&lt;W$5)*L112+(Q$5&lt;W$5)*R112+(AC$5&lt;W$5)*AD112+(AI$5&lt;W$5)*AJ112+(AO$5&lt;W$5)*AP112+(AU$5&lt;W$5)*AV112)))</f>
        <v/>
      </c>
      <c r="Z112">
        <f>IF(X112-Y112&lt;0.005,0,X112-Y112)</f>
        <v/>
      </c>
      <c r="AA112">
        <f>AF111</f>
        <v/>
      </c>
      <c r="AB112">
        <f>AA112*Plan!D10/100/12</f>
        <v/>
      </c>
      <c r="AC112">
        <f>MIN(Plan!E10,AA112+AB112)</f>
        <v/>
      </c>
      <c r="AD112">
        <f>AA112+AB112-AC112</f>
        <v/>
      </c>
      <c r="AE112">
        <f>MIN(AD112,MAX(0,$B112-((E$5&lt;AC$5)*F112+(K$5&lt;AC$5)*L112+(Q$5&lt;AC$5)*R112+(W$5&lt;AC$5)*X112+(AI$5&lt;AC$5)*AJ112+(AO$5&lt;AC$5)*AP112+(AU$5&lt;AC$5)*AV112)))</f>
        <v/>
      </c>
      <c r="AF112">
        <f>IF(AD112-AE112&lt;0.005,0,AD112-AE112)</f>
        <v/>
      </c>
      <c r="AG112">
        <f>AL111</f>
        <v/>
      </c>
      <c r="AH112">
        <f>AG112*Plan!D11/100/12</f>
        <v/>
      </c>
      <c r="AI112">
        <f>MIN(Plan!E11,AG112+AH112)</f>
        <v/>
      </c>
      <c r="AJ112">
        <f>AG112+AH112-AI112</f>
        <v/>
      </c>
      <c r="AK112">
        <f>MIN(AJ112,MAX(0,$B112-((E$5&lt;AI$5)*F112+(K$5&lt;AI$5)*L112+(Q$5&lt;AI$5)*R112+(W$5&lt;AI$5)*X112+(AC$5&lt;AI$5)*AD112+(AO$5&lt;AI$5)*AP112+(AU$5&lt;AI$5)*AV112)))</f>
        <v/>
      </c>
      <c r="AL112">
        <f>IF(AJ112-AK112&lt;0.005,0,AJ112-AK112)</f>
        <v/>
      </c>
      <c r="AM112">
        <f>AR111</f>
        <v/>
      </c>
      <c r="AN112">
        <f>AM112*Plan!D12/100/12</f>
        <v/>
      </c>
      <c r="AO112">
        <f>MIN(Plan!E12,AM112+AN112)</f>
        <v/>
      </c>
      <c r="AP112">
        <f>AM112+AN112-AO112</f>
        <v/>
      </c>
      <c r="AQ112">
        <f>MIN(AP112,MAX(0,$B112-((E$5&lt;AO$5)*F112+(K$5&lt;AO$5)*L112+(Q$5&lt;AO$5)*R112+(W$5&lt;AO$5)*X112+(AC$5&lt;AO$5)*AD112+(AI$5&lt;AO$5)*AJ112+(AU$5&lt;AO$5)*AV112)))</f>
        <v/>
      </c>
      <c r="AR112">
        <f>IF(AP112-AQ112&lt;0.005,0,AP112-AQ112)</f>
        <v/>
      </c>
      <c r="AS112">
        <f>AX111</f>
        <v/>
      </c>
      <c r="AT112">
        <f>AS112*Plan!D13/100/12</f>
        <v/>
      </c>
      <c r="AU112">
        <f>MIN(Plan!E13,AS112+AT112)</f>
        <v/>
      </c>
      <c r="AV112">
        <f>AS112+AT112-AU112</f>
        <v/>
      </c>
      <c r="AW112">
        <f>MIN(AV112,MAX(0,$B112-((E$5&lt;AU$5)*F112+(K$5&lt;AU$5)*L112+(Q$5&lt;AU$5)*R112+(W$5&lt;AU$5)*X112+(AC$5&lt;AU$5)*AD112+(AI$5&lt;AU$5)*AJ112+(AO$5&lt;AU$5)*AP112)))</f>
        <v/>
      </c>
      <c r="AX112">
        <f>IF(AV112-AW112&lt;0.005,0,AV112-AW112)</f>
        <v/>
      </c>
      <c r="BC112">
        <f>H112+N112+T112+Z112+AF112+AL112+AR112+AX112</f>
        <v/>
      </c>
    </row>
    <row r="113">
      <c r="A113" t="n">
        <v>107</v>
      </c>
      <c r="B113" s="19">
        <f>MAX(0,$B$3-(E113+K113+Q113+W113+AC113+AI113+AO113+AU113))</f>
        <v/>
      </c>
      <c r="C113">
        <f>H112</f>
        <v/>
      </c>
      <c r="D113">
        <f>C113*Plan!D6/100/12</f>
        <v/>
      </c>
      <c r="E113">
        <f>MIN(Plan!E6,C113+D113)</f>
        <v/>
      </c>
      <c r="F113">
        <f>C113+D113-E113</f>
        <v/>
      </c>
      <c r="G113">
        <f>MIN(F113,MAX(0,$B113-((K$5&lt;E$5)*L113+(Q$5&lt;E$5)*R113+(W$5&lt;E$5)*X113+(AC$5&lt;E$5)*AD113+(AI$5&lt;E$5)*AJ113+(AO$5&lt;E$5)*AP113+(AU$5&lt;E$5)*AV113)))</f>
        <v/>
      </c>
      <c r="H113">
        <f>IF(F113-G113&lt;0.005,0,F113-G113)</f>
        <v/>
      </c>
      <c r="I113">
        <f>N112</f>
        <v/>
      </c>
      <c r="J113">
        <f>I113*Plan!D7/100/12</f>
        <v/>
      </c>
      <c r="K113">
        <f>MIN(Plan!E7,I113+J113)</f>
        <v/>
      </c>
      <c r="L113">
        <f>I113+J113-K113</f>
        <v/>
      </c>
      <c r="M113">
        <f>MIN(L113,MAX(0,$B113-((E$5&lt;K$5)*F113+(Q$5&lt;K$5)*R113+(W$5&lt;K$5)*X113+(AC$5&lt;K$5)*AD113+(AI$5&lt;K$5)*AJ113+(AO$5&lt;K$5)*AP113+(AU$5&lt;K$5)*AV113)))</f>
        <v/>
      </c>
      <c r="N113">
        <f>IF(L113-M113&lt;0.005,0,L113-M113)</f>
        <v/>
      </c>
      <c r="O113">
        <f>T112</f>
        <v/>
      </c>
      <c r="P113">
        <f>O113*Plan!D8/100/12</f>
        <v/>
      </c>
      <c r="Q113">
        <f>MIN(Plan!E8,O113+P113)</f>
        <v/>
      </c>
      <c r="R113">
        <f>O113+P113-Q113</f>
        <v/>
      </c>
      <c r="S113">
        <f>MIN(R113,MAX(0,$B113-((E$5&lt;Q$5)*F113+(K$5&lt;Q$5)*L113+(W$5&lt;Q$5)*X113+(AC$5&lt;Q$5)*AD113+(AI$5&lt;Q$5)*AJ113+(AO$5&lt;Q$5)*AP113+(AU$5&lt;Q$5)*AV113)))</f>
        <v/>
      </c>
      <c r="T113">
        <f>IF(R113-S113&lt;0.005,0,R113-S113)</f>
        <v/>
      </c>
      <c r="U113">
        <f>Z112</f>
        <v/>
      </c>
      <c r="V113">
        <f>U113*Plan!D9/100/12</f>
        <v/>
      </c>
      <c r="W113">
        <f>MIN(Plan!E9,U113+V113)</f>
        <v/>
      </c>
      <c r="X113">
        <f>U113+V113-W113</f>
        <v/>
      </c>
      <c r="Y113">
        <f>MIN(X113,MAX(0,$B113-((E$5&lt;W$5)*F113+(K$5&lt;W$5)*L113+(Q$5&lt;W$5)*R113+(AC$5&lt;W$5)*AD113+(AI$5&lt;W$5)*AJ113+(AO$5&lt;W$5)*AP113+(AU$5&lt;W$5)*AV113)))</f>
        <v/>
      </c>
      <c r="Z113">
        <f>IF(X113-Y113&lt;0.005,0,X113-Y113)</f>
        <v/>
      </c>
      <c r="AA113">
        <f>AF112</f>
        <v/>
      </c>
      <c r="AB113">
        <f>AA113*Plan!D10/100/12</f>
        <v/>
      </c>
      <c r="AC113">
        <f>MIN(Plan!E10,AA113+AB113)</f>
        <v/>
      </c>
      <c r="AD113">
        <f>AA113+AB113-AC113</f>
        <v/>
      </c>
      <c r="AE113">
        <f>MIN(AD113,MAX(0,$B113-((E$5&lt;AC$5)*F113+(K$5&lt;AC$5)*L113+(Q$5&lt;AC$5)*R113+(W$5&lt;AC$5)*X113+(AI$5&lt;AC$5)*AJ113+(AO$5&lt;AC$5)*AP113+(AU$5&lt;AC$5)*AV113)))</f>
        <v/>
      </c>
      <c r="AF113">
        <f>IF(AD113-AE113&lt;0.005,0,AD113-AE113)</f>
        <v/>
      </c>
      <c r="AG113">
        <f>AL112</f>
        <v/>
      </c>
      <c r="AH113">
        <f>AG113*Plan!D11/100/12</f>
        <v/>
      </c>
      <c r="AI113">
        <f>MIN(Plan!E11,AG113+AH113)</f>
        <v/>
      </c>
      <c r="AJ113">
        <f>AG113+AH113-AI113</f>
        <v/>
      </c>
      <c r="AK113">
        <f>MIN(AJ113,MAX(0,$B113-((E$5&lt;AI$5)*F113+(K$5&lt;AI$5)*L113+(Q$5&lt;AI$5)*R113+(W$5&lt;AI$5)*X113+(AC$5&lt;AI$5)*AD113+(AO$5&lt;AI$5)*AP113+(AU$5&lt;AI$5)*AV113)))</f>
        <v/>
      </c>
      <c r="AL113">
        <f>IF(AJ113-AK113&lt;0.005,0,AJ113-AK113)</f>
        <v/>
      </c>
      <c r="AM113">
        <f>AR112</f>
        <v/>
      </c>
      <c r="AN113">
        <f>AM113*Plan!D12/100/12</f>
        <v/>
      </c>
      <c r="AO113">
        <f>MIN(Plan!E12,AM113+AN113)</f>
        <v/>
      </c>
      <c r="AP113">
        <f>AM113+AN113-AO113</f>
        <v/>
      </c>
      <c r="AQ113">
        <f>MIN(AP113,MAX(0,$B113-((E$5&lt;AO$5)*F113+(K$5&lt;AO$5)*L113+(Q$5&lt;AO$5)*R113+(W$5&lt;AO$5)*X113+(AC$5&lt;AO$5)*AD113+(AI$5&lt;AO$5)*AJ113+(AU$5&lt;AO$5)*AV113)))</f>
        <v/>
      </c>
      <c r="AR113">
        <f>IF(AP113-AQ113&lt;0.005,0,AP113-AQ113)</f>
        <v/>
      </c>
      <c r="AS113">
        <f>AX112</f>
        <v/>
      </c>
      <c r="AT113">
        <f>AS113*Plan!D13/100/12</f>
        <v/>
      </c>
      <c r="AU113">
        <f>MIN(Plan!E13,AS113+AT113)</f>
        <v/>
      </c>
      <c r="AV113">
        <f>AS113+AT113-AU113</f>
        <v/>
      </c>
      <c r="AW113">
        <f>MIN(AV113,MAX(0,$B113-((E$5&lt;AU$5)*F113+(K$5&lt;AU$5)*L113+(Q$5&lt;AU$5)*R113+(W$5&lt;AU$5)*X113+(AC$5&lt;AU$5)*AD113+(AI$5&lt;AU$5)*AJ113+(AO$5&lt;AU$5)*AP113)))</f>
        <v/>
      </c>
      <c r="AX113">
        <f>IF(AV113-AW113&lt;0.005,0,AV113-AW113)</f>
        <v/>
      </c>
      <c r="BC113">
        <f>H113+N113+T113+Z113+AF113+AL113+AR113+AX113</f>
        <v/>
      </c>
    </row>
    <row r="114">
      <c r="A114" t="n">
        <v>108</v>
      </c>
      <c r="B114" s="19">
        <f>MAX(0,$B$3-(E114+K114+Q114+W114+AC114+AI114+AO114+AU114))</f>
        <v/>
      </c>
      <c r="C114">
        <f>H113</f>
        <v/>
      </c>
      <c r="D114">
        <f>C114*Plan!D6/100/12</f>
        <v/>
      </c>
      <c r="E114">
        <f>MIN(Plan!E6,C114+D114)</f>
        <v/>
      </c>
      <c r="F114">
        <f>C114+D114-E114</f>
        <v/>
      </c>
      <c r="G114">
        <f>MIN(F114,MAX(0,$B114-((K$5&lt;E$5)*L114+(Q$5&lt;E$5)*R114+(W$5&lt;E$5)*X114+(AC$5&lt;E$5)*AD114+(AI$5&lt;E$5)*AJ114+(AO$5&lt;E$5)*AP114+(AU$5&lt;E$5)*AV114)))</f>
        <v/>
      </c>
      <c r="H114">
        <f>IF(F114-G114&lt;0.005,0,F114-G114)</f>
        <v/>
      </c>
      <c r="I114">
        <f>N113</f>
        <v/>
      </c>
      <c r="J114">
        <f>I114*Plan!D7/100/12</f>
        <v/>
      </c>
      <c r="K114">
        <f>MIN(Plan!E7,I114+J114)</f>
        <v/>
      </c>
      <c r="L114">
        <f>I114+J114-K114</f>
        <v/>
      </c>
      <c r="M114">
        <f>MIN(L114,MAX(0,$B114-((E$5&lt;K$5)*F114+(Q$5&lt;K$5)*R114+(W$5&lt;K$5)*X114+(AC$5&lt;K$5)*AD114+(AI$5&lt;K$5)*AJ114+(AO$5&lt;K$5)*AP114+(AU$5&lt;K$5)*AV114)))</f>
        <v/>
      </c>
      <c r="N114">
        <f>IF(L114-M114&lt;0.005,0,L114-M114)</f>
        <v/>
      </c>
      <c r="O114">
        <f>T113</f>
        <v/>
      </c>
      <c r="P114">
        <f>O114*Plan!D8/100/12</f>
        <v/>
      </c>
      <c r="Q114">
        <f>MIN(Plan!E8,O114+P114)</f>
        <v/>
      </c>
      <c r="R114">
        <f>O114+P114-Q114</f>
        <v/>
      </c>
      <c r="S114">
        <f>MIN(R114,MAX(0,$B114-((E$5&lt;Q$5)*F114+(K$5&lt;Q$5)*L114+(W$5&lt;Q$5)*X114+(AC$5&lt;Q$5)*AD114+(AI$5&lt;Q$5)*AJ114+(AO$5&lt;Q$5)*AP114+(AU$5&lt;Q$5)*AV114)))</f>
        <v/>
      </c>
      <c r="T114">
        <f>IF(R114-S114&lt;0.005,0,R114-S114)</f>
        <v/>
      </c>
      <c r="U114">
        <f>Z113</f>
        <v/>
      </c>
      <c r="V114">
        <f>U114*Plan!D9/100/12</f>
        <v/>
      </c>
      <c r="W114">
        <f>MIN(Plan!E9,U114+V114)</f>
        <v/>
      </c>
      <c r="X114">
        <f>U114+V114-W114</f>
        <v/>
      </c>
      <c r="Y114">
        <f>MIN(X114,MAX(0,$B114-((E$5&lt;W$5)*F114+(K$5&lt;W$5)*L114+(Q$5&lt;W$5)*R114+(AC$5&lt;W$5)*AD114+(AI$5&lt;W$5)*AJ114+(AO$5&lt;W$5)*AP114+(AU$5&lt;W$5)*AV114)))</f>
        <v/>
      </c>
      <c r="Z114">
        <f>IF(X114-Y114&lt;0.005,0,X114-Y114)</f>
        <v/>
      </c>
      <c r="AA114">
        <f>AF113</f>
        <v/>
      </c>
      <c r="AB114">
        <f>AA114*Plan!D10/100/12</f>
        <v/>
      </c>
      <c r="AC114">
        <f>MIN(Plan!E10,AA114+AB114)</f>
        <v/>
      </c>
      <c r="AD114">
        <f>AA114+AB114-AC114</f>
        <v/>
      </c>
      <c r="AE114">
        <f>MIN(AD114,MAX(0,$B114-((E$5&lt;AC$5)*F114+(K$5&lt;AC$5)*L114+(Q$5&lt;AC$5)*R114+(W$5&lt;AC$5)*X114+(AI$5&lt;AC$5)*AJ114+(AO$5&lt;AC$5)*AP114+(AU$5&lt;AC$5)*AV114)))</f>
        <v/>
      </c>
      <c r="AF114">
        <f>IF(AD114-AE114&lt;0.005,0,AD114-AE114)</f>
        <v/>
      </c>
      <c r="AG114">
        <f>AL113</f>
        <v/>
      </c>
      <c r="AH114">
        <f>AG114*Plan!D11/100/12</f>
        <v/>
      </c>
      <c r="AI114">
        <f>MIN(Plan!E11,AG114+AH114)</f>
        <v/>
      </c>
      <c r="AJ114">
        <f>AG114+AH114-AI114</f>
        <v/>
      </c>
      <c r="AK114">
        <f>MIN(AJ114,MAX(0,$B114-((E$5&lt;AI$5)*F114+(K$5&lt;AI$5)*L114+(Q$5&lt;AI$5)*R114+(W$5&lt;AI$5)*X114+(AC$5&lt;AI$5)*AD114+(AO$5&lt;AI$5)*AP114+(AU$5&lt;AI$5)*AV114)))</f>
        <v/>
      </c>
      <c r="AL114">
        <f>IF(AJ114-AK114&lt;0.005,0,AJ114-AK114)</f>
        <v/>
      </c>
      <c r="AM114">
        <f>AR113</f>
        <v/>
      </c>
      <c r="AN114">
        <f>AM114*Plan!D12/100/12</f>
        <v/>
      </c>
      <c r="AO114">
        <f>MIN(Plan!E12,AM114+AN114)</f>
        <v/>
      </c>
      <c r="AP114">
        <f>AM114+AN114-AO114</f>
        <v/>
      </c>
      <c r="AQ114">
        <f>MIN(AP114,MAX(0,$B114-((E$5&lt;AO$5)*F114+(K$5&lt;AO$5)*L114+(Q$5&lt;AO$5)*R114+(W$5&lt;AO$5)*X114+(AC$5&lt;AO$5)*AD114+(AI$5&lt;AO$5)*AJ114+(AU$5&lt;AO$5)*AV114)))</f>
        <v/>
      </c>
      <c r="AR114">
        <f>IF(AP114-AQ114&lt;0.005,0,AP114-AQ114)</f>
        <v/>
      </c>
      <c r="AS114">
        <f>AX113</f>
        <v/>
      </c>
      <c r="AT114">
        <f>AS114*Plan!D13/100/12</f>
        <v/>
      </c>
      <c r="AU114">
        <f>MIN(Plan!E13,AS114+AT114)</f>
        <v/>
      </c>
      <c r="AV114">
        <f>AS114+AT114-AU114</f>
        <v/>
      </c>
      <c r="AW114">
        <f>MIN(AV114,MAX(0,$B114-((E$5&lt;AU$5)*F114+(K$5&lt;AU$5)*L114+(Q$5&lt;AU$5)*R114+(W$5&lt;AU$5)*X114+(AC$5&lt;AU$5)*AD114+(AI$5&lt;AU$5)*AJ114+(AO$5&lt;AU$5)*AP114)))</f>
        <v/>
      </c>
      <c r="AX114">
        <f>IF(AV114-AW114&lt;0.005,0,AV114-AW114)</f>
        <v/>
      </c>
      <c r="BC114">
        <f>H114+N114+T114+Z114+AF114+AL114+AR114+AX114</f>
        <v/>
      </c>
    </row>
    <row r="115">
      <c r="A115" t="n">
        <v>109</v>
      </c>
      <c r="B115" s="19">
        <f>MAX(0,$B$3-(E115+K115+Q115+W115+AC115+AI115+AO115+AU115))</f>
        <v/>
      </c>
      <c r="C115">
        <f>H114</f>
        <v/>
      </c>
      <c r="D115">
        <f>C115*Plan!D6/100/12</f>
        <v/>
      </c>
      <c r="E115">
        <f>MIN(Plan!E6,C115+D115)</f>
        <v/>
      </c>
      <c r="F115">
        <f>C115+D115-E115</f>
        <v/>
      </c>
      <c r="G115">
        <f>MIN(F115,MAX(0,$B115-((K$5&lt;E$5)*L115+(Q$5&lt;E$5)*R115+(W$5&lt;E$5)*X115+(AC$5&lt;E$5)*AD115+(AI$5&lt;E$5)*AJ115+(AO$5&lt;E$5)*AP115+(AU$5&lt;E$5)*AV115)))</f>
        <v/>
      </c>
      <c r="H115">
        <f>IF(F115-G115&lt;0.005,0,F115-G115)</f>
        <v/>
      </c>
      <c r="I115">
        <f>N114</f>
        <v/>
      </c>
      <c r="J115">
        <f>I115*Plan!D7/100/12</f>
        <v/>
      </c>
      <c r="K115">
        <f>MIN(Plan!E7,I115+J115)</f>
        <v/>
      </c>
      <c r="L115">
        <f>I115+J115-K115</f>
        <v/>
      </c>
      <c r="M115">
        <f>MIN(L115,MAX(0,$B115-((E$5&lt;K$5)*F115+(Q$5&lt;K$5)*R115+(W$5&lt;K$5)*X115+(AC$5&lt;K$5)*AD115+(AI$5&lt;K$5)*AJ115+(AO$5&lt;K$5)*AP115+(AU$5&lt;K$5)*AV115)))</f>
        <v/>
      </c>
      <c r="N115">
        <f>IF(L115-M115&lt;0.005,0,L115-M115)</f>
        <v/>
      </c>
      <c r="O115">
        <f>T114</f>
        <v/>
      </c>
      <c r="P115">
        <f>O115*Plan!D8/100/12</f>
        <v/>
      </c>
      <c r="Q115">
        <f>MIN(Plan!E8,O115+P115)</f>
        <v/>
      </c>
      <c r="R115">
        <f>O115+P115-Q115</f>
        <v/>
      </c>
      <c r="S115">
        <f>MIN(R115,MAX(0,$B115-((E$5&lt;Q$5)*F115+(K$5&lt;Q$5)*L115+(W$5&lt;Q$5)*X115+(AC$5&lt;Q$5)*AD115+(AI$5&lt;Q$5)*AJ115+(AO$5&lt;Q$5)*AP115+(AU$5&lt;Q$5)*AV115)))</f>
        <v/>
      </c>
      <c r="T115">
        <f>IF(R115-S115&lt;0.005,0,R115-S115)</f>
        <v/>
      </c>
      <c r="U115">
        <f>Z114</f>
        <v/>
      </c>
      <c r="V115">
        <f>U115*Plan!D9/100/12</f>
        <v/>
      </c>
      <c r="W115">
        <f>MIN(Plan!E9,U115+V115)</f>
        <v/>
      </c>
      <c r="X115">
        <f>U115+V115-W115</f>
        <v/>
      </c>
      <c r="Y115">
        <f>MIN(X115,MAX(0,$B115-((E$5&lt;W$5)*F115+(K$5&lt;W$5)*L115+(Q$5&lt;W$5)*R115+(AC$5&lt;W$5)*AD115+(AI$5&lt;W$5)*AJ115+(AO$5&lt;W$5)*AP115+(AU$5&lt;W$5)*AV115)))</f>
        <v/>
      </c>
      <c r="Z115">
        <f>IF(X115-Y115&lt;0.005,0,X115-Y115)</f>
        <v/>
      </c>
      <c r="AA115">
        <f>AF114</f>
        <v/>
      </c>
      <c r="AB115">
        <f>AA115*Plan!D10/100/12</f>
        <v/>
      </c>
      <c r="AC115">
        <f>MIN(Plan!E10,AA115+AB115)</f>
        <v/>
      </c>
      <c r="AD115">
        <f>AA115+AB115-AC115</f>
        <v/>
      </c>
      <c r="AE115">
        <f>MIN(AD115,MAX(0,$B115-((E$5&lt;AC$5)*F115+(K$5&lt;AC$5)*L115+(Q$5&lt;AC$5)*R115+(W$5&lt;AC$5)*X115+(AI$5&lt;AC$5)*AJ115+(AO$5&lt;AC$5)*AP115+(AU$5&lt;AC$5)*AV115)))</f>
        <v/>
      </c>
      <c r="AF115">
        <f>IF(AD115-AE115&lt;0.005,0,AD115-AE115)</f>
        <v/>
      </c>
      <c r="AG115">
        <f>AL114</f>
        <v/>
      </c>
      <c r="AH115">
        <f>AG115*Plan!D11/100/12</f>
        <v/>
      </c>
      <c r="AI115">
        <f>MIN(Plan!E11,AG115+AH115)</f>
        <v/>
      </c>
      <c r="AJ115">
        <f>AG115+AH115-AI115</f>
        <v/>
      </c>
      <c r="AK115">
        <f>MIN(AJ115,MAX(0,$B115-((E$5&lt;AI$5)*F115+(K$5&lt;AI$5)*L115+(Q$5&lt;AI$5)*R115+(W$5&lt;AI$5)*X115+(AC$5&lt;AI$5)*AD115+(AO$5&lt;AI$5)*AP115+(AU$5&lt;AI$5)*AV115)))</f>
        <v/>
      </c>
      <c r="AL115">
        <f>IF(AJ115-AK115&lt;0.005,0,AJ115-AK115)</f>
        <v/>
      </c>
      <c r="AM115">
        <f>AR114</f>
        <v/>
      </c>
      <c r="AN115">
        <f>AM115*Plan!D12/100/12</f>
        <v/>
      </c>
      <c r="AO115">
        <f>MIN(Plan!E12,AM115+AN115)</f>
        <v/>
      </c>
      <c r="AP115">
        <f>AM115+AN115-AO115</f>
        <v/>
      </c>
      <c r="AQ115">
        <f>MIN(AP115,MAX(0,$B115-((E$5&lt;AO$5)*F115+(K$5&lt;AO$5)*L115+(Q$5&lt;AO$5)*R115+(W$5&lt;AO$5)*X115+(AC$5&lt;AO$5)*AD115+(AI$5&lt;AO$5)*AJ115+(AU$5&lt;AO$5)*AV115)))</f>
        <v/>
      </c>
      <c r="AR115">
        <f>IF(AP115-AQ115&lt;0.005,0,AP115-AQ115)</f>
        <v/>
      </c>
      <c r="AS115">
        <f>AX114</f>
        <v/>
      </c>
      <c r="AT115">
        <f>AS115*Plan!D13/100/12</f>
        <v/>
      </c>
      <c r="AU115">
        <f>MIN(Plan!E13,AS115+AT115)</f>
        <v/>
      </c>
      <c r="AV115">
        <f>AS115+AT115-AU115</f>
        <v/>
      </c>
      <c r="AW115">
        <f>MIN(AV115,MAX(0,$B115-((E$5&lt;AU$5)*F115+(K$5&lt;AU$5)*L115+(Q$5&lt;AU$5)*R115+(W$5&lt;AU$5)*X115+(AC$5&lt;AU$5)*AD115+(AI$5&lt;AU$5)*AJ115+(AO$5&lt;AU$5)*AP115)))</f>
        <v/>
      </c>
      <c r="AX115">
        <f>IF(AV115-AW115&lt;0.005,0,AV115-AW115)</f>
        <v/>
      </c>
      <c r="BC115">
        <f>H115+N115+T115+Z115+AF115+AL115+AR115+AX115</f>
        <v/>
      </c>
    </row>
    <row r="116">
      <c r="A116" t="n">
        <v>110</v>
      </c>
      <c r="B116" s="19">
        <f>MAX(0,$B$3-(E116+K116+Q116+W116+AC116+AI116+AO116+AU116))</f>
        <v/>
      </c>
      <c r="C116">
        <f>H115</f>
        <v/>
      </c>
      <c r="D116">
        <f>C116*Plan!D6/100/12</f>
        <v/>
      </c>
      <c r="E116">
        <f>MIN(Plan!E6,C116+D116)</f>
        <v/>
      </c>
      <c r="F116">
        <f>C116+D116-E116</f>
        <v/>
      </c>
      <c r="G116">
        <f>MIN(F116,MAX(0,$B116-((K$5&lt;E$5)*L116+(Q$5&lt;E$5)*R116+(W$5&lt;E$5)*X116+(AC$5&lt;E$5)*AD116+(AI$5&lt;E$5)*AJ116+(AO$5&lt;E$5)*AP116+(AU$5&lt;E$5)*AV116)))</f>
        <v/>
      </c>
      <c r="H116">
        <f>IF(F116-G116&lt;0.005,0,F116-G116)</f>
        <v/>
      </c>
      <c r="I116">
        <f>N115</f>
        <v/>
      </c>
      <c r="J116">
        <f>I116*Plan!D7/100/12</f>
        <v/>
      </c>
      <c r="K116">
        <f>MIN(Plan!E7,I116+J116)</f>
        <v/>
      </c>
      <c r="L116">
        <f>I116+J116-K116</f>
        <v/>
      </c>
      <c r="M116">
        <f>MIN(L116,MAX(0,$B116-((E$5&lt;K$5)*F116+(Q$5&lt;K$5)*R116+(W$5&lt;K$5)*X116+(AC$5&lt;K$5)*AD116+(AI$5&lt;K$5)*AJ116+(AO$5&lt;K$5)*AP116+(AU$5&lt;K$5)*AV116)))</f>
        <v/>
      </c>
      <c r="N116">
        <f>IF(L116-M116&lt;0.005,0,L116-M116)</f>
        <v/>
      </c>
      <c r="O116">
        <f>T115</f>
        <v/>
      </c>
      <c r="P116">
        <f>O116*Plan!D8/100/12</f>
        <v/>
      </c>
      <c r="Q116">
        <f>MIN(Plan!E8,O116+P116)</f>
        <v/>
      </c>
      <c r="R116">
        <f>O116+P116-Q116</f>
        <v/>
      </c>
      <c r="S116">
        <f>MIN(R116,MAX(0,$B116-((E$5&lt;Q$5)*F116+(K$5&lt;Q$5)*L116+(W$5&lt;Q$5)*X116+(AC$5&lt;Q$5)*AD116+(AI$5&lt;Q$5)*AJ116+(AO$5&lt;Q$5)*AP116+(AU$5&lt;Q$5)*AV116)))</f>
        <v/>
      </c>
      <c r="T116">
        <f>IF(R116-S116&lt;0.005,0,R116-S116)</f>
        <v/>
      </c>
      <c r="U116">
        <f>Z115</f>
        <v/>
      </c>
      <c r="V116">
        <f>U116*Plan!D9/100/12</f>
        <v/>
      </c>
      <c r="W116">
        <f>MIN(Plan!E9,U116+V116)</f>
        <v/>
      </c>
      <c r="X116">
        <f>U116+V116-W116</f>
        <v/>
      </c>
      <c r="Y116">
        <f>MIN(X116,MAX(0,$B116-((E$5&lt;W$5)*F116+(K$5&lt;W$5)*L116+(Q$5&lt;W$5)*R116+(AC$5&lt;W$5)*AD116+(AI$5&lt;W$5)*AJ116+(AO$5&lt;W$5)*AP116+(AU$5&lt;W$5)*AV116)))</f>
        <v/>
      </c>
      <c r="Z116">
        <f>IF(X116-Y116&lt;0.005,0,X116-Y116)</f>
        <v/>
      </c>
      <c r="AA116">
        <f>AF115</f>
        <v/>
      </c>
      <c r="AB116">
        <f>AA116*Plan!D10/100/12</f>
        <v/>
      </c>
      <c r="AC116">
        <f>MIN(Plan!E10,AA116+AB116)</f>
        <v/>
      </c>
      <c r="AD116">
        <f>AA116+AB116-AC116</f>
        <v/>
      </c>
      <c r="AE116">
        <f>MIN(AD116,MAX(0,$B116-((E$5&lt;AC$5)*F116+(K$5&lt;AC$5)*L116+(Q$5&lt;AC$5)*R116+(W$5&lt;AC$5)*X116+(AI$5&lt;AC$5)*AJ116+(AO$5&lt;AC$5)*AP116+(AU$5&lt;AC$5)*AV116)))</f>
        <v/>
      </c>
      <c r="AF116">
        <f>IF(AD116-AE116&lt;0.005,0,AD116-AE116)</f>
        <v/>
      </c>
      <c r="AG116">
        <f>AL115</f>
        <v/>
      </c>
      <c r="AH116">
        <f>AG116*Plan!D11/100/12</f>
        <v/>
      </c>
      <c r="AI116">
        <f>MIN(Plan!E11,AG116+AH116)</f>
        <v/>
      </c>
      <c r="AJ116">
        <f>AG116+AH116-AI116</f>
        <v/>
      </c>
      <c r="AK116">
        <f>MIN(AJ116,MAX(0,$B116-((E$5&lt;AI$5)*F116+(K$5&lt;AI$5)*L116+(Q$5&lt;AI$5)*R116+(W$5&lt;AI$5)*X116+(AC$5&lt;AI$5)*AD116+(AO$5&lt;AI$5)*AP116+(AU$5&lt;AI$5)*AV116)))</f>
        <v/>
      </c>
      <c r="AL116">
        <f>IF(AJ116-AK116&lt;0.005,0,AJ116-AK116)</f>
        <v/>
      </c>
      <c r="AM116">
        <f>AR115</f>
        <v/>
      </c>
      <c r="AN116">
        <f>AM116*Plan!D12/100/12</f>
        <v/>
      </c>
      <c r="AO116">
        <f>MIN(Plan!E12,AM116+AN116)</f>
        <v/>
      </c>
      <c r="AP116">
        <f>AM116+AN116-AO116</f>
        <v/>
      </c>
      <c r="AQ116">
        <f>MIN(AP116,MAX(0,$B116-((E$5&lt;AO$5)*F116+(K$5&lt;AO$5)*L116+(Q$5&lt;AO$5)*R116+(W$5&lt;AO$5)*X116+(AC$5&lt;AO$5)*AD116+(AI$5&lt;AO$5)*AJ116+(AU$5&lt;AO$5)*AV116)))</f>
        <v/>
      </c>
      <c r="AR116">
        <f>IF(AP116-AQ116&lt;0.005,0,AP116-AQ116)</f>
        <v/>
      </c>
      <c r="AS116">
        <f>AX115</f>
        <v/>
      </c>
      <c r="AT116">
        <f>AS116*Plan!D13/100/12</f>
        <v/>
      </c>
      <c r="AU116">
        <f>MIN(Plan!E13,AS116+AT116)</f>
        <v/>
      </c>
      <c r="AV116">
        <f>AS116+AT116-AU116</f>
        <v/>
      </c>
      <c r="AW116">
        <f>MIN(AV116,MAX(0,$B116-((E$5&lt;AU$5)*F116+(K$5&lt;AU$5)*L116+(Q$5&lt;AU$5)*R116+(W$5&lt;AU$5)*X116+(AC$5&lt;AU$5)*AD116+(AI$5&lt;AU$5)*AJ116+(AO$5&lt;AU$5)*AP116)))</f>
        <v/>
      </c>
      <c r="AX116">
        <f>IF(AV116-AW116&lt;0.005,0,AV116-AW116)</f>
        <v/>
      </c>
      <c r="BC116">
        <f>H116+N116+T116+Z116+AF116+AL116+AR116+AX116</f>
        <v/>
      </c>
    </row>
    <row r="117">
      <c r="A117" t="n">
        <v>111</v>
      </c>
      <c r="B117" s="19">
        <f>MAX(0,$B$3-(E117+K117+Q117+W117+AC117+AI117+AO117+AU117))</f>
        <v/>
      </c>
      <c r="C117">
        <f>H116</f>
        <v/>
      </c>
      <c r="D117">
        <f>C117*Plan!D6/100/12</f>
        <v/>
      </c>
      <c r="E117">
        <f>MIN(Plan!E6,C117+D117)</f>
        <v/>
      </c>
      <c r="F117">
        <f>C117+D117-E117</f>
        <v/>
      </c>
      <c r="G117">
        <f>MIN(F117,MAX(0,$B117-((K$5&lt;E$5)*L117+(Q$5&lt;E$5)*R117+(W$5&lt;E$5)*X117+(AC$5&lt;E$5)*AD117+(AI$5&lt;E$5)*AJ117+(AO$5&lt;E$5)*AP117+(AU$5&lt;E$5)*AV117)))</f>
        <v/>
      </c>
      <c r="H117">
        <f>IF(F117-G117&lt;0.005,0,F117-G117)</f>
        <v/>
      </c>
      <c r="I117">
        <f>N116</f>
        <v/>
      </c>
      <c r="J117">
        <f>I117*Plan!D7/100/12</f>
        <v/>
      </c>
      <c r="K117">
        <f>MIN(Plan!E7,I117+J117)</f>
        <v/>
      </c>
      <c r="L117">
        <f>I117+J117-K117</f>
        <v/>
      </c>
      <c r="M117">
        <f>MIN(L117,MAX(0,$B117-((E$5&lt;K$5)*F117+(Q$5&lt;K$5)*R117+(W$5&lt;K$5)*X117+(AC$5&lt;K$5)*AD117+(AI$5&lt;K$5)*AJ117+(AO$5&lt;K$5)*AP117+(AU$5&lt;K$5)*AV117)))</f>
        <v/>
      </c>
      <c r="N117">
        <f>IF(L117-M117&lt;0.005,0,L117-M117)</f>
        <v/>
      </c>
      <c r="O117">
        <f>T116</f>
        <v/>
      </c>
      <c r="P117">
        <f>O117*Plan!D8/100/12</f>
        <v/>
      </c>
      <c r="Q117">
        <f>MIN(Plan!E8,O117+P117)</f>
        <v/>
      </c>
      <c r="R117">
        <f>O117+P117-Q117</f>
        <v/>
      </c>
      <c r="S117">
        <f>MIN(R117,MAX(0,$B117-((E$5&lt;Q$5)*F117+(K$5&lt;Q$5)*L117+(W$5&lt;Q$5)*X117+(AC$5&lt;Q$5)*AD117+(AI$5&lt;Q$5)*AJ117+(AO$5&lt;Q$5)*AP117+(AU$5&lt;Q$5)*AV117)))</f>
        <v/>
      </c>
      <c r="T117">
        <f>IF(R117-S117&lt;0.005,0,R117-S117)</f>
        <v/>
      </c>
      <c r="U117">
        <f>Z116</f>
        <v/>
      </c>
      <c r="V117">
        <f>U117*Plan!D9/100/12</f>
        <v/>
      </c>
      <c r="W117">
        <f>MIN(Plan!E9,U117+V117)</f>
        <v/>
      </c>
      <c r="X117">
        <f>U117+V117-W117</f>
        <v/>
      </c>
      <c r="Y117">
        <f>MIN(X117,MAX(0,$B117-((E$5&lt;W$5)*F117+(K$5&lt;W$5)*L117+(Q$5&lt;W$5)*R117+(AC$5&lt;W$5)*AD117+(AI$5&lt;W$5)*AJ117+(AO$5&lt;W$5)*AP117+(AU$5&lt;W$5)*AV117)))</f>
        <v/>
      </c>
      <c r="Z117">
        <f>IF(X117-Y117&lt;0.005,0,X117-Y117)</f>
        <v/>
      </c>
      <c r="AA117">
        <f>AF116</f>
        <v/>
      </c>
      <c r="AB117">
        <f>AA117*Plan!D10/100/12</f>
        <v/>
      </c>
      <c r="AC117">
        <f>MIN(Plan!E10,AA117+AB117)</f>
        <v/>
      </c>
      <c r="AD117">
        <f>AA117+AB117-AC117</f>
        <v/>
      </c>
      <c r="AE117">
        <f>MIN(AD117,MAX(0,$B117-((E$5&lt;AC$5)*F117+(K$5&lt;AC$5)*L117+(Q$5&lt;AC$5)*R117+(W$5&lt;AC$5)*X117+(AI$5&lt;AC$5)*AJ117+(AO$5&lt;AC$5)*AP117+(AU$5&lt;AC$5)*AV117)))</f>
        <v/>
      </c>
      <c r="AF117">
        <f>IF(AD117-AE117&lt;0.005,0,AD117-AE117)</f>
        <v/>
      </c>
      <c r="AG117">
        <f>AL116</f>
        <v/>
      </c>
      <c r="AH117">
        <f>AG117*Plan!D11/100/12</f>
        <v/>
      </c>
      <c r="AI117">
        <f>MIN(Plan!E11,AG117+AH117)</f>
        <v/>
      </c>
      <c r="AJ117">
        <f>AG117+AH117-AI117</f>
        <v/>
      </c>
      <c r="AK117">
        <f>MIN(AJ117,MAX(0,$B117-((E$5&lt;AI$5)*F117+(K$5&lt;AI$5)*L117+(Q$5&lt;AI$5)*R117+(W$5&lt;AI$5)*X117+(AC$5&lt;AI$5)*AD117+(AO$5&lt;AI$5)*AP117+(AU$5&lt;AI$5)*AV117)))</f>
        <v/>
      </c>
      <c r="AL117">
        <f>IF(AJ117-AK117&lt;0.005,0,AJ117-AK117)</f>
        <v/>
      </c>
      <c r="AM117">
        <f>AR116</f>
        <v/>
      </c>
      <c r="AN117">
        <f>AM117*Plan!D12/100/12</f>
        <v/>
      </c>
      <c r="AO117">
        <f>MIN(Plan!E12,AM117+AN117)</f>
        <v/>
      </c>
      <c r="AP117">
        <f>AM117+AN117-AO117</f>
        <v/>
      </c>
      <c r="AQ117">
        <f>MIN(AP117,MAX(0,$B117-((E$5&lt;AO$5)*F117+(K$5&lt;AO$5)*L117+(Q$5&lt;AO$5)*R117+(W$5&lt;AO$5)*X117+(AC$5&lt;AO$5)*AD117+(AI$5&lt;AO$5)*AJ117+(AU$5&lt;AO$5)*AV117)))</f>
        <v/>
      </c>
      <c r="AR117">
        <f>IF(AP117-AQ117&lt;0.005,0,AP117-AQ117)</f>
        <v/>
      </c>
      <c r="AS117">
        <f>AX116</f>
        <v/>
      </c>
      <c r="AT117">
        <f>AS117*Plan!D13/100/12</f>
        <v/>
      </c>
      <c r="AU117">
        <f>MIN(Plan!E13,AS117+AT117)</f>
        <v/>
      </c>
      <c r="AV117">
        <f>AS117+AT117-AU117</f>
        <v/>
      </c>
      <c r="AW117">
        <f>MIN(AV117,MAX(0,$B117-((E$5&lt;AU$5)*F117+(K$5&lt;AU$5)*L117+(Q$5&lt;AU$5)*R117+(W$5&lt;AU$5)*X117+(AC$5&lt;AU$5)*AD117+(AI$5&lt;AU$5)*AJ117+(AO$5&lt;AU$5)*AP117)))</f>
        <v/>
      </c>
      <c r="AX117">
        <f>IF(AV117-AW117&lt;0.005,0,AV117-AW117)</f>
        <v/>
      </c>
      <c r="BC117">
        <f>H117+N117+T117+Z117+AF117+AL117+AR117+AX117</f>
        <v/>
      </c>
    </row>
    <row r="118">
      <c r="A118" t="n">
        <v>112</v>
      </c>
      <c r="B118" s="19">
        <f>MAX(0,$B$3-(E118+K118+Q118+W118+AC118+AI118+AO118+AU118))</f>
        <v/>
      </c>
      <c r="C118">
        <f>H117</f>
        <v/>
      </c>
      <c r="D118">
        <f>C118*Plan!D6/100/12</f>
        <v/>
      </c>
      <c r="E118">
        <f>MIN(Plan!E6,C118+D118)</f>
        <v/>
      </c>
      <c r="F118">
        <f>C118+D118-E118</f>
        <v/>
      </c>
      <c r="G118">
        <f>MIN(F118,MAX(0,$B118-((K$5&lt;E$5)*L118+(Q$5&lt;E$5)*R118+(W$5&lt;E$5)*X118+(AC$5&lt;E$5)*AD118+(AI$5&lt;E$5)*AJ118+(AO$5&lt;E$5)*AP118+(AU$5&lt;E$5)*AV118)))</f>
        <v/>
      </c>
      <c r="H118">
        <f>IF(F118-G118&lt;0.005,0,F118-G118)</f>
        <v/>
      </c>
      <c r="I118">
        <f>N117</f>
        <v/>
      </c>
      <c r="J118">
        <f>I118*Plan!D7/100/12</f>
        <v/>
      </c>
      <c r="K118">
        <f>MIN(Plan!E7,I118+J118)</f>
        <v/>
      </c>
      <c r="L118">
        <f>I118+J118-K118</f>
        <v/>
      </c>
      <c r="M118">
        <f>MIN(L118,MAX(0,$B118-((E$5&lt;K$5)*F118+(Q$5&lt;K$5)*R118+(W$5&lt;K$5)*X118+(AC$5&lt;K$5)*AD118+(AI$5&lt;K$5)*AJ118+(AO$5&lt;K$5)*AP118+(AU$5&lt;K$5)*AV118)))</f>
        <v/>
      </c>
      <c r="N118">
        <f>IF(L118-M118&lt;0.005,0,L118-M118)</f>
        <v/>
      </c>
      <c r="O118">
        <f>T117</f>
        <v/>
      </c>
      <c r="P118">
        <f>O118*Plan!D8/100/12</f>
        <v/>
      </c>
      <c r="Q118">
        <f>MIN(Plan!E8,O118+P118)</f>
        <v/>
      </c>
      <c r="R118">
        <f>O118+P118-Q118</f>
        <v/>
      </c>
      <c r="S118">
        <f>MIN(R118,MAX(0,$B118-((E$5&lt;Q$5)*F118+(K$5&lt;Q$5)*L118+(W$5&lt;Q$5)*X118+(AC$5&lt;Q$5)*AD118+(AI$5&lt;Q$5)*AJ118+(AO$5&lt;Q$5)*AP118+(AU$5&lt;Q$5)*AV118)))</f>
        <v/>
      </c>
      <c r="T118">
        <f>IF(R118-S118&lt;0.005,0,R118-S118)</f>
        <v/>
      </c>
      <c r="U118">
        <f>Z117</f>
        <v/>
      </c>
      <c r="V118">
        <f>U118*Plan!D9/100/12</f>
        <v/>
      </c>
      <c r="W118">
        <f>MIN(Plan!E9,U118+V118)</f>
        <v/>
      </c>
      <c r="X118">
        <f>U118+V118-W118</f>
        <v/>
      </c>
      <c r="Y118">
        <f>MIN(X118,MAX(0,$B118-((E$5&lt;W$5)*F118+(K$5&lt;W$5)*L118+(Q$5&lt;W$5)*R118+(AC$5&lt;W$5)*AD118+(AI$5&lt;W$5)*AJ118+(AO$5&lt;W$5)*AP118+(AU$5&lt;W$5)*AV118)))</f>
        <v/>
      </c>
      <c r="Z118">
        <f>IF(X118-Y118&lt;0.005,0,X118-Y118)</f>
        <v/>
      </c>
      <c r="AA118">
        <f>AF117</f>
        <v/>
      </c>
      <c r="AB118">
        <f>AA118*Plan!D10/100/12</f>
        <v/>
      </c>
      <c r="AC118">
        <f>MIN(Plan!E10,AA118+AB118)</f>
        <v/>
      </c>
      <c r="AD118">
        <f>AA118+AB118-AC118</f>
        <v/>
      </c>
      <c r="AE118">
        <f>MIN(AD118,MAX(0,$B118-((E$5&lt;AC$5)*F118+(K$5&lt;AC$5)*L118+(Q$5&lt;AC$5)*R118+(W$5&lt;AC$5)*X118+(AI$5&lt;AC$5)*AJ118+(AO$5&lt;AC$5)*AP118+(AU$5&lt;AC$5)*AV118)))</f>
        <v/>
      </c>
      <c r="AF118">
        <f>IF(AD118-AE118&lt;0.005,0,AD118-AE118)</f>
        <v/>
      </c>
      <c r="AG118">
        <f>AL117</f>
        <v/>
      </c>
      <c r="AH118">
        <f>AG118*Plan!D11/100/12</f>
        <v/>
      </c>
      <c r="AI118">
        <f>MIN(Plan!E11,AG118+AH118)</f>
        <v/>
      </c>
      <c r="AJ118">
        <f>AG118+AH118-AI118</f>
        <v/>
      </c>
      <c r="AK118">
        <f>MIN(AJ118,MAX(0,$B118-((E$5&lt;AI$5)*F118+(K$5&lt;AI$5)*L118+(Q$5&lt;AI$5)*R118+(W$5&lt;AI$5)*X118+(AC$5&lt;AI$5)*AD118+(AO$5&lt;AI$5)*AP118+(AU$5&lt;AI$5)*AV118)))</f>
        <v/>
      </c>
      <c r="AL118">
        <f>IF(AJ118-AK118&lt;0.005,0,AJ118-AK118)</f>
        <v/>
      </c>
      <c r="AM118">
        <f>AR117</f>
        <v/>
      </c>
      <c r="AN118">
        <f>AM118*Plan!D12/100/12</f>
        <v/>
      </c>
      <c r="AO118">
        <f>MIN(Plan!E12,AM118+AN118)</f>
        <v/>
      </c>
      <c r="AP118">
        <f>AM118+AN118-AO118</f>
        <v/>
      </c>
      <c r="AQ118">
        <f>MIN(AP118,MAX(0,$B118-((E$5&lt;AO$5)*F118+(K$5&lt;AO$5)*L118+(Q$5&lt;AO$5)*R118+(W$5&lt;AO$5)*X118+(AC$5&lt;AO$5)*AD118+(AI$5&lt;AO$5)*AJ118+(AU$5&lt;AO$5)*AV118)))</f>
        <v/>
      </c>
      <c r="AR118">
        <f>IF(AP118-AQ118&lt;0.005,0,AP118-AQ118)</f>
        <v/>
      </c>
      <c r="AS118">
        <f>AX117</f>
        <v/>
      </c>
      <c r="AT118">
        <f>AS118*Plan!D13/100/12</f>
        <v/>
      </c>
      <c r="AU118">
        <f>MIN(Plan!E13,AS118+AT118)</f>
        <v/>
      </c>
      <c r="AV118">
        <f>AS118+AT118-AU118</f>
        <v/>
      </c>
      <c r="AW118">
        <f>MIN(AV118,MAX(0,$B118-((E$5&lt;AU$5)*F118+(K$5&lt;AU$5)*L118+(Q$5&lt;AU$5)*R118+(W$5&lt;AU$5)*X118+(AC$5&lt;AU$5)*AD118+(AI$5&lt;AU$5)*AJ118+(AO$5&lt;AU$5)*AP118)))</f>
        <v/>
      </c>
      <c r="AX118">
        <f>IF(AV118-AW118&lt;0.005,0,AV118-AW118)</f>
        <v/>
      </c>
      <c r="BC118">
        <f>H118+N118+T118+Z118+AF118+AL118+AR118+AX118</f>
        <v/>
      </c>
    </row>
    <row r="119">
      <c r="A119" t="n">
        <v>113</v>
      </c>
      <c r="B119" s="19">
        <f>MAX(0,$B$3-(E119+K119+Q119+W119+AC119+AI119+AO119+AU119))</f>
        <v/>
      </c>
      <c r="C119">
        <f>H118</f>
        <v/>
      </c>
      <c r="D119">
        <f>C119*Plan!D6/100/12</f>
        <v/>
      </c>
      <c r="E119">
        <f>MIN(Plan!E6,C119+D119)</f>
        <v/>
      </c>
      <c r="F119">
        <f>C119+D119-E119</f>
        <v/>
      </c>
      <c r="G119">
        <f>MIN(F119,MAX(0,$B119-((K$5&lt;E$5)*L119+(Q$5&lt;E$5)*R119+(W$5&lt;E$5)*X119+(AC$5&lt;E$5)*AD119+(AI$5&lt;E$5)*AJ119+(AO$5&lt;E$5)*AP119+(AU$5&lt;E$5)*AV119)))</f>
        <v/>
      </c>
      <c r="H119">
        <f>IF(F119-G119&lt;0.005,0,F119-G119)</f>
        <v/>
      </c>
      <c r="I119">
        <f>N118</f>
        <v/>
      </c>
      <c r="J119">
        <f>I119*Plan!D7/100/12</f>
        <v/>
      </c>
      <c r="K119">
        <f>MIN(Plan!E7,I119+J119)</f>
        <v/>
      </c>
      <c r="L119">
        <f>I119+J119-K119</f>
        <v/>
      </c>
      <c r="M119">
        <f>MIN(L119,MAX(0,$B119-((E$5&lt;K$5)*F119+(Q$5&lt;K$5)*R119+(W$5&lt;K$5)*X119+(AC$5&lt;K$5)*AD119+(AI$5&lt;K$5)*AJ119+(AO$5&lt;K$5)*AP119+(AU$5&lt;K$5)*AV119)))</f>
        <v/>
      </c>
      <c r="N119">
        <f>IF(L119-M119&lt;0.005,0,L119-M119)</f>
        <v/>
      </c>
      <c r="O119">
        <f>T118</f>
        <v/>
      </c>
      <c r="P119">
        <f>O119*Plan!D8/100/12</f>
        <v/>
      </c>
      <c r="Q119">
        <f>MIN(Plan!E8,O119+P119)</f>
        <v/>
      </c>
      <c r="R119">
        <f>O119+P119-Q119</f>
        <v/>
      </c>
      <c r="S119">
        <f>MIN(R119,MAX(0,$B119-((E$5&lt;Q$5)*F119+(K$5&lt;Q$5)*L119+(W$5&lt;Q$5)*X119+(AC$5&lt;Q$5)*AD119+(AI$5&lt;Q$5)*AJ119+(AO$5&lt;Q$5)*AP119+(AU$5&lt;Q$5)*AV119)))</f>
        <v/>
      </c>
      <c r="T119">
        <f>IF(R119-S119&lt;0.005,0,R119-S119)</f>
        <v/>
      </c>
      <c r="U119">
        <f>Z118</f>
        <v/>
      </c>
      <c r="V119">
        <f>U119*Plan!D9/100/12</f>
        <v/>
      </c>
      <c r="W119">
        <f>MIN(Plan!E9,U119+V119)</f>
        <v/>
      </c>
      <c r="X119">
        <f>U119+V119-W119</f>
        <v/>
      </c>
      <c r="Y119">
        <f>MIN(X119,MAX(0,$B119-((E$5&lt;W$5)*F119+(K$5&lt;W$5)*L119+(Q$5&lt;W$5)*R119+(AC$5&lt;W$5)*AD119+(AI$5&lt;W$5)*AJ119+(AO$5&lt;W$5)*AP119+(AU$5&lt;W$5)*AV119)))</f>
        <v/>
      </c>
      <c r="Z119">
        <f>IF(X119-Y119&lt;0.005,0,X119-Y119)</f>
        <v/>
      </c>
      <c r="AA119">
        <f>AF118</f>
        <v/>
      </c>
      <c r="AB119">
        <f>AA119*Plan!D10/100/12</f>
        <v/>
      </c>
      <c r="AC119">
        <f>MIN(Plan!E10,AA119+AB119)</f>
        <v/>
      </c>
      <c r="AD119">
        <f>AA119+AB119-AC119</f>
        <v/>
      </c>
      <c r="AE119">
        <f>MIN(AD119,MAX(0,$B119-((E$5&lt;AC$5)*F119+(K$5&lt;AC$5)*L119+(Q$5&lt;AC$5)*R119+(W$5&lt;AC$5)*X119+(AI$5&lt;AC$5)*AJ119+(AO$5&lt;AC$5)*AP119+(AU$5&lt;AC$5)*AV119)))</f>
        <v/>
      </c>
      <c r="AF119">
        <f>IF(AD119-AE119&lt;0.005,0,AD119-AE119)</f>
        <v/>
      </c>
      <c r="AG119">
        <f>AL118</f>
        <v/>
      </c>
      <c r="AH119">
        <f>AG119*Plan!D11/100/12</f>
        <v/>
      </c>
      <c r="AI119">
        <f>MIN(Plan!E11,AG119+AH119)</f>
        <v/>
      </c>
      <c r="AJ119">
        <f>AG119+AH119-AI119</f>
        <v/>
      </c>
      <c r="AK119">
        <f>MIN(AJ119,MAX(0,$B119-((E$5&lt;AI$5)*F119+(K$5&lt;AI$5)*L119+(Q$5&lt;AI$5)*R119+(W$5&lt;AI$5)*X119+(AC$5&lt;AI$5)*AD119+(AO$5&lt;AI$5)*AP119+(AU$5&lt;AI$5)*AV119)))</f>
        <v/>
      </c>
      <c r="AL119">
        <f>IF(AJ119-AK119&lt;0.005,0,AJ119-AK119)</f>
        <v/>
      </c>
      <c r="AM119">
        <f>AR118</f>
        <v/>
      </c>
      <c r="AN119">
        <f>AM119*Plan!D12/100/12</f>
        <v/>
      </c>
      <c r="AO119">
        <f>MIN(Plan!E12,AM119+AN119)</f>
        <v/>
      </c>
      <c r="AP119">
        <f>AM119+AN119-AO119</f>
        <v/>
      </c>
      <c r="AQ119">
        <f>MIN(AP119,MAX(0,$B119-((E$5&lt;AO$5)*F119+(K$5&lt;AO$5)*L119+(Q$5&lt;AO$5)*R119+(W$5&lt;AO$5)*X119+(AC$5&lt;AO$5)*AD119+(AI$5&lt;AO$5)*AJ119+(AU$5&lt;AO$5)*AV119)))</f>
        <v/>
      </c>
      <c r="AR119">
        <f>IF(AP119-AQ119&lt;0.005,0,AP119-AQ119)</f>
        <v/>
      </c>
      <c r="AS119">
        <f>AX118</f>
        <v/>
      </c>
      <c r="AT119">
        <f>AS119*Plan!D13/100/12</f>
        <v/>
      </c>
      <c r="AU119">
        <f>MIN(Plan!E13,AS119+AT119)</f>
        <v/>
      </c>
      <c r="AV119">
        <f>AS119+AT119-AU119</f>
        <v/>
      </c>
      <c r="AW119">
        <f>MIN(AV119,MAX(0,$B119-((E$5&lt;AU$5)*F119+(K$5&lt;AU$5)*L119+(Q$5&lt;AU$5)*R119+(W$5&lt;AU$5)*X119+(AC$5&lt;AU$5)*AD119+(AI$5&lt;AU$5)*AJ119+(AO$5&lt;AU$5)*AP119)))</f>
        <v/>
      </c>
      <c r="AX119">
        <f>IF(AV119-AW119&lt;0.005,0,AV119-AW119)</f>
        <v/>
      </c>
      <c r="BC119">
        <f>H119+N119+T119+Z119+AF119+AL119+AR119+AX119</f>
        <v/>
      </c>
    </row>
    <row r="120">
      <c r="A120" t="n">
        <v>114</v>
      </c>
      <c r="B120" s="19">
        <f>MAX(0,$B$3-(E120+K120+Q120+W120+AC120+AI120+AO120+AU120))</f>
        <v/>
      </c>
      <c r="C120">
        <f>H119</f>
        <v/>
      </c>
      <c r="D120">
        <f>C120*Plan!D6/100/12</f>
        <v/>
      </c>
      <c r="E120">
        <f>MIN(Plan!E6,C120+D120)</f>
        <v/>
      </c>
      <c r="F120">
        <f>C120+D120-E120</f>
        <v/>
      </c>
      <c r="G120">
        <f>MIN(F120,MAX(0,$B120-((K$5&lt;E$5)*L120+(Q$5&lt;E$5)*R120+(W$5&lt;E$5)*X120+(AC$5&lt;E$5)*AD120+(AI$5&lt;E$5)*AJ120+(AO$5&lt;E$5)*AP120+(AU$5&lt;E$5)*AV120)))</f>
        <v/>
      </c>
      <c r="H120">
        <f>IF(F120-G120&lt;0.005,0,F120-G120)</f>
        <v/>
      </c>
      <c r="I120">
        <f>N119</f>
        <v/>
      </c>
      <c r="J120">
        <f>I120*Plan!D7/100/12</f>
        <v/>
      </c>
      <c r="K120">
        <f>MIN(Plan!E7,I120+J120)</f>
        <v/>
      </c>
      <c r="L120">
        <f>I120+J120-K120</f>
        <v/>
      </c>
      <c r="M120">
        <f>MIN(L120,MAX(0,$B120-((E$5&lt;K$5)*F120+(Q$5&lt;K$5)*R120+(W$5&lt;K$5)*X120+(AC$5&lt;K$5)*AD120+(AI$5&lt;K$5)*AJ120+(AO$5&lt;K$5)*AP120+(AU$5&lt;K$5)*AV120)))</f>
        <v/>
      </c>
      <c r="N120">
        <f>IF(L120-M120&lt;0.005,0,L120-M120)</f>
        <v/>
      </c>
      <c r="O120">
        <f>T119</f>
        <v/>
      </c>
      <c r="P120">
        <f>O120*Plan!D8/100/12</f>
        <v/>
      </c>
      <c r="Q120">
        <f>MIN(Plan!E8,O120+P120)</f>
        <v/>
      </c>
      <c r="R120">
        <f>O120+P120-Q120</f>
        <v/>
      </c>
      <c r="S120">
        <f>MIN(R120,MAX(0,$B120-((E$5&lt;Q$5)*F120+(K$5&lt;Q$5)*L120+(W$5&lt;Q$5)*X120+(AC$5&lt;Q$5)*AD120+(AI$5&lt;Q$5)*AJ120+(AO$5&lt;Q$5)*AP120+(AU$5&lt;Q$5)*AV120)))</f>
        <v/>
      </c>
      <c r="T120">
        <f>IF(R120-S120&lt;0.005,0,R120-S120)</f>
        <v/>
      </c>
      <c r="U120">
        <f>Z119</f>
        <v/>
      </c>
      <c r="V120">
        <f>U120*Plan!D9/100/12</f>
        <v/>
      </c>
      <c r="W120">
        <f>MIN(Plan!E9,U120+V120)</f>
        <v/>
      </c>
      <c r="X120">
        <f>U120+V120-W120</f>
        <v/>
      </c>
      <c r="Y120">
        <f>MIN(X120,MAX(0,$B120-((E$5&lt;W$5)*F120+(K$5&lt;W$5)*L120+(Q$5&lt;W$5)*R120+(AC$5&lt;W$5)*AD120+(AI$5&lt;W$5)*AJ120+(AO$5&lt;W$5)*AP120+(AU$5&lt;W$5)*AV120)))</f>
        <v/>
      </c>
      <c r="Z120">
        <f>IF(X120-Y120&lt;0.005,0,X120-Y120)</f>
        <v/>
      </c>
      <c r="AA120">
        <f>AF119</f>
        <v/>
      </c>
      <c r="AB120">
        <f>AA120*Plan!D10/100/12</f>
        <v/>
      </c>
      <c r="AC120">
        <f>MIN(Plan!E10,AA120+AB120)</f>
        <v/>
      </c>
      <c r="AD120">
        <f>AA120+AB120-AC120</f>
        <v/>
      </c>
      <c r="AE120">
        <f>MIN(AD120,MAX(0,$B120-((E$5&lt;AC$5)*F120+(K$5&lt;AC$5)*L120+(Q$5&lt;AC$5)*R120+(W$5&lt;AC$5)*X120+(AI$5&lt;AC$5)*AJ120+(AO$5&lt;AC$5)*AP120+(AU$5&lt;AC$5)*AV120)))</f>
        <v/>
      </c>
      <c r="AF120">
        <f>IF(AD120-AE120&lt;0.005,0,AD120-AE120)</f>
        <v/>
      </c>
      <c r="AG120">
        <f>AL119</f>
        <v/>
      </c>
      <c r="AH120">
        <f>AG120*Plan!D11/100/12</f>
        <v/>
      </c>
      <c r="AI120">
        <f>MIN(Plan!E11,AG120+AH120)</f>
        <v/>
      </c>
      <c r="AJ120">
        <f>AG120+AH120-AI120</f>
        <v/>
      </c>
      <c r="AK120">
        <f>MIN(AJ120,MAX(0,$B120-((E$5&lt;AI$5)*F120+(K$5&lt;AI$5)*L120+(Q$5&lt;AI$5)*R120+(W$5&lt;AI$5)*X120+(AC$5&lt;AI$5)*AD120+(AO$5&lt;AI$5)*AP120+(AU$5&lt;AI$5)*AV120)))</f>
        <v/>
      </c>
      <c r="AL120">
        <f>IF(AJ120-AK120&lt;0.005,0,AJ120-AK120)</f>
        <v/>
      </c>
      <c r="AM120">
        <f>AR119</f>
        <v/>
      </c>
      <c r="AN120">
        <f>AM120*Plan!D12/100/12</f>
        <v/>
      </c>
      <c r="AO120">
        <f>MIN(Plan!E12,AM120+AN120)</f>
        <v/>
      </c>
      <c r="AP120">
        <f>AM120+AN120-AO120</f>
        <v/>
      </c>
      <c r="AQ120">
        <f>MIN(AP120,MAX(0,$B120-((E$5&lt;AO$5)*F120+(K$5&lt;AO$5)*L120+(Q$5&lt;AO$5)*R120+(W$5&lt;AO$5)*X120+(AC$5&lt;AO$5)*AD120+(AI$5&lt;AO$5)*AJ120+(AU$5&lt;AO$5)*AV120)))</f>
        <v/>
      </c>
      <c r="AR120">
        <f>IF(AP120-AQ120&lt;0.005,0,AP120-AQ120)</f>
        <v/>
      </c>
      <c r="AS120">
        <f>AX119</f>
        <v/>
      </c>
      <c r="AT120">
        <f>AS120*Plan!D13/100/12</f>
        <v/>
      </c>
      <c r="AU120">
        <f>MIN(Plan!E13,AS120+AT120)</f>
        <v/>
      </c>
      <c r="AV120">
        <f>AS120+AT120-AU120</f>
        <v/>
      </c>
      <c r="AW120">
        <f>MIN(AV120,MAX(0,$B120-((E$5&lt;AU$5)*F120+(K$5&lt;AU$5)*L120+(Q$5&lt;AU$5)*R120+(W$5&lt;AU$5)*X120+(AC$5&lt;AU$5)*AD120+(AI$5&lt;AU$5)*AJ120+(AO$5&lt;AU$5)*AP120)))</f>
        <v/>
      </c>
      <c r="AX120">
        <f>IF(AV120-AW120&lt;0.005,0,AV120-AW120)</f>
        <v/>
      </c>
      <c r="BC120">
        <f>H120+N120+T120+Z120+AF120+AL120+AR120+AX120</f>
        <v/>
      </c>
    </row>
    <row r="121">
      <c r="A121" t="n">
        <v>115</v>
      </c>
      <c r="B121" s="19">
        <f>MAX(0,$B$3-(E121+K121+Q121+W121+AC121+AI121+AO121+AU121))</f>
        <v/>
      </c>
      <c r="C121">
        <f>H120</f>
        <v/>
      </c>
      <c r="D121">
        <f>C121*Plan!D6/100/12</f>
        <v/>
      </c>
      <c r="E121">
        <f>MIN(Plan!E6,C121+D121)</f>
        <v/>
      </c>
      <c r="F121">
        <f>C121+D121-E121</f>
        <v/>
      </c>
      <c r="G121">
        <f>MIN(F121,MAX(0,$B121-((K$5&lt;E$5)*L121+(Q$5&lt;E$5)*R121+(W$5&lt;E$5)*X121+(AC$5&lt;E$5)*AD121+(AI$5&lt;E$5)*AJ121+(AO$5&lt;E$5)*AP121+(AU$5&lt;E$5)*AV121)))</f>
        <v/>
      </c>
      <c r="H121">
        <f>IF(F121-G121&lt;0.005,0,F121-G121)</f>
        <v/>
      </c>
      <c r="I121">
        <f>N120</f>
        <v/>
      </c>
      <c r="J121">
        <f>I121*Plan!D7/100/12</f>
        <v/>
      </c>
      <c r="K121">
        <f>MIN(Plan!E7,I121+J121)</f>
        <v/>
      </c>
      <c r="L121">
        <f>I121+J121-K121</f>
        <v/>
      </c>
      <c r="M121">
        <f>MIN(L121,MAX(0,$B121-((E$5&lt;K$5)*F121+(Q$5&lt;K$5)*R121+(W$5&lt;K$5)*X121+(AC$5&lt;K$5)*AD121+(AI$5&lt;K$5)*AJ121+(AO$5&lt;K$5)*AP121+(AU$5&lt;K$5)*AV121)))</f>
        <v/>
      </c>
      <c r="N121">
        <f>IF(L121-M121&lt;0.005,0,L121-M121)</f>
        <v/>
      </c>
      <c r="O121">
        <f>T120</f>
        <v/>
      </c>
      <c r="P121">
        <f>O121*Plan!D8/100/12</f>
        <v/>
      </c>
      <c r="Q121">
        <f>MIN(Plan!E8,O121+P121)</f>
        <v/>
      </c>
      <c r="R121">
        <f>O121+P121-Q121</f>
        <v/>
      </c>
      <c r="S121">
        <f>MIN(R121,MAX(0,$B121-((E$5&lt;Q$5)*F121+(K$5&lt;Q$5)*L121+(W$5&lt;Q$5)*X121+(AC$5&lt;Q$5)*AD121+(AI$5&lt;Q$5)*AJ121+(AO$5&lt;Q$5)*AP121+(AU$5&lt;Q$5)*AV121)))</f>
        <v/>
      </c>
      <c r="T121">
        <f>IF(R121-S121&lt;0.005,0,R121-S121)</f>
        <v/>
      </c>
      <c r="U121">
        <f>Z120</f>
        <v/>
      </c>
      <c r="V121">
        <f>U121*Plan!D9/100/12</f>
        <v/>
      </c>
      <c r="W121">
        <f>MIN(Plan!E9,U121+V121)</f>
        <v/>
      </c>
      <c r="X121">
        <f>U121+V121-W121</f>
        <v/>
      </c>
      <c r="Y121">
        <f>MIN(X121,MAX(0,$B121-((E$5&lt;W$5)*F121+(K$5&lt;W$5)*L121+(Q$5&lt;W$5)*R121+(AC$5&lt;W$5)*AD121+(AI$5&lt;W$5)*AJ121+(AO$5&lt;W$5)*AP121+(AU$5&lt;W$5)*AV121)))</f>
        <v/>
      </c>
      <c r="Z121">
        <f>IF(X121-Y121&lt;0.005,0,X121-Y121)</f>
        <v/>
      </c>
      <c r="AA121">
        <f>AF120</f>
        <v/>
      </c>
      <c r="AB121">
        <f>AA121*Plan!D10/100/12</f>
        <v/>
      </c>
      <c r="AC121">
        <f>MIN(Plan!E10,AA121+AB121)</f>
        <v/>
      </c>
      <c r="AD121">
        <f>AA121+AB121-AC121</f>
        <v/>
      </c>
      <c r="AE121">
        <f>MIN(AD121,MAX(0,$B121-((E$5&lt;AC$5)*F121+(K$5&lt;AC$5)*L121+(Q$5&lt;AC$5)*R121+(W$5&lt;AC$5)*X121+(AI$5&lt;AC$5)*AJ121+(AO$5&lt;AC$5)*AP121+(AU$5&lt;AC$5)*AV121)))</f>
        <v/>
      </c>
      <c r="AF121">
        <f>IF(AD121-AE121&lt;0.005,0,AD121-AE121)</f>
        <v/>
      </c>
      <c r="AG121">
        <f>AL120</f>
        <v/>
      </c>
      <c r="AH121">
        <f>AG121*Plan!D11/100/12</f>
        <v/>
      </c>
      <c r="AI121">
        <f>MIN(Plan!E11,AG121+AH121)</f>
        <v/>
      </c>
      <c r="AJ121">
        <f>AG121+AH121-AI121</f>
        <v/>
      </c>
      <c r="AK121">
        <f>MIN(AJ121,MAX(0,$B121-((E$5&lt;AI$5)*F121+(K$5&lt;AI$5)*L121+(Q$5&lt;AI$5)*R121+(W$5&lt;AI$5)*X121+(AC$5&lt;AI$5)*AD121+(AO$5&lt;AI$5)*AP121+(AU$5&lt;AI$5)*AV121)))</f>
        <v/>
      </c>
      <c r="AL121">
        <f>IF(AJ121-AK121&lt;0.005,0,AJ121-AK121)</f>
        <v/>
      </c>
      <c r="AM121">
        <f>AR120</f>
        <v/>
      </c>
      <c r="AN121">
        <f>AM121*Plan!D12/100/12</f>
        <v/>
      </c>
      <c r="AO121">
        <f>MIN(Plan!E12,AM121+AN121)</f>
        <v/>
      </c>
      <c r="AP121">
        <f>AM121+AN121-AO121</f>
        <v/>
      </c>
      <c r="AQ121">
        <f>MIN(AP121,MAX(0,$B121-((E$5&lt;AO$5)*F121+(K$5&lt;AO$5)*L121+(Q$5&lt;AO$5)*R121+(W$5&lt;AO$5)*X121+(AC$5&lt;AO$5)*AD121+(AI$5&lt;AO$5)*AJ121+(AU$5&lt;AO$5)*AV121)))</f>
        <v/>
      </c>
      <c r="AR121">
        <f>IF(AP121-AQ121&lt;0.005,0,AP121-AQ121)</f>
        <v/>
      </c>
      <c r="AS121">
        <f>AX120</f>
        <v/>
      </c>
      <c r="AT121">
        <f>AS121*Plan!D13/100/12</f>
        <v/>
      </c>
      <c r="AU121">
        <f>MIN(Plan!E13,AS121+AT121)</f>
        <v/>
      </c>
      <c r="AV121">
        <f>AS121+AT121-AU121</f>
        <v/>
      </c>
      <c r="AW121">
        <f>MIN(AV121,MAX(0,$B121-((E$5&lt;AU$5)*F121+(K$5&lt;AU$5)*L121+(Q$5&lt;AU$5)*R121+(W$5&lt;AU$5)*X121+(AC$5&lt;AU$5)*AD121+(AI$5&lt;AU$5)*AJ121+(AO$5&lt;AU$5)*AP121)))</f>
        <v/>
      </c>
      <c r="AX121">
        <f>IF(AV121-AW121&lt;0.005,0,AV121-AW121)</f>
        <v/>
      </c>
      <c r="BC121">
        <f>H121+N121+T121+Z121+AF121+AL121+AR121+AX121</f>
        <v/>
      </c>
    </row>
    <row r="122">
      <c r="A122" t="n">
        <v>116</v>
      </c>
      <c r="B122" s="19">
        <f>MAX(0,$B$3-(E122+K122+Q122+W122+AC122+AI122+AO122+AU122))</f>
        <v/>
      </c>
      <c r="C122">
        <f>H121</f>
        <v/>
      </c>
      <c r="D122">
        <f>C122*Plan!D6/100/12</f>
        <v/>
      </c>
      <c r="E122">
        <f>MIN(Plan!E6,C122+D122)</f>
        <v/>
      </c>
      <c r="F122">
        <f>C122+D122-E122</f>
        <v/>
      </c>
      <c r="G122">
        <f>MIN(F122,MAX(0,$B122-((K$5&lt;E$5)*L122+(Q$5&lt;E$5)*R122+(W$5&lt;E$5)*X122+(AC$5&lt;E$5)*AD122+(AI$5&lt;E$5)*AJ122+(AO$5&lt;E$5)*AP122+(AU$5&lt;E$5)*AV122)))</f>
        <v/>
      </c>
      <c r="H122">
        <f>IF(F122-G122&lt;0.005,0,F122-G122)</f>
        <v/>
      </c>
      <c r="I122">
        <f>N121</f>
        <v/>
      </c>
      <c r="J122">
        <f>I122*Plan!D7/100/12</f>
        <v/>
      </c>
      <c r="K122">
        <f>MIN(Plan!E7,I122+J122)</f>
        <v/>
      </c>
      <c r="L122">
        <f>I122+J122-K122</f>
        <v/>
      </c>
      <c r="M122">
        <f>MIN(L122,MAX(0,$B122-((E$5&lt;K$5)*F122+(Q$5&lt;K$5)*R122+(W$5&lt;K$5)*X122+(AC$5&lt;K$5)*AD122+(AI$5&lt;K$5)*AJ122+(AO$5&lt;K$5)*AP122+(AU$5&lt;K$5)*AV122)))</f>
        <v/>
      </c>
      <c r="N122">
        <f>IF(L122-M122&lt;0.005,0,L122-M122)</f>
        <v/>
      </c>
      <c r="O122">
        <f>T121</f>
        <v/>
      </c>
      <c r="P122">
        <f>O122*Plan!D8/100/12</f>
        <v/>
      </c>
      <c r="Q122">
        <f>MIN(Plan!E8,O122+P122)</f>
        <v/>
      </c>
      <c r="R122">
        <f>O122+P122-Q122</f>
        <v/>
      </c>
      <c r="S122">
        <f>MIN(R122,MAX(0,$B122-((E$5&lt;Q$5)*F122+(K$5&lt;Q$5)*L122+(W$5&lt;Q$5)*X122+(AC$5&lt;Q$5)*AD122+(AI$5&lt;Q$5)*AJ122+(AO$5&lt;Q$5)*AP122+(AU$5&lt;Q$5)*AV122)))</f>
        <v/>
      </c>
      <c r="T122">
        <f>IF(R122-S122&lt;0.005,0,R122-S122)</f>
        <v/>
      </c>
      <c r="U122">
        <f>Z121</f>
        <v/>
      </c>
      <c r="V122">
        <f>U122*Plan!D9/100/12</f>
        <v/>
      </c>
      <c r="W122">
        <f>MIN(Plan!E9,U122+V122)</f>
        <v/>
      </c>
      <c r="X122">
        <f>U122+V122-W122</f>
        <v/>
      </c>
      <c r="Y122">
        <f>MIN(X122,MAX(0,$B122-((E$5&lt;W$5)*F122+(K$5&lt;W$5)*L122+(Q$5&lt;W$5)*R122+(AC$5&lt;W$5)*AD122+(AI$5&lt;W$5)*AJ122+(AO$5&lt;W$5)*AP122+(AU$5&lt;W$5)*AV122)))</f>
        <v/>
      </c>
      <c r="Z122">
        <f>IF(X122-Y122&lt;0.005,0,X122-Y122)</f>
        <v/>
      </c>
      <c r="AA122">
        <f>AF121</f>
        <v/>
      </c>
      <c r="AB122">
        <f>AA122*Plan!D10/100/12</f>
        <v/>
      </c>
      <c r="AC122">
        <f>MIN(Plan!E10,AA122+AB122)</f>
        <v/>
      </c>
      <c r="AD122">
        <f>AA122+AB122-AC122</f>
        <v/>
      </c>
      <c r="AE122">
        <f>MIN(AD122,MAX(0,$B122-((E$5&lt;AC$5)*F122+(K$5&lt;AC$5)*L122+(Q$5&lt;AC$5)*R122+(W$5&lt;AC$5)*X122+(AI$5&lt;AC$5)*AJ122+(AO$5&lt;AC$5)*AP122+(AU$5&lt;AC$5)*AV122)))</f>
        <v/>
      </c>
      <c r="AF122">
        <f>IF(AD122-AE122&lt;0.005,0,AD122-AE122)</f>
        <v/>
      </c>
      <c r="AG122">
        <f>AL121</f>
        <v/>
      </c>
      <c r="AH122">
        <f>AG122*Plan!D11/100/12</f>
        <v/>
      </c>
      <c r="AI122">
        <f>MIN(Plan!E11,AG122+AH122)</f>
        <v/>
      </c>
      <c r="AJ122">
        <f>AG122+AH122-AI122</f>
        <v/>
      </c>
      <c r="AK122">
        <f>MIN(AJ122,MAX(0,$B122-((E$5&lt;AI$5)*F122+(K$5&lt;AI$5)*L122+(Q$5&lt;AI$5)*R122+(W$5&lt;AI$5)*X122+(AC$5&lt;AI$5)*AD122+(AO$5&lt;AI$5)*AP122+(AU$5&lt;AI$5)*AV122)))</f>
        <v/>
      </c>
      <c r="AL122">
        <f>IF(AJ122-AK122&lt;0.005,0,AJ122-AK122)</f>
        <v/>
      </c>
      <c r="AM122">
        <f>AR121</f>
        <v/>
      </c>
      <c r="AN122">
        <f>AM122*Plan!D12/100/12</f>
        <v/>
      </c>
      <c r="AO122">
        <f>MIN(Plan!E12,AM122+AN122)</f>
        <v/>
      </c>
      <c r="AP122">
        <f>AM122+AN122-AO122</f>
        <v/>
      </c>
      <c r="AQ122">
        <f>MIN(AP122,MAX(0,$B122-((E$5&lt;AO$5)*F122+(K$5&lt;AO$5)*L122+(Q$5&lt;AO$5)*R122+(W$5&lt;AO$5)*X122+(AC$5&lt;AO$5)*AD122+(AI$5&lt;AO$5)*AJ122+(AU$5&lt;AO$5)*AV122)))</f>
        <v/>
      </c>
      <c r="AR122">
        <f>IF(AP122-AQ122&lt;0.005,0,AP122-AQ122)</f>
        <v/>
      </c>
      <c r="AS122">
        <f>AX121</f>
        <v/>
      </c>
      <c r="AT122">
        <f>AS122*Plan!D13/100/12</f>
        <v/>
      </c>
      <c r="AU122">
        <f>MIN(Plan!E13,AS122+AT122)</f>
        <v/>
      </c>
      <c r="AV122">
        <f>AS122+AT122-AU122</f>
        <v/>
      </c>
      <c r="AW122">
        <f>MIN(AV122,MAX(0,$B122-((E$5&lt;AU$5)*F122+(K$5&lt;AU$5)*L122+(Q$5&lt;AU$5)*R122+(W$5&lt;AU$5)*X122+(AC$5&lt;AU$5)*AD122+(AI$5&lt;AU$5)*AJ122+(AO$5&lt;AU$5)*AP122)))</f>
        <v/>
      </c>
      <c r="AX122">
        <f>IF(AV122-AW122&lt;0.005,0,AV122-AW122)</f>
        <v/>
      </c>
      <c r="BC122">
        <f>H122+N122+T122+Z122+AF122+AL122+AR122+AX122</f>
        <v/>
      </c>
    </row>
    <row r="123">
      <c r="A123" t="n">
        <v>117</v>
      </c>
      <c r="B123" s="19">
        <f>MAX(0,$B$3-(E123+K123+Q123+W123+AC123+AI123+AO123+AU123))</f>
        <v/>
      </c>
      <c r="C123">
        <f>H122</f>
        <v/>
      </c>
      <c r="D123">
        <f>C123*Plan!D6/100/12</f>
        <v/>
      </c>
      <c r="E123">
        <f>MIN(Plan!E6,C123+D123)</f>
        <v/>
      </c>
      <c r="F123">
        <f>C123+D123-E123</f>
        <v/>
      </c>
      <c r="G123">
        <f>MIN(F123,MAX(0,$B123-((K$5&lt;E$5)*L123+(Q$5&lt;E$5)*R123+(W$5&lt;E$5)*X123+(AC$5&lt;E$5)*AD123+(AI$5&lt;E$5)*AJ123+(AO$5&lt;E$5)*AP123+(AU$5&lt;E$5)*AV123)))</f>
        <v/>
      </c>
      <c r="H123">
        <f>IF(F123-G123&lt;0.005,0,F123-G123)</f>
        <v/>
      </c>
      <c r="I123">
        <f>N122</f>
        <v/>
      </c>
      <c r="J123">
        <f>I123*Plan!D7/100/12</f>
        <v/>
      </c>
      <c r="K123">
        <f>MIN(Plan!E7,I123+J123)</f>
        <v/>
      </c>
      <c r="L123">
        <f>I123+J123-K123</f>
        <v/>
      </c>
      <c r="M123">
        <f>MIN(L123,MAX(0,$B123-((E$5&lt;K$5)*F123+(Q$5&lt;K$5)*R123+(W$5&lt;K$5)*X123+(AC$5&lt;K$5)*AD123+(AI$5&lt;K$5)*AJ123+(AO$5&lt;K$5)*AP123+(AU$5&lt;K$5)*AV123)))</f>
        <v/>
      </c>
      <c r="N123">
        <f>IF(L123-M123&lt;0.005,0,L123-M123)</f>
        <v/>
      </c>
      <c r="O123">
        <f>T122</f>
        <v/>
      </c>
      <c r="P123">
        <f>O123*Plan!D8/100/12</f>
        <v/>
      </c>
      <c r="Q123">
        <f>MIN(Plan!E8,O123+P123)</f>
        <v/>
      </c>
      <c r="R123">
        <f>O123+P123-Q123</f>
        <v/>
      </c>
      <c r="S123">
        <f>MIN(R123,MAX(0,$B123-((E$5&lt;Q$5)*F123+(K$5&lt;Q$5)*L123+(W$5&lt;Q$5)*X123+(AC$5&lt;Q$5)*AD123+(AI$5&lt;Q$5)*AJ123+(AO$5&lt;Q$5)*AP123+(AU$5&lt;Q$5)*AV123)))</f>
        <v/>
      </c>
      <c r="T123">
        <f>IF(R123-S123&lt;0.005,0,R123-S123)</f>
        <v/>
      </c>
      <c r="U123">
        <f>Z122</f>
        <v/>
      </c>
      <c r="V123">
        <f>U123*Plan!D9/100/12</f>
        <v/>
      </c>
      <c r="W123">
        <f>MIN(Plan!E9,U123+V123)</f>
        <v/>
      </c>
      <c r="X123">
        <f>U123+V123-W123</f>
        <v/>
      </c>
      <c r="Y123">
        <f>MIN(X123,MAX(0,$B123-((E$5&lt;W$5)*F123+(K$5&lt;W$5)*L123+(Q$5&lt;W$5)*R123+(AC$5&lt;W$5)*AD123+(AI$5&lt;W$5)*AJ123+(AO$5&lt;W$5)*AP123+(AU$5&lt;W$5)*AV123)))</f>
        <v/>
      </c>
      <c r="Z123">
        <f>IF(X123-Y123&lt;0.005,0,X123-Y123)</f>
        <v/>
      </c>
      <c r="AA123">
        <f>AF122</f>
        <v/>
      </c>
      <c r="AB123">
        <f>AA123*Plan!D10/100/12</f>
        <v/>
      </c>
      <c r="AC123">
        <f>MIN(Plan!E10,AA123+AB123)</f>
        <v/>
      </c>
      <c r="AD123">
        <f>AA123+AB123-AC123</f>
        <v/>
      </c>
      <c r="AE123">
        <f>MIN(AD123,MAX(0,$B123-((E$5&lt;AC$5)*F123+(K$5&lt;AC$5)*L123+(Q$5&lt;AC$5)*R123+(W$5&lt;AC$5)*X123+(AI$5&lt;AC$5)*AJ123+(AO$5&lt;AC$5)*AP123+(AU$5&lt;AC$5)*AV123)))</f>
        <v/>
      </c>
      <c r="AF123">
        <f>IF(AD123-AE123&lt;0.005,0,AD123-AE123)</f>
        <v/>
      </c>
      <c r="AG123">
        <f>AL122</f>
        <v/>
      </c>
      <c r="AH123">
        <f>AG123*Plan!D11/100/12</f>
        <v/>
      </c>
      <c r="AI123">
        <f>MIN(Plan!E11,AG123+AH123)</f>
        <v/>
      </c>
      <c r="AJ123">
        <f>AG123+AH123-AI123</f>
        <v/>
      </c>
      <c r="AK123">
        <f>MIN(AJ123,MAX(0,$B123-((E$5&lt;AI$5)*F123+(K$5&lt;AI$5)*L123+(Q$5&lt;AI$5)*R123+(W$5&lt;AI$5)*X123+(AC$5&lt;AI$5)*AD123+(AO$5&lt;AI$5)*AP123+(AU$5&lt;AI$5)*AV123)))</f>
        <v/>
      </c>
      <c r="AL123">
        <f>IF(AJ123-AK123&lt;0.005,0,AJ123-AK123)</f>
        <v/>
      </c>
      <c r="AM123">
        <f>AR122</f>
        <v/>
      </c>
      <c r="AN123">
        <f>AM123*Plan!D12/100/12</f>
        <v/>
      </c>
      <c r="AO123">
        <f>MIN(Plan!E12,AM123+AN123)</f>
        <v/>
      </c>
      <c r="AP123">
        <f>AM123+AN123-AO123</f>
        <v/>
      </c>
      <c r="AQ123">
        <f>MIN(AP123,MAX(0,$B123-((E$5&lt;AO$5)*F123+(K$5&lt;AO$5)*L123+(Q$5&lt;AO$5)*R123+(W$5&lt;AO$5)*X123+(AC$5&lt;AO$5)*AD123+(AI$5&lt;AO$5)*AJ123+(AU$5&lt;AO$5)*AV123)))</f>
        <v/>
      </c>
      <c r="AR123">
        <f>IF(AP123-AQ123&lt;0.005,0,AP123-AQ123)</f>
        <v/>
      </c>
      <c r="AS123">
        <f>AX122</f>
        <v/>
      </c>
      <c r="AT123">
        <f>AS123*Plan!D13/100/12</f>
        <v/>
      </c>
      <c r="AU123">
        <f>MIN(Plan!E13,AS123+AT123)</f>
        <v/>
      </c>
      <c r="AV123">
        <f>AS123+AT123-AU123</f>
        <v/>
      </c>
      <c r="AW123">
        <f>MIN(AV123,MAX(0,$B123-((E$5&lt;AU$5)*F123+(K$5&lt;AU$5)*L123+(Q$5&lt;AU$5)*R123+(W$5&lt;AU$5)*X123+(AC$5&lt;AU$5)*AD123+(AI$5&lt;AU$5)*AJ123+(AO$5&lt;AU$5)*AP123)))</f>
        <v/>
      </c>
      <c r="AX123">
        <f>IF(AV123-AW123&lt;0.005,0,AV123-AW123)</f>
        <v/>
      </c>
      <c r="BC123">
        <f>H123+N123+T123+Z123+AF123+AL123+AR123+AX123</f>
        <v/>
      </c>
    </row>
    <row r="124">
      <c r="A124" t="n">
        <v>118</v>
      </c>
      <c r="B124" s="19">
        <f>MAX(0,$B$3-(E124+K124+Q124+W124+AC124+AI124+AO124+AU124))</f>
        <v/>
      </c>
      <c r="C124">
        <f>H123</f>
        <v/>
      </c>
      <c r="D124">
        <f>C124*Plan!D6/100/12</f>
        <v/>
      </c>
      <c r="E124">
        <f>MIN(Plan!E6,C124+D124)</f>
        <v/>
      </c>
      <c r="F124">
        <f>C124+D124-E124</f>
        <v/>
      </c>
      <c r="G124">
        <f>MIN(F124,MAX(0,$B124-((K$5&lt;E$5)*L124+(Q$5&lt;E$5)*R124+(W$5&lt;E$5)*X124+(AC$5&lt;E$5)*AD124+(AI$5&lt;E$5)*AJ124+(AO$5&lt;E$5)*AP124+(AU$5&lt;E$5)*AV124)))</f>
        <v/>
      </c>
      <c r="H124">
        <f>IF(F124-G124&lt;0.005,0,F124-G124)</f>
        <v/>
      </c>
      <c r="I124">
        <f>N123</f>
        <v/>
      </c>
      <c r="J124">
        <f>I124*Plan!D7/100/12</f>
        <v/>
      </c>
      <c r="K124">
        <f>MIN(Plan!E7,I124+J124)</f>
        <v/>
      </c>
      <c r="L124">
        <f>I124+J124-K124</f>
        <v/>
      </c>
      <c r="M124">
        <f>MIN(L124,MAX(0,$B124-((E$5&lt;K$5)*F124+(Q$5&lt;K$5)*R124+(W$5&lt;K$5)*X124+(AC$5&lt;K$5)*AD124+(AI$5&lt;K$5)*AJ124+(AO$5&lt;K$5)*AP124+(AU$5&lt;K$5)*AV124)))</f>
        <v/>
      </c>
      <c r="N124">
        <f>IF(L124-M124&lt;0.005,0,L124-M124)</f>
        <v/>
      </c>
      <c r="O124">
        <f>T123</f>
        <v/>
      </c>
      <c r="P124">
        <f>O124*Plan!D8/100/12</f>
        <v/>
      </c>
      <c r="Q124">
        <f>MIN(Plan!E8,O124+P124)</f>
        <v/>
      </c>
      <c r="R124">
        <f>O124+P124-Q124</f>
        <v/>
      </c>
      <c r="S124">
        <f>MIN(R124,MAX(0,$B124-((E$5&lt;Q$5)*F124+(K$5&lt;Q$5)*L124+(W$5&lt;Q$5)*X124+(AC$5&lt;Q$5)*AD124+(AI$5&lt;Q$5)*AJ124+(AO$5&lt;Q$5)*AP124+(AU$5&lt;Q$5)*AV124)))</f>
        <v/>
      </c>
      <c r="T124">
        <f>IF(R124-S124&lt;0.005,0,R124-S124)</f>
        <v/>
      </c>
      <c r="U124">
        <f>Z123</f>
        <v/>
      </c>
      <c r="V124">
        <f>U124*Plan!D9/100/12</f>
        <v/>
      </c>
      <c r="W124">
        <f>MIN(Plan!E9,U124+V124)</f>
        <v/>
      </c>
      <c r="X124">
        <f>U124+V124-W124</f>
        <v/>
      </c>
      <c r="Y124">
        <f>MIN(X124,MAX(0,$B124-((E$5&lt;W$5)*F124+(K$5&lt;W$5)*L124+(Q$5&lt;W$5)*R124+(AC$5&lt;W$5)*AD124+(AI$5&lt;W$5)*AJ124+(AO$5&lt;W$5)*AP124+(AU$5&lt;W$5)*AV124)))</f>
        <v/>
      </c>
      <c r="Z124">
        <f>IF(X124-Y124&lt;0.005,0,X124-Y124)</f>
        <v/>
      </c>
      <c r="AA124">
        <f>AF123</f>
        <v/>
      </c>
      <c r="AB124">
        <f>AA124*Plan!D10/100/12</f>
        <v/>
      </c>
      <c r="AC124">
        <f>MIN(Plan!E10,AA124+AB124)</f>
        <v/>
      </c>
      <c r="AD124">
        <f>AA124+AB124-AC124</f>
        <v/>
      </c>
      <c r="AE124">
        <f>MIN(AD124,MAX(0,$B124-((E$5&lt;AC$5)*F124+(K$5&lt;AC$5)*L124+(Q$5&lt;AC$5)*R124+(W$5&lt;AC$5)*X124+(AI$5&lt;AC$5)*AJ124+(AO$5&lt;AC$5)*AP124+(AU$5&lt;AC$5)*AV124)))</f>
        <v/>
      </c>
      <c r="AF124">
        <f>IF(AD124-AE124&lt;0.005,0,AD124-AE124)</f>
        <v/>
      </c>
      <c r="AG124">
        <f>AL123</f>
        <v/>
      </c>
      <c r="AH124">
        <f>AG124*Plan!D11/100/12</f>
        <v/>
      </c>
      <c r="AI124">
        <f>MIN(Plan!E11,AG124+AH124)</f>
        <v/>
      </c>
      <c r="AJ124">
        <f>AG124+AH124-AI124</f>
        <v/>
      </c>
      <c r="AK124">
        <f>MIN(AJ124,MAX(0,$B124-((E$5&lt;AI$5)*F124+(K$5&lt;AI$5)*L124+(Q$5&lt;AI$5)*R124+(W$5&lt;AI$5)*X124+(AC$5&lt;AI$5)*AD124+(AO$5&lt;AI$5)*AP124+(AU$5&lt;AI$5)*AV124)))</f>
        <v/>
      </c>
      <c r="AL124">
        <f>IF(AJ124-AK124&lt;0.005,0,AJ124-AK124)</f>
        <v/>
      </c>
      <c r="AM124">
        <f>AR123</f>
        <v/>
      </c>
      <c r="AN124">
        <f>AM124*Plan!D12/100/12</f>
        <v/>
      </c>
      <c r="AO124">
        <f>MIN(Plan!E12,AM124+AN124)</f>
        <v/>
      </c>
      <c r="AP124">
        <f>AM124+AN124-AO124</f>
        <v/>
      </c>
      <c r="AQ124">
        <f>MIN(AP124,MAX(0,$B124-((E$5&lt;AO$5)*F124+(K$5&lt;AO$5)*L124+(Q$5&lt;AO$5)*R124+(W$5&lt;AO$5)*X124+(AC$5&lt;AO$5)*AD124+(AI$5&lt;AO$5)*AJ124+(AU$5&lt;AO$5)*AV124)))</f>
        <v/>
      </c>
      <c r="AR124">
        <f>IF(AP124-AQ124&lt;0.005,0,AP124-AQ124)</f>
        <v/>
      </c>
      <c r="AS124">
        <f>AX123</f>
        <v/>
      </c>
      <c r="AT124">
        <f>AS124*Plan!D13/100/12</f>
        <v/>
      </c>
      <c r="AU124">
        <f>MIN(Plan!E13,AS124+AT124)</f>
        <v/>
      </c>
      <c r="AV124">
        <f>AS124+AT124-AU124</f>
        <v/>
      </c>
      <c r="AW124">
        <f>MIN(AV124,MAX(0,$B124-((E$5&lt;AU$5)*F124+(K$5&lt;AU$5)*L124+(Q$5&lt;AU$5)*R124+(W$5&lt;AU$5)*X124+(AC$5&lt;AU$5)*AD124+(AI$5&lt;AU$5)*AJ124+(AO$5&lt;AU$5)*AP124)))</f>
        <v/>
      </c>
      <c r="AX124">
        <f>IF(AV124-AW124&lt;0.005,0,AV124-AW124)</f>
        <v/>
      </c>
      <c r="BC124">
        <f>H124+N124+T124+Z124+AF124+AL124+AR124+AX124</f>
        <v/>
      </c>
    </row>
    <row r="125">
      <c r="A125" t="n">
        <v>119</v>
      </c>
      <c r="B125" s="19">
        <f>MAX(0,$B$3-(E125+K125+Q125+W125+AC125+AI125+AO125+AU125))</f>
        <v/>
      </c>
      <c r="C125">
        <f>H124</f>
        <v/>
      </c>
      <c r="D125">
        <f>C125*Plan!D6/100/12</f>
        <v/>
      </c>
      <c r="E125">
        <f>MIN(Plan!E6,C125+D125)</f>
        <v/>
      </c>
      <c r="F125">
        <f>C125+D125-E125</f>
        <v/>
      </c>
      <c r="G125">
        <f>MIN(F125,MAX(0,$B125-((K$5&lt;E$5)*L125+(Q$5&lt;E$5)*R125+(W$5&lt;E$5)*X125+(AC$5&lt;E$5)*AD125+(AI$5&lt;E$5)*AJ125+(AO$5&lt;E$5)*AP125+(AU$5&lt;E$5)*AV125)))</f>
        <v/>
      </c>
      <c r="H125">
        <f>IF(F125-G125&lt;0.005,0,F125-G125)</f>
        <v/>
      </c>
      <c r="I125">
        <f>N124</f>
        <v/>
      </c>
      <c r="J125">
        <f>I125*Plan!D7/100/12</f>
        <v/>
      </c>
      <c r="K125">
        <f>MIN(Plan!E7,I125+J125)</f>
        <v/>
      </c>
      <c r="L125">
        <f>I125+J125-K125</f>
        <v/>
      </c>
      <c r="M125">
        <f>MIN(L125,MAX(0,$B125-((E$5&lt;K$5)*F125+(Q$5&lt;K$5)*R125+(W$5&lt;K$5)*X125+(AC$5&lt;K$5)*AD125+(AI$5&lt;K$5)*AJ125+(AO$5&lt;K$5)*AP125+(AU$5&lt;K$5)*AV125)))</f>
        <v/>
      </c>
      <c r="N125">
        <f>IF(L125-M125&lt;0.005,0,L125-M125)</f>
        <v/>
      </c>
      <c r="O125">
        <f>T124</f>
        <v/>
      </c>
      <c r="P125">
        <f>O125*Plan!D8/100/12</f>
        <v/>
      </c>
      <c r="Q125">
        <f>MIN(Plan!E8,O125+P125)</f>
        <v/>
      </c>
      <c r="R125">
        <f>O125+P125-Q125</f>
        <v/>
      </c>
      <c r="S125">
        <f>MIN(R125,MAX(0,$B125-((E$5&lt;Q$5)*F125+(K$5&lt;Q$5)*L125+(W$5&lt;Q$5)*X125+(AC$5&lt;Q$5)*AD125+(AI$5&lt;Q$5)*AJ125+(AO$5&lt;Q$5)*AP125+(AU$5&lt;Q$5)*AV125)))</f>
        <v/>
      </c>
      <c r="T125">
        <f>IF(R125-S125&lt;0.005,0,R125-S125)</f>
        <v/>
      </c>
      <c r="U125">
        <f>Z124</f>
        <v/>
      </c>
      <c r="V125">
        <f>U125*Plan!D9/100/12</f>
        <v/>
      </c>
      <c r="W125">
        <f>MIN(Plan!E9,U125+V125)</f>
        <v/>
      </c>
      <c r="X125">
        <f>U125+V125-W125</f>
        <v/>
      </c>
      <c r="Y125">
        <f>MIN(X125,MAX(0,$B125-((E$5&lt;W$5)*F125+(K$5&lt;W$5)*L125+(Q$5&lt;W$5)*R125+(AC$5&lt;W$5)*AD125+(AI$5&lt;W$5)*AJ125+(AO$5&lt;W$5)*AP125+(AU$5&lt;W$5)*AV125)))</f>
        <v/>
      </c>
      <c r="Z125">
        <f>IF(X125-Y125&lt;0.005,0,X125-Y125)</f>
        <v/>
      </c>
      <c r="AA125">
        <f>AF124</f>
        <v/>
      </c>
      <c r="AB125">
        <f>AA125*Plan!D10/100/12</f>
        <v/>
      </c>
      <c r="AC125">
        <f>MIN(Plan!E10,AA125+AB125)</f>
        <v/>
      </c>
      <c r="AD125">
        <f>AA125+AB125-AC125</f>
        <v/>
      </c>
      <c r="AE125">
        <f>MIN(AD125,MAX(0,$B125-((E$5&lt;AC$5)*F125+(K$5&lt;AC$5)*L125+(Q$5&lt;AC$5)*R125+(W$5&lt;AC$5)*X125+(AI$5&lt;AC$5)*AJ125+(AO$5&lt;AC$5)*AP125+(AU$5&lt;AC$5)*AV125)))</f>
        <v/>
      </c>
      <c r="AF125">
        <f>IF(AD125-AE125&lt;0.005,0,AD125-AE125)</f>
        <v/>
      </c>
      <c r="AG125">
        <f>AL124</f>
        <v/>
      </c>
      <c r="AH125">
        <f>AG125*Plan!D11/100/12</f>
        <v/>
      </c>
      <c r="AI125">
        <f>MIN(Plan!E11,AG125+AH125)</f>
        <v/>
      </c>
      <c r="AJ125">
        <f>AG125+AH125-AI125</f>
        <v/>
      </c>
      <c r="AK125">
        <f>MIN(AJ125,MAX(0,$B125-((E$5&lt;AI$5)*F125+(K$5&lt;AI$5)*L125+(Q$5&lt;AI$5)*R125+(W$5&lt;AI$5)*X125+(AC$5&lt;AI$5)*AD125+(AO$5&lt;AI$5)*AP125+(AU$5&lt;AI$5)*AV125)))</f>
        <v/>
      </c>
      <c r="AL125">
        <f>IF(AJ125-AK125&lt;0.005,0,AJ125-AK125)</f>
        <v/>
      </c>
      <c r="AM125">
        <f>AR124</f>
        <v/>
      </c>
      <c r="AN125">
        <f>AM125*Plan!D12/100/12</f>
        <v/>
      </c>
      <c r="AO125">
        <f>MIN(Plan!E12,AM125+AN125)</f>
        <v/>
      </c>
      <c r="AP125">
        <f>AM125+AN125-AO125</f>
        <v/>
      </c>
      <c r="AQ125">
        <f>MIN(AP125,MAX(0,$B125-((E$5&lt;AO$5)*F125+(K$5&lt;AO$5)*L125+(Q$5&lt;AO$5)*R125+(W$5&lt;AO$5)*X125+(AC$5&lt;AO$5)*AD125+(AI$5&lt;AO$5)*AJ125+(AU$5&lt;AO$5)*AV125)))</f>
        <v/>
      </c>
      <c r="AR125">
        <f>IF(AP125-AQ125&lt;0.005,0,AP125-AQ125)</f>
        <v/>
      </c>
      <c r="AS125">
        <f>AX124</f>
        <v/>
      </c>
      <c r="AT125">
        <f>AS125*Plan!D13/100/12</f>
        <v/>
      </c>
      <c r="AU125">
        <f>MIN(Plan!E13,AS125+AT125)</f>
        <v/>
      </c>
      <c r="AV125">
        <f>AS125+AT125-AU125</f>
        <v/>
      </c>
      <c r="AW125">
        <f>MIN(AV125,MAX(0,$B125-((E$5&lt;AU$5)*F125+(K$5&lt;AU$5)*L125+(Q$5&lt;AU$5)*R125+(W$5&lt;AU$5)*X125+(AC$5&lt;AU$5)*AD125+(AI$5&lt;AU$5)*AJ125+(AO$5&lt;AU$5)*AP125)))</f>
        <v/>
      </c>
      <c r="AX125">
        <f>IF(AV125-AW125&lt;0.005,0,AV125-AW125)</f>
        <v/>
      </c>
      <c r="BC125">
        <f>H125+N125+T125+Z125+AF125+AL125+AR125+AX125</f>
        <v/>
      </c>
    </row>
    <row r="126">
      <c r="A126" t="n">
        <v>120</v>
      </c>
      <c r="B126" s="19">
        <f>MAX(0,$B$3-(E126+K126+Q126+W126+AC126+AI126+AO126+AU126))</f>
        <v/>
      </c>
      <c r="C126">
        <f>H125</f>
        <v/>
      </c>
      <c r="D126">
        <f>C126*Plan!D6/100/12</f>
        <v/>
      </c>
      <c r="E126">
        <f>MIN(Plan!E6,C126+D126)</f>
        <v/>
      </c>
      <c r="F126">
        <f>C126+D126-E126</f>
        <v/>
      </c>
      <c r="G126">
        <f>MIN(F126,MAX(0,$B126-((K$5&lt;E$5)*L126+(Q$5&lt;E$5)*R126+(W$5&lt;E$5)*X126+(AC$5&lt;E$5)*AD126+(AI$5&lt;E$5)*AJ126+(AO$5&lt;E$5)*AP126+(AU$5&lt;E$5)*AV126)))</f>
        <v/>
      </c>
      <c r="H126">
        <f>IF(F126-G126&lt;0.005,0,F126-G126)</f>
        <v/>
      </c>
      <c r="I126">
        <f>N125</f>
        <v/>
      </c>
      <c r="J126">
        <f>I126*Plan!D7/100/12</f>
        <v/>
      </c>
      <c r="K126">
        <f>MIN(Plan!E7,I126+J126)</f>
        <v/>
      </c>
      <c r="L126">
        <f>I126+J126-K126</f>
        <v/>
      </c>
      <c r="M126">
        <f>MIN(L126,MAX(0,$B126-((E$5&lt;K$5)*F126+(Q$5&lt;K$5)*R126+(W$5&lt;K$5)*X126+(AC$5&lt;K$5)*AD126+(AI$5&lt;K$5)*AJ126+(AO$5&lt;K$5)*AP126+(AU$5&lt;K$5)*AV126)))</f>
        <v/>
      </c>
      <c r="N126">
        <f>IF(L126-M126&lt;0.005,0,L126-M126)</f>
        <v/>
      </c>
      <c r="O126">
        <f>T125</f>
        <v/>
      </c>
      <c r="P126">
        <f>O126*Plan!D8/100/12</f>
        <v/>
      </c>
      <c r="Q126">
        <f>MIN(Plan!E8,O126+P126)</f>
        <v/>
      </c>
      <c r="R126">
        <f>O126+P126-Q126</f>
        <v/>
      </c>
      <c r="S126">
        <f>MIN(R126,MAX(0,$B126-((E$5&lt;Q$5)*F126+(K$5&lt;Q$5)*L126+(W$5&lt;Q$5)*X126+(AC$5&lt;Q$5)*AD126+(AI$5&lt;Q$5)*AJ126+(AO$5&lt;Q$5)*AP126+(AU$5&lt;Q$5)*AV126)))</f>
        <v/>
      </c>
      <c r="T126">
        <f>IF(R126-S126&lt;0.005,0,R126-S126)</f>
        <v/>
      </c>
      <c r="U126">
        <f>Z125</f>
        <v/>
      </c>
      <c r="V126">
        <f>U126*Plan!D9/100/12</f>
        <v/>
      </c>
      <c r="W126">
        <f>MIN(Plan!E9,U126+V126)</f>
        <v/>
      </c>
      <c r="X126">
        <f>U126+V126-W126</f>
        <v/>
      </c>
      <c r="Y126">
        <f>MIN(X126,MAX(0,$B126-((E$5&lt;W$5)*F126+(K$5&lt;W$5)*L126+(Q$5&lt;W$5)*R126+(AC$5&lt;W$5)*AD126+(AI$5&lt;W$5)*AJ126+(AO$5&lt;W$5)*AP126+(AU$5&lt;W$5)*AV126)))</f>
        <v/>
      </c>
      <c r="Z126">
        <f>IF(X126-Y126&lt;0.005,0,X126-Y126)</f>
        <v/>
      </c>
      <c r="AA126">
        <f>AF125</f>
        <v/>
      </c>
      <c r="AB126">
        <f>AA126*Plan!D10/100/12</f>
        <v/>
      </c>
      <c r="AC126">
        <f>MIN(Plan!E10,AA126+AB126)</f>
        <v/>
      </c>
      <c r="AD126">
        <f>AA126+AB126-AC126</f>
        <v/>
      </c>
      <c r="AE126">
        <f>MIN(AD126,MAX(0,$B126-((E$5&lt;AC$5)*F126+(K$5&lt;AC$5)*L126+(Q$5&lt;AC$5)*R126+(W$5&lt;AC$5)*X126+(AI$5&lt;AC$5)*AJ126+(AO$5&lt;AC$5)*AP126+(AU$5&lt;AC$5)*AV126)))</f>
        <v/>
      </c>
      <c r="AF126">
        <f>IF(AD126-AE126&lt;0.005,0,AD126-AE126)</f>
        <v/>
      </c>
      <c r="AG126">
        <f>AL125</f>
        <v/>
      </c>
      <c r="AH126">
        <f>AG126*Plan!D11/100/12</f>
        <v/>
      </c>
      <c r="AI126">
        <f>MIN(Plan!E11,AG126+AH126)</f>
        <v/>
      </c>
      <c r="AJ126">
        <f>AG126+AH126-AI126</f>
        <v/>
      </c>
      <c r="AK126">
        <f>MIN(AJ126,MAX(0,$B126-((E$5&lt;AI$5)*F126+(K$5&lt;AI$5)*L126+(Q$5&lt;AI$5)*R126+(W$5&lt;AI$5)*X126+(AC$5&lt;AI$5)*AD126+(AO$5&lt;AI$5)*AP126+(AU$5&lt;AI$5)*AV126)))</f>
        <v/>
      </c>
      <c r="AL126">
        <f>IF(AJ126-AK126&lt;0.005,0,AJ126-AK126)</f>
        <v/>
      </c>
      <c r="AM126">
        <f>AR125</f>
        <v/>
      </c>
      <c r="AN126">
        <f>AM126*Plan!D12/100/12</f>
        <v/>
      </c>
      <c r="AO126">
        <f>MIN(Plan!E12,AM126+AN126)</f>
        <v/>
      </c>
      <c r="AP126">
        <f>AM126+AN126-AO126</f>
        <v/>
      </c>
      <c r="AQ126">
        <f>MIN(AP126,MAX(0,$B126-((E$5&lt;AO$5)*F126+(K$5&lt;AO$5)*L126+(Q$5&lt;AO$5)*R126+(W$5&lt;AO$5)*X126+(AC$5&lt;AO$5)*AD126+(AI$5&lt;AO$5)*AJ126+(AU$5&lt;AO$5)*AV126)))</f>
        <v/>
      </c>
      <c r="AR126">
        <f>IF(AP126-AQ126&lt;0.005,0,AP126-AQ126)</f>
        <v/>
      </c>
      <c r="AS126">
        <f>AX125</f>
        <v/>
      </c>
      <c r="AT126">
        <f>AS126*Plan!D13/100/12</f>
        <v/>
      </c>
      <c r="AU126">
        <f>MIN(Plan!E13,AS126+AT126)</f>
        <v/>
      </c>
      <c r="AV126">
        <f>AS126+AT126-AU126</f>
        <v/>
      </c>
      <c r="AW126">
        <f>MIN(AV126,MAX(0,$B126-((E$5&lt;AU$5)*F126+(K$5&lt;AU$5)*L126+(Q$5&lt;AU$5)*R126+(W$5&lt;AU$5)*X126+(AC$5&lt;AU$5)*AD126+(AI$5&lt;AU$5)*AJ126+(AO$5&lt;AU$5)*AP126)))</f>
        <v/>
      </c>
      <c r="AX126">
        <f>IF(AV126-AW126&lt;0.005,0,AV126-AW126)</f>
        <v/>
      </c>
      <c r="BC126">
        <f>H126+N126+T126+Z126+AF126+AL126+AR126+AX126</f>
        <v/>
      </c>
    </row>
    <row r="127">
      <c r="A127" t="n">
        <v>121</v>
      </c>
      <c r="B127" s="19">
        <f>MAX(0,$B$3-(E127+K127+Q127+W127+AC127+AI127+AO127+AU127))</f>
        <v/>
      </c>
      <c r="C127">
        <f>H126</f>
        <v/>
      </c>
      <c r="D127">
        <f>C127*Plan!D6/100/12</f>
        <v/>
      </c>
      <c r="E127">
        <f>MIN(Plan!E6,C127+D127)</f>
        <v/>
      </c>
      <c r="F127">
        <f>C127+D127-E127</f>
        <v/>
      </c>
      <c r="G127">
        <f>MIN(F127,MAX(0,$B127-((K$5&lt;E$5)*L127+(Q$5&lt;E$5)*R127+(W$5&lt;E$5)*X127+(AC$5&lt;E$5)*AD127+(AI$5&lt;E$5)*AJ127+(AO$5&lt;E$5)*AP127+(AU$5&lt;E$5)*AV127)))</f>
        <v/>
      </c>
      <c r="H127">
        <f>IF(F127-G127&lt;0.005,0,F127-G127)</f>
        <v/>
      </c>
      <c r="I127">
        <f>N126</f>
        <v/>
      </c>
      <c r="J127">
        <f>I127*Plan!D7/100/12</f>
        <v/>
      </c>
      <c r="K127">
        <f>MIN(Plan!E7,I127+J127)</f>
        <v/>
      </c>
      <c r="L127">
        <f>I127+J127-K127</f>
        <v/>
      </c>
      <c r="M127">
        <f>MIN(L127,MAX(0,$B127-((E$5&lt;K$5)*F127+(Q$5&lt;K$5)*R127+(W$5&lt;K$5)*X127+(AC$5&lt;K$5)*AD127+(AI$5&lt;K$5)*AJ127+(AO$5&lt;K$5)*AP127+(AU$5&lt;K$5)*AV127)))</f>
        <v/>
      </c>
      <c r="N127">
        <f>IF(L127-M127&lt;0.005,0,L127-M127)</f>
        <v/>
      </c>
      <c r="O127">
        <f>T126</f>
        <v/>
      </c>
      <c r="P127">
        <f>O127*Plan!D8/100/12</f>
        <v/>
      </c>
      <c r="Q127">
        <f>MIN(Plan!E8,O127+P127)</f>
        <v/>
      </c>
      <c r="R127">
        <f>O127+P127-Q127</f>
        <v/>
      </c>
      <c r="S127">
        <f>MIN(R127,MAX(0,$B127-((E$5&lt;Q$5)*F127+(K$5&lt;Q$5)*L127+(W$5&lt;Q$5)*X127+(AC$5&lt;Q$5)*AD127+(AI$5&lt;Q$5)*AJ127+(AO$5&lt;Q$5)*AP127+(AU$5&lt;Q$5)*AV127)))</f>
        <v/>
      </c>
      <c r="T127">
        <f>IF(R127-S127&lt;0.005,0,R127-S127)</f>
        <v/>
      </c>
      <c r="U127">
        <f>Z126</f>
        <v/>
      </c>
      <c r="V127">
        <f>U127*Plan!D9/100/12</f>
        <v/>
      </c>
      <c r="W127">
        <f>MIN(Plan!E9,U127+V127)</f>
        <v/>
      </c>
      <c r="X127">
        <f>U127+V127-W127</f>
        <v/>
      </c>
      <c r="Y127">
        <f>MIN(X127,MAX(0,$B127-((E$5&lt;W$5)*F127+(K$5&lt;W$5)*L127+(Q$5&lt;W$5)*R127+(AC$5&lt;W$5)*AD127+(AI$5&lt;W$5)*AJ127+(AO$5&lt;W$5)*AP127+(AU$5&lt;W$5)*AV127)))</f>
        <v/>
      </c>
      <c r="Z127">
        <f>IF(X127-Y127&lt;0.005,0,X127-Y127)</f>
        <v/>
      </c>
      <c r="AA127">
        <f>AF126</f>
        <v/>
      </c>
      <c r="AB127">
        <f>AA127*Plan!D10/100/12</f>
        <v/>
      </c>
      <c r="AC127">
        <f>MIN(Plan!E10,AA127+AB127)</f>
        <v/>
      </c>
      <c r="AD127">
        <f>AA127+AB127-AC127</f>
        <v/>
      </c>
      <c r="AE127">
        <f>MIN(AD127,MAX(0,$B127-((E$5&lt;AC$5)*F127+(K$5&lt;AC$5)*L127+(Q$5&lt;AC$5)*R127+(W$5&lt;AC$5)*X127+(AI$5&lt;AC$5)*AJ127+(AO$5&lt;AC$5)*AP127+(AU$5&lt;AC$5)*AV127)))</f>
        <v/>
      </c>
      <c r="AF127">
        <f>IF(AD127-AE127&lt;0.005,0,AD127-AE127)</f>
        <v/>
      </c>
      <c r="AG127">
        <f>AL126</f>
        <v/>
      </c>
      <c r="AH127">
        <f>AG127*Plan!D11/100/12</f>
        <v/>
      </c>
      <c r="AI127">
        <f>MIN(Plan!E11,AG127+AH127)</f>
        <v/>
      </c>
      <c r="AJ127">
        <f>AG127+AH127-AI127</f>
        <v/>
      </c>
      <c r="AK127">
        <f>MIN(AJ127,MAX(0,$B127-((E$5&lt;AI$5)*F127+(K$5&lt;AI$5)*L127+(Q$5&lt;AI$5)*R127+(W$5&lt;AI$5)*X127+(AC$5&lt;AI$5)*AD127+(AO$5&lt;AI$5)*AP127+(AU$5&lt;AI$5)*AV127)))</f>
        <v/>
      </c>
      <c r="AL127">
        <f>IF(AJ127-AK127&lt;0.005,0,AJ127-AK127)</f>
        <v/>
      </c>
      <c r="AM127">
        <f>AR126</f>
        <v/>
      </c>
      <c r="AN127">
        <f>AM127*Plan!D12/100/12</f>
        <v/>
      </c>
      <c r="AO127">
        <f>MIN(Plan!E12,AM127+AN127)</f>
        <v/>
      </c>
      <c r="AP127">
        <f>AM127+AN127-AO127</f>
        <v/>
      </c>
      <c r="AQ127">
        <f>MIN(AP127,MAX(0,$B127-((E$5&lt;AO$5)*F127+(K$5&lt;AO$5)*L127+(Q$5&lt;AO$5)*R127+(W$5&lt;AO$5)*X127+(AC$5&lt;AO$5)*AD127+(AI$5&lt;AO$5)*AJ127+(AU$5&lt;AO$5)*AV127)))</f>
        <v/>
      </c>
      <c r="AR127">
        <f>IF(AP127-AQ127&lt;0.005,0,AP127-AQ127)</f>
        <v/>
      </c>
      <c r="AS127">
        <f>AX126</f>
        <v/>
      </c>
      <c r="AT127">
        <f>AS127*Plan!D13/100/12</f>
        <v/>
      </c>
      <c r="AU127">
        <f>MIN(Plan!E13,AS127+AT127)</f>
        <v/>
      </c>
      <c r="AV127">
        <f>AS127+AT127-AU127</f>
        <v/>
      </c>
      <c r="AW127">
        <f>MIN(AV127,MAX(0,$B127-((E$5&lt;AU$5)*F127+(K$5&lt;AU$5)*L127+(Q$5&lt;AU$5)*R127+(W$5&lt;AU$5)*X127+(AC$5&lt;AU$5)*AD127+(AI$5&lt;AU$5)*AJ127+(AO$5&lt;AU$5)*AP127)))</f>
        <v/>
      </c>
      <c r="AX127">
        <f>IF(AV127-AW127&lt;0.005,0,AV127-AW127)</f>
        <v/>
      </c>
      <c r="BC127">
        <f>H127+N127+T127+Z127+AF127+AL127+AR127+AX127</f>
        <v/>
      </c>
    </row>
    <row r="128">
      <c r="A128" t="n">
        <v>122</v>
      </c>
      <c r="B128" s="19">
        <f>MAX(0,$B$3-(E128+K128+Q128+W128+AC128+AI128+AO128+AU128))</f>
        <v/>
      </c>
      <c r="C128">
        <f>H127</f>
        <v/>
      </c>
      <c r="D128">
        <f>C128*Plan!D6/100/12</f>
        <v/>
      </c>
      <c r="E128">
        <f>MIN(Plan!E6,C128+D128)</f>
        <v/>
      </c>
      <c r="F128">
        <f>C128+D128-E128</f>
        <v/>
      </c>
      <c r="G128">
        <f>MIN(F128,MAX(0,$B128-((K$5&lt;E$5)*L128+(Q$5&lt;E$5)*R128+(W$5&lt;E$5)*X128+(AC$5&lt;E$5)*AD128+(AI$5&lt;E$5)*AJ128+(AO$5&lt;E$5)*AP128+(AU$5&lt;E$5)*AV128)))</f>
        <v/>
      </c>
      <c r="H128">
        <f>IF(F128-G128&lt;0.005,0,F128-G128)</f>
        <v/>
      </c>
      <c r="I128">
        <f>N127</f>
        <v/>
      </c>
      <c r="J128">
        <f>I128*Plan!D7/100/12</f>
        <v/>
      </c>
      <c r="K128">
        <f>MIN(Plan!E7,I128+J128)</f>
        <v/>
      </c>
      <c r="L128">
        <f>I128+J128-K128</f>
        <v/>
      </c>
      <c r="M128">
        <f>MIN(L128,MAX(0,$B128-((E$5&lt;K$5)*F128+(Q$5&lt;K$5)*R128+(W$5&lt;K$5)*X128+(AC$5&lt;K$5)*AD128+(AI$5&lt;K$5)*AJ128+(AO$5&lt;K$5)*AP128+(AU$5&lt;K$5)*AV128)))</f>
        <v/>
      </c>
      <c r="N128">
        <f>IF(L128-M128&lt;0.005,0,L128-M128)</f>
        <v/>
      </c>
      <c r="O128">
        <f>T127</f>
        <v/>
      </c>
      <c r="P128">
        <f>O128*Plan!D8/100/12</f>
        <v/>
      </c>
      <c r="Q128">
        <f>MIN(Plan!E8,O128+P128)</f>
        <v/>
      </c>
      <c r="R128">
        <f>O128+P128-Q128</f>
        <v/>
      </c>
      <c r="S128">
        <f>MIN(R128,MAX(0,$B128-((E$5&lt;Q$5)*F128+(K$5&lt;Q$5)*L128+(W$5&lt;Q$5)*X128+(AC$5&lt;Q$5)*AD128+(AI$5&lt;Q$5)*AJ128+(AO$5&lt;Q$5)*AP128+(AU$5&lt;Q$5)*AV128)))</f>
        <v/>
      </c>
      <c r="T128">
        <f>IF(R128-S128&lt;0.005,0,R128-S128)</f>
        <v/>
      </c>
      <c r="U128">
        <f>Z127</f>
        <v/>
      </c>
      <c r="V128">
        <f>U128*Plan!D9/100/12</f>
        <v/>
      </c>
      <c r="W128">
        <f>MIN(Plan!E9,U128+V128)</f>
        <v/>
      </c>
      <c r="X128">
        <f>U128+V128-W128</f>
        <v/>
      </c>
      <c r="Y128">
        <f>MIN(X128,MAX(0,$B128-((E$5&lt;W$5)*F128+(K$5&lt;W$5)*L128+(Q$5&lt;W$5)*R128+(AC$5&lt;W$5)*AD128+(AI$5&lt;W$5)*AJ128+(AO$5&lt;W$5)*AP128+(AU$5&lt;W$5)*AV128)))</f>
        <v/>
      </c>
      <c r="Z128">
        <f>IF(X128-Y128&lt;0.005,0,X128-Y128)</f>
        <v/>
      </c>
      <c r="AA128">
        <f>AF127</f>
        <v/>
      </c>
      <c r="AB128">
        <f>AA128*Plan!D10/100/12</f>
        <v/>
      </c>
      <c r="AC128">
        <f>MIN(Plan!E10,AA128+AB128)</f>
        <v/>
      </c>
      <c r="AD128">
        <f>AA128+AB128-AC128</f>
        <v/>
      </c>
      <c r="AE128">
        <f>MIN(AD128,MAX(0,$B128-((E$5&lt;AC$5)*F128+(K$5&lt;AC$5)*L128+(Q$5&lt;AC$5)*R128+(W$5&lt;AC$5)*X128+(AI$5&lt;AC$5)*AJ128+(AO$5&lt;AC$5)*AP128+(AU$5&lt;AC$5)*AV128)))</f>
        <v/>
      </c>
      <c r="AF128">
        <f>IF(AD128-AE128&lt;0.005,0,AD128-AE128)</f>
        <v/>
      </c>
      <c r="AG128">
        <f>AL127</f>
        <v/>
      </c>
      <c r="AH128">
        <f>AG128*Plan!D11/100/12</f>
        <v/>
      </c>
      <c r="AI128">
        <f>MIN(Plan!E11,AG128+AH128)</f>
        <v/>
      </c>
      <c r="AJ128">
        <f>AG128+AH128-AI128</f>
        <v/>
      </c>
      <c r="AK128">
        <f>MIN(AJ128,MAX(0,$B128-((E$5&lt;AI$5)*F128+(K$5&lt;AI$5)*L128+(Q$5&lt;AI$5)*R128+(W$5&lt;AI$5)*X128+(AC$5&lt;AI$5)*AD128+(AO$5&lt;AI$5)*AP128+(AU$5&lt;AI$5)*AV128)))</f>
        <v/>
      </c>
      <c r="AL128">
        <f>IF(AJ128-AK128&lt;0.005,0,AJ128-AK128)</f>
        <v/>
      </c>
      <c r="AM128">
        <f>AR127</f>
        <v/>
      </c>
      <c r="AN128">
        <f>AM128*Plan!D12/100/12</f>
        <v/>
      </c>
      <c r="AO128">
        <f>MIN(Plan!E12,AM128+AN128)</f>
        <v/>
      </c>
      <c r="AP128">
        <f>AM128+AN128-AO128</f>
        <v/>
      </c>
      <c r="AQ128">
        <f>MIN(AP128,MAX(0,$B128-((E$5&lt;AO$5)*F128+(K$5&lt;AO$5)*L128+(Q$5&lt;AO$5)*R128+(W$5&lt;AO$5)*X128+(AC$5&lt;AO$5)*AD128+(AI$5&lt;AO$5)*AJ128+(AU$5&lt;AO$5)*AV128)))</f>
        <v/>
      </c>
      <c r="AR128">
        <f>IF(AP128-AQ128&lt;0.005,0,AP128-AQ128)</f>
        <v/>
      </c>
      <c r="AS128">
        <f>AX127</f>
        <v/>
      </c>
      <c r="AT128">
        <f>AS128*Plan!D13/100/12</f>
        <v/>
      </c>
      <c r="AU128">
        <f>MIN(Plan!E13,AS128+AT128)</f>
        <v/>
      </c>
      <c r="AV128">
        <f>AS128+AT128-AU128</f>
        <v/>
      </c>
      <c r="AW128">
        <f>MIN(AV128,MAX(0,$B128-((E$5&lt;AU$5)*F128+(K$5&lt;AU$5)*L128+(Q$5&lt;AU$5)*R128+(W$5&lt;AU$5)*X128+(AC$5&lt;AU$5)*AD128+(AI$5&lt;AU$5)*AJ128+(AO$5&lt;AU$5)*AP128)))</f>
        <v/>
      </c>
      <c r="AX128">
        <f>IF(AV128-AW128&lt;0.005,0,AV128-AW128)</f>
        <v/>
      </c>
      <c r="BC128">
        <f>H128+N128+T128+Z128+AF128+AL128+AR128+AX128</f>
        <v/>
      </c>
    </row>
    <row r="129">
      <c r="A129" t="n">
        <v>123</v>
      </c>
      <c r="B129" s="19">
        <f>MAX(0,$B$3-(E129+K129+Q129+W129+AC129+AI129+AO129+AU129))</f>
        <v/>
      </c>
      <c r="C129">
        <f>H128</f>
        <v/>
      </c>
      <c r="D129">
        <f>C129*Plan!D6/100/12</f>
        <v/>
      </c>
      <c r="E129">
        <f>MIN(Plan!E6,C129+D129)</f>
        <v/>
      </c>
      <c r="F129">
        <f>C129+D129-E129</f>
        <v/>
      </c>
      <c r="G129">
        <f>MIN(F129,MAX(0,$B129-((K$5&lt;E$5)*L129+(Q$5&lt;E$5)*R129+(W$5&lt;E$5)*X129+(AC$5&lt;E$5)*AD129+(AI$5&lt;E$5)*AJ129+(AO$5&lt;E$5)*AP129+(AU$5&lt;E$5)*AV129)))</f>
        <v/>
      </c>
      <c r="H129">
        <f>IF(F129-G129&lt;0.005,0,F129-G129)</f>
        <v/>
      </c>
      <c r="I129">
        <f>N128</f>
        <v/>
      </c>
      <c r="J129">
        <f>I129*Plan!D7/100/12</f>
        <v/>
      </c>
      <c r="K129">
        <f>MIN(Plan!E7,I129+J129)</f>
        <v/>
      </c>
      <c r="L129">
        <f>I129+J129-K129</f>
        <v/>
      </c>
      <c r="M129">
        <f>MIN(L129,MAX(0,$B129-((E$5&lt;K$5)*F129+(Q$5&lt;K$5)*R129+(W$5&lt;K$5)*X129+(AC$5&lt;K$5)*AD129+(AI$5&lt;K$5)*AJ129+(AO$5&lt;K$5)*AP129+(AU$5&lt;K$5)*AV129)))</f>
        <v/>
      </c>
      <c r="N129">
        <f>IF(L129-M129&lt;0.005,0,L129-M129)</f>
        <v/>
      </c>
      <c r="O129">
        <f>T128</f>
        <v/>
      </c>
      <c r="P129">
        <f>O129*Plan!D8/100/12</f>
        <v/>
      </c>
      <c r="Q129">
        <f>MIN(Plan!E8,O129+P129)</f>
        <v/>
      </c>
      <c r="R129">
        <f>O129+P129-Q129</f>
        <v/>
      </c>
      <c r="S129">
        <f>MIN(R129,MAX(0,$B129-((E$5&lt;Q$5)*F129+(K$5&lt;Q$5)*L129+(W$5&lt;Q$5)*X129+(AC$5&lt;Q$5)*AD129+(AI$5&lt;Q$5)*AJ129+(AO$5&lt;Q$5)*AP129+(AU$5&lt;Q$5)*AV129)))</f>
        <v/>
      </c>
      <c r="T129">
        <f>IF(R129-S129&lt;0.005,0,R129-S129)</f>
        <v/>
      </c>
      <c r="U129">
        <f>Z128</f>
        <v/>
      </c>
      <c r="V129">
        <f>U129*Plan!D9/100/12</f>
        <v/>
      </c>
      <c r="W129">
        <f>MIN(Plan!E9,U129+V129)</f>
        <v/>
      </c>
      <c r="X129">
        <f>U129+V129-W129</f>
        <v/>
      </c>
      <c r="Y129">
        <f>MIN(X129,MAX(0,$B129-((E$5&lt;W$5)*F129+(K$5&lt;W$5)*L129+(Q$5&lt;W$5)*R129+(AC$5&lt;W$5)*AD129+(AI$5&lt;W$5)*AJ129+(AO$5&lt;W$5)*AP129+(AU$5&lt;W$5)*AV129)))</f>
        <v/>
      </c>
      <c r="Z129">
        <f>IF(X129-Y129&lt;0.005,0,X129-Y129)</f>
        <v/>
      </c>
      <c r="AA129">
        <f>AF128</f>
        <v/>
      </c>
      <c r="AB129">
        <f>AA129*Plan!D10/100/12</f>
        <v/>
      </c>
      <c r="AC129">
        <f>MIN(Plan!E10,AA129+AB129)</f>
        <v/>
      </c>
      <c r="AD129">
        <f>AA129+AB129-AC129</f>
        <v/>
      </c>
      <c r="AE129">
        <f>MIN(AD129,MAX(0,$B129-((E$5&lt;AC$5)*F129+(K$5&lt;AC$5)*L129+(Q$5&lt;AC$5)*R129+(W$5&lt;AC$5)*X129+(AI$5&lt;AC$5)*AJ129+(AO$5&lt;AC$5)*AP129+(AU$5&lt;AC$5)*AV129)))</f>
        <v/>
      </c>
      <c r="AF129">
        <f>IF(AD129-AE129&lt;0.005,0,AD129-AE129)</f>
        <v/>
      </c>
      <c r="AG129">
        <f>AL128</f>
        <v/>
      </c>
      <c r="AH129">
        <f>AG129*Plan!D11/100/12</f>
        <v/>
      </c>
      <c r="AI129">
        <f>MIN(Plan!E11,AG129+AH129)</f>
        <v/>
      </c>
      <c r="AJ129">
        <f>AG129+AH129-AI129</f>
        <v/>
      </c>
      <c r="AK129">
        <f>MIN(AJ129,MAX(0,$B129-((E$5&lt;AI$5)*F129+(K$5&lt;AI$5)*L129+(Q$5&lt;AI$5)*R129+(W$5&lt;AI$5)*X129+(AC$5&lt;AI$5)*AD129+(AO$5&lt;AI$5)*AP129+(AU$5&lt;AI$5)*AV129)))</f>
        <v/>
      </c>
      <c r="AL129">
        <f>IF(AJ129-AK129&lt;0.005,0,AJ129-AK129)</f>
        <v/>
      </c>
      <c r="AM129">
        <f>AR128</f>
        <v/>
      </c>
      <c r="AN129">
        <f>AM129*Plan!D12/100/12</f>
        <v/>
      </c>
      <c r="AO129">
        <f>MIN(Plan!E12,AM129+AN129)</f>
        <v/>
      </c>
      <c r="AP129">
        <f>AM129+AN129-AO129</f>
        <v/>
      </c>
      <c r="AQ129">
        <f>MIN(AP129,MAX(0,$B129-((E$5&lt;AO$5)*F129+(K$5&lt;AO$5)*L129+(Q$5&lt;AO$5)*R129+(W$5&lt;AO$5)*X129+(AC$5&lt;AO$5)*AD129+(AI$5&lt;AO$5)*AJ129+(AU$5&lt;AO$5)*AV129)))</f>
        <v/>
      </c>
      <c r="AR129">
        <f>IF(AP129-AQ129&lt;0.005,0,AP129-AQ129)</f>
        <v/>
      </c>
      <c r="AS129">
        <f>AX128</f>
        <v/>
      </c>
      <c r="AT129">
        <f>AS129*Plan!D13/100/12</f>
        <v/>
      </c>
      <c r="AU129">
        <f>MIN(Plan!E13,AS129+AT129)</f>
        <v/>
      </c>
      <c r="AV129">
        <f>AS129+AT129-AU129</f>
        <v/>
      </c>
      <c r="AW129">
        <f>MIN(AV129,MAX(0,$B129-((E$5&lt;AU$5)*F129+(K$5&lt;AU$5)*L129+(Q$5&lt;AU$5)*R129+(W$5&lt;AU$5)*X129+(AC$5&lt;AU$5)*AD129+(AI$5&lt;AU$5)*AJ129+(AO$5&lt;AU$5)*AP129)))</f>
        <v/>
      </c>
      <c r="AX129">
        <f>IF(AV129-AW129&lt;0.005,0,AV129-AW129)</f>
        <v/>
      </c>
      <c r="BC129">
        <f>H129+N129+T129+Z129+AF129+AL129+AR129+AX129</f>
        <v/>
      </c>
    </row>
    <row r="130">
      <c r="A130" t="n">
        <v>124</v>
      </c>
      <c r="B130" s="19">
        <f>MAX(0,$B$3-(E130+K130+Q130+W130+AC130+AI130+AO130+AU130))</f>
        <v/>
      </c>
      <c r="C130">
        <f>H129</f>
        <v/>
      </c>
      <c r="D130">
        <f>C130*Plan!D6/100/12</f>
        <v/>
      </c>
      <c r="E130">
        <f>MIN(Plan!E6,C130+D130)</f>
        <v/>
      </c>
      <c r="F130">
        <f>C130+D130-E130</f>
        <v/>
      </c>
      <c r="G130">
        <f>MIN(F130,MAX(0,$B130-((K$5&lt;E$5)*L130+(Q$5&lt;E$5)*R130+(W$5&lt;E$5)*X130+(AC$5&lt;E$5)*AD130+(AI$5&lt;E$5)*AJ130+(AO$5&lt;E$5)*AP130+(AU$5&lt;E$5)*AV130)))</f>
        <v/>
      </c>
      <c r="H130">
        <f>IF(F130-G130&lt;0.005,0,F130-G130)</f>
        <v/>
      </c>
      <c r="I130">
        <f>N129</f>
        <v/>
      </c>
      <c r="J130">
        <f>I130*Plan!D7/100/12</f>
        <v/>
      </c>
      <c r="K130">
        <f>MIN(Plan!E7,I130+J130)</f>
        <v/>
      </c>
      <c r="L130">
        <f>I130+J130-K130</f>
        <v/>
      </c>
      <c r="M130">
        <f>MIN(L130,MAX(0,$B130-((E$5&lt;K$5)*F130+(Q$5&lt;K$5)*R130+(W$5&lt;K$5)*X130+(AC$5&lt;K$5)*AD130+(AI$5&lt;K$5)*AJ130+(AO$5&lt;K$5)*AP130+(AU$5&lt;K$5)*AV130)))</f>
        <v/>
      </c>
      <c r="N130">
        <f>IF(L130-M130&lt;0.005,0,L130-M130)</f>
        <v/>
      </c>
      <c r="O130">
        <f>T129</f>
        <v/>
      </c>
      <c r="P130">
        <f>O130*Plan!D8/100/12</f>
        <v/>
      </c>
      <c r="Q130">
        <f>MIN(Plan!E8,O130+P130)</f>
        <v/>
      </c>
      <c r="R130">
        <f>O130+P130-Q130</f>
        <v/>
      </c>
      <c r="S130">
        <f>MIN(R130,MAX(0,$B130-((E$5&lt;Q$5)*F130+(K$5&lt;Q$5)*L130+(W$5&lt;Q$5)*X130+(AC$5&lt;Q$5)*AD130+(AI$5&lt;Q$5)*AJ130+(AO$5&lt;Q$5)*AP130+(AU$5&lt;Q$5)*AV130)))</f>
        <v/>
      </c>
      <c r="T130">
        <f>IF(R130-S130&lt;0.005,0,R130-S130)</f>
        <v/>
      </c>
      <c r="U130">
        <f>Z129</f>
        <v/>
      </c>
      <c r="V130">
        <f>U130*Plan!D9/100/12</f>
        <v/>
      </c>
      <c r="W130">
        <f>MIN(Plan!E9,U130+V130)</f>
        <v/>
      </c>
      <c r="X130">
        <f>U130+V130-W130</f>
        <v/>
      </c>
      <c r="Y130">
        <f>MIN(X130,MAX(0,$B130-((E$5&lt;W$5)*F130+(K$5&lt;W$5)*L130+(Q$5&lt;W$5)*R130+(AC$5&lt;W$5)*AD130+(AI$5&lt;W$5)*AJ130+(AO$5&lt;W$5)*AP130+(AU$5&lt;W$5)*AV130)))</f>
        <v/>
      </c>
      <c r="Z130">
        <f>IF(X130-Y130&lt;0.005,0,X130-Y130)</f>
        <v/>
      </c>
      <c r="AA130">
        <f>AF129</f>
        <v/>
      </c>
      <c r="AB130">
        <f>AA130*Plan!D10/100/12</f>
        <v/>
      </c>
      <c r="AC130">
        <f>MIN(Plan!E10,AA130+AB130)</f>
        <v/>
      </c>
      <c r="AD130">
        <f>AA130+AB130-AC130</f>
        <v/>
      </c>
      <c r="AE130">
        <f>MIN(AD130,MAX(0,$B130-((E$5&lt;AC$5)*F130+(K$5&lt;AC$5)*L130+(Q$5&lt;AC$5)*R130+(W$5&lt;AC$5)*X130+(AI$5&lt;AC$5)*AJ130+(AO$5&lt;AC$5)*AP130+(AU$5&lt;AC$5)*AV130)))</f>
        <v/>
      </c>
      <c r="AF130">
        <f>IF(AD130-AE130&lt;0.005,0,AD130-AE130)</f>
        <v/>
      </c>
      <c r="AG130">
        <f>AL129</f>
        <v/>
      </c>
      <c r="AH130">
        <f>AG130*Plan!D11/100/12</f>
        <v/>
      </c>
      <c r="AI130">
        <f>MIN(Plan!E11,AG130+AH130)</f>
        <v/>
      </c>
      <c r="AJ130">
        <f>AG130+AH130-AI130</f>
        <v/>
      </c>
      <c r="AK130">
        <f>MIN(AJ130,MAX(0,$B130-((E$5&lt;AI$5)*F130+(K$5&lt;AI$5)*L130+(Q$5&lt;AI$5)*R130+(W$5&lt;AI$5)*X130+(AC$5&lt;AI$5)*AD130+(AO$5&lt;AI$5)*AP130+(AU$5&lt;AI$5)*AV130)))</f>
        <v/>
      </c>
      <c r="AL130">
        <f>IF(AJ130-AK130&lt;0.005,0,AJ130-AK130)</f>
        <v/>
      </c>
      <c r="AM130">
        <f>AR129</f>
        <v/>
      </c>
      <c r="AN130">
        <f>AM130*Plan!D12/100/12</f>
        <v/>
      </c>
      <c r="AO130">
        <f>MIN(Plan!E12,AM130+AN130)</f>
        <v/>
      </c>
      <c r="AP130">
        <f>AM130+AN130-AO130</f>
        <v/>
      </c>
      <c r="AQ130">
        <f>MIN(AP130,MAX(0,$B130-((E$5&lt;AO$5)*F130+(K$5&lt;AO$5)*L130+(Q$5&lt;AO$5)*R130+(W$5&lt;AO$5)*X130+(AC$5&lt;AO$5)*AD130+(AI$5&lt;AO$5)*AJ130+(AU$5&lt;AO$5)*AV130)))</f>
        <v/>
      </c>
      <c r="AR130">
        <f>IF(AP130-AQ130&lt;0.005,0,AP130-AQ130)</f>
        <v/>
      </c>
      <c r="AS130">
        <f>AX129</f>
        <v/>
      </c>
      <c r="AT130">
        <f>AS130*Plan!D13/100/12</f>
        <v/>
      </c>
      <c r="AU130">
        <f>MIN(Plan!E13,AS130+AT130)</f>
        <v/>
      </c>
      <c r="AV130">
        <f>AS130+AT130-AU130</f>
        <v/>
      </c>
      <c r="AW130">
        <f>MIN(AV130,MAX(0,$B130-((E$5&lt;AU$5)*F130+(K$5&lt;AU$5)*L130+(Q$5&lt;AU$5)*R130+(W$5&lt;AU$5)*X130+(AC$5&lt;AU$5)*AD130+(AI$5&lt;AU$5)*AJ130+(AO$5&lt;AU$5)*AP130)))</f>
        <v/>
      </c>
      <c r="AX130">
        <f>IF(AV130-AW130&lt;0.005,0,AV130-AW130)</f>
        <v/>
      </c>
      <c r="BC130">
        <f>H130+N130+T130+Z130+AF130+AL130+AR130+AX130</f>
        <v/>
      </c>
    </row>
    <row r="131">
      <c r="A131" t="n">
        <v>125</v>
      </c>
      <c r="B131" s="19">
        <f>MAX(0,$B$3-(E131+K131+Q131+W131+AC131+AI131+AO131+AU131))</f>
        <v/>
      </c>
      <c r="C131">
        <f>H130</f>
        <v/>
      </c>
      <c r="D131">
        <f>C131*Plan!D6/100/12</f>
        <v/>
      </c>
      <c r="E131">
        <f>MIN(Plan!E6,C131+D131)</f>
        <v/>
      </c>
      <c r="F131">
        <f>C131+D131-E131</f>
        <v/>
      </c>
      <c r="G131">
        <f>MIN(F131,MAX(0,$B131-((K$5&lt;E$5)*L131+(Q$5&lt;E$5)*R131+(W$5&lt;E$5)*X131+(AC$5&lt;E$5)*AD131+(AI$5&lt;E$5)*AJ131+(AO$5&lt;E$5)*AP131+(AU$5&lt;E$5)*AV131)))</f>
        <v/>
      </c>
      <c r="H131">
        <f>IF(F131-G131&lt;0.005,0,F131-G131)</f>
        <v/>
      </c>
      <c r="I131">
        <f>N130</f>
        <v/>
      </c>
      <c r="J131">
        <f>I131*Plan!D7/100/12</f>
        <v/>
      </c>
      <c r="K131">
        <f>MIN(Plan!E7,I131+J131)</f>
        <v/>
      </c>
      <c r="L131">
        <f>I131+J131-K131</f>
        <v/>
      </c>
      <c r="M131">
        <f>MIN(L131,MAX(0,$B131-((E$5&lt;K$5)*F131+(Q$5&lt;K$5)*R131+(W$5&lt;K$5)*X131+(AC$5&lt;K$5)*AD131+(AI$5&lt;K$5)*AJ131+(AO$5&lt;K$5)*AP131+(AU$5&lt;K$5)*AV131)))</f>
        <v/>
      </c>
      <c r="N131">
        <f>IF(L131-M131&lt;0.005,0,L131-M131)</f>
        <v/>
      </c>
      <c r="O131">
        <f>T130</f>
        <v/>
      </c>
      <c r="P131">
        <f>O131*Plan!D8/100/12</f>
        <v/>
      </c>
      <c r="Q131">
        <f>MIN(Plan!E8,O131+P131)</f>
        <v/>
      </c>
      <c r="R131">
        <f>O131+P131-Q131</f>
        <v/>
      </c>
      <c r="S131">
        <f>MIN(R131,MAX(0,$B131-((E$5&lt;Q$5)*F131+(K$5&lt;Q$5)*L131+(W$5&lt;Q$5)*X131+(AC$5&lt;Q$5)*AD131+(AI$5&lt;Q$5)*AJ131+(AO$5&lt;Q$5)*AP131+(AU$5&lt;Q$5)*AV131)))</f>
        <v/>
      </c>
      <c r="T131">
        <f>IF(R131-S131&lt;0.005,0,R131-S131)</f>
        <v/>
      </c>
      <c r="U131">
        <f>Z130</f>
        <v/>
      </c>
      <c r="V131">
        <f>U131*Plan!D9/100/12</f>
        <v/>
      </c>
      <c r="W131">
        <f>MIN(Plan!E9,U131+V131)</f>
        <v/>
      </c>
      <c r="X131">
        <f>U131+V131-W131</f>
        <v/>
      </c>
      <c r="Y131">
        <f>MIN(X131,MAX(0,$B131-((E$5&lt;W$5)*F131+(K$5&lt;W$5)*L131+(Q$5&lt;W$5)*R131+(AC$5&lt;W$5)*AD131+(AI$5&lt;W$5)*AJ131+(AO$5&lt;W$5)*AP131+(AU$5&lt;W$5)*AV131)))</f>
        <v/>
      </c>
      <c r="Z131">
        <f>IF(X131-Y131&lt;0.005,0,X131-Y131)</f>
        <v/>
      </c>
      <c r="AA131">
        <f>AF130</f>
        <v/>
      </c>
      <c r="AB131">
        <f>AA131*Plan!D10/100/12</f>
        <v/>
      </c>
      <c r="AC131">
        <f>MIN(Plan!E10,AA131+AB131)</f>
        <v/>
      </c>
      <c r="AD131">
        <f>AA131+AB131-AC131</f>
        <v/>
      </c>
      <c r="AE131">
        <f>MIN(AD131,MAX(0,$B131-((E$5&lt;AC$5)*F131+(K$5&lt;AC$5)*L131+(Q$5&lt;AC$5)*R131+(W$5&lt;AC$5)*X131+(AI$5&lt;AC$5)*AJ131+(AO$5&lt;AC$5)*AP131+(AU$5&lt;AC$5)*AV131)))</f>
        <v/>
      </c>
      <c r="AF131">
        <f>IF(AD131-AE131&lt;0.005,0,AD131-AE131)</f>
        <v/>
      </c>
      <c r="AG131">
        <f>AL130</f>
        <v/>
      </c>
      <c r="AH131">
        <f>AG131*Plan!D11/100/12</f>
        <v/>
      </c>
      <c r="AI131">
        <f>MIN(Plan!E11,AG131+AH131)</f>
        <v/>
      </c>
      <c r="AJ131">
        <f>AG131+AH131-AI131</f>
        <v/>
      </c>
      <c r="AK131">
        <f>MIN(AJ131,MAX(0,$B131-((E$5&lt;AI$5)*F131+(K$5&lt;AI$5)*L131+(Q$5&lt;AI$5)*R131+(W$5&lt;AI$5)*X131+(AC$5&lt;AI$5)*AD131+(AO$5&lt;AI$5)*AP131+(AU$5&lt;AI$5)*AV131)))</f>
        <v/>
      </c>
      <c r="AL131">
        <f>IF(AJ131-AK131&lt;0.005,0,AJ131-AK131)</f>
        <v/>
      </c>
      <c r="AM131">
        <f>AR130</f>
        <v/>
      </c>
      <c r="AN131">
        <f>AM131*Plan!D12/100/12</f>
        <v/>
      </c>
      <c r="AO131">
        <f>MIN(Plan!E12,AM131+AN131)</f>
        <v/>
      </c>
      <c r="AP131">
        <f>AM131+AN131-AO131</f>
        <v/>
      </c>
      <c r="AQ131">
        <f>MIN(AP131,MAX(0,$B131-((E$5&lt;AO$5)*F131+(K$5&lt;AO$5)*L131+(Q$5&lt;AO$5)*R131+(W$5&lt;AO$5)*X131+(AC$5&lt;AO$5)*AD131+(AI$5&lt;AO$5)*AJ131+(AU$5&lt;AO$5)*AV131)))</f>
        <v/>
      </c>
      <c r="AR131">
        <f>IF(AP131-AQ131&lt;0.005,0,AP131-AQ131)</f>
        <v/>
      </c>
      <c r="AS131">
        <f>AX130</f>
        <v/>
      </c>
      <c r="AT131">
        <f>AS131*Plan!D13/100/12</f>
        <v/>
      </c>
      <c r="AU131">
        <f>MIN(Plan!E13,AS131+AT131)</f>
        <v/>
      </c>
      <c r="AV131">
        <f>AS131+AT131-AU131</f>
        <v/>
      </c>
      <c r="AW131">
        <f>MIN(AV131,MAX(0,$B131-((E$5&lt;AU$5)*F131+(K$5&lt;AU$5)*L131+(Q$5&lt;AU$5)*R131+(W$5&lt;AU$5)*X131+(AC$5&lt;AU$5)*AD131+(AI$5&lt;AU$5)*AJ131+(AO$5&lt;AU$5)*AP131)))</f>
        <v/>
      </c>
      <c r="AX131">
        <f>IF(AV131-AW131&lt;0.005,0,AV131-AW131)</f>
        <v/>
      </c>
      <c r="BC131">
        <f>H131+N131+T131+Z131+AF131+AL131+AR131+AX131</f>
        <v/>
      </c>
    </row>
    <row r="132">
      <c r="A132" t="n">
        <v>126</v>
      </c>
      <c r="B132" s="19">
        <f>MAX(0,$B$3-(E132+K132+Q132+W132+AC132+AI132+AO132+AU132))</f>
        <v/>
      </c>
      <c r="C132">
        <f>H131</f>
        <v/>
      </c>
      <c r="D132">
        <f>C132*Plan!D6/100/12</f>
        <v/>
      </c>
      <c r="E132">
        <f>MIN(Plan!E6,C132+D132)</f>
        <v/>
      </c>
      <c r="F132">
        <f>C132+D132-E132</f>
        <v/>
      </c>
      <c r="G132">
        <f>MIN(F132,MAX(0,$B132-((K$5&lt;E$5)*L132+(Q$5&lt;E$5)*R132+(W$5&lt;E$5)*X132+(AC$5&lt;E$5)*AD132+(AI$5&lt;E$5)*AJ132+(AO$5&lt;E$5)*AP132+(AU$5&lt;E$5)*AV132)))</f>
        <v/>
      </c>
      <c r="H132">
        <f>IF(F132-G132&lt;0.005,0,F132-G132)</f>
        <v/>
      </c>
      <c r="I132">
        <f>N131</f>
        <v/>
      </c>
      <c r="J132">
        <f>I132*Plan!D7/100/12</f>
        <v/>
      </c>
      <c r="K132">
        <f>MIN(Plan!E7,I132+J132)</f>
        <v/>
      </c>
      <c r="L132">
        <f>I132+J132-K132</f>
        <v/>
      </c>
      <c r="M132">
        <f>MIN(L132,MAX(0,$B132-((E$5&lt;K$5)*F132+(Q$5&lt;K$5)*R132+(W$5&lt;K$5)*X132+(AC$5&lt;K$5)*AD132+(AI$5&lt;K$5)*AJ132+(AO$5&lt;K$5)*AP132+(AU$5&lt;K$5)*AV132)))</f>
        <v/>
      </c>
      <c r="N132">
        <f>IF(L132-M132&lt;0.005,0,L132-M132)</f>
        <v/>
      </c>
      <c r="O132">
        <f>T131</f>
        <v/>
      </c>
      <c r="P132">
        <f>O132*Plan!D8/100/12</f>
        <v/>
      </c>
      <c r="Q132">
        <f>MIN(Plan!E8,O132+P132)</f>
        <v/>
      </c>
      <c r="R132">
        <f>O132+P132-Q132</f>
        <v/>
      </c>
      <c r="S132">
        <f>MIN(R132,MAX(0,$B132-((E$5&lt;Q$5)*F132+(K$5&lt;Q$5)*L132+(W$5&lt;Q$5)*X132+(AC$5&lt;Q$5)*AD132+(AI$5&lt;Q$5)*AJ132+(AO$5&lt;Q$5)*AP132+(AU$5&lt;Q$5)*AV132)))</f>
        <v/>
      </c>
      <c r="T132">
        <f>IF(R132-S132&lt;0.005,0,R132-S132)</f>
        <v/>
      </c>
      <c r="U132">
        <f>Z131</f>
        <v/>
      </c>
      <c r="V132">
        <f>U132*Plan!D9/100/12</f>
        <v/>
      </c>
      <c r="W132">
        <f>MIN(Plan!E9,U132+V132)</f>
        <v/>
      </c>
      <c r="X132">
        <f>U132+V132-W132</f>
        <v/>
      </c>
      <c r="Y132">
        <f>MIN(X132,MAX(0,$B132-((E$5&lt;W$5)*F132+(K$5&lt;W$5)*L132+(Q$5&lt;W$5)*R132+(AC$5&lt;W$5)*AD132+(AI$5&lt;W$5)*AJ132+(AO$5&lt;W$5)*AP132+(AU$5&lt;W$5)*AV132)))</f>
        <v/>
      </c>
      <c r="Z132">
        <f>IF(X132-Y132&lt;0.005,0,X132-Y132)</f>
        <v/>
      </c>
      <c r="AA132">
        <f>AF131</f>
        <v/>
      </c>
      <c r="AB132">
        <f>AA132*Plan!D10/100/12</f>
        <v/>
      </c>
      <c r="AC132">
        <f>MIN(Plan!E10,AA132+AB132)</f>
        <v/>
      </c>
      <c r="AD132">
        <f>AA132+AB132-AC132</f>
        <v/>
      </c>
      <c r="AE132">
        <f>MIN(AD132,MAX(0,$B132-((E$5&lt;AC$5)*F132+(K$5&lt;AC$5)*L132+(Q$5&lt;AC$5)*R132+(W$5&lt;AC$5)*X132+(AI$5&lt;AC$5)*AJ132+(AO$5&lt;AC$5)*AP132+(AU$5&lt;AC$5)*AV132)))</f>
        <v/>
      </c>
      <c r="AF132">
        <f>IF(AD132-AE132&lt;0.005,0,AD132-AE132)</f>
        <v/>
      </c>
      <c r="AG132">
        <f>AL131</f>
        <v/>
      </c>
      <c r="AH132">
        <f>AG132*Plan!D11/100/12</f>
        <v/>
      </c>
      <c r="AI132">
        <f>MIN(Plan!E11,AG132+AH132)</f>
        <v/>
      </c>
      <c r="AJ132">
        <f>AG132+AH132-AI132</f>
        <v/>
      </c>
      <c r="AK132">
        <f>MIN(AJ132,MAX(0,$B132-((E$5&lt;AI$5)*F132+(K$5&lt;AI$5)*L132+(Q$5&lt;AI$5)*R132+(W$5&lt;AI$5)*X132+(AC$5&lt;AI$5)*AD132+(AO$5&lt;AI$5)*AP132+(AU$5&lt;AI$5)*AV132)))</f>
        <v/>
      </c>
      <c r="AL132">
        <f>IF(AJ132-AK132&lt;0.005,0,AJ132-AK132)</f>
        <v/>
      </c>
      <c r="AM132">
        <f>AR131</f>
        <v/>
      </c>
      <c r="AN132">
        <f>AM132*Plan!D12/100/12</f>
        <v/>
      </c>
      <c r="AO132">
        <f>MIN(Plan!E12,AM132+AN132)</f>
        <v/>
      </c>
      <c r="AP132">
        <f>AM132+AN132-AO132</f>
        <v/>
      </c>
      <c r="AQ132">
        <f>MIN(AP132,MAX(0,$B132-((E$5&lt;AO$5)*F132+(K$5&lt;AO$5)*L132+(Q$5&lt;AO$5)*R132+(W$5&lt;AO$5)*X132+(AC$5&lt;AO$5)*AD132+(AI$5&lt;AO$5)*AJ132+(AU$5&lt;AO$5)*AV132)))</f>
        <v/>
      </c>
      <c r="AR132">
        <f>IF(AP132-AQ132&lt;0.005,0,AP132-AQ132)</f>
        <v/>
      </c>
      <c r="AS132">
        <f>AX131</f>
        <v/>
      </c>
      <c r="AT132">
        <f>AS132*Plan!D13/100/12</f>
        <v/>
      </c>
      <c r="AU132">
        <f>MIN(Plan!E13,AS132+AT132)</f>
        <v/>
      </c>
      <c r="AV132">
        <f>AS132+AT132-AU132</f>
        <v/>
      </c>
      <c r="AW132">
        <f>MIN(AV132,MAX(0,$B132-((E$5&lt;AU$5)*F132+(K$5&lt;AU$5)*L132+(Q$5&lt;AU$5)*R132+(W$5&lt;AU$5)*X132+(AC$5&lt;AU$5)*AD132+(AI$5&lt;AU$5)*AJ132+(AO$5&lt;AU$5)*AP132)))</f>
        <v/>
      </c>
      <c r="AX132">
        <f>IF(AV132-AW132&lt;0.005,0,AV132-AW132)</f>
        <v/>
      </c>
      <c r="BC132">
        <f>H132+N132+T132+Z132+AF132+AL132+AR132+AX132</f>
        <v/>
      </c>
    </row>
    <row r="133">
      <c r="A133" t="n">
        <v>127</v>
      </c>
      <c r="B133" s="19">
        <f>MAX(0,$B$3-(E133+K133+Q133+W133+AC133+AI133+AO133+AU133))</f>
        <v/>
      </c>
      <c r="C133">
        <f>H132</f>
        <v/>
      </c>
      <c r="D133">
        <f>C133*Plan!D6/100/12</f>
        <v/>
      </c>
      <c r="E133">
        <f>MIN(Plan!E6,C133+D133)</f>
        <v/>
      </c>
      <c r="F133">
        <f>C133+D133-E133</f>
        <v/>
      </c>
      <c r="G133">
        <f>MIN(F133,MAX(0,$B133-((K$5&lt;E$5)*L133+(Q$5&lt;E$5)*R133+(W$5&lt;E$5)*X133+(AC$5&lt;E$5)*AD133+(AI$5&lt;E$5)*AJ133+(AO$5&lt;E$5)*AP133+(AU$5&lt;E$5)*AV133)))</f>
        <v/>
      </c>
      <c r="H133">
        <f>IF(F133-G133&lt;0.005,0,F133-G133)</f>
        <v/>
      </c>
      <c r="I133">
        <f>N132</f>
        <v/>
      </c>
      <c r="J133">
        <f>I133*Plan!D7/100/12</f>
        <v/>
      </c>
      <c r="K133">
        <f>MIN(Plan!E7,I133+J133)</f>
        <v/>
      </c>
      <c r="L133">
        <f>I133+J133-K133</f>
        <v/>
      </c>
      <c r="M133">
        <f>MIN(L133,MAX(0,$B133-((E$5&lt;K$5)*F133+(Q$5&lt;K$5)*R133+(W$5&lt;K$5)*X133+(AC$5&lt;K$5)*AD133+(AI$5&lt;K$5)*AJ133+(AO$5&lt;K$5)*AP133+(AU$5&lt;K$5)*AV133)))</f>
        <v/>
      </c>
      <c r="N133">
        <f>IF(L133-M133&lt;0.005,0,L133-M133)</f>
        <v/>
      </c>
      <c r="O133">
        <f>T132</f>
        <v/>
      </c>
      <c r="P133">
        <f>O133*Plan!D8/100/12</f>
        <v/>
      </c>
      <c r="Q133">
        <f>MIN(Plan!E8,O133+P133)</f>
        <v/>
      </c>
      <c r="R133">
        <f>O133+P133-Q133</f>
        <v/>
      </c>
      <c r="S133">
        <f>MIN(R133,MAX(0,$B133-((E$5&lt;Q$5)*F133+(K$5&lt;Q$5)*L133+(W$5&lt;Q$5)*X133+(AC$5&lt;Q$5)*AD133+(AI$5&lt;Q$5)*AJ133+(AO$5&lt;Q$5)*AP133+(AU$5&lt;Q$5)*AV133)))</f>
        <v/>
      </c>
      <c r="T133">
        <f>IF(R133-S133&lt;0.005,0,R133-S133)</f>
        <v/>
      </c>
      <c r="U133">
        <f>Z132</f>
        <v/>
      </c>
      <c r="V133">
        <f>U133*Plan!D9/100/12</f>
        <v/>
      </c>
      <c r="W133">
        <f>MIN(Plan!E9,U133+V133)</f>
        <v/>
      </c>
      <c r="X133">
        <f>U133+V133-W133</f>
        <v/>
      </c>
      <c r="Y133">
        <f>MIN(X133,MAX(0,$B133-((E$5&lt;W$5)*F133+(K$5&lt;W$5)*L133+(Q$5&lt;W$5)*R133+(AC$5&lt;W$5)*AD133+(AI$5&lt;W$5)*AJ133+(AO$5&lt;W$5)*AP133+(AU$5&lt;W$5)*AV133)))</f>
        <v/>
      </c>
      <c r="Z133">
        <f>IF(X133-Y133&lt;0.005,0,X133-Y133)</f>
        <v/>
      </c>
      <c r="AA133">
        <f>AF132</f>
        <v/>
      </c>
      <c r="AB133">
        <f>AA133*Plan!D10/100/12</f>
        <v/>
      </c>
      <c r="AC133">
        <f>MIN(Plan!E10,AA133+AB133)</f>
        <v/>
      </c>
      <c r="AD133">
        <f>AA133+AB133-AC133</f>
        <v/>
      </c>
      <c r="AE133">
        <f>MIN(AD133,MAX(0,$B133-((E$5&lt;AC$5)*F133+(K$5&lt;AC$5)*L133+(Q$5&lt;AC$5)*R133+(W$5&lt;AC$5)*X133+(AI$5&lt;AC$5)*AJ133+(AO$5&lt;AC$5)*AP133+(AU$5&lt;AC$5)*AV133)))</f>
        <v/>
      </c>
      <c r="AF133">
        <f>IF(AD133-AE133&lt;0.005,0,AD133-AE133)</f>
        <v/>
      </c>
      <c r="AG133">
        <f>AL132</f>
        <v/>
      </c>
      <c r="AH133">
        <f>AG133*Plan!D11/100/12</f>
        <v/>
      </c>
      <c r="AI133">
        <f>MIN(Plan!E11,AG133+AH133)</f>
        <v/>
      </c>
      <c r="AJ133">
        <f>AG133+AH133-AI133</f>
        <v/>
      </c>
      <c r="AK133">
        <f>MIN(AJ133,MAX(0,$B133-((E$5&lt;AI$5)*F133+(K$5&lt;AI$5)*L133+(Q$5&lt;AI$5)*R133+(W$5&lt;AI$5)*X133+(AC$5&lt;AI$5)*AD133+(AO$5&lt;AI$5)*AP133+(AU$5&lt;AI$5)*AV133)))</f>
        <v/>
      </c>
      <c r="AL133">
        <f>IF(AJ133-AK133&lt;0.005,0,AJ133-AK133)</f>
        <v/>
      </c>
      <c r="AM133">
        <f>AR132</f>
        <v/>
      </c>
      <c r="AN133">
        <f>AM133*Plan!D12/100/12</f>
        <v/>
      </c>
      <c r="AO133">
        <f>MIN(Plan!E12,AM133+AN133)</f>
        <v/>
      </c>
      <c r="AP133">
        <f>AM133+AN133-AO133</f>
        <v/>
      </c>
      <c r="AQ133">
        <f>MIN(AP133,MAX(0,$B133-((E$5&lt;AO$5)*F133+(K$5&lt;AO$5)*L133+(Q$5&lt;AO$5)*R133+(W$5&lt;AO$5)*X133+(AC$5&lt;AO$5)*AD133+(AI$5&lt;AO$5)*AJ133+(AU$5&lt;AO$5)*AV133)))</f>
        <v/>
      </c>
      <c r="AR133">
        <f>IF(AP133-AQ133&lt;0.005,0,AP133-AQ133)</f>
        <v/>
      </c>
      <c r="AS133">
        <f>AX132</f>
        <v/>
      </c>
      <c r="AT133">
        <f>AS133*Plan!D13/100/12</f>
        <v/>
      </c>
      <c r="AU133">
        <f>MIN(Plan!E13,AS133+AT133)</f>
        <v/>
      </c>
      <c r="AV133">
        <f>AS133+AT133-AU133</f>
        <v/>
      </c>
      <c r="AW133">
        <f>MIN(AV133,MAX(0,$B133-((E$5&lt;AU$5)*F133+(K$5&lt;AU$5)*L133+(Q$5&lt;AU$5)*R133+(W$5&lt;AU$5)*X133+(AC$5&lt;AU$5)*AD133+(AI$5&lt;AU$5)*AJ133+(AO$5&lt;AU$5)*AP133)))</f>
        <v/>
      </c>
      <c r="AX133">
        <f>IF(AV133-AW133&lt;0.005,0,AV133-AW133)</f>
        <v/>
      </c>
      <c r="BC133">
        <f>H133+N133+T133+Z133+AF133+AL133+AR133+AX133</f>
        <v/>
      </c>
    </row>
    <row r="134">
      <c r="A134" t="n">
        <v>128</v>
      </c>
      <c r="B134" s="19">
        <f>MAX(0,$B$3-(E134+K134+Q134+W134+AC134+AI134+AO134+AU134))</f>
        <v/>
      </c>
      <c r="C134">
        <f>H133</f>
        <v/>
      </c>
      <c r="D134">
        <f>C134*Plan!D6/100/12</f>
        <v/>
      </c>
      <c r="E134">
        <f>MIN(Plan!E6,C134+D134)</f>
        <v/>
      </c>
      <c r="F134">
        <f>C134+D134-E134</f>
        <v/>
      </c>
      <c r="G134">
        <f>MIN(F134,MAX(0,$B134-((K$5&lt;E$5)*L134+(Q$5&lt;E$5)*R134+(W$5&lt;E$5)*X134+(AC$5&lt;E$5)*AD134+(AI$5&lt;E$5)*AJ134+(AO$5&lt;E$5)*AP134+(AU$5&lt;E$5)*AV134)))</f>
        <v/>
      </c>
      <c r="H134">
        <f>IF(F134-G134&lt;0.005,0,F134-G134)</f>
        <v/>
      </c>
      <c r="I134">
        <f>N133</f>
        <v/>
      </c>
      <c r="J134">
        <f>I134*Plan!D7/100/12</f>
        <v/>
      </c>
      <c r="K134">
        <f>MIN(Plan!E7,I134+J134)</f>
        <v/>
      </c>
      <c r="L134">
        <f>I134+J134-K134</f>
        <v/>
      </c>
      <c r="M134">
        <f>MIN(L134,MAX(0,$B134-((E$5&lt;K$5)*F134+(Q$5&lt;K$5)*R134+(W$5&lt;K$5)*X134+(AC$5&lt;K$5)*AD134+(AI$5&lt;K$5)*AJ134+(AO$5&lt;K$5)*AP134+(AU$5&lt;K$5)*AV134)))</f>
        <v/>
      </c>
      <c r="N134">
        <f>IF(L134-M134&lt;0.005,0,L134-M134)</f>
        <v/>
      </c>
      <c r="O134">
        <f>T133</f>
        <v/>
      </c>
      <c r="P134">
        <f>O134*Plan!D8/100/12</f>
        <v/>
      </c>
      <c r="Q134">
        <f>MIN(Plan!E8,O134+P134)</f>
        <v/>
      </c>
      <c r="R134">
        <f>O134+P134-Q134</f>
        <v/>
      </c>
      <c r="S134">
        <f>MIN(R134,MAX(0,$B134-((E$5&lt;Q$5)*F134+(K$5&lt;Q$5)*L134+(W$5&lt;Q$5)*X134+(AC$5&lt;Q$5)*AD134+(AI$5&lt;Q$5)*AJ134+(AO$5&lt;Q$5)*AP134+(AU$5&lt;Q$5)*AV134)))</f>
        <v/>
      </c>
      <c r="T134">
        <f>IF(R134-S134&lt;0.005,0,R134-S134)</f>
        <v/>
      </c>
      <c r="U134">
        <f>Z133</f>
        <v/>
      </c>
      <c r="V134">
        <f>U134*Plan!D9/100/12</f>
        <v/>
      </c>
      <c r="W134">
        <f>MIN(Plan!E9,U134+V134)</f>
        <v/>
      </c>
      <c r="X134">
        <f>U134+V134-W134</f>
        <v/>
      </c>
      <c r="Y134">
        <f>MIN(X134,MAX(0,$B134-((E$5&lt;W$5)*F134+(K$5&lt;W$5)*L134+(Q$5&lt;W$5)*R134+(AC$5&lt;W$5)*AD134+(AI$5&lt;W$5)*AJ134+(AO$5&lt;W$5)*AP134+(AU$5&lt;W$5)*AV134)))</f>
        <v/>
      </c>
      <c r="Z134">
        <f>IF(X134-Y134&lt;0.005,0,X134-Y134)</f>
        <v/>
      </c>
      <c r="AA134">
        <f>AF133</f>
        <v/>
      </c>
      <c r="AB134">
        <f>AA134*Plan!D10/100/12</f>
        <v/>
      </c>
      <c r="AC134">
        <f>MIN(Plan!E10,AA134+AB134)</f>
        <v/>
      </c>
      <c r="AD134">
        <f>AA134+AB134-AC134</f>
        <v/>
      </c>
      <c r="AE134">
        <f>MIN(AD134,MAX(0,$B134-((E$5&lt;AC$5)*F134+(K$5&lt;AC$5)*L134+(Q$5&lt;AC$5)*R134+(W$5&lt;AC$5)*X134+(AI$5&lt;AC$5)*AJ134+(AO$5&lt;AC$5)*AP134+(AU$5&lt;AC$5)*AV134)))</f>
        <v/>
      </c>
      <c r="AF134">
        <f>IF(AD134-AE134&lt;0.005,0,AD134-AE134)</f>
        <v/>
      </c>
      <c r="AG134">
        <f>AL133</f>
        <v/>
      </c>
      <c r="AH134">
        <f>AG134*Plan!D11/100/12</f>
        <v/>
      </c>
      <c r="AI134">
        <f>MIN(Plan!E11,AG134+AH134)</f>
        <v/>
      </c>
      <c r="AJ134">
        <f>AG134+AH134-AI134</f>
        <v/>
      </c>
      <c r="AK134">
        <f>MIN(AJ134,MAX(0,$B134-((E$5&lt;AI$5)*F134+(K$5&lt;AI$5)*L134+(Q$5&lt;AI$5)*R134+(W$5&lt;AI$5)*X134+(AC$5&lt;AI$5)*AD134+(AO$5&lt;AI$5)*AP134+(AU$5&lt;AI$5)*AV134)))</f>
        <v/>
      </c>
      <c r="AL134">
        <f>IF(AJ134-AK134&lt;0.005,0,AJ134-AK134)</f>
        <v/>
      </c>
      <c r="AM134">
        <f>AR133</f>
        <v/>
      </c>
      <c r="AN134">
        <f>AM134*Plan!D12/100/12</f>
        <v/>
      </c>
      <c r="AO134">
        <f>MIN(Plan!E12,AM134+AN134)</f>
        <v/>
      </c>
      <c r="AP134">
        <f>AM134+AN134-AO134</f>
        <v/>
      </c>
      <c r="AQ134">
        <f>MIN(AP134,MAX(0,$B134-((E$5&lt;AO$5)*F134+(K$5&lt;AO$5)*L134+(Q$5&lt;AO$5)*R134+(W$5&lt;AO$5)*X134+(AC$5&lt;AO$5)*AD134+(AI$5&lt;AO$5)*AJ134+(AU$5&lt;AO$5)*AV134)))</f>
        <v/>
      </c>
      <c r="AR134">
        <f>IF(AP134-AQ134&lt;0.005,0,AP134-AQ134)</f>
        <v/>
      </c>
      <c r="AS134">
        <f>AX133</f>
        <v/>
      </c>
      <c r="AT134">
        <f>AS134*Plan!D13/100/12</f>
        <v/>
      </c>
      <c r="AU134">
        <f>MIN(Plan!E13,AS134+AT134)</f>
        <v/>
      </c>
      <c r="AV134">
        <f>AS134+AT134-AU134</f>
        <v/>
      </c>
      <c r="AW134">
        <f>MIN(AV134,MAX(0,$B134-((E$5&lt;AU$5)*F134+(K$5&lt;AU$5)*L134+(Q$5&lt;AU$5)*R134+(W$5&lt;AU$5)*X134+(AC$5&lt;AU$5)*AD134+(AI$5&lt;AU$5)*AJ134+(AO$5&lt;AU$5)*AP134)))</f>
        <v/>
      </c>
      <c r="AX134">
        <f>IF(AV134-AW134&lt;0.005,0,AV134-AW134)</f>
        <v/>
      </c>
      <c r="BC134">
        <f>H134+N134+T134+Z134+AF134+AL134+AR134+AX134</f>
        <v/>
      </c>
    </row>
    <row r="135">
      <c r="A135" t="n">
        <v>129</v>
      </c>
      <c r="B135" s="19">
        <f>MAX(0,$B$3-(E135+K135+Q135+W135+AC135+AI135+AO135+AU135))</f>
        <v/>
      </c>
      <c r="C135">
        <f>H134</f>
        <v/>
      </c>
      <c r="D135">
        <f>C135*Plan!D6/100/12</f>
        <v/>
      </c>
      <c r="E135">
        <f>MIN(Plan!E6,C135+D135)</f>
        <v/>
      </c>
      <c r="F135">
        <f>C135+D135-E135</f>
        <v/>
      </c>
      <c r="G135">
        <f>MIN(F135,MAX(0,$B135-((K$5&lt;E$5)*L135+(Q$5&lt;E$5)*R135+(W$5&lt;E$5)*X135+(AC$5&lt;E$5)*AD135+(AI$5&lt;E$5)*AJ135+(AO$5&lt;E$5)*AP135+(AU$5&lt;E$5)*AV135)))</f>
        <v/>
      </c>
      <c r="H135">
        <f>IF(F135-G135&lt;0.005,0,F135-G135)</f>
        <v/>
      </c>
      <c r="I135">
        <f>N134</f>
        <v/>
      </c>
      <c r="J135">
        <f>I135*Plan!D7/100/12</f>
        <v/>
      </c>
      <c r="K135">
        <f>MIN(Plan!E7,I135+J135)</f>
        <v/>
      </c>
      <c r="L135">
        <f>I135+J135-K135</f>
        <v/>
      </c>
      <c r="M135">
        <f>MIN(L135,MAX(0,$B135-((E$5&lt;K$5)*F135+(Q$5&lt;K$5)*R135+(W$5&lt;K$5)*X135+(AC$5&lt;K$5)*AD135+(AI$5&lt;K$5)*AJ135+(AO$5&lt;K$5)*AP135+(AU$5&lt;K$5)*AV135)))</f>
        <v/>
      </c>
      <c r="N135">
        <f>IF(L135-M135&lt;0.005,0,L135-M135)</f>
        <v/>
      </c>
      <c r="O135">
        <f>T134</f>
        <v/>
      </c>
      <c r="P135">
        <f>O135*Plan!D8/100/12</f>
        <v/>
      </c>
      <c r="Q135">
        <f>MIN(Plan!E8,O135+P135)</f>
        <v/>
      </c>
      <c r="R135">
        <f>O135+P135-Q135</f>
        <v/>
      </c>
      <c r="S135">
        <f>MIN(R135,MAX(0,$B135-((E$5&lt;Q$5)*F135+(K$5&lt;Q$5)*L135+(W$5&lt;Q$5)*X135+(AC$5&lt;Q$5)*AD135+(AI$5&lt;Q$5)*AJ135+(AO$5&lt;Q$5)*AP135+(AU$5&lt;Q$5)*AV135)))</f>
        <v/>
      </c>
      <c r="T135">
        <f>IF(R135-S135&lt;0.005,0,R135-S135)</f>
        <v/>
      </c>
      <c r="U135">
        <f>Z134</f>
        <v/>
      </c>
      <c r="V135">
        <f>U135*Plan!D9/100/12</f>
        <v/>
      </c>
      <c r="W135">
        <f>MIN(Plan!E9,U135+V135)</f>
        <v/>
      </c>
      <c r="X135">
        <f>U135+V135-W135</f>
        <v/>
      </c>
      <c r="Y135">
        <f>MIN(X135,MAX(0,$B135-((E$5&lt;W$5)*F135+(K$5&lt;W$5)*L135+(Q$5&lt;W$5)*R135+(AC$5&lt;W$5)*AD135+(AI$5&lt;W$5)*AJ135+(AO$5&lt;W$5)*AP135+(AU$5&lt;W$5)*AV135)))</f>
        <v/>
      </c>
      <c r="Z135">
        <f>IF(X135-Y135&lt;0.005,0,X135-Y135)</f>
        <v/>
      </c>
      <c r="AA135">
        <f>AF134</f>
        <v/>
      </c>
      <c r="AB135">
        <f>AA135*Plan!D10/100/12</f>
        <v/>
      </c>
      <c r="AC135">
        <f>MIN(Plan!E10,AA135+AB135)</f>
        <v/>
      </c>
      <c r="AD135">
        <f>AA135+AB135-AC135</f>
        <v/>
      </c>
      <c r="AE135">
        <f>MIN(AD135,MAX(0,$B135-((E$5&lt;AC$5)*F135+(K$5&lt;AC$5)*L135+(Q$5&lt;AC$5)*R135+(W$5&lt;AC$5)*X135+(AI$5&lt;AC$5)*AJ135+(AO$5&lt;AC$5)*AP135+(AU$5&lt;AC$5)*AV135)))</f>
        <v/>
      </c>
      <c r="AF135">
        <f>IF(AD135-AE135&lt;0.005,0,AD135-AE135)</f>
        <v/>
      </c>
      <c r="AG135">
        <f>AL134</f>
        <v/>
      </c>
      <c r="AH135">
        <f>AG135*Plan!D11/100/12</f>
        <v/>
      </c>
      <c r="AI135">
        <f>MIN(Plan!E11,AG135+AH135)</f>
        <v/>
      </c>
      <c r="AJ135">
        <f>AG135+AH135-AI135</f>
        <v/>
      </c>
      <c r="AK135">
        <f>MIN(AJ135,MAX(0,$B135-((E$5&lt;AI$5)*F135+(K$5&lt;AI$5)*L135+(Q$5&lt;AI$5)*R135+(W$5&lt;AI$5)*X135+(AC$5&lt;AI$5)*AD135+(AO$5&lt;AI$5)*AP135+(AU$5&lt;AI$5)*AV135)))</f>
        <v/>
      </c>
      <c r="AL135">
        <f>IF(AJ135-AK135&lt;0.005,0,AJ135-AK135)</f>
        <v/>
      </c>
      <c r="AM135">
        <f>AR134</f>
        <v/>
      </c>
      <c r="AN135">
        <f>AM135*Plan!D12/100/12</f>
        <v/>
      </c>
      <c r="AO135">
        <f>MIN(Plan!E12,AM135+AN135)</f>
        <v/>
      </c>
      <c r="AP135">
        <f>AM135+AN135-AO135</f>
        <v/>
      </c>
      <c r="AQ135">
        <f>MIN(AP135,MAX(0,$B135-((E$5&lt;AO$5)*F135+(K$5&lt;AO$5)*L135+(Q$5&lt;AO$5)*R135+(W$5&lt;AO$5)*X135+(AC$5&lt;AO$5)*AD135+(AI$5&lt;AO$5)*AJ135+(AU$5&lt;AO$5)*AV135)))</f>
        <v/>
      </c>
      <c r="AR135">
        <f>IF(AP135-AQ135&lt;0.005,0,AP135-AQ135)</f>
        <v/>
      </c>
      <c r="AS135">
        <f>AX134</f>
        <v/>
      </c>
      <c r="AT135">
        <f>AS135*Plan!D13/100/12</f>
        <v/>
      </c>
      <c r="AU135">
        <f>MIN(Plan!E13,AS135+AT135)</f>
        <v/>
      </c>
      <c r="AV135">
        <f>AS135+AT135-AU135</f>
        <v/>
      </c>
      <c r="AW135">
        <f>MIN(AV135,MAX(0,$B135-((E$5&lt;AU$5)*F135+(K$5&lt;AU$5)*L135+(Q$5&lt;AU$5)*R135+(W$5&lt;AU$5)*X135+(AC$5&lt;AU$5)*AD135+(AI$5&lt;AU$5)*AJ135+(AO$5&lt;AU$5)*AP135)))</f>
        <v/>
      </c>
      <c r="AX135">
        <f>IF(AV135-AW135&lt;0.005,0,AV135-AW135)</f>
        <v/>
      </c>
      <c r="BC135">
        <f>H135+N135+T135+Z135+AF135+AL135+AR135+AX135</f>
        <v/>
      </c>
    </row>
    <row r="136">
      <c r="A136" t="n">
        <v>130</v>
      </c>
      <c r="B136" s="19">
        <f>MAX(0,$B$3-(E136+K136+Q136+W136+AC136+AI136+AO136+AU136))</f>
        <v/>
      </c>
      <c r="C136">
        <f>H135</f>
        <v/>
      </c>
      <c r="D136">
        <f>C136*Plan!D6/100/12</f>
        <v/>
      </c>
      <c r="E136">
        <f>MIN(Plan!E6,C136+D136)</f>
        <v/>
      </c>
      <c r="F136">
        <f>C136+D136-E136</f>
        <v/>
      </c>
      <c r="G136">
        <f>MIN(F136,MAX(0,$B136-((K$5&lt;E$5)*L136+(Q$5&lt;E$5)*R136+(W$5&lt;E$5)*X136+(AC$5&lt;E$5)*AD136+(AI$5&lt;E$5)*AJ136+(AO$5&lt;E$5)*AP136+(AU$5&lt;E$5)*AV136)))</f>
        <v/>
      </c>
      <c r="H136">
        <f>IF(F136-G136&lt;0.005,0,F136-G136)</f>
        <v/>
      </c>
      <c r="I136">
        <f>N135</f>
        <v/>
      </c>
      <c r="J136">
        <f>I136*Plan!D7/100/12</f>
        <v/>
      </c>
      <c r="K136">
        <f>MIN(Plan!E7,I136+J136)</f>
        <v/>
      </c>
      <c r="L136">
        <f>I136+J136-K136</f>
        <v/>
      </c>
      <c r="M136">
        <f>MIN(L136,MAX(0,$B136-((E$5&lt;K$5)*F136+(Q$5&lt;K$5)*R136+(W$5&lt;K$5)*X136+(AC$5&lt;K$5)*AD136+(AI$5&lt;K$5)*AJ136+(AO$5&lt;K$5)*AP136+(AU$5&lt;K$5)*AV136)))</f>
        <v/>
      </c>
      <c r="N136">
        <f>IF(L136-M136&lt;0.005,0,L136-M136)</f>
        <v/>
      </c>
      <c r="O136">
        <f>T135</f>
        <v/>
      </c>
      <c r="P136">
        <f>O136*Plan!D8/100/12</f>
        <v/>
      </c>
      <c r="Q136">
        <f>MIN(Plan!E8,O136+P136)</f>
        <v/>
      </c>
      <c r="R136">
        <f>O136+P136-Q136</f>
        <v/>
      </c>
      <c r="S136">
        <f>MIN(R136,MAX(0,$B136-((E$5&lt;Q$5)*F136+(K$5&lt;Q$5)*L136+(W$5&lt;Q$5)*X136+(AC$5&lt;Q$5)*AD136+(AI$5&lt;Q$5)*AJ136+(AO$5&lt;Q$5)*AP136+(AU$5&lt;Q$5)*AV136)))</f>
        <v/>
      </c>
      <c r="T136">
        <f>IF(R136-S136&lt;0.005,0,R136-S136)</f>
        <v/>
      </c>
      <c r="U136">
        <f>Z135</f>
        <v/>
      </c>
      <c r="V136">
        <f>U136*Plan!D9/100/12</f>
        <v/>
      </c>
      <c r="W136">
        <f>MIN(Plan!E9,U136+V136)</f>
        <v/>
      </c>
      <c r="X136">
        <f>U136+V136-W136</f>
        <v/>
      </c>
      <c r="Y136">
        <f>MIN(X136,MAX(0,$B136-((E$5&lt;W$5)*F136+(K$5&lt;W$5)*L136+(Q$5&lt;W$5)*R136+(AC$5&lt;W$5)*AD136+(AI$5&lt;W$5)*AJ136+(AO$5&lt;W$5)*AP136+(AU$5&lt;W$5)*AV136)))</f>
        <v/>
      </c>
      <c r="Z136">
        <f>IF(X136-Y136&lt;0.005,0,X136-Y136)</f>
        <v/>
      </c>
      <c r="AA136">
        <f>AF135</f>
        <v/>
      </c>
      <c r="AB136">
        <f>AA136*Plan!D10/100/12</f>
        <v/>
      </c>
      <c r="AC136">
        <f>MIN(Plan!E10,AA136+AB136)</f>
        <v/>
      </c>
      <c r="AD136">
        <f>AA136+AB136-AC136</f>
        <v/>
      </c>
      <c r="AE136">
        <f>MIN(AD136,MAX(0,$B136-((E$5&lt;AC$5)*F136+(K$5&lt;AC$5)*L136+(Q$5&lt;AC$5)*R136+(W$5&lt;AC$5)*X136+(AI$5&lt;AC$5)*AJ136+(AO$5&lt;AC$5)*AP136+(AU$5&lt;AC$5)*AV136)))</f>
        <v/>
      </c>
      <c r="AF136">
        <f>IF(AD136-AE136&lt;0.005,0,AD136-AE136)</f>
        <v/>
      </c>
      <c r="AG136">
        <f>AL135</f>
        <v/>
      </c>
      <c r="AH136">
        <f>AG136*Plan!D11/100/12</f>
        <v/>
      </c>
      <c r="AI136">
        <f>MIN(Plan!E11,AG136+AH136)</f>
        <v/>
      </c>
      <c r="AJ136">
        <f>AG136+AH136-AI136</f>
        <v/>
      </c>
      <c r="AK136">
        <f>MIN(AJ136,MAX(0,$B136-((E$5&lt;AI$5)*F136+(K$5&lt;AI$5)*L136+(Q$5&lt;AI$5)*R136+(W$5&lt;AI$5)*X136+(AC$5&lt;AI$5)*AD136+(AO$5&lt;AI$5)*AP136+(AU$5&lt;AI$5)*AV136)))</f>
        <v/>
      </c>
      <c r="AL136">
        <f>IF(AJ136-AK136&lt;0.005,0,AJ136-AK136)</f>
        <v/>
      </c>
      <c r="AM136">
        <f>AR135</f>
        <v/>
      </c>
      <c r="AN136">
        <f>AM136*Plan!D12/100/12</f>
        <v/>
      </c>
      <c r="AO136">
        <f>MIN(Plan!E12,AM136+AN136)</f>
        <v/>
      </c>
      <c r="AP136">
        <f>AM136+AN136-AO136</f>
        <v/>
      </c>
      <c r="AQ136">
        <f>MIN(AP136,MAX(0,$B136-((E$5&lt;AO$5)*F136+(K$5&lt;AO$5)*L136+(Q$5&lt;AO$5)*R136+(W$5&lt;AO$5)*X136+(AC$5&lt;AO$5)*AD136+(AI$5&lt;AO$5)*AJ136+(AU$5&lt;AO$5)*AV136)))</f>
        <v/>
      </c>
      <c r="AR136">
        <f>IF(AP136-AQ136&lt;0.005,0,AP136-AQ136)</f>
        <v/>
      </c>
      <c r="AS136">
        <f>AX135</f>
        <v/>
      </c>
      <c r="AT136">
        <f>AS136*Plan!D13/100/12</f>
        <v/>
      </c>
      <c r="AU136">
        <f>MIN(Plan!E13,AS136+AT136)</f>
        <v/>
      </c>
      <c r="AV136">
        <f>AS136+AT136-AU136</f>
        <v/>
      </c>
      <c r="AW136">
        <f>MIN(AV136,MAX(0,$B136-((E$5&lt;AU$5)*F136+(K$5&lt;AU$5)*L136+(Q$5&lt;AU$5)*R136+(W$5&lt;AU$5)*X136+(AC$5&lt;AU$5)*AD136+(AI$5&lt;AU$5)*AJ136+(AO$5&lt;AU$5)*AP136)))</f>
        <v/>
      </c>
      <c r="AX136">
        <f>IF(AV136-AW136&lt;0.005,0,AV136-AW136)</f>
        <v/>
      </c>
      <c r="BC136">
        <f>H136+N136+T136+Z136+AF136+AL136+AR136+AX136</f>
        <v/>
      </c>
    </row>
    <row r="137">
      <c r="A137" t="n">
        <v>131</v>
      </c>
      <c r="B137" s="19">
        <f>MAX(0,$B$3-(E137+K137+Q137+W137+AC137+AI137+AO137+AU137))</f>
        <v/>
      </c>
      <c r="C137">
        <f>H136</f>
        <v/>
      </c>
      <c r="D137">
        <f>C137*Plan!D6/100/12</f>
        <v/>
      </c>
      <c r="E137">
        <f>MIN(Plan!E6,C137+D137)</f>
        <v/>
      </c>
      <c r="F137">
        <f>C137+D137-E137</f>
        <v/>
      </c>
      <c r="G137">
        <f>MIN(F137,MAX(0,$B137-((K$5&lt;E$5)*L137+(Q$5&lt;E$5)*R137+(W$5&lt;E$5)*X137+(AC$5&lt;E$5)*AD137+(AI$5&lt;E$5)*AJ137+(AO$5&lt;E$5)*AP137+(AU$5&lt;E$5)*AV137)))</f>
        <v/>
      </c>
      <c r="H137">
        <f>IF(F137-G137&lt;0.005,0,F137-G137)</f>
        <v/>
      </c>
      <c r="I137">
        <f>N136</f>
        <v/>
      </c>
      <c r="J137">
        <f>I137*Plan!D7/100/12</f>
        <v/>
      </c>
      <c r="K137">
        <f>MIN(Plan!E7,I137+J137)</f>
        <v/>
      </c>
      <c r="L137">
        <f>I137+J137-K137</f>
        <v/>
      </c>
      <c r="M137">
        <f>MIN(L137,MAX(0,$B137-((E$5&lt;K$5)*F137+(Q$5&lt;K$5)*R137+(W$5&lt;K$5)*X137+(AC$5&lt;K$5)*AD137+(AI$5&lt;K$5)*AJ137+(AO$5&lt;K$5)*AP137+(AU$5&lt;K$5)*AV137)))</f>
        <v/>
      </c>
      <c r="N137">
        <f>IF(L137-M137&lt;0.005,0,L137-M137)</f>
        <v/>
      </c>
      <c r="O137">
        <f>T136</f>
        <v/>
      </c>
      <c r="P137">
        <f>O137*Plan!D8/100/12</f>
        <v/>
      </c>
      <c r="Q137">
        <f>MIN(Plan!E8,O137+P137)</f>
        <v/>
      </c>
      <c r="R137">
        <f>O137+P137-Q137</f>
        <v/>
      </c>
      <c r="S137">
        <f>MIN(R137,MAX(0,$B137-((E$5&lt;Q$5)*F137+(K$5&lt;Q$5)*L137+(W$5&lt;Q$5)*X137+(AC$5&lt;Q$5)*AD137+(AI$5&lt;Q$5)*AJ137+(AO$5&lt;Q$5)*AP137+(AU$5&lt;Q$5)*AV137)))</f>
        <v/>
      </c>
      <c r="T137">
        <f>IF(R137-S137&lt;0.005,0,R137-S137)</f>
        <v/>
      </c>
      <c r="U137">
        <f>Z136</f>
        <v/>
      </c>
      <c r="V137">
        <f>U137*Plan!D9/100/12</f>
        <v/>
      </c>
      <c r="W137">
        <f>MIN(Plan!E9,U137+V137)</f>
        <v/>
      </c>
      <c r="X137">
        <f>U137+V137-W137</f>
        <v/>
      </c>
      <c r="Y137">
        <f>MIN(X137,MAX(0,$B137-((E$5&lt;W$5)*F137+(K$5&lt;W$5)*L137+(Q$5&lt;W$5)*R137+(AC$5&lt;W$5)*AD137+(AI$5&lt;W$5)*AJ137+(AO$5&lt;W$5)*AP137+(AU$5&lt;W$5)*AV137)))</f>
        <v/>
      </c>
      <c r="Z137">
        <f>IF(X137-Y137&lt;0.005,0,X137-Y137)</f>
        <v/>
      </c>
      <c r="AA137">
        <f>AF136</f>
        <v/>
      </c>
      <c r="AB137">
        <f>AA137*Plan!D10/100/12</f>
        <v/>
      </c>
      <c r="AC137">
        <f>MIN(Plan!E10,AA137+AB137)</f>
        <v/>
      </c>
      <c r="AD137">
        <f>AA137+AB137-AC137</f>
        <v/>
      </c>
      <c r="AE137">
        <f>MIN(AD137,MAX(0,$B137-((E$5&lt;AC$5)*F137+(K$5&lt;AC$5)*L137+(Q$5&lt;AC$5)*R137+(W$5&lt;AC$5)*X137+(AI$5&lt;AC$5)*AJ137+(AO$5&lt;AC$5)*AP137+(AU$5&lt;AC$5)*AV137)))</f>
        <v/>
      </c>
      <c r="AF137">
        <f>IF(AD137-AE137&lt;0.005,0,AD137-AE137)</f>
        <v/>
      </c>
      <c r="AG137">
        <f>AL136</f>
        <v/>
      </c>
      <c r="AH137">
        <f>AG137*Plan!D11/100/12</f>
        <v/>
      </c>
      <c r="AI137">
        <f>MIN(Plan!E11,AG137+AH137)</f>
        <v/>
      </c>
      <c r="AJ137">
        <f>AG137+AH137-AI137</f>
        <v/>
      </c>
      <c r="AK137">
        <f>MIN(AJ137,MAX(0,$B137-((E$5&lt;AI$5)*F137+(K$5&lt;AI$5)*L137+(Q$5&lt;AI$5)*R137+(W$5&lt;AI$5)*X137+(AC$5&lt;AI$5)*AD137+(AO$5&lt;AI$5)*AP137+(AU$5&lt;AI$5)*AV137)))</f>
        <v/>
      </c>
      <c r="AL137">
        <f>IF(AJ137-AK137&lt;0.005,0,AJ137-AK137)</f>
        <v/>
      </c>
      <c r="AM137">
        <f>AR136</f>
        <v/>
      </c>
      <c r="AN137">
        <f>AM137*Plan!D12/100/12</f>
        <v/>
      </c>
      <c r="AO137">
        <f>MIN(Plan!E12,AM137+AN137)</f>
        <v/>
      </c>
      <c r="AP137">
        <f>AM137+AN137-AO137</f>
        <v/>
      </c>
      <c r="AQ137">
        <f>MIN(AP137,MAX(0,$B137-((E$5&lt;AO$5)*F137+(K$5&lt;AO$5)*L137+(Q$5&lt;AO$5)*R137+(W$5&lt;AO$5)*X137+(AC$5&lt;AO$5)*AD137+(AI$5&lt;AO$5)*AJ137+(AU$5&lt;AO$5)*AV137)))</f>
        <v/>
      </c>
      <c r="AR137">
        <f>IF(AP137-AQ137&lt;0.005,0,AP137-AQ137)</f>
        <v/>
      </c>
      <c r="AS137">
        <f>AX136</f>
        <v/>
      </c>
      <c r="AT137">
        <f>AS137*Plan!D13/100/12</f>
        <v/>
      </c>
      <c r="AU137">
        <f>MIN(Plan!E13,AS137+AT137)</f>
        <v/>
      </c>
      <c r="AV137">
        <f>AS137+AT137-AU137</f>
        <v/>
      </c>
      <c r="AW137">
        <f>MIN(AV137,MAX(0,$B137-((E$5&lt;AU$5)*F137+(K$5&lt;AU$5)*L137+(Q$5&lt;AU$5)*R137+(W$5&lt;AU$5)*X137+(AC$5&lt;AU$5)*AD137+(AI$5&lt;AU$5)*AJ137+(AO$5&lt;AU$5)*AP137)))</f>
        <v/>
      </c>
      <c r="AX137">
        <f>IF(AV137-AW137&lt;0.005,0,AV137-AW137)</f>
        <v/>
      </c>
      <c r="BC137">
        <f>H137+N137+T137+Z137+AF137+AL137+AR137+AX137</f>
        <v/>
      </c>
    </row>
    <row r="138">
      <c r="A138" t="n">
        <v>132</v>
      </c>
      <c r="B138" s="19">
        <f>MAX(0,$B$3-(E138+K138+Q138+W138+AC138+AI138+AO138+AU138))</f>
        <v/>
      </c>
      <c r="C138">
        <f>H137</f>
        <v/>
      </c>
      <c r="D138">
        <f>C138*Plan!D6/100/12</f>
        <v/>
      </c>
      <c r="E138">
        <f>MIN(Plan!E6,C138+D138)</f>
        <v/>
      </c>
      <c r="F138">
        <f>C138+D138-E138</f>
        <v/>
      </c>
      <c r="G138">
        <f>MIN(F138,MAX(0,$B138-((K$5&lt;E$5)*L138+(Q$5&lt;E$5)*R138+(W$5&lt;E$5)*X138+(AC$5&lt;E$5)*AD138+(AI$5&lt;E$5)*AJ138+(AO$5&lt;E$5)*AP138+(AU$5&lt;E$5)*AV138)))</f>
        <v/>
      </c>
      <c r="H138">
        <f>IF(F138-G138&lt;0.005,0,F138-G138)</f>
        <v/>
      </c>
      <c r="I138">
        <f>N137</f>
        <v/>
      </c>
      <c r="J138">
        <f>I138*Plan!D7/100/12</f>
        <v/>
      </c>
      <c r="K138">
        <f>MIN(Plan!E7,I138+J138)</f>
        <v/>
      </c>
      <c r="L138">
        <f>I138+J138-K138</f>
        <v/>
      </c>
      <c r="M138">
        <f>MIN(L138,MAX(0,$B138-((E$5&lt;K$5)*F138+(Q$5&lt;K$5)*R138+(W$5&lt;K$5)*X138+(AC$5&lt;K$5)*AD138+(AI$5&lt;K$5)*AJ138+(AO$5&lt;K$5)*AP138+(AU$5&lt;K$5)*AV138)))</f>
        <v/>
      </c>
      <c r="N138">
        <f>IF(L138-M138&lt;0.005,0,L138-M138)</f>
        <v/>
      </c>
      <c r="O138">
        <f>T137</f>
        <v/>
      </c>
      <c r="P138">
        <f>O138*Plan!D8/100/12</f>
        <v/>
      </c>
      <c r="Q138">
        <f>MIN(Plan!E8,O138+P138)</f>
        <v/>
      </c>
      <c r="R138">
        <f>O138+P138-Q138</f>
        <v/>
      </c>
      <c r="S138">
        <f>MIN(R138,MAX(0,$B138-((E$5&lt;Q$5)*F138+(K$5&lt;Q$5)*L138+(W$5&lt;Q$5)*X138+(AC$5&lt;Q$5)*AD138+(AI$5&lt;Q$5)*AJ138+(AO$5&lt;Q$5)*AP138+(AU$5&lt;Q$5)*AV138)))</f>
        <v/>
      </c>
      <c r="T138">
        <f>IF(R138-S138&lt;0.005,0,R138-S138)</f>
        <v/>
      </c>
      <c r="U138">
        <f>Z137</f>
        <v/>
      </c>
      <c r="V138">
        <f>U138*Plan!D9/100/12</f>
        <v/>
      </c>
      <c r="W138">
        <f>MIN(Plan!E9,U138+V138)</f>
        <v/>
      </c>
      <c r="X138">
        <f>U138+V138-W138</f>
        <v/>
      </c>
      <c r="Y138">
        <f>MIN(X138,MAX(0,$B138-((E$5&lt;W$5)*F138+(K$5&lt;W$5)*L138+(Q$5&lt;W$5)*R138+(AC$5&lt;W$5)*AD138+(AI$5&lt;W$5)*AJ138+(AO$5&lt;W$5)*AP138+(AU$5&lt;W$5)*AV138)))</f>
        <v/>
      </c>
      <c r="Z138">
        <f>IF(X138-Y138&lt;0.005,0,X138-Y138)</f>
        <v/>
      </c>
      <c r="AA138">
        <f>AF137</f>
        <v/>
      </c>
      <c r="AB138">
        <f>AA138*Plan!D10/100/12</f>
        <v/>
      </c>
      <c r="AC138">
        <f>MIN(Plan!E10,AA138+AB138)</f>
        <v/>
      </c>
      <c r="AD138">
        <f>AA138+AB138-AC138</f>
        <v/>
      </c>
      <c r="AE138">
        <f>MIN(AD138,MAX(0,$B138-((E$5&lt;AC$5)*F138+(K$5&lt;AC$5)*L138+(Q$5&lt;AC$5)*R138+(W$5&lt;AC$5)*X138+(AI$5&lt;AC$5)*AJ138+(AO$5&lt;AC$5)*AP138+(AU$5&lt;AC$5)*AV138)))</f>
        <v/>
      </c>
      <c r="AF138">
        <f>IF(AD138-AE138&lt;0.005,0,AD138-AE138)</f>
        <v/>
      </c>
      <c r="AG138">
        <f>AL137</f>
        <v/>
      </c>
      <c r="AH138">
        <f>AG138*Plan!D11/100/12</f>
        <v/>
      </c>
      <c r="AI138">
        <f>MIN(Plan!E11,AG138+AH138)</f>
        <v/>
      </c>
      <c r="AJ138">
        <f>AG138+AH138-AI138</f>
        <v/>
      </c>
      <c r="AK138">
        <f>MIN(AJ138,MAX(0,$B138-((E$5&lt;AI$5)*F138+(K$5&lt;AI$5)*L138+(Q$5&lt;AI$5)*R138+(W$5&lt;AI$5)*X138+(AC$5&lt;AI$5)*AD138+(AO$5&lt;AI$5)*AP138+(AU$5&lt;AI$5)*AV138)))</f>
        <v/>
      </c>
      <c r="AL138">
        <f>IF(AJ138-AK138&lt;0.005,0,AJ138-AK138)</f>
        <v/>
      </c>
      <c r="AM138">
        <f>AR137</f>
        <v/>
      </c>
      <c r="AN138">
        <f>AM138*Plan!D12/100/12</f>
        <v/>
      </c>
      <c r="AO138">
        <f>MIN(Plan!E12,AM138+AN138)</f>
        <v/>
      </c>
      <c r="AP138">
        <f>AM138+AN138-AO138</f>
        <v/>
      </c>
      <c r="AQ138">
        <f>MIN(AP138,MAX(0,$B138-((E$5&lt;AO$5)*F138+(K$5&lt;AO$5)*L138+(Q$5&lt;AO$5)*R138+(W$5&lt;AO$5)*X138+(AC$5&lt;AO$5)*AD138+(AI$5&lt;AO$5)*AJ138+(AU$5&lt;AO$5)*AV138)))</f>
        <v/>
      </c>
      <c r="AR138">
        <f>IF(AP138-AQ138&lt;0.005,0,AP138-AQ138)</f>
        <v/>
      </c>
      <c r="AS138">
        <f>AX137</f>
        <v/>
      </c>
      <c r="AT138">
        <f>AS138*Plan!D13/100/12</f>
        <v/>
      </c>
      <c r="AU138">
        <f>MIN(Plan!E13,AS138+AT138)</f>
        <v/>
      </c>
      <c r="AV138">
        <f>AS138+AT138-AU138</f>
        <v/>
      </c>
      <c r="AW138">
        <f>MIN(AV138,MAX(0,$B138-((E$5&lt;AU$5)*F138+(K$5&lt;AU$5)*L138+(Q$5&lt;AU$5)*R138+(W$5&lt;AU$5)*X138+(AC$5&lt;AU$5)*AD138+(AI$5&lt;AU$5)*AJ138+(AO$5&lt;AU$5)*AP138)))</f>
        <v/>
      </c>
      <c r="AX138">
        <f>IF(AV138-AW138&lt;0.005,0,AV138-AW138)</f>
        <v/>
      </c>
      <c r="BC138">
        <f>H138+N138+T138+Z138+AF138+AL138+AR138+AX138</f>
        <v/>
      </c>
    </row>
    <row r="139">
      <c r="A139" t="n">
        <v>133</v>
      </c>
      <c r="B139" s="19">
        <f>MAX(0,$B$3-(E139+K139+Q139+W139+AC139+AI139+AO139+AU139))</f>
        <v/>
      </c>
      <c r="C139">
        <f>H138</f>
        <v/>
      </c>
      <c r="D139">
        <f>C139*Plan!D6/100/12</f>
        <v/>
      </c>
      <c r="E139">
        <f>MIN(Plan!E6,C139+D139)</f>
        <v/>
      </c>
      <c r="F139">
        <f>C139+D139-E139</f>
        <v/>
      </c>
      <c r="G139">
        <f>MIN(F139,MAX(0,$B139-((K$5&lt;E$5)*L139+(Q$5&lt;E$5)*R139+(W$5&lt;E$5)*X139+(AC$5&lt;E$5)*AD139+(AI$5&lt;E$5)*AJ139+(AO$5&lt;E$5)*AP139+(AU$5&lt;E$5)*AV139)))</f>
        <v/>
      </c>
      <c r="H139">
        <f>IF(F139-G139&lt;0.005,0,F139-G139)</f>
        <v/>
      </c>
      <c r="I139">
        <f>N138</f>
        <v/>
      </c>
      <c r="J139">
        <f>I139*Plan!D7/100/12</f>
        <v/>
      </c>
      <c r="K139">
        <f>MIN(Plan!E7,I139+J139)</f>
        <v/>
      </c>
      <c r="L139">
        <f>I139+J139-K139</f>
        <v/>
      </c>
      <c r="M139">
        <f>MIN(L139,MAX(0,$B139-((E$5&lt;K$5)*F139+(Q$5&lt;K$5)*R139+(W$5&lt;K$5)*X139+(AC$5&lt;K$5)*AD139+(AI$5&lt;K$5)*AJ139+(AO$5&lt;K$5)*AP139+(AU$5&lt;K$5)*AV139)))</f>
        <v/>
      </c>
      <c r="N139">
        <f>IF(L139-M139&lt;0.005,0,L139-M139)</f>
        <v/>
      </c>
      <c r="O139">
        <f>T138</f>
        <v/>
      </c>
      <c r="P139">
        <f>O139*Plan!D8/100/12</f>
        <v/>
      </c>
      <c r="Q139">
        <f>MIN(Plan!E8,O139+P139)</f>
        <v/>
      </c>
      <c r="R139">
        <f>O139+P139-Q139</f>
        <v/>
      </c>
      <c r="S139">
        <f>MIN(R139,MAX(0,$B139-((E$5&lt;Q$5)*F139+(K$5&lt;Q$5)*L139+(W$5&lt;Q$5)*X139+(AC$5&lt;Q$5)*AD139+(AI$5&lt;Q$5)*AJ139+(AO$5&lt;Q$5)*AP139+(AU$5&lt;Q$5)*AV139)))</f>
        <v/>
      </c>
      <c r="T139">
        <f>IF(R139-S139&lt;0.005,0,R139-S139)</f>
        <v/>
      </c>
      <c r="U139">
        <f>Z138</f>
        <v/>
      </c>
      <c r="V139">
        <f>U139*Plan!D9/100/12</f>
        <v/>
      </c>
      <c r="W139">
        <f>MIN(Plan!E9,U139+V139)</f>
        <v/>
      </c>
      <c r="X139">
        <f>U139+V139-W139</f>
        <v/>
      </c>
      <c r="Y139">
        <f>MIN(X139,MAX(0,$B139-((E$5&lt;W$5)*F139+(K$5&lt;W$5)*L139+(Q$5&lt;W$5)*R139+(AC$5&lt;W$5)*AD139+(AI$5&lt;W$5)*AJ139+(AO$5&lt;W$5)*AP139+(AU$5&lt;W$5)*AV139)))</f>
        <v/>
      </c>
      <c r="Z139">
        <f>IF(X139-Y139&lt;0.005,0,X139-Y139)</f>
        <v/>
      </c>
      <c r="AA139">
        <f>AF138</f>
        <v/>
      </c>
      <c r="AB139">
        <f>AA139*Plan!D10/100/12</f>
        <v/>
      </c>
      <c r="AC139">
        <f>MIN(Plan!E10,AA139+AB139)</f>
        <v/>
      </c>
      <c r="AD139">
        <f>AA139+AB139-AC139</f>
        <v/>
      </c>
      <c r="AE139">
        <f>MIN(AD139,MAX(0,$B139-((E$5&lt;AC$5)*F139+(K$5&lt;AC$5)*L139+(Q$5&lt;AC$5)*R139+(W$5&lt;AC$5)*X139+(AI$5&lt;AC$5)*AJ139+(AO$5&lt;AC$5)*AP139+(AU$5&lt;AC$5)*AV139)))</f>
        <v/>
      </c>
      <c r="AF139">
        <f>IF(AD139-AE139&lt;0.005,0,AD139-AE139)</f>
        <v/>
      </c>
      <c r="AG139">
        <f>AL138</f>
        <v/>
      </c>
      <c r="AH139">
        <f>AG139*Plan!D11/100/12</f>
        <v/>
      </c>
      <c r="AI139">
        <f>MIN(Plan!E11,AG139+AH139)</f>
        <v/>
      </c>
      <c r="AJ139">
        <f>AG139+AH139-AI139</f>
        <v/>
      </c>
      <c r="AK139">
        <f>MIN(AJ139,MAX(0,$B139-((E$5&lt;AI$5)*F139+(K$5&lt;AI$5)*L139+(Q$5&lt;AI$5)*R139+(W$5&lt;AI$5)*X139+(AC$5&lt;AI$5)*AD139+(AO$5&lt;AI$5)*AP139+(AU$5&lt;AI$5)*AV139)))</f>
        <v/>
      </c>
      <c r="AL139">
        <f>IF(AJ139-AK139&lt;0.005,0,AJ139-AK139)</f>
        <v/>
      </c>
      <c r="AM139">
        <f>AR138</f>
        <v/>
      </c>
      <c r="AN139">
        <f>AM139*Plan!D12/100/12</f>
        <v/>
      </c>
      <c r="AO139">
        <f>MIN(Plan!E12,AM139+AN139)</f>
        <v/>
      </c>
      <c r="AP139">
        <f>AM139+AN139-AO139</f>
        <v/>
      </c>
      <c r="AQ139">
        <f>MIN(AP139,MAX(0,$B139-((E$5&lt;AO$5)*F139+(K$5&lt;AO$5)*L139+(Q$5&lt;AO$5)*R139+(W$5&lt;AO$5)*X139+(AC$5&lt;AO$5)*AD139+(AI$5&lt;AO$5)*AJ139+(AU$5&lt;AO$5)*AV139)))</f>
        <v/>
      </c>
      <c r="AR139">
        <f>IF(AP139-AQ139&lt;0.005,0,AP139-AQ139)</f>
        <v/>
      </c>
      <c r="AS139">
        <f>AX138</f>
        <v/>
      </c>
      <c r="AT139">
        <f>AS139*Plan!D13/100/12</f>
        <v/>
      </c>
      <c r="AU139">
        <f>MIN(Plan!E13,AS139+AT139)</f>
        <v/>
      </c>
      <c r="AV139">
        <f>AS139+AT139-AU139</f>
        <v/>
      </c>
      <c r="AW139">
        <f>MIN(AV139,MAX(0,$B139-((E$5&lt;AU$5)*F139+(K$5&lt;AU$5)*L139+(Q$5&lt;AU$5)*R139+(W$5&lt;AU$5)*X139+(AC$5&lt;AU$5)*AD139+(AI$5&lt;AU$5)*AJ139+(AO$5&lt;AU$5)*AP139)))</f>
        <v/>
      </c>
      <c r="AX139">
        <f>IF(AV139-AW139&lt;0.005,0,AV139-AW139)</f>
        <v/>
      </c>
      <c r="BC139">
        <f>H139+N139+T139+Z139+AF139+AL139+AR139+AX139</f>
        <v/>
      </c>
    </row>
    <row r="140">
      <c r="A140" t="n">
        <v>134</v>
      </c>
      <c r="B140" s="19">
        <f>MAX(0,$B$3-(E140+K140+Q140+W140+AC140+AI140+AO140+AU140))</f>
        <v/>
      </c>
      <c r="C140">
        <f>H139</f>
        <v/>
      </c>
      <c r="D140">
        <f>C140*Plan!D6/100/12</f>
        <v/>
      </c>
      <c r="E140">
        <f>MIN(Plan!E6,C140+D140)</f>
        <v/>
      </c>
      <c r="F140">
        <f>C140+D140-E140</f>
        <v/>
      </c>
      <c r="G140">
        <f>MIN(F140,MAX(0,$B140-((K$5&lt;E$5)*L140+(Q$5&lt;E$5)*R140+(W$5&lt;E$5)*X140+(AC$5&lt;E$5)*AD140+(AI$5&lt;E$5)*AJ140+(AO$5&lt;E$5)*AP140+(AU$5&lt;E$5)*AV140)))</f>
        <v/>
      </c>
      <c r="H140">
        <f>IF(F140-G140&lt;0.005,0,F140-G140)</f>
        <v/>
      </c>
      <c r="I140">
        <f>N139</f>
        <v/>
      </c>
      <c r="J140">
        <f>I140*Plan!D7/100/12</f>
        <v/>
      </c>
      <c r="K140">
        <f>MIN(Plan!E7,I140+J140)</f>
        <v/>
      </c>
      <c r="L140">
        <f>I140+J140-K140</f>
        <v/>
      </c>
      <c r="M140">
        <f>MIN(L140,MAX(0,$B140-((E$5&lt;K$5)*F140+(Q$5&lt;K$5)*R140+(W$5&lt;K$5)*X140+(AC$5&lt;K$5)*AD140+(AI$5&lt;K$5)*AJ140+(AO$5&lt;K$5)*AP140+(AU$5&lt;K$5)*AV140)))</f>
        <v/>
      </c>
      <c r="N140">
        <f>IF(L140-M140&lt;0.005,0,L140-M140)</f>
        <v/>
      </c>
      <c r="O140">
        <f>T139</f>
        <v/>
      </c>
      <c r="P140">
        <f>O140*Plan!D8/100/12</f>
        <v/>
      </c>
      <c r="Q140">
        <f>MIN(Plan!E8,O140+P140)</f>
        <v/>
      </c>
      <c r="R140">
        <f>O140+P140-Q140</f>
        <v/>
      </c>
      <c r="S140">
        <f>MIN(R140,MAX(0,$B140-((E$5&lt;Q$5)*F140+(K$5&lt;Q$5)*L140+(W$5&lt;Q$5)*X140+(AC$5&lt;Q$5)*AD140+(AI$5&lt;Q$5)*AJ140+(AO$5&lt;Q$5)*AP140+(AU$5&lt;Q$5)*AV140)))</f>
        <v/>
      </c>
      <c r="T140">
        <f>IF(R140-S140&lt;0.005,0,R140-S140)</f>
        <v/>
      </c>
      <c r="U140">
        <f>Z139</f>
        <v/>
      </c>
      <c r="V140">
        <f>U140*Plan!D9/100/12</f>
        <v/>
      </c>
      <c r="W140">
        <f>MIN(Plan!E9,U140+V140)</f>
        <v/>
      </c>
      <c r="X140">
        <f>U140+V140-W140</f>
        <v/>
      </c>
      <c r="Y140">
        <f>MIN(X140,MAX(0,$B140-((E$5&lt;W$5)*F140+(K$5&lt;W$5)*L140+(Q$5&lt;W$5)*R140+(AC$5&lt;W$5)*AD140+(AI$5&lt;W$5)*AJ140+(AO$5&lt;W$5)*AP140+(AU$5&lt;W$5)*AV140)))</f>
        <v/>
      </c>
      <c r="Z140">
        <f>IF(X140-Y140&lt;0.005,0,X140-Y140)</f>
        <v/>
      </c>
      <c r="AA140">
        <f>AF139</f>
        <v/>
      </c>
      <c r="AB140">
        <f>AA140*Plan!D10/100/12</f>
        <v/>
      </c>
      <c r="AC140">
        <f>MIN(Plan!E10,AA140+AB140)</f>
        <v/>
      </c>
      <c r="AD140">
        <f>AA140+AB140-AC140</f>
        <v/>
      </c>
      <c r="AE140">
        <f>MIN(AD140,MAX(0,$B140-((E$5&lt;AC$5)*F140+(K$5&lt;AC$5)*L140+(Q$5&lt;AC$5)*R140+(W$5&lt;AC$5)*X140+(AI$5&lt;AC$5)*AJ140+(AO$5&lt;AC$5)*AP140+(AU$5&lt;AC$5)*AV140)))</f>
        <v/>
      </c>
      <c r="AF140">
        <f>IF(AD140-AE140&lt;0.005,0,AD140-AE140)</f>
        <v/>
      </c>
      <c r="AG140">
        <f>AL139</f>
        <v/>
      </c>
      <c r="AH140">
        <f>AG140*Plan!D11/100/12</f>
        <v/>
      </c>
      <c r="AI140">
        <f>MIN(Plan!E11,AG140+AH140)</f>
        <v/>
      </c>
      <c r="AJ140">
        <f>AG140+AH140-AI140</f>
        <v/>
      </c>
      <c r="AK140">
        <f>MIN(AJ140,MAX(0,$B140-((E$5&lt;AI$5)*F140+(K$5&lt;AI$5)*L140+(Q$5&lt;AI$5)*R140+(W$5&lt;AI$5)*X140+(AC$5&lt;AI$5)*AD140+(AO$5&lt;AI$5)*AP140+(AU$5&lt;AI$5)*AV140)))</f>
        <v/>
      </c>
      <c r="AL140">
        <f>IF(AJ140-AK140&lt;0.005,0,AJ140-AK140)</f>
        <v/>
      </c>
      <c r="AM140">
        <f>AR139</f>
        <v/>
      </c>
      <c r="AN140">
        <f>AM140*Plan!D12/100/12</f>
        <v/>
      </c>
      <c r="AO140">
        <f>MIN(Plan!E12,AM140+AN140)</f>
        <v/>
      </c>
      <c r="AP140">
        <f>AM140+AN140-AO140</f>
        <v/>
      </c>
      <c r="AQ140">
        <f>MIN(AP140,MAX(0,$B140-((E$5&lt;AO$5)*F140+(K$5&lt;AO$5)*L140+(Q$5&lt;AO$5)*R140+(W$5&lt;AO$5)*X140+(AC$5&lt;AO$5)*AD140+(AI$5&lt;AO$5)*AJ140+(AU$5&lt;AO$5)*AV140)))</f>
        <v/>
      </c>
      <c r="AR140">
        <f>IF(AP140-AQ140&lt;0.005,0,AP140-AQ140)</f>
        <v/>
      </c>
      <c r="AS140">
        <f>AX139</f>
        <v/>
      </c>
      <c r="AT140">
        <f>AS140*Plan!D13/100/12</f>
        <v/>
      </c>
      <c r="AU140">
        <f>MIN(Plan!E13,AS140+AT140)</f>
        <v/>
      </c>
      <c r="AV140">
        <f>AS140+AT140-AU140</f>
        <v/>
      </c>
      <c r="AW140">
        <f>MIN(AV140,MAX(0,$B140-((E$5&lt;AU$5)*F140+(K$5&lt;AU$5)*L140+(Q$5&lt;AU$5)*R140+(W$5&lt;AU$5)*X140+(AC$5&lt;AU$5)*AD140+(AI$5&lt;AU$5)*AJ140+(AO$5&lt;AU$5)*AP140)))</f>
        <v/>
      </c>
      <c r="AX140">
        <f>IF(AV140-AW140&lt;0.005,0,AV140-AW140)</f>
        <v/>
      </c>
      <c r="BC140">
        <f>H140+N140+T140+Z140+AF140+AL140+AR140+AX140</f>
        <v/>
      </c>
    </row>
    <row r="141">
      <c r="A141" t="n">
        <v>135</v>
      </c>
      <c r="B141" s="19">
        <f>MAX(0,$B$3-(E141+K141+Q141+W141+AC141+AI141+AO141+AU141))</f>
        <v/>
      </c>
      <c r="C141">
        <f>H140</f>
        <v/>
      </c>
      <c r="D141">
        <f>C141*Plan!D6/100/12</f>
        <v/>
      </c>
      <c r="E141">
        <f>MIN(Plan!E6,C141+D141)</f>
        <v/>
      </c>
      <c r="F141">
        <f>C141+D141-E141</f>
        <v/>
      </c>
      <c r="G141">
        <f>MIN(F141,MAX(0,$B141-((K$5&lt;E$5)*L141+(Q$5&lt;E$5)*R141+(W$5&lt;E$5)*X141+(AC$5&lt;E$5)*AD141+(AI$5&lt;E$5)*AJ141+(AO$5&lt;E$5)*AP141+(AU$5&lt;E$5)*AV141)))</f>
        <v/>
      </c>
      <c r="H141">
        <f>IF(F141-G141&lt;0.005,0,F141-G141)</f>
        <v/>
      </c>
      <c r="I141">
        <f>N140</f>
        <v/>
      </c>
      <c r="J141">
        <f>I141*Plan!D7/100/12</f>
        <v/>
      </c>
      <c r="K141">
        <f>MIN(Plan!E7,I141+J141)</f>
        <v/>
      </c>
      <c r="L141">
        <f>I141+J141-K141</f>
        <v/>
      </c>
      <c r="M141">
        <f>MIN(L141,MAX(0,$B141-((E$5&lt;K$5)*F141+(Q$5&lt;K$5)*R141+(W$5&lt;K$5)*X141+(AC$5&lt;K$5)*AD141+(AI$5&lt;K$5)*AJ141+(AO$5&lt;K$5)*AP141+(AU$5&lt;K$5)*AV141)))</f>
        <v/>
      </c>
      <c r="N141">
        <f>IF(L141-M141&lt;0.005,0,L141-M141)</f>
        <v/>
      </c>
      <c r="O141">
        <f>T140</f>
        <v/>
      </c>
      <c r="P141">
        <f>O141*Plan!D8/100/12</f>
        <v/>
      </c>
      <c r="Q141">
        <f>MIN(Plan!E8,O141+P141)</f>
        <v/>
      </c>
      <c r="R141">
        <f>O141+P141-Q141</f>
        <v/>
      </c>
      <c r="S141">
        <f>MIN(R141,MAX(0,$B141-((E$5&lt;Q$5)*F141+(K$5&lt;Q$5)*L141+(W$5&lt;Q$5)*X141+(AC$5&lt;Q$5)*AD141+(AI$5&lt;Q$5)*AJ141+(AO$5&lt;Q$5)*AP141+(AU$5&lt;Q$5)*AV141)))</f>
        <v/>
      </c>
      <c r="T141">
        <f>IF(R141-S141&lt;0.005,0,R141-S141)</f>
        <v/>
      </c>
      <c r="U141">
        <f>Z140</f>
        <v/>
      </c>
      <c r="V141">
        <f>U141*Plan!D9/100/12</f>
        <v/>
      </c>
      <c r="W141">
        <f>MIN(Plan!E9,U141+V141)</f>
        <v/>
      </c>
      <c r="X141">
        <f>U141+V141-W141</f>
        <v/>
      </c>
      <c r="Y141">
        <f>MIN(X141,MAX(0,$B141-((E$5&lt;W$5)*F141+(K$5&lt;W$5)*L141+(Q$5&lt;W$5)*R141+(AC$5&lt;W$5)*AD141+(AI$5&lt;W$5)*AJ141+(AO$5&lt;W$5)*AP141+(AU$5&lt;W$5)*AV141)))</f>
        <v/>
      </c>
      <c r="Z141">
        <f>IF(X141-Y141&lt;0.005,0,X141-Y141)</f>
        <v/>
      </c>
      <c r="AA141">
        <f>AF140</f>
        <v/>
      </c>
      <c r="AB141">
        <f>AA141*Plan!D10/100/12</f>
        <v/>
      </c>
      <c r="AC141">
        <f>MIN(Plan!E10,AA141+AB141)</f>
        <v/>
      </c>
      <c r="AD141">
        <f>AA141+AB141-AC141</f>
        <v/>
      </c>
      <c r="AE141">
        <f>MIN(AD141,MAX(0,$B141-((E$5&lt;AC$5)*F141+(K$5&lt;AC$5)*L141+(Q$5&lt;AC$5)*R141+(W$5&lt;AC$5)*X141+(AI$5&lt;AC$5)*AJ141+(AO$5&lt;AC$5)*AP141+(AU$5&lt;AC$5)*AV141)))</f>
        <v/>
      </c>
      <c r="AF141">
        <f>IF(AD141-AE141&lt;0.005,0,AD141-AE141)</f>
        <v/>
      </c>
      <c r="AG141">
        <f>AL140</f>
        <v/>
      </c>
      <c r="AH141">
        <f>AG141*Plan!D11/100/12</f>
        <v/>
      </c>
      <c r="AI141">
        <f>MIN(Plan!E11,AG141+AH141)</f>
        <v/>
      </c>
      <c r="AJ141">
        <f>AG141+AH141-AI141</f>
        <v/>
      </c>
      <c r="AK141">
        <f>MIN(AJ141,MAX(0,$B141-((E$5&lt;AI$5)*F141+(K$5&lt;AI$5)*L141+(Q$5&lt;AI$5)*R141+(W$5&lt;AI$5)*X141+(AC$5&lt;AI$5)*AD141+(AO$5&lt;AI$5)*AP141+(AU$5&lt;AI$5)*AV141)))</f>
        <v/>
      </c>
      <c r="AL141">
        <f>IF(AJ141-AK141&lt;0.005,0,AJ141-AK141)</f>
        <v/>
      </c>
      <c r="AM141">
        <f>AR140</f>
        <v/>
      </c>
      <c r="AN141">
        <f>AM141*Plan!D12/100/12</f>
        <v/>
      </c>
      <c r="AO141">
        <f>MIN(Plan!E12,AM141+AN141)</f>
        <v/>
      </c>
      <c r="AP141">
        <f>AM141+AN141-AO141</f>
        <v/>
      </c>
      <c r="AQ141">
        <f>MIN(AP141,MAX(0,$B141-((E$5&lt;AO$5)*F141+(K$5&lt;AO$5)*L141+(Q$5&lt;AO$5)*R141+(W$5&lt;AO$5)*X141+(AC$5&lt;AO$5)*AD141+(AI$5&lt;AO$5)*AJ141+(AU$5&lt;AO$5)*AV141)))</f>
        <v/>
      </c>
      <c r="AR141">
        <f>IF(AP141-AQ141&lt;0.005,0,AP141-AQ141)</f>
        <v/>
      </c>
      <c r="AS141">
        <f>AX140</f>
        <v/>
      </c>
      <c r="AT141">
        <f>AS141*Plan!D13/100/12</f>
        <v/>
      </c>
      <c r="AU141">
        <f>MIN(Plan!E13,AS141+AT141)</f>
        <v/>
      </c>
      <c r="AV141">
        <f>AS141+AT141-AU141</f>
        <v/>
      </c>
      <c r="AW141">
        <f>MIN(AV141,MAX(0,$B141-((E$5&lt;AU$5)*F141+(K$5&lt;AU$5)*L141+(Q$5&lt;AU$5)*R141+(W$5&lt;AU$5)*X141+(AC$5&lt;AU$5)*AD141+(AI$5&lt;AU$5)*AJ141+(AO$5&lt;AU$5)*AP141)))</f>
        <v/>
      </c>
      <c r="AX141">
        <f>IF(AV141-AW141&lt;0.005,0,AV141-AW141)</f>
        <v/>
      </c>
      <c r="BC141">
        <f>H141+N141+T141+Z141+AF141+AL141+AR141+AX141</f>
        <v/>
      </c>
    </row>
    <row r="142">
      <c r="A142" t="n">
        <v>136</v>
      </c>
      <c r="B142" s="19">
        <f>MAX(0,$B$3-(E142+K142+Q142+W142+AC142+AI142+AO142+AU142))</f>
        <v/>
      </c>
      <c r="C142">
        <f>H141</f>
        <v/>
      </c>
      <c r="D142">
        <f>C142*Plan!D6/100/12</f>
        <v/>
      </c>
      <c r="E142">
        <f>MIN(Plan!E6,C142+D142)</f>
        <v/>
      </c>
      <c r="F142">
        <f>C142+D142-E142</f>
        <v/>
      </c>
      <c r="G142">
        <f>MIN(F142,MAX(0,$B142-((K$5&lt;E$5)*L142+(Q$5&lt;E$5)*R142+(W$5&lt;E$5)*X142+(AC$5&lt;E$5)*AD142+(AI$5&lt;E$5)*AJ142+(AO$5&lt;E$5)*AP142+(AU$5&lt;E$5)*AV142)))</f>
        <v/>
      </c>
      <c r="H142">
        <f>IF(F142-G142&lt;0.005,0,F142-G142)</f>
        <v/>
      </c>
      <c r="I142">
        <f>N141</f>
        <v/>
      </c>
      <c r="J142">
        <f>I142*Plan!D7/100/12</f>
        <v/>
      </c>
      <c r="K142">
        <f>MIN(Plan!E7,I142+J142)</f>
        <v/>
      </c>
      <c r="L142">
        <f>I142+J142-K142</f>
        <v/>
      </c>
      <c r="M142">
        <f>MIN(L142,MAX(0,$B142-((E$5&lt;K$5)*F142+(Q$5&lt;K$5)*R142+(W$5&lt;K$5)*X142+(AC$5&lt;K$5)*AD142+(AI$5&lt;K$5)*AJ142+(AO$5&lt;K$5)*AP142+(AU$5&lt;K$5)*AV142)))</f>
        <v/>
      </c>
      <c r="N142">
        <f>IF(L142-M142&lt;0.005,0,L142-M142)</f>
        <v/>
      </c>
      <c r="O142">
        <f>T141</f>
        <v/>
      </c>
      <c r="P142">
        <f>O142*Plan!D8/100/12</f>
        <v/>
      </c>
      <c r="Q142">
        <f>MIN(Plan!E8,O142+P142)</f>
        <v/>
      </c>
      <c r="R142">
        <f>O142+P142-Q142</f>
        <v/>
      </c>
      <c r="S142">
        <f>MIN(R142,MAX(0,$B142-((E$5&lt;Q$5)*F142+(K$5&lt;Q$5)*L142+(W$5&lt;Q$5)*X142+(AC$5&lt;Q$5)*AD142+(AI$5&lt;Q$5)*AJ142+(AO$5&lt;Q$5)*AP142+(AU$5&lt;Q$5)*AV142)))</f>
        <v/>
      </c>
      <c r="T142">
        <f>IF(R142-S142&lt;0.005,0,R142-S142)</f>
        <v/>
      </c>
      <c r="U142">
        <f>Z141</f>
        <v/>
      </c>
      <c r="V142">
        <f>U142*Plan!D9/100/12</f>
        <v/>
      </c>
      <c r="W142">
        <f>MIN(Plan!E9,U142+V142)</f>
        <v/>
      </c>
      <c r="X142">
        <f>U142+V142-W142</f>
        <v/>
      </c>
      <c r="Y142">
        <f>MIN(X142,MAX(0,$B142-((E$5&lt;W$5)*F142+(K$5&lt;W$5)*L142+(Q$5&lt;W$5)*R142+(AC$5&lt;W$5)*AD142+(AI$5&lt;W$5)*AJ142+(AO$5&lt;W$5)*AP142+(AU$5&lt;W$5)*AV142)))</f>
        <v/>
      </c>
      <c r="Z142">
        <f>IF(X142-Y142&lt;0.005,0,X142-Y142)</f>
        <v/>
      </c>
      <c r="AA142">
        <f>AF141</f>
        <v/>
      </c>
      <c r="AB142">
        <f>AA142*Plan!D10/100/12</f>
        <v/>
      </c>
      <c r="AC142">
        <f>MIN(Plan!E10,AA142+AB142)</f>
        <v/>
      </c>
      <c r="AD142">
        <f>AA142+AB142-AC142</f>
        <v/>
      </c>
      <c r="AE142">
        <f>MIN(AD142,MAX(0,$B142-((E$5&lt;AC$5)*F142+(K$5&lt;AC$5)*L142+(Q$5&lt;AC$5)*R142+(W$5&lt;AC$5)*X142+(AI$5&lt;AC$5)*AJ142+(AO$5&lt;AC$5)*AP142+(AU$5&lt;AC$5)*AV142)))</f>
        <v/>
      </c>
      <c r="AF142">
        <f>IF(AD142-AE142&lt;0.005,0,AD142-AE142)</f>
        <v/>
      </c>
      <c r="AG142">
        <f>AL141</f>
        <v/>
      </c>
      <c r="AH142">
        <f>AG142*Plan!D11/100/12</f>
        <v/>
      </c>
      <c r="AI142">
        <f>MIN(Plan!E11,AG142+AH142)</f>
        <v/>
      </c>
      <c r="AJ142">
        <f>AG142+AH142-AI142</f>
        <v/>
      </c>
      <c r="AK142">
        <f>MIN(AJ142,MAX(0,$B142-((E$5&lt;AI$5)*F142+(K$5&lt;AI$5)*L142+(Q$5&lt;AI$5)*R142+(W$5&lt;AI$5)*X142+(AC$5&lt;AI$5)*AD142+(AO$5&lt;AI$5)*AP142+(AU$5&lt;AI$5)*AV142)))</f>
        <v/>
      </c>
      <c r="AL142">
        <f>IF(AJ142-AK142&lt;0.005,0,AJ142-AK142)</f>
        <v/>
      </c>
      <c r="AM142">
        <f>AR141</f>
        <v/>
      </c>
      <c r="AN142">
        <f>AM142*Plan!D12/100/12</f>
        <v/>
      </c>
      <c r="AO142">
        <f>MIN(Plan!E12,AM142+AN142)</f>
        <v/>
      </c>
      <c r="AP142">
        <f>AM142+AN142-AO142</f>
        <v/>
      </c>
      <c r="AQ142">
        <f>MIN(AP142,MAX(0,$B142-((E$5&lt;AO$5)*F142+(K$5&lt;AO$5)*L142+(Q$5&lt;AO$5)*R142+(W$5&lt;AO$5)*X142+(AC$5&lt;AO$5)*AD142+(AI$5&lt;AO$5)*AJ142+(AU$5&lt;AO$5)*AV142)))</f>
        <v/>
      </c>
      <c r="AR142">
        <f>IF(AP142-AQ142&lt;0.005,0,AP142-AQ142)</f>
        <v/>
      </c>
      <c r="AS142">
        <f>AX141</f>
        <v/>
      </c>
      <c r="AT142">
        <f>AS142*Plan!D13/100/12</f>
        <v/>
      </c>
      <c r="AU142">
        <f>MIN(Plan!E13,AS142+AT142)</f>
        <v/>
      </c>
      <c r="AV142">
        <f>AS142+AT142-AU142</f>
        <v/>
      </c>
      <c r="AW142">
        <f>MIN(AV142,MAX(0,$B142-((E$5&lt;AU$5)*F142+(K$5&lt;AU$5)*L142+(Q$5&lt;AU$5)*R142+(W$5&lt;AU$5)*X142+(AC$5&lt;AU$5)*AD142+(AI$5&lt;AU$5)*AJ142+(AO$5&lt;AU$5)*AP142)))</f>
        <v/>
      </c>
      <c r="AX142">
        <f>IF(AV142-AW142&lt;0.005,0,AV142-AW142)</f>
        <v/>
      </c>
      <c r="BC142">
        <f>H142+N142+T142+Z142+AF142+AL142+AR142+AX142</f>
        <v/>
      </c>
    </row>
    <row r="143">
      <c r="A143" t="n">
        <v>137</v>
      </c>
      <c r="B143" s="19">
        <f>MAX(0,$B$3-(E143+K143+Q143+W143+AC143+AI143+AO143+AU143))</f>
        <v/>
      </c>
      <c r="C143">
        <f>H142</f>
        <v/>
      </c>
      <c r="D143">
        <f>C143*Plan!D6/100/12</f>
        <v/>
      </c>
      <c r="E143">
        <f>MIN(Plan!E6,C143+D143)</f>
        <v/>
      </c>
      <c r="F143">
        <f>C143+D143-E143</f>
        <v/>
      </c>
      <c r="G143">
        <f>MIN(F143,MAX(0,$B143-((K$5&lt;E$5)*L143+(Q$5&lt;E$5)*R143+(W$5&lt;E$5)*X143+(AC$5&lt;E$5)*AD143+(AI$5&lt;E$5)*AJ143+(AO$5&lt;E$5)*AP143+(AU$5&lt;E$5)*AV143)))</f>
        <v/>
      </c>
      <c r="H143">
        <f>IF(F143-G143&lt;0.005,0,F143-G143)</f>
        <v/>
      </c>
      <c r="I143">
        <f>N142</f>
        <v/>
      </c>
      <c r="J143">
        <f>I143*Plan!D7/100/12</f>
        <v/>
      </c>
      <c r="K143">
        <f>MIN(Plan!E7,I143+J143)</f>
        <v/>
      </c>
      <c r="L143">
        <f>I143+J143-K143</f>
        <v/>
      </c>
      <c r="M143">
        <f>MIN(L143,MAX(0,$B143-((E$5&lt;K$5)*F143+(Q$5&lt;K$5)*R143+(W$5&lt;K$5)*X143+(AC$5&lt;K$5)*AD143+(AI$5&lt;K$5)*AJ143+(AO$5&lt;K$5)*AP143+(AU$5&lt;K$5)*AV143)))</f>
        <v/>
      </c>
      <c r="N143">
        <f>IF(L143-M143&lt;0.005,0,L143-M143)</f>
        <v/>
      </c>
      <c r="O143">
        <f>T142</f>
        <v/>
      </c>
      <c r="P143">
        <f>O143*Plan!D8/100/12</f>
        <v/>
      </c>
      <c r="Q143">
        <f>MIN(Plan!E8,O143+P143)</f>
        <v/>
      </c>
      <c r="R143">
        <f>O143+P143-Q143</f>
        <v/>
      </c>
      <c r="S143">
        <f>MIN(R143,MAX(0,$B143-((E$5&lt;Q$5)*F143+(K$5&lt;Q$5)*L143+(W$5&lt;Q$5)*X143+(AC$5&lt;Q$5)*AD143+(AI$5&lt;Q$5)*AJ143+(AO$5&lt;Q$5)*AP143+(AU$5&lt;Q$5)*AV143)))</f>
        <v/>
      </c>
      <c r="T143">
        <f>IF(R143-S143&lt;0.005,0,R143-S143)</f>
        <v/>
      </c>
      <c r="U143">
        <f>Z142</f>
        <v/>
      </c>
      <c r="V143">
        <f>U143*Plan!D9/100/12</f>
        <v/>
      </c>
      <c r="W143">
        <f>MIN(Plan!E9,U143+V143)</f>
        <v/>
      </c>
      <c r="X143">
        <f>U143+V143-W143</f>
        <v/>
      </c>
      <c r="Y143">
        <f>MIN(X143,MAX(0,$B143-((E$5&lt;W$5)*F143+(K$5&lt;W$5)*L143+(Q$5&lt;W$5)*R143+(AC$5&lt;W$5)*AD143+(AI$5&lt;W$5)*AJ143+(AO$5&lt;W$5)*AP143+(AU$5&lt;W$5)*AV143)))</f>
        <v/>
      </c>
      <c r="Z143">
        <f>IF(X143-Y143&lt;0.005,0,X143-Y143)</f>
        <v/>
      </c>
      <c r="AA143">
        <f>AF142</f>
        <v/>
      </c>
      <c r="AB143">
        <f>AA143*Plan!D10/100/12</f>
        <v/>
      </c>
      <c r="AC143">
        <f>MIN(Plan!E10,AA143+AB143)</f>
        <v/>
      </c>
      <c r="AD143">
        <f>AA143+AB143-AC143</f>
        <v/>
      </c>
      <c r="AE143">
        <f>MIN(AD143,MAX(0,$B143-((E$5&lt;AC$5)*F143+(K$5&lt;AC$5)*L143+(Q$5&lt;AC$5)*R143+(W$5&lt;AC$5)*X143+(AI$5&lt;AC$5)*AJ143+(AO$5&lt;AC$5)*AP143+(AU$5&lt;AC$5)*AV143)))</f>
        <v/>
      </c>
      <c r="AF143">
        <f>IF(AD143-AE143&lt;0.005,0,AD143-AE143)</f>
        <v/>
      </c>
      <c r="AG143">
        <f>AL142</f>
        <v/>
      </c>
      <c r="AH143">
        <f>AG143*Plan!D11/100/12</f>
        <v/>
      </c>
      <c r="AI143">
        <f>MIN(Plan!E11,AG143+AH143)</f>
        <v/>
      </c>
      <c r="AJ143">
        <f>AG143+AH143-AI143</f>
        <v/>
      </c>
      <c r="AK143">
        <f>MIN(AJ143,MAX(0,$B143-((E$5&lt;AI$5)*F143+(K$5&lt;AI$5)*L143+(Q$5&lt;AI$5)*R143+(W$5&lt;AI$5)*X143+(AC$5&lt;AI$5)*AD143+(AO$5&lt;AI$5)*AP143+(AU$5&lt;AI$5)*AV143)))</f>
        <v/>
      </c>
      <c r="AL143">
        <f>IF(AJ143-AK143&lt;0.005,0,AJ143-AK143)</f>
        <v/>
      </c>
      <c r="AM143">
        <f>AR142</f>
        <v/>
      </c>
      <c r="AN143">
        <f>AM143*Plan!D12/100/12</f>
        <v/>
      </c>
      <c r="AO143">
        <f>MIN(Plan!E12,AM143+AN143)</f>
        <v/>
      </c>
      <c r="AP143">
        <f>AM143+AN143-AO143</f>
        <v/>
      </c>
      <c r="AQ143">
        <f>MIN(AP143,MAX(0,$B143-((E$5&lt;AO$5)*F143+(K$5&lt;AO$5)*L143+(Q$5&lt;AO$5)*R143+(W$5&lt;AO$5)*X143+(AC$5&lt;AO$5)*AD143+(AI$5&lt;AO$5)*AJ143+(AU$5&lt;AO$5)*AV143)))</f>
        <v/>
      </c>
      <c r="AR143">
        <f>IF(AP143-AQ143&lt;0.005,0,AP143-AQ143)</f>
        <v/>
      </c>
      <c r="AS143">
        <f>AX142</f>
        <v/>
      </c>
      <c r="AT143">
        <f>AS143*Plan!D13/100/12</f>
        <v/>
      </c>
      <c r="AU143">
        <f>MIN(Plan!E13,AS143+AT143)</f>
        <v/>
      </c>
      <c r="AV143">
        <f>AS143+AT143-AU143</f>
        <v/>
      </c>
      <c r="AW143">
        <f>MIN(AV143,MAX(0,$B143-((E$5&lt;AU$5)*F143+(K$5&lt;AU$5)*L143+(Q$5&lt;AU$5)*R143+(W$5&lt;AU$5)*X143+(AC$5&lt;AU$5)*AD143+(AI$5&lt;AU$5)*AJ143+(AO$5&lt;AU$5)*AP143)))</f>
        <v/>
      </c>
      <c r="AX143">
        <f>IF(AV143-AW143&lt;0.005,0,AV143-AW143)</f>
        <v/>
      </c>
      <c r="BC143">
        <f>H143+N143+T143+Z143+AF143+AL143+AR143+AX143</f>
        <v/>
      </c>
    </row>
    <row r="144">
      <c r="A144" t="n">
        <v>138</v>
      </c>
      <c r="B144" s="19">
        <f>MAX(0,$B$3-(E144+K144+Q144+W144+AC144+AI144+AO144+AU144))</f>
        <v/>
      </c>
      <c r="C144">
        <f>H143</f>
        <v/>
      </c>
      <c r="D144">
        <f>C144*Plan!D6/100/12</f>
        <v/>
      </c>
      <c r="E144">
        <f>MIN(Plan!E6,C144+D144)</f>
        <v/>
      </c>
      <c r="F144">
        <f>C144+D144-E144</f>
        <v/>
      </c>
      <c r="G144">
        <f>MIN(F144,MAX(0,$B144-((K$5&lt;E$5)*L144+(Q$5&lt;E$5)*R144+(W$5&lt;E$5)*X144+(AC$5&lt;E$5)*AD144+(AI$5&lt;E$5)*AJ144+(AO$5&lt;E$5)*AP144+(AU$5&lt;E$5)*AV144)))</f>
        <v/>
      </c>
      <c r="H144">
        <f>IF(F144-G144&lt;0.005,0,F144-G144)</f>
        <v/>
      </c>
      <c r="I144">
        <f>N143</f>
        <v/>
      </c>
      <c r="J144">
        <f>I144*Plan!D7/100/12</f>
        <v/>
      </c>
      <c r="K144">
        <f>MIN(Plan!E7,I144+J144)</f>
        <v/>
      </c>
      <c r="L144">
        <f>I144+J144-K144</f>
        <v/>
      </c>
      <c r="M144">
        <f>MIN(L144,MAX(0,$B144-((E$5&lt;K$5)*F144+(Q$5&lt;K$5)*R144+(W$5&lt;K$5)*X144+(AC$5&lt;K$5)*AD144+(AI$5&lt;K$5)*AJ144+(AO$5&lt;K$5)*AP144+(AU$5&lt;K$5)*AV144)))</f>
        <v/>
      </c>
      <c r="N144">
        <f>IF(L144-M144&lt;0.005,0,L144-M144)</f>
        <v/>
      </c>
      <c r="O144">
        <f>T143</f>
        <v/>
      </c>
      <c r="P144">
        <f>O144*Plan!D8/100/12</f>
        <v/>
      </c>
      <c r="Q144">
        <f>MIN(Plan!E8,O144+P144)</f>
        <v/>
      </c>
      <c r="R144">
        <f>O144+P144-Q144</f>
        <v/>
      </c>
      <c r="S144">
        <f>MIN(R144,MAX(0,$B144-((E$5&lt;Q$5)*F144+(K$5&lt;Q$5)*L144+(W$5&lt;Q$5)*X144+(AC$5&lt;Q$5)*AD144+(AI$5&lt;Q$5)*AJ144+(AO$5&lt;Q$5)*AP144+(AU$5&lt;Q$5)*AV144)))</f>
        <v/>
      </c>
      <c r="T144">
        <f>IF(R144-S144&lt;0.005,0,R144-S144)</f>
        <v/>
      </c>
      <c r="U144">
        <f>Z143</f>
        <v/>
      </c>
      <c r="V144">
        <f>U144*Plan!D9/100/12</f>
        <v/>
      </c>
      <c r="W144">
        <f>MIN(Plan!E9,U144+V144)</f>
        <v/>
      </c>
      <c r="X144">
        <f>U144+V144-W144</f>
        <v/>
      </c>
      <c r="Y144">
        <f>MIN(X144,MAX(0,$B144-((E$5&lt;W$5)*F144+(K$5&lt;W$5)*L144+(Q$5&lt;W$5)*R144+(AC$5&lt;W$5)*AD144+(AI$5&lt;W$5)*AJ144+(AO$5&lt;W$5)*AP144+(AU$5&lt;W$5)*AV144)))</f>
        <v/>
      </c>
      <c r="Z144">
        <f>IF(X144-Y144&lt;0.005,0,X144-Y144)</f>
        <v/>
      </c>
      <c r="AA144">
        <f>AF143</f>
        <v/>
      </c>
      <c r="AB144">
        <f>AA144*Plan!D10/100/12</f>
        <v/>
      </c>
      <c r="AC144">
        <f>MIN(Plan!E10,AA144+AB144)</f>
        <v/>
      </c>
      <c r="AD144">
        <f>AA144+AB144-AC144</f>
        <v/>
      </c>
      <c r="AE144">
        <f>MIN(AD144,MAX(0,$B144-((E$5&lt;AC$5)*F144+(K$5&lt;AC$5)*L144+(Q$5&lt;AC$5)*R144+(W$5&lt;AC$5)*X144+(AI$5&lt;AC$5)*AJ144+(AO$5&lt;AC$5)*AP144+(AU$5&lt;AC$5)*AV144)))</f>
        <v/>
      </c>
      <c r="AF144">
        <f>IF(AD144-AE144&lt;0.005,0,AD144-AE144)</f>
        <v/>
      </c>
      <c r="AG144">
        <f>AL143</f>
        <v/>
      </c>
      <c r="AH144">
        <f>AG144*Plan!D11/100/12</f>
        <v/>
      </c>
      <c r="AI144">
        <f>MIN(Plan!E11,AG144+AH144)</f>
        <v/>
      </c>
      <c r="AJ144">
        <f>AG144+AH144-AI144</f>
        <v/>
      </c>
      <c r="AK144">
        <f>MIN(AJ144,MAX(0,$B144-((E$5&lt;AI$5)*F144+(K$5&lt;AI$5)*L144+(Q$5&lt;AI$5)*R144+(W$5&lt;AI$5)*X144+(AC$5&lt;AI$5)*AD144+(AO$5&lt;AI$5)*AP144+(AU$5&lt;AI$5)*AV144)))</f>
        <v/>
      </c>
      <c r="AL144">
        <f>IF(AJ144-AK144&lt;0.005,0,AJ144-AK144)</f>
        <v/>
      </c>
      <c r="AM144">
        <f>AR143</f>
        <v/>
      </c>
      <c r="AN144">
        <f>AM144*Plan!D12/100/12</f>
        <v/>
      </c>
      <c r="AO144">
        <f>MIN(Plan!E12,AM144+AN144)</f>
        <v/>
      </c>
      <c r="AP144">
        <f>AM144+AN144-AO144</f>
        <v/>
      </c>
      <c r="AQ144">
        <f>MIN(AP144,MAX(0,$B144-((E$5&lt;AO$5)*F144+(K$5&lt;AO$5)*L144+(Q$5&lt;AO$5)*R144+(W$5&lt;AO$5)*X144+(AC$5&lt;AO$5)*AD144+(AI$5&lt;AO$5)*AJ144+(AU$5&lt;AO$5)*AV144)))</f>
        <v/>
      </c>
      <c r="AR144">
        <f>IF(AP144-AQ144&lt;0.005,0,AP144-AQ144)</f>
        <v/>
      </c>
      <c r="AS144">
        <f>AX143</f>
        <v/>
      </c>
      <c r="AT144">
        <f>AS144*Plan!D13/100/12</f>
        <v/>
      </c>
      <c r="AU144">
        <f>MIN(Plan!E13,AS144+AT144)</f>
        <v/>
      </c>
      <c r="AV144">
        <f>AS144+AT144-AU144</f>
        <v/>
      </c>
      <c r="AW144">
        <f>MIN(AV144,MAX(0,$B144-((E$5&lt;AU$5)*F144+(K$5&lt;AU$5)*L144+(Q$5&lt;AU$5)*R144+(W$5&lt;AU$5)*X144+(AC$5&lt;AU$5)*AD144+(AI$5&lt;AU$5)*AJ144+(AO$5&lt;AU$5)*AP144)))</f>
        <v/>
      </c>
      <c r="AX144">
        <f>IF(AV144-AW144&lt;0.005,0,AV144-AW144)</f>
        <v/>
      </c>
      <c r="BC144">
        <f>H144+N144+T144+Z144+AF144+AL144+AR144+AX144</f>
        <v/>
      </c>
    </row>
    <row r="145">
      <c r="A145" t="n">
        <v>139</v>
      </c>
      <c r="B145" s="19">
        <f>MAX(0,$B$3-(E145+K145+Q145+W145+AC145+AI145+AO145+AU145))</f>
        <v/>
      </c>
      <c r="C145">
        <f>H144</f>
        <v/>
      </c>
      <c r="D145">
        <f>C145*Plan!D6/100/12</f>
        <v/>
      </c>
      <c r="E145">
        <f>MIN(Plan!E6,C145+D145)</f>
        <v/>
      </c>
      <c r="F145">
        <f>C145+D145-E145</f>
        <v/>
      </c>
      <c r="G145">
        <f>MIN(F145,MAX(0,$B145-((K$5&lt;E$5)*L145+(Q$5&lt;E$5)*R145+(W$5&lt;E$5)*X145+(AC$5&lt;E$5)*AD145+(AI$5&lt;E$5)*AJ145+(AO$5&lt;E$5)*AP145+(AU$5&lt;E$5)*AV145)))</f>
        <v/>
      </c>
      <c r="H145">
        <f>IF(F145-G145&lt;0.005,0,F145-G145)</f>
        <v/>
      </c>
      <c r="I145">
        <f>N144</f>
        <v/>
      </c>
      <c r="J145">
        <f>I145*Plan!D7/100/12</f>
        <v/>
      </c>
      <c r="K145">
        <f>MIN(Plan!E7,I145+J145)</f>
        <v/>
      </c>
      <c r="L145">
        <f>I145+J145-K145</f>
        <v/>
      </c>
      <c r="M145">
        <f>MIN(L145,MAX(0,$B145-((E$5&lt;K$5)*F145+(Q$5&lt;K$5)*R145+(W$5&lt;K$5)*X145+(AC$5&lt;K$5)*AD145+(AI$5&lt;K$5)*AJ145+(AO$5&lt;K$5)*AP145+(AU$5&lt;K$5)*AV145)))</f>
        <v/>
      </c>
      <c r="N145">
        <f>IF(L145-M145&lt;0.005,0,L145-M145)</f>
        <v/>
      </c>
      <c r="O145">
        <f>T144</f>
        <v/>
      </c>
      <c r="P145">
        <f>O145*Plan!D8/100/12</f>
        <v/>
      </c>
      <c r="Q145">
        <f>MIN(Plan!E8,O145+P145)</f>
        <v/>
      </c>
      <c r="R145">
        <f>O145+P145-Q145</f>
        <v/>
      </c>
      <c r="S145">
        <f>MIN(R145,MAX(0,$B145-((E$5&lt;Q$5)*F145+(K$5&lt;Q$5)*L145+(W$5&lt;Q$5)*X145+(AC$5&lt;Q$5)*AD145+(AI$5&lt;Q$5)*AJ145+(AO$5&lt;Q$5)*AP145+(AU$5&lt;Q$5)*AV145)))</f>
        <v/>
      </c>
      <c r="T145">
        <f>IF(R145-S145&lt;0.005,0,R145-S145)</f>
        <v/>
      </c>
      <c r="U145">
        <f>Z144</f>
        <v/>
      </c>
      <c r="V145">
        <f>U145*Plan!D9/100/12</f>
        <v/>
      </c>
      <c r="W145">
        <f>MIN(Plan!E9,U145+V145)</f>
        <v/>
      </c>
      <c r="X145">
        <f>U145+V145-W145</f>
        <v/>
      </c>
      <c r="Y145">
        <f>MIN(X145,MAX(0,$B145-((E$5&lt;W$5)*F145+(K$5&lt;W$5)*L145+(Q$5&lt;W$5)*R145+(AC$5&lt;W$5)*AD145+(AI$5&lt;W$5)*AJ145+(AO$5&lt;W$5)*AP145+(AU$5&lt;W$5)*AV145)))</f>
        <v/>
      </c>
      <c r="Z145">
        <f>IF(X145-Y145&lt;0.005,0,X145-Y145)</f>
        <v/>
      </c>
      <c r="AA145">
        <f>AF144</f>
        <v/>
      </c>
      <c r="AB145">
        <f>AA145*Plan!D10/100/12</f>
        <v/>
      </c>
      <c r="AC145">
        <f>MIN(Plan!E10,AA145+AB145)</f>
        <v/>
      </c>
      <c r="AD145">
        <f>AA145+AB145-AC145</f>
        <v/>
      </c>
      <c r="AE145">
        <f>MIN(AD145,MAX(0,$B145-((E$5&lt;AC$5)*F145+(K$5&lt;AC$5)*L145+(Q$5&lt;AC$5)*R145+(W$5&lt;AC$5)*X145+(AI$5&lt;AC$5)*AJ145+(AO$5&lt;AC$5)*AP145+(AU$5&lt;AC$5)*AV145)))</f>
        <v/>
      </c>
      <c r="AF145">
        <f>IF(AD145-AE145&lt;0.005,0,AD145-AE145)</f>
        <v/>
      </c>
      <c r="AG145">
        <f>AL144</f>
        <v/>
      </c>
      <c r="AH145">
        <f>AG145*Plan!D11/100/12</f>
        <v/>
      </c>
      <c r="AI145">
        <f>MIN(Plan!E11,AG145+AH145)</f>
        <v/>
      </c>
      <c r="AJ145">
        <f>AG145+AH145-AI145</f>
        <v/>
      </c>
      <c r="AK145">
        <f>MIN(AJ145,MAX(0,$B145-((E$5&lt;AI$5)*F145+(K$5&lt;AI$5)*L145+(Q$5&lt;AI$5)*R145+(W$5&lt;AI$5)*X145+(AC$5&lt;AI$5)*AD145+(AO$5&lt;AI$5)*AP145+(AU$5&lt;AI$5)*AV145)))</f>
        <v/>
      </c>
      <c r="AL145">
        <f>IF(AJ145-AK145&lt;0.005,0,AJ145-AK145)</f>
        <v/>
      </c>
      <c r="AM145">
        <f>AR144</f>
        <v/>
      </c>
      <c r="AN145">
        <f>AM145*Plan!D12/100/12</f>
        <v/>
      </c>
      <c r="AO145">
        <f>MIN(Plan!E12,AM145+AN145)</f>
        <v/>
      </c>
      <c r="AP145">
        <f>AM145+AN145-AO145</f>
        <v/>
      </c>
      <c r="AQ145">
        <f>MIN(AP145,MAX(0,$B145-((E$5&lt;AO$5)*F145+(K$5&lt;AO$5)*L145+(Q$5&lt;AO$5)*R145+(W$5&lt;AO$5)*X145+(AC$5&lt;AO$5)*AD145+(AI$5&lt;AO$5)*AJ145+(AU$5&lt;AO$5)*AV145)))</f>
        <v/>
      </c>
      <c r="AR145">
        <f>IF(AP145-AQ145&lt;0.005,0,AP145-AQ145)</f>
        <v/>
      </c>
      <c r="AS145">
        <f>AX144</f>
        <v/>
      </c>
      <c r="AT145">
        <f>AS145*Plan!D13/100/12</f>
        <v/>
      </c>
      <c r="AU145">
        <f>MIN(Plan!E13,AS145+AT145)</f>
        <v/>
      </c>
      <c r="AV145">
        <f>AS145+AT145-AU145</f>
        <v/>
      </c>
      <c r="AW145">
        <f>MIN(AV145,MAX(0,$B145-((E$5&lt;AU$5)*F145+(K$5&lt;AU$5)*L145+(Q$5&lt;AU$5)*R145+(W$5&lt;AU$5)*X145+(AC$5&lt;AU$5)*AD145+(AI$5&lt;AU$5)*AJ145+(AO$5&lt;AU$5)*AP145)))</f>
        <v/>
      </c>
      <c r="AX145">
        <f>IF(AV145-AW145&lt;0.005,0,AV145-AW145)</f>
        <v/>
      </c>
      <c r="BC145">
        <f>H145+N145+T145+Z145+AF145+AL145+AR145+AX145</f>
        <v/>
      </c>
    </row>
    <row r="146">
      <c r="A146" t="n">
        <v>140</v>
      </c>
      <c r="B146" s="19">
        <f>MAX(0,$B$3-(E146+K146+Q146+W146+AC146+AI146+AO146+AU146))</f>
        <v/>
      </c>
      <c r="C146">
        <f>H145</f>
        <v/>
      </c>
      <c r="D146">
        <f>C146*Plan!D6/100/12</f>
        <v/>
      </c>
      <c r="E146">
        <f>MIN(Plan!E6,C146+D146)</f>
        <v/>
      </c>
      <c r="F146">
        <f>C146+D146-E146</f>
        <v/>
      </c>
      <c r="G146">
        <f>MIN(F146,MAX(0,$B146-((K$5&lt;E$5)*L146+(Q$5&lt;E$5)*R146+(W$5&lt;E$5)*X146+(AC$5&lt;E$5)*AD146+(AI$5&lt;E$5)*AJ146+(AO$5&lt;E$5)*AP146+(AU$5&lt;E$5)*AV146)))</f>
        <v/>
      </c>
      <c r="H146">
        <f>IF(F146-G146&lt;0.005,0,F146-G146)</f>
        <v/>
      </c>
      <c r="I146">
        <f>N145</f>
        <v/>
      </c>
      <c r="J146">
        <f>I146*Plan!D7/100/12</f>
        <v/>
      </c>
      <c r="K146">
        <f>MIN(Plan!E7,I146+J146)</f>
        <v/>
      </c>
      <c r="L146">
        <f>I146+J146-K146</f>
        <v/>
      </c>
      <c r="M146">
        <f>MIN(L146,MAX(0,$B146-((E$5&lt;K$5)*F146+(Q$5&lt;K$5)*R146+(W$5&lt;K$5)*X146+(AC$5&lt;K$5)*AD146+(AI$5&lt;K$5)*AJ146+(AO$5&lt;K$5)*AP146+(AU$5&lt;K$5)*AV146)))</f>
        <v/>
      </c>
      <c r="N146">
        <f>IF(L146-M146&lt;0.005,0,L146-M146)</f>
        <v/>
      </c>
      <c r="O146">
        <f>T145</f>
        <v/>
      </c>
      <c r="P146">
        <f>O146*Plan!D8/100/12</f>
        <v/>
      </c>
      <c r="Q146">
        <f>MIN(Plan!E8,O146+P146)</f>
        <v/>
      </c>
      <c r="R146">
        <f>O146+P146-Q146</f>
        <v/>
      </c>
      <c r="S146">
        <f>MIN(R146,MAX(0,$B146-((E$5&lt;Q$5)*F146+(K$5&lt;Q$5)*L146+(W$5&lt;Q$5)*X146+(AC$5&lt;Q$5)*AD146+(AI$5&lt;Q$5)*AJ146+(AO$5&lt;Q$5)*AP146+(AU$5&lt;Q$5)*AV146)))</f>
        <v/>
      </c>
      <c r="T146">
        <f>IF(R146-S146&lt;0.005,0,R146-S146)</f>
        <v/>
      </c>
      <c r="U146">
        <f>Z145</f>
        <v/>
      </c>
      <c r="V146">
        <f>U146*Plan!D9/100/12</f>
        <v/>
      </c>
      <c r="W146">
        <f>MIN(Plan!E9,U146+V146)</f>
        <v/>
      </c>
      <c r="X146">
        <f>U146+V146-W146</f>
        <v/>
      </c>
      <c r="Y146">
        <f>MIN(X146,MAX(0,$B146-((E$5&lt;W$5)*F146+(K$5&lt;W$5)*L146+(Q$5&lt;W$5)*R146+(AC$5&lt;W$5)*AD146+(AI$5&lt;W$5)*AJ146+(AO$5&lt;W$5)*AP146+(AU$5&lt;W$5)*AV146)))</f>
        <v/>
      </c>
      <c r="Z146">
        <f>IF(X146-Y146&lt;0.005,0,X146-Y146)</f>
        <v/>
      </c>
      <c r="AA146">
        <f>AF145</f>
        <v/>
      </c>
      <c r="AB146">
        <f>AA146*Plan!D10/100/12</f>
        <v/>
      </c>
      <c r="AC146">
        <f>MIN(Plan!E10,AA146+AB146)</f>
        <v/>
      </c>
      <c r="AD146">
        <f>AA146+AB146-AC146</f>
        <v/>
      </c>
      <c r="AE146">
        <f>MIN(AD146,MAX(0,$B146-((E$5&lt;AC$5)*F146+(K$5&lt;AC$5)*L146+(Q$5&lt;AC$5)*R146+(W$5&lt;AC$5)*X146+(AI$5&lt;AC$5)*AJ146+(AO$5&lt;AC$5)*AP146+(AU$5&lt;AC$5)*AV146)))</f>
        <v/>
      </c>
      <c r="AF146">
        <f>IF(AD146-AE146&lt;0.005,0,AD146-AE146)</f>
        <v/>
      </c>
      <c r="AG146">
        <f>AL145</f>
        <v/>
      </c>
      <c r="AH146">
        <f>AG146*Plan!D11/100/12</f>
        <v/>
      </c>
      <c r="AI146">
        <f>MIN(Plan!E11,AG146+AH146)</f>
        <v/>
      </c>
      <c r="AJ146">
        <f>AG146+AH146-AI146</f>
        <v/>
      </c>
      <c r="AK146">
        <f>MIN(AJ146,MAX(0,$B146-((E$5&lt;AI$5)*F146+(K$5&lt;AI$5)*L146+(Q$5&lt;AI$5)*R146+(W$5&lt;AI$5)*X146+(AC$5&lt;AI$5)*AD146+(AO$5&lt;AI$5)*AP146+(AU$5&lt;AI$5)*AV146)))</f>
        <v/>
      </c>
      <c r="AL146">
        <f>IF(AJ146-AK146&lt;0.005,0,AJ146-AK146)</f>
        <v/>
      </c>
      <c r="AM146">
        <f>AR145</f>
        <v/>
      </c>
      <c r="AN146">
        <f>AM146*Plan!D12/100/12</f>
        <v/>
      </c>
      <c r="AO146">
        <f>MIN(Plan!E12,AM146+AN146)</f>
        <v/>
      </c>
      <c r="AP146">
        <f>AM146+AN146-AO146</f>
        <v/>
      </c>
      <c r="AQ146">
        <f>MIN(AP146,MAX(0,$B146-((E$5&lt;AO$5)*F146+(K$5&lt;AO$5)*L146+(Q$5&lt;AO$5)*R146+(W$5&lt;AO$5)*X146+(AC$5&lt;AO$5)*AD146+(AI$5&lt;AO$5)*AJ146+(AU$5&lt;AO$5)*AV146)))</f>
        <v/>
      </c>
      <c r="AR146">
        <f>IF(AP146-AQ146&lt;0.005,0,AP146-AQ146)</f>
        <v/>
      </c>
      <c r="AS146">
        <f>AX145</f>
        <v/>
      </c>
      <c r="AT146">
        <f>AS146*Plan!D13/100/12</f>
        <v/>
      </c>
      <c r="AU146">
        <f>MIN(Plan!E13,AS146+AT146)</f>
        <v/>
      </c>
      <c r="AV146">
        <f>AS146+AT146-AU146</f>
        <v/>
      </c>
      <c r="AW146">
        <f>MIN(AV146,MAX(0,$B146-((E$5&lt;AU$5)*F146+(K$5&lt;AU$5)*L146+(Q$5&lt;AU$5)*R146+(W$5&lt;AU$5)*X146+(AC$5&lt;AU$5)*AD146+(AI$5&lt;AU$5)*AJ146+(AO$5&lt;AU$5)*AP146)))</f>
        <v/>
      </c>
      <c r="AX146">
        <f>IF(AV146-AW146&lt;0.005,0,AV146-AW146)</f>
        <v/>
      </c>
      <c r="BC146">
        <f>H146+N146+T146+Z146+AF146+AL146+AR146+AX146</f>
        <v/>
      </c>
    </row>
    <row r="147">
      <c r="A147" t="n">
        <v>141</v>
      </c>
      <c r="B147" s="19">
        <f>MAX(0,$B$3-(E147+K147+Q147+W147+AC147+AI147+AO147+AU147))</f>
        <v/>
      </c>
      <c r="C147">
        <f>H146</f>
        <v/>
      </c>
      <c r="D147">
        <f>C147*Plan!D6/100/12</f>
        <v/>
      </c>
      <c r="E147">
        <f>MIN(Plan!E6,C147+D147)</f>
        <v/>
      </c>
      <c r="F147">
        <f>C147+D147-E147</f>
        <v/>
      </c>
      <c r="G147">
        <f>MIN(F147,MAX(0,$B147-((K$5&lt;E$5)*L147+(Q$5&lt;E$5)*R147+(W$5&lt;E$5)*X147+(AC$5&lt;E$5)*AD147+(AI$5&lt;E$5)*AJ147+(AO$5&lt;E$5)*AP147+(AU$5&lt;E$5)*AV147)))</f>
        <v/>
      </c>
      <c r="H147">
        <f>IF(F147-G147&lt;0.005,0,F147-G147)</f>
        <v/>
      </c>
      <c r="I147">
        <f>N146</f>
        <v/>
      </c>
      <c r="J147">
        <f>I147*Plan!D7/100/12</f>
        <v/>
      </c>
      <c r="K147">
        <f>MIN(Plan!E7,I147+J147)</f>
        <v/>
      </c>
      <c r="L147">
        <f>I147+J147-K147</f>
        <v/>
      </c>
      <c r="M147">
        <f>MIN(L147,MAX(0,$B147-((E$5&lt;K$5)*F147+(Q$5&lt;K$5)*R147+(W$5&lt;K$5)*X147+(AC$5&lt;K$5)*AD147+(AI$5&lt;K$5)*AJ147+(AO$5&lt;K$5)*AP147+(AU$5&lt;K$5)*AV147)))</f>
        <v/>
      </c>
      <c r="N147">
        <f>IF(L147-M147&lt;0.005,0,L147-M147)</f>
        <v/>
      </c>
      <c r="O147">
        <f>T146</f>
        <v/>
      </c>
      <c r="P147">
        <f>O147*Plan!D8/100/12</f>
        <v/>
      </c>
      <c r="Q147">
        <f>MIN(Plan!E8,O147+P147)</f>
        <v/>
      </c>
      <c r="R147">
        <f>O147+P147-Q147</f>
        <v/>
      </c>
      <c r="S147">
        <f>MIN(R147,MAX(0,$B147-((E$5&lt;Q$5)*F147+(K$5&lt;Q$5)*L147+(W$5&lt;Q$5)*X147+(AC$5&lt;Q$5)*AD147+(AI$5&lt;Q$5)*AJ147+(AO$5&lt;Q$5)*AP147+(AU$5&lt;Q$5)*AV147)))</f>
        <v/>
      </c>
      <c r="T147">
        <f>IF(R147-S147&lt;0.005,0,R147-S147)</f>
        <v/>
      </c>
      <c r="U147">
        <f>Z146</f>
        <v/>
      </c>
      <c r="V147">
        <f>U147*Plan!D9/100/12</f>
        <v/>
      </c>
      <c r="W147">
        <f>MIN(Plan!E9,U147+V147)</f>
        <v/>
      </c>
      <c r="X147">
        <f>U147+V147-W147</f>
        <v/>
      </c>
      <c r="Y147">
        <f>MIN(X147,MAX(0,$B147-((E$5&lt;W$5)*F147+(K$5&lt;W$5)*L147+(Q$5&lt;W$5)*R147+(AC$5&lt;W$5)*AD147+(AI$5&lt;W$5)*AJ147+(AO$5&lt;W$5)*AP147+(AU$5&lt;W$5)*AV147)))</f>
        <v/>
      </c>
      <c r="Z147">
        <f>IF(X147-Y147&lt;0.005,0,X147-Y147)</f>
        <v/>
      </c>
      <c r="AA147">
        <f>AF146</f>
        <v/>
      </c>
      <c r="AB147">
        <f>AA147*Plan!D10/100/12</f>
        <v/>
      </c>
      <c r="AC147">
        <f>MIN(Plan!E10,AA147+AB147)</f>
        <v/>
      </c>
      <c r="AD147">
        <f>AA147+AB147-AC147</f>
        <v/>
      </c>
      <c r="AE147">
        <f>MIN(AD147,MAX(0,$B147-((E$5&lt;AC$5)*F147+(K$5&lt;AC$5)*L147+(Q$5&lt;AC$5)*R147+(W$5&lt;AC$5)*X147+(AI$5&lt;AC$5)*AJ147+(AO$5&lt;AC$5)*AP147+(AU$5&lt;AC$5)*AV147)))</f>
        <v/>
      </c>
      <c r="AF147">
        <f>IF(AD147-AE147&lt;0.005,0,AD147-AE147)</f>
        <v/>
      </c>
      <c r="AG147">
        <f>AL146</f>
        <v/>
      </c>
      <c r="AH147">
        <f>AG147*Plan!D11/100/12</f>
        <v/>
      </c>
      <c r="AI147">
        <f>MIN(Plan!E11,AG147+AH147)</f>
        <v/>
      </c>
      <c r="AJ147">
        <f>AG147+AH147-AI147</f>
        <v/>
      </c>
      <c r="AK147">
        <f>MIN(AJ147,MAX(0,$B147-((E$5&lt;AI$5)*F147+(K$5&lt;AI$5)*L147+(Q$5&lt;AI$5)*R147+(W$5&lt;AI$5)*X147+(AC$5&lt;AI$5)*AD147+(AO$5&lt;AI$5)*AP147+(AU$5&lt;AI$5)*AV147)))</f>
        <v/>
      </c>
      <c r="AL147">
        <f>IF(AJ147-AK147&lt;0.005,0,AJ147-AK147)</f>
        <v/>
      </c>
      <c r="AM147">
        <f>AR146</f>
        <v/>
      </c>
      <c r="AN147">
        <f>AM147*Plan!D12/100/12</f>
        <v/>
      </c>
      <c r="AO147">
        <f>MIN(Plan!E12,AM147+AN147)</f>
        <v/>
      </c>
      <c r="AP147">
        <f>AM147+AN147-AO147</f>
        <v/>
      </c>
      <c r="AQ147">
        <f>MIN(AP147,MAX(0,$B147-((E$5&lt;AO$5)*F147+(K$5&lt;AO$5)*L147+(Q$5&lt;AO$5)*R147+(W$5&lt;AO$5)*X147+(AC$5&lt;AO$5)*AD147+(AI$5&lt;AO$5)*AJ147+(AU$5&lt;AO$5)*AV147)))</f>
        <v/>
      </c>
      <c r="AR147">
        <f>IF(AP147-AQ147&lt;0.005,0,AP147-AQ147)</f>
        <v/>
      </c>
      <c r="AS147">
        <f>AX146</f>
        <v/>
      </c>
      <c r="AT147">
        <f>AS147*Plan!D13/100/12</f>
        <v/>
      </c>
      <c r="AU147">
        <f>MIN(Plan!E13,AS147+AT147)</f>
        <v/>
      </c>
      <c r="AV147">
        <f>AS147+AT147-AU147</f>
        <v/>
      </c>
      <c r="AW147">
        <f>MIN(AV147,MAX(0,$B147-((E$5&lt;AU$5)*F147+(K$5&lt;AU$5)*L147+(Q$5&lt;AU$5)*R147+(W$5&lt;AU$5)*X147+(AC$5&lt;AU$5)*AD147+(AI$5&lt;AU$5)*AJ147+(AO$5&lt;AU$5)*AP147)))</f>
        <v/>
      </c>
      <c r="AX147">
        <f>IF(AV147-AW147&lt;0.005,0,AV147-AW147)</f>
        <v/>
      </c>
      <c r="BC147">
        <f>H147+N147+T147+Z147+AF147+AL147+AR147+AX147</f>
        <v/>
      </c>
    </row>
    <row r="148">
      <c r="A148" t="n">
        <v>142</v>
      </c>
      <c r="B148" s="19">
        <f>MAX(0,$B$3-(E148+K148+Q148+W148+AC148+AI148+AO148+AU148))</f>
        <v/>
      </c>
      <c r="C148">
        <f>H147</f>
        <v/>
      </c>
      <c r="D148">
        <f>C148*Plan!D6/100/12</f>
        <v/>
      </c>
      <c r="E148">
        <f>MIN(Plan!E6,C148+D148)</f>
        <v/>
      </c>
      <c r="F148">
        <f>C148+D148-E148</f>
        <v/>
      </c>
      <c r="G148">
        <f>MIN(F148,MAX(0,$B148-((K$5&lt;E$5)*L148+(Q$5&lt;E$5)*R148+(W$5&lt;E$5)*X148+(AC$5&lt;E$5)*AD148+(AI$5&lt;E$5)*AJ148+(AO$5&lt;E$5)*AP148+(AU$5&lt;E$5)*AV148)))</f>
        <v/>
      </c>
      <c r="H148">
        <f>IF(F148-G148&lt;0.005,0,F148-G148)</f>
        <v/>
      </c>
      <c r="I148">
        <f>N147</f>
        <v/>
      </c>
      <c r="J148">
        <f>I148*Plan!D7/100/12</f>
        <v/>
      </c>
      <c r="K148">
        <f>MIN(Plan!E7,I148+J148)</f>
        <v/>
      </c>
      <c r="L148">
        <f>I148+J148-K148</f>
        <v/>
      </c>
      <c r="M148">
        <f>MIN(L148,MAX(0,$B148-((E$5&lt;K$5)*F148+(Q$5&lt;K$5)*R148+(W$5&lt;K$5)*X148+(AC$5&lt;K$5)*AD148+(AI$5&lt;K$5)*AJ148+(AO$5&lt;K$5)*AP148+(AU$5&lt;K$5)*AV148)))</f>
        <v/>
      </c>
      <c r="N148">
        <f>IF(L148-M148&lt;0.005,0,L148-M148)</f>
        <v/>
      </c>
      <c r="O148">
        <f>T147</f>
        <v/>
      </c>
      <c r="P148">
        <f>O148*Plan!D8/100/12</f>
        <v/>
      </c>
      <c r="Q148">
        <f>MIN(Plan!E8,O148+P148)</f>
        <v/>
      </c>
      <c r="R148">
        <f>O148+P148-Q148</f>
        <v/>
      </c>
      <c r="S148">
        <f>MIN(R148,MAX(0,$B148-((E$5&lt;Q$5)*F148+(K$5&lt;Q$5)*L148+(W$5&lt;Q$5)*X148+(AC$5&lt;Q$5)*AD148+(AI$5&lt;Q$5)*AJ148+(AO$5&lt;Q$5)*AP148+(AU$5&lt;Q$5)*AV148)))</f>
        <v/>
      </c>
      <c r="T148">
        <f>IF(R148-S148&lt;0.005,0,R148-S148)</f>
        <v/>
      </c>
      <c r="U148">
        <f>Z147</f>
        <v/>
      </c>
      <c r="V148">
        <f>U148*Plan!D9/100/12</f>
        <v/>
      </c>
      <c r="W148">
        <f>MIN(Plan!E9,U148+V148)</f>
        <v/>
      </c>
      <c r="X148">
        <f>U148+V148-W148</f>
        <v/>
      </c>
      <c r="Y148">
        <f>MIN(X148,MAX(0,$B148-((E$5&lt;W$5)*F148+(K$5&lt;W$5)*L148+(Q$5&lt;W$5)*R148+(AC$5&lt;W$5)*AD148+(AI$5&lt;W$5)*AJ148+(AO$5&lt;W$5)*AP148+(AU$5&lt;W$5)*AV148)))</f>
        <v/>
      </c>
      <c r="Z148">
        <f>IF(X148-Y148&lt;0.005,0,X148-Y148)</f>
        <v/>
      </c>
      <c r="AA148">
        <f>AF147</f>
        <v/>
      </c>
      <c r="AB148">
        <f>AA148*Plan!D10/100/12</f>
        <v/>
      </c>
      <c r="AC148">
        <f>MIN(Plan!E10,AA148+AB148)</f>
        <v/>
      </c>
      <c r="AD148">
        <f>AA148+AB148-AC148</f>
        <v/>
      </c>
      <c r="AE148">
        <f>MIN(AD148,MAX(0,$B148-((E$5&lt;AC$5)*F148+(K$5&lt;AC$5)*L148+(Q$5&lt;AC$5)*R148+(W$5&lt;AC$5)*X148+(AI$5&lt;AC$5)*AJ148+(AO$5&lt;AC$5)*AP148+(AU$5&lt;AC$5)*AV148)))</f>
        <v/>
      </c>
      <c r="AF148">
        <f>IF(AD148-AE148&lt;0.005,0,AD148-AE148)</f>
        <v/>
      </c>
      <c r="AG148">
        <f>AL147</f>
        <v/>
      </c>
      <c r="AH148">
        <f>AG148*Plan!D11/100/12</f>
        <v/>
      </c>
      <c r="AI148">
        <f>MIN(Plan!E11,AG148+AH148)</f>
        <v/>
      </c>
      <c r="AJ148">
        <f>AG148+AH148-AI148</f>
        <v/>
      </c>
      <c r="AK148">
        <f>MIN(AJ148,MAX(0,$B148-((E$5&lt;AI$5)*F148+(K$5&lt;AI$5)*L148+(Q$5&lt;AI$5)*R148+(W$5&lt;AI$5)*X148+(AC$5&lt;AI$5)*AD148+(AO$5&lt;AI$5)*AP148+(AU$5&lt;AI$5)*AV148)))</f>
        <v/>
      </c>
      <c r="AL148">
        <f>IF(AJ148-AK148&lt;0.005,0,AJ148-AK148)</f>
        <v/>
      </c>
      <c r="AM148">
        <f>AR147</f>
        <v/>
      </c>
      <c r="AN148">
        <f>AM148*Plan!D12/100/12</f>
        <v/>
      </c>
      <c r="AO148">
        <f>MIN(Plan!E12,AM148+AN148)</f>
        <v/>
      </c>
      <c r="AP148">
        <f>AM148+AN148-AO148</f>
        <v/>
      </c>
      <c r="AQ148">
        <f>MIN(AP148,MAX(0,$B148-((E$5&lt;AO$5)*F148+(K$5&lt;AO$5)*L148+(Q$5&lt;AO$5)*R148+(W$5&lt;AO$5)*X148+(AC$5&lt;AO$5)*AD148+(AI$5&lt;AO$5)*AJ148+(AU$5&lt;AO$5)*AV148)))</f>
        <v/>
      </c>
      <c r="AR148">
        <f>IF(AP148-AQ148&lt;0.005,0,AP148-AQ148)</f>
        <v/>
      </c>
      <c r="AS148">
        <f>AX147</f>
        <v/>
      </c>
      <c r="AT148">
        <f>AS148*Plan!D13/100/12</f>
        <v/>
      </c>
      <c r="AU148">
        <f>MIN(Plan!E13,AS148+AT148)</f>
        <v/>
      </c>
      <c r="AV148">
        <f>AS148+AT148-AU148</f>
        <v/>
      </c>
      <c r="AW148">
        <f>MIN(AV148,MAX(0,$B148-((E$5&lt;AU$5)*F148+(K$5&lt;AU$5)*L148+(Q$5&lt;AU$5)*R148+(W$5&lt;AU$5)*X148+(AC$5&lt;AU$5)*AD148+(AI$5&lt;AU$5)*AJ148+(AO$5&lt;AU$5)*AP148)))</f>
        <v/>
      </c>
      <c r="AX148">
        <f>IF(AV148-AW148&lt;0.005,0,AV148-AW148)</f>
        <v/>
      </c>
      <c r="BC148">
        <f>H148+N148+T148+Z148+AF148+AL148+AR148+AX148</f>
        <v/>
      </c>
    </row>
    <row r="149">
      <c r="A149" t="n">
        <v>143</v>
      </c>
      <c r="B149" s="19">
        <f>MAX(0,$B$3-(E149+K149+Q149+W149+AC149+AI149+AO149+AU149))</f>
        <v/>
      </c>
      <c r="C149">
        <f>H148</f>
        <v/>
      </c>
      <c r="D149">
        <f>C149*Plan!D6/100/12</f>
        <v/>
      </c>
      <c r="E149">
        <f>MIN(Plan!E6,C149+D149)</f>
        <v/>
      </c>
      <c r="F149">
        <f>C149+D149-E149</f>
        <v/>
      </c>
      <c r="G149">
        <f>MIN(F149,MAX(0,$B149-((K$5&lt;E$5)*L149+(Q$5&lt;E$5)*R149+(W$5&lt;E$5)*X149+(AC$5&lt;E$5)*AD149+(AI$5&lt;E$5)*AJ149+(AO$5&lt;E$5)*AP149+(AU$5&lt;E$5)*AV149)))</f>
        <v/>
      </c>
      <c r="H149">
        <f>IF(F149-G149&lt;0.005,0,F149-G149)</f>
        <v/>
      </c>
      <c r="I149">
        <f>N148</f>
        <v/>
      </c>
      <c r="J149">
        <f>I149*Plan!D7/100/12</f>
        <v/>
      </c>
      <c r="K149">
        <f>MIN(Plan!E7,I149+J149)</f>
        <v/>
      </c>
      <c r="L149">
        <f>I149+J149-K149</f>
        <v/>
      </c>
      <c r="M149">
        <f>MIN(L149,MAX(0,$B149-((E$5&lt;K$5)*F149+(Q$5&lt;K$5)*R149+(W$5&lt;K$5)*X149+(AC$5&lt;K$5)*AD149+(AI$5&lt;K$5)*AJ149+(AO$5&lt;K$5)*AP149+(AU$5&lt;K$5)*AV149)))</f>
        <v/>
      </c>
      <c r="N149">
        <f>IF(L149-M149&lt;0.005,0,L149-M149)</f>
        <v/>
      </c>
      <c r="O149">
        <f>T148</f>
        <v/>
      </c>
      <c r="P149">
        <f>O149*Plan!D8/100/12</f>
        <v/>
      </c>
      <c r="Q149">
        <f>MIN(Plan!E8,O149+P149)</f>
        <v/>
      </c>
      <c r="R149">
        <f>O149+P149-Q149</f>
        <v/>
      </c>
      <c r="S149">
        <f>MIN(R149,MAX(0,$B149-((E$5&lt;Q$5)*F149+(K$5&lt;Q$5)*L149+(W$5&lt;Q$5)*X149+(AC$5&lt;Q$5)*AD149+(AI$5&lt;Q$5)*AJ149+(AO$5&lt;Q$5)*AP149+(AU$5&lt;Q$5)*AV149)))</f>
        <v/>
      </c>
      <c r="T149">
        <f>IF(R149-S149&lt;0.005,0,R149-S149)</f>
        <v/>
      </c>
      <c r="U149">
        <f>Z148</f>
        <v/>
      </c>
      <c r="V149">
        <f>U149*Plan!D9/100/12</f>
        <v/>
      </c>
      <c r="W149">
        <f>MIN(Plan!E9,U149+V149)</f>
        <v/>
      </c>
      <c r="X149">
        <f>U149+V149-W149</f>
        <v/>
      </c>
      <c r="Y149">
        <f>MIN(X149,MAX(0,$B149-((E$5&lt;W$5)*F149+(K$5&lt;W$5)*L149+(Q$5&lt;W$5)*R149+(AC$5&lt;W$5)*AD149+(AI$5&lt;W$5)*AJ149+(AO$5&lt;W$5)*AP149+(AU$5&lt;W$5)*AV149)))</f>
        <v/>
      </c>
      <c r="Z149">
        <f>IF(X149-Y149&lt;0.005,0,X149-Y149)</f>
        <v/>
      </c>
      <c r="AA149">
        <f>AF148</f>
        <v/>
      </c>
      <c r="AB149">
        <f>AA149*Plan!D10/100/12</f>
        <v/>
      </c>
      <c r="AC149">
        <f>MIN(Plan!E10,AA149+AB149)</f>
        <v/>
      </c>
      <c r="AD149">
        <f>AA149+AB149-AC149</f>
        <v/>
      </c>
      <c r="AE149">
        <f>MIN(AD149,MAX(0,$B149-((E$5&lt;AC$5)*F149+(K$5&lt;AC$5)*L149+(Q$5&lt;AC$5)*R149+(W$5&lt;AC$5)*X149+(AI$5&lt;AC$5)*AJ149+(AO$5&lt;AC$5)*AP149+(AU$5&lt;AC$5)*AV149)))</f>
        <v/>
      </c>
      <c r="AF149">
        <f>IF(AD149-AE149&lt;0.005,0,AD149-AE149)</f>
        <v/>
      </c>
      <c r="AG149">
        <f>AL148</f>
        <v/>
      </c>
      <c r="AH149">
        <f>AG149*Plan!D11/100/12</f>
        <v/>
      </c>
      <c r="AI149">
        <f>MIN(Plan!E11,AG149+AH149)</f>
        <v/>
      </c>
      <c r="AJ149">
        <f>AG149+AH149-AI149</f>
        <v/>
      </c>
      <c r="AK149">
        <f>MIN(AJ149,MAX(0,$B149-((E$5&lt;AI$5)*F149+(K$5&lt;AI$5)*L149+(Q$5&lt;AI$5)*R149+(W$5&lt;AI$5)*X149+(AC$5&lt;AI$5)*AD149+(AO$5&lt;AI$5)*AP149+(AU$5&lt;AI$5)*AV149)))</f>
        <v/>
      </c>
      <c r="AL149">
        <f>IF(AJ149-AK149&lt;0.005,0,AJ149-AK149)</f>
        <v/>
      </c>
      <c r="AM149">
        <f>AR148</f>
        <v/>
      </c>
      <c r="AN149">
        <f>AM149*Plan!D12/100/12</f>
        <v/>
      </c>
      <c r="AO149">
        <f>MIN(Plan!E12,AM149+AN149)</f>
        <v/>
      </c>
      <c r="AP149">
        <f>AM149+AN149-AO149</f>
        <v/>
      </c>
      <c r="AQ149">
        <f>MIN(AP149,MAX(0,$B149-((E$5&lt;AO$5)*F149+(K$5&lt;AO$5)*L149+(Q$5&lt;AO$5)*R149+(W$5&lt;AO$5)*X149+(AC$5&lt;AO$5)*AD149+(AI$5&lt;AO$5)*AJ149+(AU$5&lt;AO$5)*AV149)))</f>
        <v/>
      </c>
      <c r="AR149">
        <f>IF(AP149-AQ149&lt;0.005,0,AP149-AQ149)</f>
        <v/>
      </c>
      <c r="AS149">
        <f>AX148</f>
        <v/>
      </c>
      <c r="AT149">
        <f>AS149*Plan!D13/100/12</f>
        <v/>
      </c>
      <c r="AU149">
        <f>MIN(Plan!E13,AS149+AT149)</f>
        <v/>
      </c>
      <c r="AV149">
        <f>AS149+AT149-AU149</f>
        <v/>
      </c>
      <c r="AW149">
        <f>MIN(AV149,MAX(0,$B149-((E$5&lt;AU$5)*F149+(K$5&lt;AU$5)*L149+(Q$5&lt;AU$5)*R149+(W$5&lt;AU$5)*X149+(AC$5&lt;AU$5)*AD149+(AI$5&lt;AU$5)*AJ149+(AO$5&lt;AU$5)*AP149)))</f>
        <v/>
      </c>
      <c r="AX149">
        <f>IF(AV149-AW149&lt;0.005,0,AV149-AW149)</f>
        <v/>
      </c>
      <c r="BC149">
        <f>H149+N149+T149+Z149+AF149+AL149+AR149+AX149</f>
        <v/>
      </c>
    </row>
    <row r="150">
      <c r="A150" t="n">
        <v>144</v>
      </c>
      <c r="B150" s="19">
        <f>MAX(0,$B$3-(E150+K150+Q150+W150+AC150+AI150+AO150+AU150))</f>
        <v/>
      </c>
      <c r="C150">
        <f>H149</f>
        <v/>
      </c>
      <c r="D150">
        <f>C150*Plan!D6/100/12</f>
        <v/>
      </c>
      <c r="E150">
        <f>MIN(Plan!E6,C150+D150)</f>
        <v/>
      </c>
      <c r="F150">
        <f>C150+D150-E150</f>
        <v/>
      </c>
      <c r="G150">
        <f>MIN(F150,MAX(0,$B150-((K$5&lt;E$5)*L150+(Q$5&lt;E$5)*R150+(W$5&lt;E$5)*X150+(AC$5&lt;E$5)*AD150+(AI$5&lt;E$5)*AJ150+(AO$5&lt;E$5)*AP150+(AU$5&lt;E$5)*AV150)))</f>
        <v/>
      </c>
      <c r="H150">
        <f>IF(F150-G150&lt;0.005,0,F150-G150)</f>
        <v/>
      </c>
      <c r="I150">
        <f>N149</f>
        <v/>
      </c>
      <c r="J150">
        <f>I150*Plan!D7/100/12</f>
        <v/>
      </c>
      <c r="K150">
        <f>MIN(Plan!E7,I150+J150)</f>
        <v/>
      </c>
      <c r="L150">
        <f>I150+J150-K150</f>
        <v/>
      </c>
      <c r="M150">
        <f>MIN(L150,MAX(0,$B150-((E$5&lt;K$5)*F150+(Q$5&lt;K$5)*R150+(W$5&lt;K$5)*X150+(AC$5&lt;K$5)*AD150+(AI$5&lt;K$5)*AJ150+(AO$5&lt;K$5)*AP150+(AU$5&lt;K$5)*AV150)))</f>
        <v/>
      </c>
      <c r="N150">
        <f>IF(L150-M150&lt;0.005,0,L150-M150)</f>
        <v/>
      </c>
      <c r="O150">
        <f>T149</f>
        <v/>
      </c>
      <c r="P150">
        <f>O150*Plan!D8/100/12</f>
        <v/>
      </c>
      <c r="Q150">
        <f>MIN(Plan!E8,O150+P150)</f>
        <v/>
      </c>
      <c r="R150">
        <f>O150+P150-Q150</f>
        <v/>
      </c>
      <c r="S150">
        <f>MIN(R150,MAX(0,$B150-((E$5&lt;Q$5)*F150+(K$5&lt;Q$5)*L150+(W$5&lt;Q$5)*X150+(AC$5&lt;Q$5)*AD150+(AI$5&lt;Q$5)*AJ150+(AO$5&lt;Q$5)*AP150+(AU$5&lt;Q$5)*AV150)))</f>
        <v/>
      </c>
      <c r="T150">
        <f>IF(R150-S150&lt;0.005,0,R150-S150)</f>
        <v/>
      </c>
      <c r="U150">
        <f>Z149</f>
        <v/>
      </c>
      <c r="V150">
        <f>U150*Plan!D9/100/12</f>
        <v/>
      </c>
      <c r="W150">
        <f>MIN(Plan!E9,U150+V150)</f>
        <v/>
      </c>
      <c r="X150">
        <f>U150+V150-W150</f>
        <v/>
      </c>
      <c r="Y150">
        <f>MIN(X150,MAX(0,$B150-((E$5&lt;W$5)*F150+(K$5&lt;W$5)*L150+(Q$5&lt;W$5)*R150+(AC$5&lt;W$5)*AD150+(AI$5&lt;W$5)*AJ150+(AO$5&lt;W$5)*AP150+(AU$5&lt;W$5)*AV150)))</f>
        <v/>
      </c>
      <c r="Z150">
        <f>IF(X150-Y150&lt;0.005,0,X150-Y150)</f>
        <v/>
      </c>
      <c r="AA150">
        <f>AF149</f>
        <v/>
      </c>
      <c r="AB150">
        <f>AA150*Plan!D10/100/12</f>
        <v/>
      </c>
      <c r="AC150">
        <f>MIN(Plan!E10,AA150+AB150)</f>
        <v/>
      </c>
      <c r="AD150">
        <f>AA150+AB150-AC150</f>
        <v/>
      </c>
      <c r="AE150">
        <f>MIN(AD150,MAX(0,$B150-((E$5&lt;AC$5)*F150+(K$5&lt;AC$5)*L150+(Q$5&lt;AC$5)*R150+(W$5&lt;AC$5)*X150+(AI$5&lt;AC$5)*AJ150+(AO$5&lt;AC$5)*AP150+(AU$5&lt;AC$5)*AV150)))</f>
        <v/>
      </c>
      <c r="AF150">
        <f>IF(AD150-AE150&lt;0.005,0,AD150-AE150)</f>
        <v/>
      </c>
      <c r="AG150">
        <f>AL149</f>
        <v/>
      </c>
      <c r="AH150">
        <f>AG150*Plan!D11/100/12</f>
        <v/>
      </c>
      <c r="AI150">
        <f>MIN(Plan!E11,AG150+AH150)</f>
        <v/>
      </c>
      <c r="AJ150">
        <f>AG150+AH150-AI150</f>
        <v/>
      </c>
      <c r="AK150">
        <f>MIN(AJ150,MAX(0,$B150-((E$5&lt;AI$5)*F150+(K$5&lt;AI$5)*L150+(Q$5&lt;AI$5)*R150+(W$5&lt;AI$5)*X150+(AC$5&lt;AI$5)*AD150+(AO$5&lt;AI$5)*AP150+(AU$5&lt;AI$5)*AV150)))</f>
        <v/>
      </c>
      <c r="AL150">
        <f>IF(AJ150-AK150&lt;0.005,0,AJ150-AK150)</f>
        <v/>
      </c>
      <c r="AM150">
        <f>AR149</f>
        <v/>
      </c>
      <c r="AN150">
        <f>AM150*Plan!D12/100/12</f>
        <v/>
      </c>
      <c r="AO150">
        <f>MIN(Plan!E12,AM150+AN150)</f>
        <v/>
      </c>
      <c r="AP150">
        <f>AM150+AN150-AO150</f>
        <v/>
      </c>
      <c r="AQ150">
        <f>MIN(AP150,MAX(0,$B150-((E$5&lt;AO$5)*F150+(K$5&lt;AO$5)*L150+(Q$5&lt;AO$5)*R150+(W$5&lt;AO$5)*X150+(AC$5&lt;AO$5)*AD150+(AI$5&lt;AO$5)*AJ150+(AU$5&lt;AO$5)*AV150)))</f>
        <v/>
      </c>
      <c r="AR150">
        <f>IF(AP150-AQ150&lt;0.005,0,AP150-AQ150)</f>
        <v/>
      </c>
      <c r="AS150">
        <f>AX149</f>
        <v/>
      </c>
      <c r="AT150">
        <f>AS150*Plan!D13/100/12</f>
        <v/>
      </c>
      <c r="AU150">
        <f>MIN(Plan!E13,AS150+AT150)</f>
        <v/>
      </c>
      <c r="AV150">
        <f>AS150+AT150-AU150</f>
        <v/>
      </c>
      <c r="AW150">
        <f>MIN(AV150,MAX(0,$B150-((E$5&lt;AU$5)*F150+(K$5&lt;AU$5)*L150+(Q$5&lt;AU$5)*R150+(W$5&lt;AU$5)*X150+(AC$5&lt;AU$5)*AD150+(AI$5&lt;AU$5)*AJ150+(AO$5&lt;AU$5)*AP150)))</f>
        <v/>
      </c>
      <c r="AX150">
        <f>IF(AV150-AW150&lt;0.005,0,AV150-AW150)</f>
        <v/>
      </c>
      <c r="BC150">
        <f>H150+N150+T150+Z150+AF150+AL150+AR150+AX150</f>
        <v/>
      </c>
    </row>
    <row r="151">
      <c r="A151" t="n">
        <v>145</v>
      </c>
      <c r="B151" s="19">
        <f>MAX(0,$B$3-(E151+K151+Q151+W151+AC151+AI151+AO151+AU151))</f>
        <v/>
      </c>
      <c r="C151">
        <f>H150</f>
        <v/>
      </c>
      <c r="D151">
        <f>C151*Plan!D6/100/12</f>
        <v/>
      </c>
      <c r="E151">
        <f>MIN(Plan!E6,C151+D151)</f>
        <v/>
      </c>
      <c r="F151">
        <f>C151+D151-E151</f>
        <v/>
      </c>
      <c r="G151">
        <f>MIN(F151,MAX(0,$B151-((K$5&lt;E$5)*L151+(Q$5&lt;E$5)*R151+(W$5&lt;E$5)*X151+(AC$5&lt;E$5)*AD151+(AI$5&lt;E$5)*AJ151+(AO$5&lt;E$5)*AP151+(AU$5&lt;E$5)*AV151)))</f>
        <v/>
      </c>
      <c r="H151">
        <f>IF(F151-G151&lt;0.005,0,F151-G151)</f>
        <v/>
      </c>
      <c r="I151">
        <f>N150</f>
        <v/>
      </c>
      <c r="J151">
        <f>I151*Plan!D7/100/12</f>
        <v/>
      </c>
      <c r="K151">
        <f>MIN(Plan!E7,I151+J151)</f>
        <v/>
      </c>
      <c r="L151">
        <f>I151+J151-K151</f>
        <v/>
      </c>
      <c r="M151">
        <f>MIN(L151,MAX(0,$B151-((E$5&lt;K$5)*F151+(Q$5&lt;K$5)*R151+(W$5&lt;K$5)*X151+(AC$5&lt;K$5)*AD151+(AI$5&lt;K$5)*AJ151+(AO$5&lt;K$5)*AP151+(AU$5&lt;K$5)*AV151)))</f>
        <v/>
      </c>
      <c r="N151">
        <f>IF(L151-M151&lt;0.005,0,L151-M151)</f>
        <v/>
      </c>
      <c r="O151">
        <f>T150</f>
        <v/>
      </c>
      <c r="P151">
        <f>O151*Plan!D8/100/12</f>
        <v/>
      </c>
      <c r="Q151">
        <f>MIN(Plan!E8,O151+P151)</f>
        <v/>
      </c>
      <c r="R151">
        <f>O151+P151-Q151</f>
        <v/>
      </c>
      <c r="S151">
        <f>MIN(R151,MAX(0,$B151-((E$5&lt;Q$5)*F151+(K$5&lt;Q$5)*L151+(W$5&lt;Q$5)*X151+(AC$5&lt;Q$5)*AD151+(AI$5&lt;Q$5)*AJ151+(AO$5&lt;Q$5)*AP151+(AU$5&lt;Q$5)*AV151)))</f>
        <v/>
      </c>
      <c r="T151">
        <f>IF(R151-S151&lt;0.005,0,R151-S151)</f>
        <v/>
      </c>
      <c r="U151">
        <f>Z150</f>
        <v/>
      </c>
      <c r="V151">
        <f>U151*Plan!D9/100/12</f>
        <v/>
      </c>
      <c r="W151">
        <f>MIN(Plan!E9,U151+V151)</f>
        <v/>
      </c>
      <c r="X151">
        <f>U151+V151-W151</f>
        <v/>
      </c>
      <c r="Y151">
        <f>MIN(X151,MAX(0,$B151-((E$5&lt;W$5)*F151+(K$5&lt;W$5)*L151+(Q$5&lt;W$5)*R151+(AC$5&lt;W$5)*AD151+(AI$5&lt;W$5)*AJ151+(AO$5&lt;W$5)*AP151+(AU$5&lt;W$5)*AV151)))</f>
        <v/>
      </c>
      <c r="Z151">
        <f>IF(X151-Y151&lt;0.005,0,X151-Y151)</f>
        <v/>
      </c>
      <c r="AA151">
        <f>AF150</f>
        <v/>
      </c>
      <c r="AB151">
        <f>AA151*Plan!D10/100/12</f>
        <v/>
      </c>
      <c r="AC151">
        <f>MIN(Plan!E10,AA151+AB151)</f>
        <v/>
      </c>
      <c r="AD151">
        <f>AA151+AB151-AC151</f>
        <v/>
      </c>
      <c r="AE151">
        <f>MIN(AD151,MAX(0,$B151-((E$5&lt;AC$5)*F151+(K$5&lt;AC$5)*L151+(Q$5&lt;AC$5)*R151+(W$5&lt;AC$5)*X151+(AI$5&lt;AC$5)*AJ151+(AO$5&lt;AC$5)*AP151+(AU$5&lt;AC$5)*AV151)))</f>
        <v/>
      </c>
      <c r="AF151">
        <f>IF(AD151-AE151&lt;0.005,0,AD151-AE151)</f>
        <v/>
      </c>
      <c r="AG151">
        <f>AL150</f>
        <v/>
      </c>
      <c r="AH151">
        <f>AG151*Plan!D11/100/12</f>
        <v/>
      </c>
      <c r="AI151">
        <f>MIN(Plan!E11,AG151+AH151)</f>
        <v/>
      </c>
      <c r="AJ151">
        <f>AG151+AH151-AI151</f>
        <v/>
      </c>
      <c r="AK151">
        <f>MIN(AJ151,MAX(0,$B151-((E$5&lt;AI$5)*F151+(K$5&lt;AI$5)*L151+(Q$5&lt;AI$5)*R151+(W$5&lt;AI$5)*X151+(AC$5&lt;AI$5)*AD151+(AO$5&lt;AI$5)*AP151+(AU$5&lt;AI$5)*AV151)))</f>
        <v/>
      </c>
      <c r="AL151">
        <f>IF(AJ151-AK151&lt;0.005,0,AJ151-AK151)</f>
        <v/>
      </c>
      <c r="AM151">
        <f>AR150</f>
        <v/>
      </c>
      <c r="AN151">
        <f>AM151*Plan!D12/100/12</f>
        <v/>
      </c>
      <c r="AO151">
        <f>MIN(Plan!E12,AM151+AN151)</f>
        <v/>
      </c>
      <c r="AP151">
        <f>AM151+AN151-AO151</f>
        <v/>
      </c>
      <c r="AQ151">
        <f>MIN(AP151,MAX(0,$B151-((E$5&lt;AO$5)*F151+(K$5&lt;AO$5)*L151+(Q$5&lt;AO$5)*R151+(W$5&lt;AO$5)*X151+(AC$5&lt;AO$5)*AD151+(AI$5&lt;AO$5)*AJ151+(AU$5&lt;AO$5)*AV151)))</f>
        <v/>
      </c>
      <c r="AR151">
        <f>IF(AP151-AQ151&lt;0.005,0,AP151-AQ151)</f>
        <v/>
      </c>
      <c r="AS151">
        <f>AX150</f>
        <v/>
      </c>
      <c r="AT151">
        <f>AS151*Plan!D13/100/12</f>
        <v/>
      </c>
      <c r="AU151">
        <f>MIN(Plan!E13,AS151+AT151)</f>
        <v/>
      </c>
      <c r="AV151">
        <f>AS151+AT151-AU151</f>
        <v/>
      </c>
      <c r="AW151">
        <f>MIN(AV151,MAX(0,$B151-((E$5&lt;AU$5)*F151+(K$5&lt;AU$5)*L151+(Q$5&lt;AU$5)*R151+(W$5&lt;AU$5)*X151+(AC$5&lt;AU$5)*AD151+(AI$5&lt;AU$5)*AJ151+(AO$5&lt;AU$5)*AP151)))</f>
        <v/>
      </c>
      <c r="AX151">
        <f>IF(AV151-AW151&lt;0.005,0,AV151-AW151)</f>
        <v/>
      </c>
      <c r="BC151">
        <f>H151+N151+T151+Z151+AF151+AL151+AR151+AX151</f>
        <v/>
      </c>
    </row>
    <row r="152">
      <c r="A152" t="n">
        <v>146</v>
      </c>
      <c r="B152" s="19">
        <f>MAX(0,$B$3-(E152+K152+Q152+W152+AC152+AI152+AO152+AU152))</f>
        <v/>
      </c>
      <c r="C152">
        <f>H151</f>
        <v/>
      </c>
      <c r="D152">
        <f>C152*Plan!D6/100/12</f>
        <v/>
      </c>
      <c r="E152">
        <f>MIN(Plan!E6,C152+D152)</f>
        <v/>
      </c>
      <c r="F152">
        <f>C152+D152-E152</f>
        <v/>
      </c>
      <c r="G152">
        <f>MIN(F152,MAX(0,$B152-((K$5&lt;E$5)*L152+(Q$5&lt;E$5)*R152+(W$5&lt;E$5)*X152+(AC$5&lt;E$5)*AD152+(AI$5&lt;E$5)*AJ152+(AO$5&lt;E$5)*AP152+(AU$5&lt;E$5)*AV152)))</f>
        <v/>
      </c>
      <c r="H152">
        <f>IF(F152-G152&lt;0.005,0,F152-G152)</f>
        <v/>
      </c>
      <c r="I152">
        <f>N151</f>
        <v/>
      </c>
      <c r="J152">
        <f>I152*Plan!D7/100/12</f>
        <v/>
      </c>
      <c r="K152">
        <f>MIN(Plan!E7,I152+J152)</f>
        <v/>
      </c>
      <c r="L152">
        <f>I152+J152-K152</f>
        <v/>
      </c>
      <c r="M152">
        <f>MIN(L152,MAX(0,$B152-((E$5&lt;K$5)*F152+(Q$5&lt;K$5)*R152+(W$5&lt;K$5)*X152+(AC$5&lt;K$5)*AD152+(AI$5&lt;K$5)*AJ152+(AO$5&lt;K$5)*AP152+(AU$5&lt;K$5)*AV152)))</f>
        <v/>
      </c>
      <c r="N152">
        <f>IF(L152-M152&lt;0.005,0,L152-M152)</f>
        <v/>
      </c>
      <c r="O152">
        <f>T151</f>
        <v/>
      </c>
      <c r="P152">
        <f>O152*Plan!D8/100/12</f>
        <v/>
      </c>
      <c r="Q152">
        <f>MIN(Plan!E8,O152+P152)</f>
        <v/>
      </c>
      <c r="R152">
        <f>O152+P152-Q152</f>
        <v/>
      </c>
      <c r="S152">
        <f>MIN(R152,MAX(0,$B152-((E$5&lt;Q$5)*F152+(K$5&lt;Q$5)*L152+(W$5&lt;Q$5)*X152+(AC$5&lt;Q$5)*AD152+(AI$5&lt;Q$5)*AJ152+(AO$5&lt;Q$5)*AP152+(AU$5&lt;Q$5)*AV152)))</f>
        <v/>
      </c>
      <c r="T152">
        <f>IF(R152-S152&lt;0.005,0,R152-S152)</f>
        <v/>
      </c>
      <c r="U152">
        <f>Z151</f>
        <v/>
      </c>
      <c r="V152">
        <f>U152*Plan!D9/100/12</f>
        <v/>
      </c>
      <c r="W152">
        <f>MIN(Plan!E9,U152+V152)</f>
        <v/>
      </c>
      <c r="X152">
        <f>U152+V152-W152</f>
        <v/>
      </c>
      <c r="Y152">
        <f>MIN(X152,MAX(0,$B152-((E$5&lt;W$5)*F152+(K$5&lt;W$5)*L152+(Q$5&lt;W$5)*R152+(AC$5&lt;W$5)*AD152+(AI$5&lt;W$5)*AJ152+(AO$5&lt;W$5)*AP152+(AU$5&lt;W$5)*AV152)))</f>
        <v/>
      </c>
      <c r="Z152">
        <f>IF(X152-Y152&lt;0.005,0,X152-Y152)</f>
        <v/>
      </c>
      <c r="AA152">
        <f>AF151</f>
        <v/>
      </c>
      <c r="AB152">
        <f>AA152*Plan!D10/100/12</f>
        <v/>
      </c>
      <c r="AC152">
        <f>MIN(Plan!E10,AA152+AB152)</f>
        <v/>
      </c>
      <c r="AD152">
        <f>AA152+AB152-AC152</f>
        <v/>
      </c>
      <c r="AE152">
        <f>MIN(AD152,MAX(0,$B152-((E$5&lt;AC$5)*F152+(K$5&lt;AC$5)*L152+(Q$5&lt;AC$5)*R152+(W$5&lt;AC$5)*X152+(AI$5&lt;AC$5)*AJ152+(AO$5&lt;AC$5)*AP152+(AU$5&lt;AC$5)*AV152)))</f>
        <v/>
      </c>
      <c r="AF152">
        <f>IF(AD152-AE152&lt;0.005,0,AD152-AE152)</f>
        <v/>
      </c>
      <c r="AG152">
        <f>AL151</f>
        <v/>
      </c>
      <c r="AH152">
        <f>AG152*Plan!D11/100/12</f>
        <v/>
      </c>
      <c r="AI152">
        <f>MIN(Plan!E11,AG152+AH152)</f>
        <v/>
      </c>
      <c r="AJ152">
        <f>AG152+AH152-AI152</f>
        <v/>
      </c>
      <c r="AK152">
        <f>MIN(AJ152,MAX(0,$B152-((E$5&lt;AI$5)*F152+(K$5&lt;AI$5)*L152+(Q$5&lt;AI$5)*R152+(W$5&lt;AI$5)*X152+(AC$5&lt;AI$5)*AD152+(AO$5&lt;AI$5)*AP152+(AU$5&lt;AI$5)*AV152)))</f>
        <v/>
      </c>
      <c r="AL152">
        <f>IF(AJ152-AK152&lt;0.005,0,AJ152-AK152)</f>
        <v/>
      </c>
      <c r="AM152">
        <f>AR151</f>
        <v/>
      </c>
      <c r="AN152">
        <f>AM152*Plan!D12/100/12</f>
        <v/>
      </c>
      <c r="AO152">
        <f>MIN(Plan!E12,AM152+AN152)</f>
        <v/>
      </c>
      <c r="AP152">
        <f>AM152+AN152-AO152</f>
        <v/>
      </c>
      <c r="AQ152">
        <f>MIN(AP152,MAX(0,$B152-((E$5&lt;AO$5)*F152+(K$5&lt;AO$5)*L152+(Q$5&lt;AO$5)*R152+(W$5&lt;AO$5)*X152+(AC$5&lt;AO$5)*AD152+(AI$5&lt;AO$5)*AJ152+(AU$5&lt;AO$5)*AV152)))</f>
        <v/>
      </c>
      <c r="AR152">
        <f>IF(AP152-AQ152&lt;0.005,0,AP152-AQ152)</f>
        <v/>
      </c>
      <c r="AS152">
        <f>AX151</f>
        <v/>
      </c>
      <c r="AT152">
        <f>AS152*Plan!D13/100/12</f>
        <v/>
      </c>
      <c r="AU152">
        <f>MIN(Plan!E13,AS152+AT152)</f>
        <v/>
      </c>
      <c r="AV152">
        <f>AS152+AT152-AU152</f>
        <v/>
      </c>
      <c r="AW152">
        <f>MIN(AV152,MAX(0,$B152-((E$5&lt;AU$5)*F152+(K$5&lt;AU$5)*L152+(Q$5&lt;AU$5)*R152+(W$5&lt;AU$5)*X152+(AC$5&lt;AU$5)*AD152+(AI$5&lt;AU$5)*AJ152+(AO$5&lt;AU$5)*AP152)))</f>
        <v/>
      </c>
      <c r="AX152">
        <f>IF(AV152-AW152&lt;0.005,0,AV152-AW152)</f>
        <v/>
      </c>
      <c r="BC152">
        <f>H152+N152+T152+Z152+AF152+AL152+AR152+AX152</f>
        <v/>
      </c>
    </row>
    <row r="153">
      <c r="A153" t="n">
        <v>147</v>
      </c>
      <c r="B153" s="19">
        <f>MAX(0,$B$3-(E153+K153+Q153+W153+AC153+AI153+AO153+AU153))</f>
        <v/>
      </c>
      <c r="C153">
        <f>H152</f>
        <v/>
      </c>
      <c r="D153">
        <f>C153*Plan!D6/100/12</f>
        <v/>
      </c>
      <c r="E153">
        <f>MIN(Plan!E6,C153+D153)</f>
        <v/>
      </c>
      <c r="F153">
        <f>C153+D153-E153</f>
        <v/>
      </c>
      <c r="G153">
        <f>MIN(F153,MAX(0,$B153-((K$5&lt;E$5)*L153+(Q$5&lt;E$5)*R153+(W$5&lt;E$5)*X153+(AC$5&lt;E$5)*AD153+(AI$5&lt;E$5)*AJ153+(AO$5&lt;E$5)*AP153+(AU$5&lt;E$5)*AV153)))</f>
        <v/>
      </c>
      <c r="H153">
        <f>IF(F153-G153&lt;0.005,0,F153-G153)</f>
        <v/>
      </c>
      <c r="I153">
        <f>N152</f>
        <v/>
      </c>
      <c r="J153">
        <f>I153*Plan!D7/100/12</f>
        <v/>
      </c>
      <c r="K153">
        <f>MIN(Plan!E7,I153+J153)</f>
        <v/>
      </c>
      <c r="L153">
        <f>I153+J153-K153</f>
        <v/>
      </c>
      <c r="M153">
        <f>MIN(L153,MAX(0,$B153-((E$5&lt;K$5)*F153+(Q$5&lt;K$5)*R153+(W$5&lt;K$5)*X153+(AC$5&lt;K$5)*AD153+(AI$5&lt;K$5)*AJ153+(AO$5&lt;K$5)*AP153+(AU$5&lt;K$5)*AV153)))</f>
        <v/>
      </c>
      <c r="N153">
        <f>IF(L153-M153&lt;0.005,0,L153-M153)</f>
        <v/>
      </c>
      <c r="O153">
        <f>T152</f>
        <v/>
      </c>
      <c r="P153">
        <f>O153*Plan!D8/100/12</f>
        <v/>
      </c>
      <c r="Q153">
        <f>MIN(Plan!E8,O153+P153)</f>
        <v/>
      </c>
      <c r="R153">
        <f>O153+P153-Q153</f>
        <v/>
      </c>
      <c r="S153">
        <f>MIN(R153,MAX(0,$B153-((E$5&lt;Q$5)*F153+(K$5&lt;Q$5)*L153+(W$5&lt;Q$5)*X153+(AC$5&lt;Q$5)*AD153+(AI$5&lt;Q$5)*AJ153+(AO$5&lt;Q$5)*AP153+(AU$5&lt;Q$5)*AV153)))</f>
        <v/>
      </c>
      <c r="T153">
        <f>IF(R153-S153&lt;0.005,0,R153-S153)</f>
        <v/>
      </c>
      <c r="U153">
        <f>Z152</f>
        <v/>
      </c>
      <c r="V153">
        <f>U153*Plan!D9/100/12</f>
        <v/>
      </c>
      <c r="W153">
        <f>MIN(Plan!E9,U153+V153)</f>
        <v/>
      </c>
      <c r="X153">
        <f>U153+V153-W153</f>
        <v/>
      </c>
      <c r="Y153">
        <f>MIN(X153,MAX(0,$B153-((E$5&lt;W$5)*F153+(K$5&lt;W$5)*L153+(Q$5&lt;W$5)*R153+(AC$5&lt;W$5)*AD153+(AI$5&lt;W$5)*AJ153+(AO$5&lt;W$5)*AP153+(AU$5&lt;W$5)*AV153)))</f>
        <v/>
      </c>
      <c r="Z153">
        <f>IF(X153-Y153&lt;0.005,0,X153-Y153)</f>
        <v/>
      </c>
      <c r="AA153">
        <f>AF152</f>
        <v/>
      </c>
      <c r="AB153">
        <f>AA153*Plan!D10/100/12</f>
        <v/>
      </c>
      <c r="AC153">
        <f>MIN(Plan!E10,AA153+AB153)</f>
        <v/>
      </c>
      <c r="AD153">
        <f>AA153+AB153-AC153</f>
        <v/>
      </c>
      <c r="AE153">
        <f>MIN(AD153,MAX(0,$B153-((E$5&lt;AC$5)*F153+(K$5&lt;AC$5)*L153+(Q$5&lt;AC$5)*R153+(W$5&lt;AC$5)*X153+(AI$5&lt;AC$5)*AJ153+(AO$5&lt;AC$5)*AP153+(AU$5&lt;AC$5)*AV153)))</f>
        <v/>
      </c>
      <c r="AF153">
        <f>IF(AD153-AE153&lt;0.005,0,AD153-AE153)</f>
        <v/>
      </c>
      <c r="AG153">
        <f>AL152</f>
        <v/>
      </c>
      <c r="AH153">
        <f>AG153*Plan!D11/100/12</f>
        <v/>
      </c>
      <c r="AI153">
        <f>MIN(Plan!E11,AG153+AH153)</f>
        <v/>
      </c>
      <c r="AJ153">
        <f>AG153+AH153-AI153</f>
        <v/>
      </c>
      <c r="AK153">
        <f>MIN(AJ153,MAX(0,$B153-((E$5&lt;AI$5)*F153+(K$5&lt;AI$5)*L153+(Q$5&lt;AI$5)*R153+(W$5&lt;AI$5)*X153+(AC$5&lt;AI$5)*AD153+(AO$5&lt;AI$5)*AP153+(AU$5&lt;AI$5)*AV153)))</f>
        <v/>
      </c>
      <c r="AL153">
        <f>IF(AJ153-AK153&lt;0.005,0,AJ153-AK153)</f>
        <v/>
      </c>
      <c r="AM153">
        <f>AR152</f>
        <v/>
      </c>
      <c r="AN153">
        <f>AM153*Plan!D12/100/12</f>
        <v/>
      </c>
      <c r="AO153">
        <f>MIN(Plan!E12,AM153+AN153)</f>
        <v/>
      </c>
      <c r="AP153">
        <f>AM153+AN153-AO153</f>
        <v/>
      </c>
      <c r="AQ153">
        <f>MIN(AP153,MAX(0,$B153-((E$5&lt;AO$5)*F153+(K$5&lt;AO$5)*L153+(Q$5&lt;AO$5)*R153+(W$5&lt;AO$5)*X153+(AC$5&lt;AO$5)*AD153+(AI$5&lt;AO$5)*AJ153+(AU$5&lt;AO$5)*AV153)))</f>
        <v/>
      </c>
      <c r="AR153">
        <f>IF(AP153-AQ153&lt;0.005,0,AP153-AQ153)</f>
        <v/>
      </c>
      <c r="AS153">
        <f>AX152</f>
        <v/>
      </c>
      <c r="AT153">
        <f>AS153*Plan!D13/100/12</f>
        <v/>
      </c>
      <c r="AU153">
        <f>MIN(Plan!E13,AS153+AT153)</f>
        <v/>
      </c>
      <c r="AV153">
        <f>AS153+AT153-AU153</f>
        <v/>
      </c>
      <c r="AW153">
        <f>MIN(AV153,MAX(0,$B153-((E$5&lt;AU$5)*F153+(K$5&lt;AU$5)*L153+(Q$5&lt;AU$5)*R153+(W$5&lt;AU$5)*X153+(AC$5&lt;AU$5)*AD153+(AI$5&lt;AU$5)*AJ153+(AO$5&lt;AU$5)*AP153)))</f>
        <v/>
      </c>
      <c r="AX153">
        <f>IF(AV153-AW153&lt;0.005,0,AV153-AW153)</f>
        <v/>
      </c>
      <c r="BC153">
        <f>H153+N153+T153+Z153+AF153+AL153+AR153+AX153</f>
        <v/>
      </c>
    </row>
    <row r="154">
      <c r="A154" t="n">
        <v>148</v>
      </c>
      <c r="B154" s="19">
        <f>MAX(0,$B$3-(E154+K154+Q154+W154+AC154+AI154+AO154+AU154))</f>
        <v/>
      </c>
      <c r="C154">
        <f>H153</f>
        <v/>
      </c>
      <c r="D154">
        <f>C154*Plan!D6/100/12</f>
        <v/>
      </c>
      <c r="E154">
        <f>MIN(Plan!E6,C154+D154)</f>
        <v/>
      </c>
      <c r="F154">
        <f>C154+D154-E154</f>
        <v/>
      </c>
      <c r="G154">
        <f>MIN(F154,MAX(0,$B154-((K$5&lt;E$5)*L154+(Q$5&lt;E$5)*R154+(W$5&lt;E$5)*X154+(AC$5&lt;E$5)*AD154+(AI$5&lt;E$5)*AJ154+(AO$5&lt;E$5)*AP154+(AU$5&lt;E$5)*AV154)))</f>
        <v/>
      </c>
      <c r="H154">
        <f>IF(F154-G154&lt;0.005,0,F154-G154)</f>
        <v/>
      </c>
      <c r="I154">
        <f>N153</f>
        <v/>
      </c>
      <c r="J154">
        <f>I154*Plan!D7/100/12</f>
        <v/>
      </c>
      <c r="K154">
        <f>MIN(Plan!E7,I154+J154)</f>
        <v/>
      </c>
      <c r="L154">
        <f>I154+J154-K154</f>
        <v/>
      </c>
      <c r="M154">
        <f>MIN(L154,MAX(0,$B154-((E$5&lt;K$5)*F154+(Q$5&lt;K$5)*R154+(W$5&lt;K$5)*X154+(AC$5&lt;K$5)*AD154+(AI$5&lt;K$5)*AJ154+(AO$5&lt;K$5)*AP154+(AU$5&lt;K$5)*AV154)))</f>
        <v/>
      </c>
      <c r="N154">
        <f>IF(L154-M154&lt;0.005,0,L154-M154)</f>
        <v/>
      </c>
      <c r="O154">
        <f>T153</f>
        <v/>
      </c>
      <c r="P154">
        <f>O154*Plan!D8/100/12</f>
        <v/>
      </c>
      <c r="Q154">
        <f>MIN(Plan!E8,O154+P154)</f>
        <v/>
      </c>
      <c r="R154">
        <f>O154+P154-Q154</f>
        <v/>
      </c>
      <c r="S154">
        <f>MIN(R154,MAX(0,$B154-((E$5&lt;Q$5)*F154+(K$5&lt;Q$5)*L154+(W$5&lt;Q$5)*X154+(AC$5&lt;Q$5)*AD154+(AI$5&lt;Q$5)*AJ154+(AO$5&lt;Q$5)*AP154+(AU$5&lt;Q$5)*AV154)))</f>
        <v/>
      </c>
      <c r="T154">
        <f>IF(R154-S154&lt;0.005,0,R154-S154)</f>
        <v/>
      </c>
      <c r="U154">
        <f>Z153</f>
        <v/>
      </c>
      <c r="V154">
        <f>U154*Plan!D9/100/12</f>
        <v/>
      </c>
      <c r="W154">
        <f>MIN(Plan!E9,U154+V154)</f>
        <v/>
      </c>
      <c r="X154">
        <f>U154+V154-W154</f>
        <v/>
      </c>
      <c r="Y154">
        <f>MIN(X154,MAX(0,$B154-((E$5&lt;W$5)*F154+(K$5&lt;W$5)*L154+(Q$5&lt;W$5)*R154+(AC$5&lt;W$5)*AD154+(AI$5&lt;W$5)*AJ154+(AO$5&lt;W$5)*AP154+(AU$5&lt;W$5)*AV154)))</f>
        <v/>
      </c>
      <c r="Z154">
        <f>IF(X154-Y154&lt;0.005,0,X154-Y154)</f>
        <v/>
      </c>
      <c r="AA154">
        <f>AF153</f>
        <v/>
      </c>
      <c r="AB154">
        <f>AA154*Plan!D10/100/12</f>
        <v/>
      </c>
      <c r="AC154">
        <f>MIN(Plan!E10,AA154+AB154)</f>
        <v/>
      </c>
      <c r="AD154">
        <f>AA154+AB154-AC154</f>
        <v/>
      </c>
      <c r="AE154">
        <f>MIN(AD154,MAX(0,$B154-((E$5&lt;AC$5)*F154+(K$5&lt;AC$5)*L154+(Q$5&lt;AC$5)*R154+(W$5&lt;AC$5)*X154+(AI$5&lt;AC$5)*AJ154+(AO$5&lt;AC$5)*AP154+(AU$5&lt;AC$5)*AV154)))</f>
        <v/>
      </c>
      <c r="AF154">
        <f>IF(AD154-AE154&lt;0.005,0,AD154-AE154)</f>
        <v/>
      </c>
      <c r="AG154">
        <f>AL153</f>
        <v/>
      </c>
      <c r="AH154">
        <f>AG154*Plan!D11/100/12</f>
        <v/>
      </c>
      <c r="AI154">
        <f>MIN(Plan!E11,AG154+AH154)</f>
        <v/>
      </c>
      <c r="AJ154">
        <f>AG154+AH154-AI154</f>
        <v/>
      </c>
      <c r="AK154">
        <f>MIN(AJ154,MAX(0,$B154-((E$5&lt;AI$5)*F154+(K$5&lt;AI$5)*L154+(Q$5&lt;AI$5)*R154+(W$5&lt;AI$5)*X154+(AC$5&lt;AI$5)*AD154+(AO$5&lt;AI$5)*AP154+(AU$5&lt;AI$5)*AV154)))</f>
        <v/>
      </c>
      <c r="AL154">
        <f>IF(AJ154-AK154&lt;0.005,0,AJ154-AK154)</f>
        <v/>
      </c>
      <c r="AM154">
        <f>AR153</f>
        <v/>
      </c>
      <c r="AN154">
        <f>AM154*Plan!D12/100/12</f>
        <v/>
      </c>
      <c r="AO154">
        <f>MIN(Plan!E12,AM154+AN154)</f>
        <v/>
      </c>
      <c r="AP154">
        <f>AM154+AN154-AO154</f>
        <v/>
      </c>
      <c r="AQ154">
        <f>MIN(AP154,MAX(0,$B154-((E$5&lt;AO$5)*F154+(K$5&lt;AO$5)*L154+(Q$5&lt;AO$5)*R154+(W$5&lt;AO$5)*X154+(AC$5&lt;AO$5)*AD154+(AI$5&lt;AO$5)*AJ154+(AU$5&lt;AO$5)*AV154)))</f>
        <v/>
      </c>
      <c r="AR154">
        <f>IF(AP154-AQ154&lt;0.005,0,AP154-AQ154)</f>
        <v/>
      </c>
      <c r="AS154">
        <f>AX153</f>
        <v/>
      </c>
      <c r="AT154">
        <f>AS154*Plan!D13/100/12</f>
        <v/>
      </c>
      <c r="AU154">
        <f>MIN(Plan!E13,AS154+AT154)</f>
        <v/>
      </c>
      <c r="AV154">
        <f>AS154+AT154-AU154</f>
        <v/>
      </c>
      <c r="AW154">
        <f>MIN(AV154,MAX(0,$B154-((E$5&lt;AU$5)*F154+(K$5&lt;AU$5)*L154+(Q$5&lt;AU$5)*R154+(W$5&lt;AU$5)*X154+(AC$5&lt;AU$5)*AD154+(AI$5&lt;AU$5)*AJ154+(AO$5&lt;AU$5)*AP154)))</f>
        <v/>
      </c>
      <c r="AX154">
        <f>IF(AV154-AW154&lt;0.005,0,AV154-AW154)</f>
        <v/>
      </c>
      <c r="BC154">
        <f>H154+N154+T154+Z154+AF154+AL154+AR154+AX154</f>
        <v/>
      </c>
    </row>
    <row r="155">
      <c r="A155" t="n">
        <v>149</v>
      </c>
      <c r="B155" s="19">
        <f>MAX(0,$B$3-(E155+K155+Q155+W155+AC155+AI155+AO155+AU155))</f>
        <v/>
      </c>
      <c r="C155">
        <f>H154</f>
        <v/>
      </c>
      <c r="D155">
        <f>C155*Plan!D6/100/12</f>
        <v/>
      </c>
      <c r="E155">
        <f>MIN(Plan!E6,C155+D155)</f>
        <v/>
      </c>
      <c r="F155">
        <f>C155+D155-E155</f>
        <v/>
      </c>
      <c r="G155">
        <f>MIN(F155,MAX(0,$B155-((K$5&lt;E$5)*L155+(Q$5&lt;E$5)*R155+(W$5&lt;E$5)*X155+(AC$5&lt;E$5)*AD155+(AI$5&lt;E$5)*AJ155+(AO$5&lt;E$5)*AP155+(AU$5&lt;E$5)*AV155)))</f>
        <v/>
      </c>
      <c r="H155">
        <f>IF(F155-G155&lt;0.005,0,F155-G155)</f>
        <v/>
      </c>
      <c r="I155">
        <f>N154</f>
        <v/>
      </c>
      <c r="J155">
        <f>I155*Plan!D7/100/12</f>
        <v/>
      </c>
      <c r="K155">
        <f>MIN(Plan!E7,I155+J155)</f>
        <v/>
      </c>
      <c r="L155">
        <f>I155+J155-K155</f>
        <v/>
      </c>
      <c r="M155">
        <f>MIN(L155,MAX(0,$B155-((E$5&lt;K$5)*F155+(Q$5&lt;K$5)*R155+(W$5&lt;K$5)*X155+(AC$5&lt;K$5)*AD155+(AI$5&lt;K$5)*AJ155+(AO$5&lt;K$5)*AP155+(AU$5&lt;K$5)*AV155)))</f>
        <v/>
      </c>
      <c r="N155">
        <f>IF(L155-M155&lt;0.005,0,L155-M155)</f>
        <v/>
      </c>
      <c r="O155">
        <f>T154</f>
        <v/>
      </c>
      <c r="P155">
        <f>O155*Plan!D8/100/12</f>
        <v/>
      </c>
      <c r="Q155">
        <f>MIN(Plan!E8,O155+P155)</f>
        <v/>
      </c>
      <c r="R155">
        <f>O155+P155-Q155</f>
        <v/>
      </c>
      <c r="S155">
        <f>MIN(R155,MAX(0,$B155-((E$5&lt;Q$5)*F155+(K$5&lt;Q$5)*L155+(W$5&lt;Q$5)*X155+(AC$5&lt;Q$5)*AD155+(AI$5&lt;Q$5)*AJ155+(AO$5&lt;Q$5)*AP155+(AU$5&lt;Q$5)*AV155)))</f>
        <v/>
      </c>
      <c r="T155">
        <f>IF(R155-S155&lt;0.005,0,R155-S155)</f>
        <v/>
      </c>
      <c r="U155">
        <f>Z154</f>
        <v/>
      </c>
      <c r="V155">
        <f>U155*Plan!D9/100/12</f>
        <v/>
      </c>
      <c r="W155">
        <f>MIN(Plan!E9,U155+V155)</f>
        <v/>
      </c>
      <c r="X155">
        <f>U155+V155-W155</f>
        <v/>
      </c>
      <c r="Y155">
        <f>MIN(X155,MAX(0,$B155-((E$5&lt;W$5)*F155+(K$5&lt;W$5)*L155+(Q$5&lt;W$5)*R155+(AC$5&lt;W$5)*AD155+(AI$5&lt;W$5)*AJ155+(AO$5&lt;W$5)*AP155+(AU$5&lt;W$5)*AV155)))</f>
        <v/>
      </c>
      <c r="Z155">
        <f>IF(X155-Y155&lt;0.005,0,X155-Y155)</f>
        <v/>
      </c>
      <c r="AA155">
        <f>AF154</f>
        <v/>
      </c>
      <c r="AB155">
        <f>AA155*Plan!D10/100/12</f>
        <v/>
      </c>
      <c r="AC155">
        <f>MIN(Plan!E10,AA155+AB155)</f>
        <v/>
      </c>
      <c r="AD155">
        <f>AA155+AB155-AC155</f>
        <v/>
      </c>
      <c r="AE155">
        <f>MIN(AD155,MAX(0,$B155-((E$5&lt;AC$5)*F155+(K$5&lt;AC$5)*L155+(Q$5&lt;AC$5)*R155+(W$5&lt;AC$5)*X155+(AI$5&lt;AC$5)*AJ155+(AO$5&lt;AC$5)*AP155+(AU$5&lt;AC$5)*AV155)))</f>
        <v/>
      </c>
      <c r="AF155">
        <f>IF(AD155-AE155&lt;0.005,0,AD155-AE155)</f>
        <v/>
      </c>
      <c r="AG155">
        <f>AL154</f>
        <v/>
      </c>
      <c r="AH155">
        <f>AG155*Plan!D11/100/12</f>
        <v/>
      </c>
      <c r="AI155">
        <f>MIN(Plan!E11,AG155+AH155)</f>
        <v/>
      </c>
      <c r="AJ155">
        <f>AG155+AH155-AI155</f>
        <v/>
      </c>
      <c r="AK155">
        <f>MIN(AJ155,MAX(0,$B155-((E$5&lt;AI$5)*F155+(K$5&lt;AI$5)*L155+(Q$5&lt;AI$5)*R155+(W$5&lt;AI$5)*X155+(AC$5&lt;AI$5)*AD155+(AO$5&lt;AI$5)*AP155+(AU$5&lt;AI$5)*AV155)))</f>
        <v/>
      </c>
      <c r="AL155">
        <f>IF(AJ155-AK155&lt;0.005,0,AJ155-AK155)</f>
        <v/>
      </c>
      <c r="AM155">
        <f>AR154</f>
        <v/>
      </c>
      <c r="AN155">
        <f>AM155*Plan!D12/100/12</f>
        <v/>
      </c>
      <c r="AO155">
        <f>MIN(Plan!E12,AM155+AN155)</f>
        <v/>
      </c>
      <c r="AP155">
        <f>AM155+AN155-AO155</f>
        <v/>
      </c>
      <c r="AQ155">
        <f>MIN(AP155,MAX(0,$B155-((E$5&lt;AO$5)*F155+(K$5&lt;AO$5)*L155+(Q$5&lt;AO$5)*R155+(W$5&lt;AO$5)*X155+(AC$5&lt;AO$5)*AD155+(AI$5&lt;AO$5)*AJ155+(AU$5&lt;AO$5)*AV155)))</f>
        <v/>
      </c>
      <c r="AR155">
        <f>IF(AP155-AQ155&lt;0.005,0,AP155-AQ155)</f>
        <v/>
      </c>
      <c r="AS155">
        <f>AX154</f>
        <v/>
      </c>
      <c r="AT155">
        <f>AS155*Plan!D13/100/12</f>
        <v/>
      </c>
      <c r="AU155">
        <f>MIN(Plan!E13,AS155+AT155)</f>
        <v/>
      </c>
      <c r="AV155">
        <f>AS155+AT155-AU155</f>
        <v/>
      </c>
      <c r="AW155">
        <f>MIN(AV155,MAX(0,$B155-((E$5&lt;AU$5)*F155+(K$5&lt;AU$5)*L155+(Q$5&lt;AU$5)*R155+(W$5&lt;AU$5)*X155+(AC$5&lt;AU$5)*AD155+(AI$5&lt;AU$5)*AJ155+(AO$5&lt;AU$5)*AP155)))</f>
        <v/>
      </c>
      <c r="AX155">
        <f>IF(AV155-AW155&lt;0.005,0,AV155-AW155)</f>
        <v/>
      </c>
      <c r="BC155">
        <f>H155+N155+T155+Z155+AF155+AL155+AR155+AX155</f>
        <v/>
      </c>
    </row>
    <row r="156">
      <c r="A156" t="n">
        <v>150</v>
      </c>
      <c r="B156" s="19">
        <f>MAX(0,$B$3-(E156+K156+Q156+W156+AC156+AI156+AO156+AU156))</f>
        <v/>
      </c>
      <c r="C156">
        <f>H155</f>
        <v/>
      </c>
      <c r="D156">
        <f>C156*Plan!D6/100/12</f>
        <v/>
      </c>
      <c r="E156">
        <f>MIN(Plan!E6,C156+D156)</f>
        <v/>
      </c>
      <c r="F156">
        <f>C156+D156-E156</f>
        <v/>
      </c>
      <c r="G156">
        <f>MIN(F156,MAX(0,$B156-((K$5&lt;E$5)*L156+(Q$5&lt;E$5)*R156+(W$5&lt;E$5)*X156+(AC$5&lt;E$5)*AD156+(AI$5&lt;E$5)*AJ156+(AO$5&lt;E$5)*AP156+(AU$5&lt;E$5)*AV156)))</f>
        <v/>
      </c>
      <c r="H156">
        <f>IF(F156-G156&lt;0.005,0,F156-G156)</f>
        <v/>
      </c>
      <c r="I156">
        <f>N155</f>
        <v/>
      </c>
      <c r="J156">
        <f>I156*Plan!D7/100/12</f>
        <v/>
      </c>
      <c r="K156">
        <f>MIN(Plan!E7,I156+J156)</f>
        <v/>
      </c>
      <c r="L156">
        <f>I156+J156-K156</f>
        <v/>
      </c>
      <c r="M156">
        <f>MIN(L156,MAX(0,$B156-((E$5&lt;K$5)*F156+(Q$5&lt;K$5)*R156+(W$5&lt;K$5)*X156+(AC$5&lt;K$5)*AD156+(AI$5&lt;K$5)*AJ156+(AO$5&lt;K$5)*AP156+(AU$5&lt;K$5)*AV156)))</f>
        <v/>
      </c>
      <c r="N156">
        <f>IF(L156-M156&lt;0.005,0,L156-M156)</f>
        <v/>
      </c>
      <c r="O156">
        <f>T155</f>
        <v/>
      </c>
      <c r="P156">
        <f>O156*Plan!D8/100/12</f>
        <v/>
      </c>
      <c r="Q156">
        <f>MIN(Plan!E8,O156+P156)</f>
        <v/>
      </c>
      <c r="R156">
        <f>O156+P156-Q156</f>
        <v/>
      </c>
      <c r="S156">
        <f>MIN(R156,MAX(0,$B156-((E$5&lt;Q$5)*F156+(K$5&lt;Q$5)*L156+(W$5&lt;Q$5)*X156+(AC$5&lt;Q$5)*AD156+(AI$5&lt;Q$5)*AJ156+(AO$5&lt;Q$5)*AP156+(AU$5&lt;Q$5)*AV156)))</f>
        <v/>
      </c>
      <c r="T156">
        <f>IF(R156-S156&lt;0.005,0,R156-S156)</f>
        <v/>
      </c>
      <c r="U156">
        <f>Z155</f>
        <v/>
      </c>
      <c r="V156">
        <f>U156*Plan!D9/100/12</f>
        <v/>
      </c>
      <c r="W156">
        <f>MIN(Plan!E9,U156+V156)</f>
        <v/>
      </c>
      <c r="X156">
        <f>U156+V156-W156</f>
        <v/>
      </c>
      <c r="Y156">
        <f>MIN(X156,MAX(0,$B156-((E$5&lt;W$5)*F156+(K$5&lt;W$5)*L156+(Q$5&lt;W$5)*R156+(AC$5&lt;W$5)*AD156+(AI$5&lt;W$5)*AJ156+(AO$5&lt;W$5)*AP156+(AU$5&lt;W$5)*AV156)))</f>
        <v/>
      </c>
      <c r="Z156">
        <f>IF(X156-Y156&lt;0.005,0,X156-Y156)</f>
        <v/>
      </c>
      <c r="AA156">
        <f>AF155</f>
        <v/>
      </c>
      <c r="AB156">
        <f>AA156*Plan!D10/100/12</f>
        <v/>
      </c>
      <c r="AC156">
        <f>MIN(Plan!E10,AA156+AB156)</f>
        <v/>
      </c>
      <c r="AD156">
        <f>AA156+AB156-AC156</f>
        <v/>
      </c>
      <c r="AE156">
        <f>MIN(AD156,MAX(0,$B156-((E$5&lt;AC$5)*F156+(K$5&lt;AC$5)*L156+(Q$5&lt;AC$5)*R156+(W$5&lt;AC$5)*X156+(AI$5&lt;AC$5)*AJ156+(AO$5&lt;AC$5)*AP156+(AU$5&lt;AC$5)*AV156)))</f>
        <v/>
      </c>
      <c r="AF156">
        <f>IF(AD156-AE156&lt;0.005,0,AD156-AE156)</f>
        <v/>
      </c>
      <c r="AG156">
        <f>AL155</f>
        <v/>
      </c>
      <c r="AH156">
        <f>AG156*Plan!D11/100/12</f>
        <v/>
      </c>
      <c r="AI156">
        <f>MIN(Plan!E11,AG156+AH156)</f>
        <v/>
      </c>
      <c r="AJ156">
        <f>AG156+AH156-AI156</f>
        <v/>
      </c>
      <c r="AK156">
        <f>MIN(AJ156,MAX(0,$B156-((E$5&lt;AI$5)*F156+(K$5&lt;AI$5)*L156+(Q$5&lt;AI$5)*R156+(W$5&lt;AI$5)*X156+(AC$5&lt;AI$5)*AD156+(AO$5&lt;AI$5)*AP156+(AU$5&lt;AI$5)*AV156)))</f>
        <v/>
      </c>
      <c r="AL156">
        <f>IF(AJ156-AK156&lt;0.005,0,AJ156-AK156)</f>
        <v/>
      </c>
      <c r="AM156">
        <f>AR155</f>
        <v/>
      </c>
      <c r="AN156">
        <f>AM156*Plan!D12/100/12</f>
        <v/>
      </c>
      <c r="AO156">
        <f>MIN(Plan!E12,AM156+AN156)</f>
        <v/>
      </c>
      <c r="AP156">
        <f>AM156+AN156-AO156</f>
        <v/>
      </c>
      <c r="AQ156">
        <f>MIN(AP156,MAX(0,$B156-((E$5&lt;AO$5)*F156+(K$5&lt;AO$5)*L156+(Q$5&lt;AO$5)*R156+(W$5&lt;AO$5)*X156+(AC$5&lt;AO$5)*AD156+(AI$5&lt;AO$5)*AJ156+(AU$5&lt;AO$5)*AV156)))</f>
        <v/>
      </c>
      <c r="AR156">
        <f>IF(AP156-AQ156&lt;0.005,0,AP156-AQ156)</f>
        <v/>
      </c>
      <c r="AS156">
        <f>AX155</f>
        <v/>
      </c>
      <c r="AT156">
        <f>AS156*Plan!D13/100/12</f>
        <v/>
      </c>
      <c r="AU156">
        <f>MIN(Plan!E13,AS156+AT156)</f>
        <v/>
      </c>
      <c r="AV156">
        <f>AS156+AT156-AU156</f>
        <v/>
      </c>
      <c r="AW156">
        <f>MIN(AV156,MAX(0,$B156-((E$5&lt;AU$5)*F156+(K$5&lt;AU$5)*L156+(Q$5&lt;AU$5)*R156+(W$5&lt;AU$5)*X156+(AC$5&lt;AU$5)*AD156+(AI$5&lt;AU$5)*AJ156+(AO$5&lt;AU$5)*AP156)))</f>
        <v/>
      </c>
      <c r="AX156">
        <f>IF(AV156-AW156&lt;0.005,0,AV156-AW156)</f>
        <v/>
      </c>
      <c r="BC156">
        <f>H156+N156+T156+Z156+AF156+AL156+AR156+AX156</f>
        <v/>
      </c>
    </row>
    <row r="157">
      <c r="A157" t="n">
        <v>151</v>
      </c>
      <c r="B157" s="19">
        <f>MAX(0,$B$3-(E157+K157+Q157+W157+AC157+AI157+AO157+AU157))</f>
        <v/>
      </c>
      <c r="C157">
        <f>H156</f>
        <v/>
      </c>
      <c r="D157">
        <f>C157*Plan!D6/100/12</f>
        <v/>
      </c>
      <c r="E157">
        <f>MIN(Plan!E6,C157+D157)</f>
        <v/>
      </c>
      <c r="F157">
        <f>C157+D157-E157</f>
        <v/>
      </c>
      <c r="G157">
        <f>MIN(F157,MAX(0,$B157-((K$5&lt;E$5)*L157+(Q$5&lt;E$5)*R157+(W$5&lt;E$5)*X157+(AC$5&lt;E$5)*AD157+(AI$5&lt;E$5)*AJ157+(AO$5&lt;E$5)*AP157+(AU$5&lt;E$5)*AV157)))</f>
        <v/>
      </c>
      <c r="H157">
        <f>IF(F157-G157&lt;0.005,0,F157-G157)</f>
        <v/>
      </c>
      <c r="I157">
        <f>N156</f>
        <v/>
      </c>
      <c r="J157">
        <f>I157*Plan!D7/100/12</f>
        <v/>
      </c>
      <c r="K157">
        <f>MIN(Plan!E7,I157+J157)</f>
        <v/>
      </c>
      <c r="L157">
        <f>I157+J157-K157</f>
        <v/>
      </c>
      <c r="M157">
        <f>MIN(L157,MAX(0,$B157-((E$5&lt;K$5)*F157+(Q$5&lt;K$5)*R157+(W$5&lt;K$5)*X157+(AC$5&lt;K$5)*AD157+(AI$5&lt;K$5)*AJ157+(AO$5&lt;K$5)*AP157+(AU$5&lt;K$5)*AV157)))</f>
        <v/>
      </c>
      <c r="N157">
        <f>IF(L157-M157&lt;0.005,0,L157-M157)</f>
        <v/>
      </c>
      <c r="O157">
        <f>T156</f>
        <v/>
      </c>
      <c r="P157">
        <f>O157*Plan!D8/100/12</f>
        <v/>
      </c>
      <c r="Q157">
        <f>MIN(Plan!E8,O157+P157)</f>
        <v/>
      </c>
      <c r="R157">
        <f>O157+P157-Q157</f>
        <v/>
      </c>
      <c r="S157">
        <f>MIN(R157,MAX(0,$B157-((E$5&lt;Q$5)*F157+(K$5&lt;Q$5)*L157+(W$5&lt;Q$5)*X157+(AC$5&lt;Q$5)*AD157+(AI$5&lt;Q$5)*AJ157+(AO$5&lt;Q$5)*AP157+(AU$5&lt;Q$5)*AV157)))</f>
        <v/>
      </c>
      <c r="T157">
        <f>IF(R157-S157&lt;0.005,0,R157-S157)</f>
        <v/>
      </c>
      <c r="U157">
        <f>Z156</f>
        <v/>
      </c>
      <c r="V157">
        <f>U157*Plan!D9/100/12</f>
        <v/>
      </c>
      <c r="W157">
        <f>MIN(Plan!E9,U157+V157)</f>
        <v/>
      </c>
      <c r="X157">
        <f>U157+V157-W157</f>
        <v/>
      </c>
      <c r="Y157">
        <f>MIN(X157,MAX(0,$B157-((E$5&lt;W$5)*F157+(K$5&lt;W$5)*L157+(Q$5&lt;W$5)*R157+(AC$5&lt;W$5)*AD157+(AI$5&lt;W$5)*AJ157+(AO$5&lt;W$5)*AP157+(AU$5&lt;W$5)*AV157)))</f>
        <v/>
      </c>
      <c r="Z157">
        <f>IF(X157-Y157&lt;0.005,0,X157-Y157)</f>
        <v/>
      </c>
      <c r="AA157">
        <f>AF156</f>
        <v/>
      </c>
      <c r="AB157">
        <f>AA157*Plan!D10/100/12</f>
        <v/>
      </c>
      <c r="AC157">
        <f>MIN(Plan!E10,AA157+AB157)</f>
        <v/>
      </c>
      <c r="AD157">
        <f>AA157+AB157-AC157</f>
        <v/>
      </c>
      <c r="AE157">
        <f>MIN(AD157,MAX(0,$B157-((E$5&lt;AC$5)*F157+(K$5&lt;AC$5)*L157+(Q$5&lt;AC$5)*R157+(W$5&lt;AC$5)*X157+(AI$5&lt;AC$5)*AJ157+(AO$5&lt;AC$5)*AP157+(AU$5&lt;AC$5)*AV157)))</f>
        <v/>
      </c>
      <c r="AF157">
        <f>IF(AD157-AE157&lt;0.005,0,AD157-AE157)</f>
        <v/>
      </c>
      <c r="AG157">
        <f>AL156</f>
        <v/>
      </c>
      <c r="AH157">
        <f>AG157*Plan!D11/100/12</f>
        <v/>
      </c>
      <c r="AI157">
        <f>MIN(Plan!E11,AG157+AH157)</f>
        <v/>
      </c>
      <c r="AJ157">
        <f>AG157+AH157-AI157</f>
        <v/>
      </c>
      <c r="AK157">
        <f>MIN(AJ157,MAX(0,$B157-((E$5&lt;AI$5)*F157+(K$5&lt;AI$5)*L157+(Q$5&lt;AI$5)*R157+(W$5&lt;AI$5)*X157+(AC$5&lt;AI$5)*AD157+(AO$5&lt;AI$5)*AP157+(AU$5&lt;AI$5)*AV157)))</f>
        <v/>
      </c>
      <c r="AL157">
        <f>IF(AJ157-AK157&lt;0.005,0,AJ157-AK157)</f>
        <v/>
      </c>
      <c r="AM157">
        <f>AR156</f>
        <v/>
      </c>
      <c r="AN157">
        <f>AM157*Plan!D12/100/12</f>
        <v/>
      </c>
      <c r="AO157">
        <f>MIN(Plan!E12,AM157+AN157)</f>
        <v/>
      </c>
      <c r="AP157">
        <f>AM157+AN157-AO157</f>
        <v/>
      </c>
      <c r="AQ157">
        <f>MIN(AP157,MAX(0,$B157-((E$5&lt;AO$5)*F157+(K$5&lt;AO$5)*L157+(Q$5&lt;AO$5)*R157+(W$5&lt;AO$5)*X157+(AC$5&lt;AO$5)*AD157+(AI$5&lt;AO$5)*AJ157+(AU$5&lt;AO$5)*AV157)))</f>
        <v/>
      </c>
      <c r="AR157">
        <f>IF(AP157-AQ157&lt;0.005,0,AP157-AQ157)</f>
        <v/>
      </c>
      <c r="AS157">
        <f>AX156</f>
        <v/>
      </c>
      <c r="AT157">
        <f>AS157*Plan!D13/100/12</f>
        <v/>
      </c>
      <c r="AU157">
        <f>MIN(Plan!E13,AS157+AT157)</f>
        <v/>
      </c>
      <c r="AV157">
        <f>AS157+AT157-AU157</f>
        <v/>
      </c>
      <c r="AW157">
        <f>MIN(AV157,MAX(0,$B157-((E$5&lt;AU$5)*F157+(K$5&lt;AU$5)*L157+(Q$5&lt;AU$5)*R157+(W$5&lt;AU$5)*X157+(AC$5&lt;AU$5)*AD157+(AI$5&lt;AU$5)*AJ157+(AO$5&lt;AU$5)*AP157)))</f>
        <v/>
      </c>
      <c r="AX157">
        <f>IF(AV157-AW157&lt;0.005,0,AV157-AW157)</f>
        <v/>
      </c>
      <c r="BC157">
        <f>H157+N157+T157+Z157+AF157+AL157+AR157+AX157</f>
        <v/>
      </c>
    </row>
    <row r="158">
      <c r="A158" t="n">
        <v>152</v>
      </c>
      <c r="B158" s="19">
        <f>MAX(0,$B$3-(E158+K158+Q158+W158+AC158+AI158+AO158+AU158))</f>
        <v/>
      </c>
      <c r="C158">
        <f>H157</f>
        <v/>
      </c>
      <c r="D158">
        <f>C158*Plan!D6/100/12</f>
        <v/>
      </c>
      <c r="E158">
        <f>MIN(Plan!E6,C158+D158)</f>
        <v/>
      </c>
      <c r="F158">
        <f>C158+D158-E158</f>
        <v/>
      </c>
      <c r="G158">
        <f>MIN(F158,MAX(0,$B158-((K$5&lt;E$5)*L158+(Q$5&lt;E$5)*R158+(W$5&lt;E$5)*X158+(AC$5&lt;E$5)*AD158+(AI$5&lt;E$5)*AJ158+(AO$5&lt;E$5)*AP158+(AU$5&lt;E$5)*AV158)))</f>
        <v/>
      </c>
      <c r="H158">
        <f>IF(F158-G158&lt;0.005,0,F158-G158)</f>
        <v/>
      </c>
      <c r="I158">
        <f>N157</f>
        <v/>
      </c>
      <c r="J158">
        <f>I158*Plan!D7/100/12</f>
        <v/>
      </c>
      <c r="K158">
        <f>MIN(Plan!E7,I158+J158)</f>
        <v/>
      </c>
      <c r="L158">
        <f>I158+J158-K158</f>
        <v/>
      </c>
      <c r="M158">
        <f>MIN(L158,MAX(0,$B158-((E$5&lt;K$5)*F158+(Q$5&lt;K$5)*R158+(W$5&lt;K$5)*X158+(AC$5&lt;K$5)*AD158+(AI$5&lt;K$5)*AJ158+(AO$5&lt;K$5)*AP158+(AU$5&lt;K$5)*AV158)))</f>
        <v/>
      </c>
      <c r="N158">
        <f>IF(L158-M158&lt;0.005,0,L158-M158)</f>
        <v/>
      </c>
      <c r="O158">
        <f>T157</f>
        <v/>
      </c>
      <c r="P158">
        <f>O158*Plan!D8/100/12</f>
        <v/>
      </c>
      <c r="Q158">
        <f>MIN(Plan!E8,O158+P158)</f>
        <v/>
      </c>
      <c r="R158">
        <f>O158+P158-Q158</f>
        <v/>
      </c>
      <c r="S158">
        <f>MIN(R158,MAX(0,$B158-((E$5&lt;Q$5)*F158+(K$5&lt;Q$5)*L158+(W$5&lt;Q$5)*X158+(AC$5&lt;Q$5)*AD158+(AI$5&lt;Q$5)*AJ158+(AO$5&lt;Q$5)*AP158+(AU$5&lt;Q$5)*AV158)))</f>
        <v/>
      </c>
      <c r="T158">
        <f>IF(R158-S158&lt;0.005,0,R158-S158)</f>
        <v/>
      </c>
      <c r="U158">
        <f>Z157</f>
        <v/>
      </c>
      <c r="V158">
        <f>U158*Plan!D9/100/12</f>
        <v/>
      </c>
      <c r="W158">
        <f>MIN(Plan!E9,U158+V158)</f>
        <v/>
      </c>
      <c r="X158">
        <f>U158+V158-W158</f>
        <v/>
      </c>
      <c r="Y158">
        <f>MIN(X158,MAX(0,$B158-((E$5&lt;W$5)*F158+(K$5&lt;W$5)*L158+(Q$5&lt;W$5)*R158+(AC$5&lt;W$5)*AD158+(AI$5&lt;W$5)*AJ158+(AO$5&lt;W$5)*AP158+(AU$5&lt;W$5)*AV158)))</f>
        <v/>
      </c>
      <c r="Z158">
        <f>IF(X158-Y158&lt;0.005,0,X158-Y158)</f>
        <v/>
      </c>
      <c r="AA158">
        <f>AF157</f>
        <v/>
      </c>
      <c r="AB158">
        <f>AA158*Plan!D10/100/12</f>
        <v/>
      </c>
      <c r="AC158">
        <f>MIN(Plan!E10,AA158+AB158)</f>
        <v/>
      </c>
      <c r="AD158">
        <f>AA158+AB158-AC158</f>
        <v/>
      </c>
      <c r="AE158">
        <f>MIN(AD158,MAX(0,$B158-((E$5&lt;AC$5)*F158+(K$5&lt;AC$5)*L158+(Q$5&lt;AC$5)*R158+(W$5&lt;AC$5)*X158+(AI$5&lt;AC$5)*AJ158+(AO$5&lt;AC$5)*AP158+(AU$5&lt;AC$5)*AV158)))</f>
        <v/>
      </c>
      <c r="AF158">
        <f>IF(AD158-AE158&lt;0.005,0,AD158-AE158)</f>
        <v/>
      </c>
      <c r="AG158">
        <f>AL157</f>
        <v/>
      </c>
      <c r="AH158">
        <f>AG158*Plan!D11/100/12</f>
        <v/>
      </c>
      <c r="AI158">
        <f>MIN(Plan!E11,AG158+AH158)</f>
        <v/>
      </c>
      <c r="AJ158">
        <f>AG158+AH158-AI158</f>
        <v/>
      </c>
      <c r="AK158">
        <f>MIN(AJ158,MAX(0,$B158-((E$5&lt;AI$5)*F158+(K$5&lt;AI$5)*L158+(Q$5&lt;AI$5)*R158+(W$5&lt;AI$5)*X158+(AC$5&lt;AI$5)*AD158+(AO$5&lt;AI$5)*AP158+(AU$5&lt;AI$5)*AV158)))</f>
        <v/>
      </c>
      <c r="AL158">
        <f>IF(AJ158-AK158&lt;0.005,0,AJ158-AK158)</f>
        <v/>
      </c>
      <c r="AM158">
        <f>AR157</f>
        <v/>
      </c>
      <c r="AN158">
        <f>AM158*Plan!D12/100/12</f>
        <v/>
      </c>
      <c r="AO158">
        <f>MIN(Plan!E12,AM158+AN158)</f>
        <v/>
      </c>
      <c r="AP158">
        <f>AM158+AN158-AO158</f>
        <v/>
      </c>
      <c r="AQ158">
        <f>MIN(AP158,MAX(0,$B158-((E$5&lt;AO$5)*F158+(K$5&lt;AO$5)*L158+(Q$5&lt;AO$5)*R158+(W$5&lt;AO$5)*X158+(AC$5&lt;AO$5)*AD158+(AI$5&lt;AO$5)*AJ158+(AU$5&lt;AO$5)*AV158)))</f>
        <v/>
      </c>
      <c r="AR158">
        <f>IF(AP158-AQ158&lt;0.005,0,AP158-AQ158)</f>
        <v/>
      </c>
      <c r="AS158">
        <f>AX157</f>
        <v/>
      </c>
      <c r="AT158">
        <f>AS158*Plan!D13/100/12</f>
        <v/>
      </c>
      <c r="AU158">
        <f>MIN(Plan!E13,AS158+AT158)</f>
        <v/>
      </c>
      <c r="AV158">
        <f>AS158+AT158-AU158</f>
        <v/>
      </c>
      <c r="AW158">
        <f>MIN(AV158,MAX(0,$B158-((E$5&lt;AU$5)*F158+(K$5&lt;AU$5)*L158+(Q$5&lt;AU$5)*R158+(W$5&lt;AU$5)*X158+(AC$5&lt;AU$5)*AD158+(AI$5&lt;AU$5)*AJ158+(AO$5&lt;AU$5)*AP158)))</f>
        <v/>
      </c>
      <c r="AX158">
        <f>IF(AV158-AW158&lt;0.005,0,AV158-AW158)</f>
        <v/>
      </c>
      <c r="BC158">
        <f>H158+N158+T158+Z158+AF158+AL158+AR158+AX158</f>
        <v/>
      </c>
    </row>
    <row r="159">
      <c r="A159" t="n">
        <v>153</v>
      </c>
      <c r="B159" s="19">
        <f>MAX(0,$B$3-(E159+K159+Q159+W159+AC159+AI159+AO159+AU159))</f>
        <v/>
      </c>
      <c r="C159">
        <f>H158</f>
        <v/>
      </c>
      <c r="D159">
        <f>C159*Plan!D6/100/12</f>
        <v/>
      </c>
      <c r="E159">
        <f>MIN(Plan!E6,C159+D159)</f>
        <v/>
      </c>
      <c r="F159">
        <f>C159+D159-E159</f>
        <v/>
      </c>
      <c r="G159">
        <f>MIN(F159,MAX(0,$B159-((K$5&lt;E$5)*L159+(Q$5&lt;E$5)*R159+(W$5&lt;E$5)*X159+(AC$5&lt;E$5)*AD159+(AI$5&lt;E$5)*AJ159+(AO$5&lt;E$5)*AP159+(AU$5&lt;E$5)*AV159)))</f>
        <v/>
      </c>
      <c r="H159">
        <f>IF(F159-G159&lt;0.005,0,F159-G159)</f>
        <v/>
      </c>
      <c r="I159">
        <f>N158</f>
        <v/>
      </c>
      <c r="J159">
        <f>I159*Plan!D7/100/12</f>
        <v/>
      </c>
      <c r="K159">
        <f>MIN(Plan!E7,I159+J159)</f>
        <v/>
      </c>
      <c r="L159">
        <f>I159+J159-K159</f>
        <v/>
      </c>
      <c r="M159">
        <f>MIN(L159,MAX(0,$B159-((E$5&lt;K$5)*F159+(Q$5&lt;K$5)*R159+(W$5&lt;K$5)*X159+(AC$5&lt;K$5)*AD159+(AI$5&lt;K$5)*AJ159+(AO$5&lt;K$5)*AP159+(AU$5&lt;K$5)*AV159)))</f>
        <v/>
      </c>
      <c r="N159">
        <f>IF(L159-M159&lt;0.005,0,L159-M159)</f>
        <v/>
      </c>
      <c r="O159">
        <f>T158</f>
        <v/>
      </c>
      <c r="P159">
        <f>O159*Plan!D8/100/12</f>
        <v/>
      </c>
      <c r="Q159">
        <f>MIN(Plan!E8,O159+P159)</f>
        <v/>
      </c>
      <c r="R159">
        <f>O159+P159-Q159</f>
        <v/>
      </c>
      <c r="S159">
        <f>MIN(R159,MAX(0,$B159-((E$5&lt;Q$5)*F159+(K$5&lt;Q$5)*L159+(W$5&lt;Q$5)*X159+(AC$5&lt;Q$5)*AD159+(AI$5&lt;Q$5)*AJ159+(AO$5&lt;Q$5)*AP159+(AU$5&lt;Q$5)*AV159)))</f>
        <v/>
      </c>
      <c r="T159">
        <f>IF(R159-S159&lt;0.005,0,R159-S159)</f>
        <v/>
      </c>
      <c r="U159">
        <f>Z158</f>
        <v/>
      </c>
      <c r="V159">
        <f>U159*Plan!D9/100/12</f>
        <v/>
      </c>
      <c r="W159">
        <f>MIN(Plan!E9,U159+V159)</f>
        <v/>
      </c>
      <c r="X159">
        <f>U159+V159-W159</f>
        <v/>
      </c>
      <c r="Y159">
        <f>MIN(X159,MAX(0,$B159-((E$5&lt;W$5)*F159+(K$5&lt;W$5)*L159+(Q$5&lt;W$5)*R159+(AC$5&lt;W$5)*AD159+(AI$5&lt;W$5)*AJ159+(AO$5&lt;W$5)*AP159+(AU$5&lt;W$5)*AV159)))</f>
        <v/>
      </c>
      <c r="Z159">
        <f>IF(X159-Y159&lt;0.005,0,X159-Y159)</f>
        <v/>
      </c>
      <c r="AA159">
        <f>AF158</f>
        <v/>
      </c>
      <c r="AB159">
        <f>AA159*Plan!D10/100/12</f>
        <v/>
      </c>
      <c r="AC159">
        <f>MIN(Plan!E10,AA159+AB159)</f>
        <v/>
      </c>
      <c r="AD159">
        <f>AA159+AB159-AC159</f>
        <v/>
      </c>
      <c r="AE159">
        <f>MIN(AD159,MAX(0,$B159-((E$5&lt;AC$5)*F159+(K$5&lt;AC$5)*L159+(Q$5&lt;AC$5)*R159+(W$5&lt;AC$5)*X159+(AI$5&lt;AC$5)*AJ159+(AO$5&lt;AC$5)*AP159+(AU$5&lt;AC$5)*AV159)))</f>
        <v/>
      </c>
      <c r="AF159">
        <f>IF(AD159-AE159&lt;0.005,0,AD159-AE159)</f>
        <v/>
      </c>
      <c r="AG159">
        <f>AL158</f>
        <v/>
      </c>
      <c r="AH159">
        <f>AG159*Plan!D11/100/12</f>
        <v/>
      </c>
      <c r="AI159">
        <f>MIN(Plan!E11,AG159+AH159)</f>
        <v/>
      </c>
      <c r="AJ159">
        <f>AG159+AH159-AI159</f>
        <v/>
      </c>
      <c r="AK159">
        <f>MIN(AJ159,MAX(0,$B159-((E$5&lt;AI$5)*F159+(K$5&lt;AI$5)*L159+(Q$5&lt;AI$5)*R159+(W$5&lt;AI$5)*X159+(AC$5&lt;AI$5)*AD159+(AO$5&lt;AI$5)*AP159+(AU$5&lt;AI$5)*AV159)))</f>
        <v/>
      </c>
      <c r="AL159">
        <f>IF(AJ159-AK159&lt;0.005,0,AJ159-AK159)</f>
        <v/>
      </c>
      <c r="AM159">
        <f>AR158</f>
        <v/>
      </c>
      <c r="AN159">
        <f>AM159*Plan!D12/100/12</f>
        <v/>
      </c>
      <c r="AO159">
        <f>MIN(Plan!E12,AM159+AN159)</f>
        <v/>
      </c>
      <c r="AP159">
        <f>AM159+AN159-AO159</f>
        <v/>
      </c>
      <c r="AQ159">
        <f>MIN(AP159,MAX(0,$B159-((E$5&lt;AO$5)*F159+(K$5&lt;AO$5)*L159+(Q$5&lt;AO$5)*R159+(W$5&lt;AO$5)*X159+(AC$5&lt;AO$5)*AD159+(AI$5&lt;AO$5)*AJ159+(AU$5&lt;AO$5)*AV159)))</f>
        <v/>
      </c>
      <c r="AR159">
        <f>IF(AP159-AQ159&lt;0.005,0,AP159-AQ159)</f>
        <v/>
      </c>
      <c r="AS159">
        <f>AX158</f>
        <v/>
      </c>
      <c r="AT159">
        <f>AS159*Plan!D13/100/12</f>
        <v/>
      </c>
      <c r="AU159">
        <f>MIN(Plan!E13,AS159+AT159)</f>
        <v/>
      </c>
      <c r="AV159">
        <f>AS159+AT159-AU159</f>
        <v/>
      </c>
      <c r="AW159">
        <f>MIN(AV159,MAX(0,$B159-((E$5&lt;AU$5)*F159+(K$5&lt;AU$5)*L159+(Q$5&lt;AU$5)*R159+(W$5&lt;AU$5)*X159+(AC$5&lt;AU$5)*AD159+(AI$5&lt;AU$5)*AJ159+(AO$5&lt;AU$5)*AP159)))</f>
        <v/>
      </c>
      <c r="AX159">
        <f>IF(AV159-AW159&lt;0.005,0,AV159-AW159)</f>
        <v/>
      </c>
      <c r="BC159">
        <f>H159+N159+T159+Z159+AF159+AL159+AR159+AX159</f>
        <v/>
      </c>
    </row>
    <row r="160">
      <c r="A160" t="n">
        <v>154</v>
      </c>
      <c r="B160" s="19">
        <f>MAX(0,$B$3-(E160+K160+Q160+W160+AC160+AI160+AO160+AU160))</f>
        <v/>
      </c>
      <c r="C160">
        <f>H159</f>
        <v/>
      </c>
      <c r="D160">
        <f>C160*Plan!D6/100/12</f>
        <v/>
      </c>
      <c r="E160">
        <f>MIN(Plan!E6,C160+D160)</f>
        <v/>
      </c>
      <c r="F160">
        <f>C160+D160-E160</f>
        <v/>
      </c>
      <c r="G160">
        <f>MIN(F160,MAX(0,$B160-((K$5&lt;E$5)*L160+(Q$5&lt;E$5)*R160+(W$5&lt;E$5)*X160+(AC$5&lt;E$5)*AD160+(AI$5&lt;E$5)*AJ160+(AO$5&lt;E$5)*AP160+(AU$5&lt;E$5)*AV160)))</f>
        <v/>
      </c>
      <c r="H160">
        <f>IF(F160-G160&lt;0.005,0,F160-G160)</f>
        <v/>
      </c>
      <c r="I160">
        <f>N159</f>
        <v/>
      </c>
      <c r="J160">
        <f>I160*Plan!D7/100/12</f>
        <v/>
      </c>
      <c r="K160">
        <f>MIN(Plan!E7,I160+J160)</f>
        <v/>
      </c>
      <c r="L160">
        <f>I160+J160-K160</f>
        <v/>
      </c>
      <c r="M160">
        <f>MIN(L160,MAX(0,$B160-((E$5&lt;K$5)*F160+(Q$5&lt;K$5)*R160+(W$5&lt;K$5)*X160+(AC$5&lt;K$5)*AD160+(AI$5&lt;K$5)*AJ160+(AO$5&lt;K$5)*AP160+(AU$5&lt;K$5)*AV160)))</f>
        <v/>
      </c>
      <c r="N160">
        <f>IF(L160-M160&lt;0.005,0,L160-M160)</f>
        <v/>
      </c>
      <c r="O160">
        <f>T159</f>
        <v/>
      </c>
      <c r="P160">
        <f>O160*Plan!D8/100/12</f>
        <v/>
      </c>
      <c r="Q160">
        <f>MIN(Plan!E8,O160+P160)</f>
        <v/>
      </c>
      <c r="R160">
        <f>O160+P160-Q160</f>
        <v/>
      </c>
      <c r="S160">
        <f>MIN(R160,MAX(0,$B160-((E$5&lt;Q$5)*F160+(K$5&lt;Q$5)*L160+(W$5&lt;Q$5)*X160+(AC$5&lt;Q$5)*AD160+(AI$5&lt;Q$5)*AJ160+(AO$5&lt;Q$5)*AP160+(AU$5&lt;Q$5)*AV160)))</f>
        <v/>
      </c>
      <c r="T160">
        <f>IF(R160-S160&lt;0.005,0,R160-S160)</f>
        <v/>
      </c>
      <c r="U160">
        <f>Z159</f>
        <v/>
      </c>
      <c r="V160">
        <f>U160*Plan!D9/100/12</f>
        <v/>
      </c>
      <c r="W160">
        <f>MIN(Plan!E9,U160+V160)</f>
        <v/>
      </c>
      <c r="X160">
        <f>U160+V160-W160</f>
        <v/>
      </c>
      <c r="Y160">
        <f>MIN(X160,MAX(0,$B160-((E$5&lt;W$5)*F160+(K$5&lt;W$5)*L160+(Q$5&lt;W$5)*R160+(AC$5&lt;W$5)*AD160+(AI$5&lt;W$5)*AJ160+(AO$5&lt;W$5)*AP160+(AU$5&lt;W$5)*AV160)))</f>
        <v/>
      </c>
      <c r="Z160">
        <f>IF(X160-Y160&lt;0.005,0,X160-Y160)</f>
        <v/>
      </c>
      <c r="AA160">
        <f>AF159</f>
        <v/>
      </c>
      <c r="AB160">
        <f>AA160*Plan!D10/100/12</f>
        <v/>
      </c>
      <c r="AC160">
        <f>MIN(Plan!E10,AA160+AB160)</f>
        <v/>
      </c>
      <c r="AD160">
        <f>AA160+AB160-AC160</f>
        <v/>
      </c>
      <c r="AE160">
        <f>MIN(AD160,MAX(0,$B160-((E$5&lt;AC$5)*F160+(K$5&lt;AC$5)*L160+(Q$5&lt;AC$5)*R160+(W$5&lt;AC$5)*X160+(AI$5&lt;AC$5)*AJ160+(AO$5&lt;AC$5)*AP160+(AU$5&lt;AC$5)*AV160)))</f>
        <v/>
      </c>
      <c r="AF160">
        <f>IF(AD160-AE160&lt;0.005,0,AD160-AE160)</f>
        <v/>
      </c>
      <c r="AG160">
        <f>AL159</f>
        <v/>
      </c>
      <c r="AH160">
        <f>AG160*Plan!D11/100/12</f>
        <v/>
      </c>
      <c r="AI160">
        <f>MIN(Plan!E11,AG160+AH160)</f>
        <v/>
      </c>
      <c r="AJ160">
        <f>AG160+AH160-AI160</f>
        <v/>
      </c>
      <c r="AK160">
        <f>MIN(AJ160,MAX(0,$B160-((E$5&lt;AI$5)*F160+(K$5&lt;AI$5)*L160+(Q$5&lt;AI$5)*R160+(W$5&lt;AI$5)*X160+(AC$5&lt;AI$5)*AD160+(AO$5&lt;AI$5)*AP160+(AU$5&lt;AI$5)*AV160)))</f>
        <v/>
      </c>
      <c r="AL160">
        <f>IF(AJ160-AK160&lt;0.005,0,AJ160-AK160)</f>
        <v/>
      </c>
      <c r="AM160">
        <f>AR159</f>
        <v/>
      </c>
      <c r="AN160">
        <f>AM160*Plan!D12/100/12</f>
        <v/>
      </c>
      <c r="AO160">
        <f>MIN(Plan!E12,AM160+AN160)</f>
        <v/>
      </c>
      <c r="AP160">
        <f>AM160+AN160-AO160</f>
        <v/>
      </c>
      <c r="AQ160">
        <f>MIN(AP160,MAX(0,$B160-((E$5&lt;AO$5)*F160+(K$5&lt;AO$5)*L160+(Q$5&lt;AO$5)*R160+(W$5&lt;AO$5)*X160+(AC$5&lt;AO$5)*AD160+(AI$5&lt;AO$5)*AJ160+(AU$5&lt;AO$5)*AV160)))</f>
        <v/>
      </c>
      <c r="AR160">
        <f>IF(AP160-AQ160&lt;0.005,0,AP160-AQ160)</f>
        <v/>
      </c>
      <c r="AS160">
        <f>AX159</f>
        <v/>
      </c>
      <c r="AT160">
        <f>AS160*Plan!D13/100/12</f>
        <v/>
      </c>
      <c r="AU160">
        <f>MIN(Plan!E13,AS160+AT160)</f>
        <v/>
      </c>
      <c r="AV160">
        <f>AS160+AT160-AU160</f>
        <v/>
      </c>
      <c r="AW160">
        <f>MIN(AV160,MAX(0,$B160-((E$5&lt;AU$5)*F160+(K$5&lt;AU$5)*L160+(Q$5&lt;AU$5)*R160+(W$5&lt;AU$5)*X160+(AC$5&lt;AU$5)*AD160+(AI$5&lt;AU$5)*AJ160+(AO$5&lt;AU$5)*AP160)))</f>
        <v/>
      </c>
      <c r="AX160">
        <f>IF(AV160-AW160&lt;0.005,0,AV160-AW160)</f>
        <v/>
      </c>
      <c r="BC160">
        <f>H160+N160+T160+Z160+AF160+AL160+AR160+AX160</f>
        <v/>
      </c>
    </row>
    <row r="161">
      <c r="A161" t="n">
        <v>155</v>
      </c>
      <c r="B161" s="19">
        <f>MAX(0,$B$3-(E161+K161+Q161+W161+AC161+AI161+AO161+AU161))</f>
        <v/>
      </c>
      <c r="C161">
        <f>H160</f>
        <v/>
      </c>
      <c r="D161">
        <f>C161*Plan!D6/100/12</f>
        <v/>
      </c>
      <c r="E161">
        <f>MIN(Plan!E6,C161+D161)</f>
        <v/>
      </c>
      <c r="F161">
        <f>C161+D161-E161</f>
        <v/>
      </c>
      <c r="G161">
        <f>MIN(F161,MAX(0,$B161-((K$5&lt;E$5)*L161+(Q$5&lt;E$5)*R161+(W$5&lt;E$5)*X161+(AC$5&lt;E$5)*AD161+(AI$5&lt;E$5)*AJ161+(AO$5&lt;E$5)*AP161+(AU$5&lt;E$5)*AV161)))</f>
        <v/>
      </c>
      <c r="H161">
        <f>IF(F161-G161&lt;0.005,0,F161-G161)</f>
        <v/>
      </c>
      <c r="I161">
        <f>N160</f>
        <v/>
      </c>
      <c r="J161">
        <f>I161*Plan!D7/100/12</f>
        <v/>
      </c>
      <c r="K161">
        <f>MIN(Plan!E7,I161+J161)</f>
        <v/>
      </c>
      <c r="L161">
        <f>I161+J161-K161</f>
        <v/>
      </c>
      <c r="M161">
        <f>MIN(L161,MAX(0,$B161-((E$5&lt;K$5)*F161+(Q$5&lt;K$5)*R161+(W$5&lt;K$5)*X161+(AC$5&lt;K$5)*AD161+(AI$5&lt;K$5)*AJ161+(AO$5&lt;K$5)*AP161+(AU$5&lt;K$5)*AV161)))</f>
        <v/>
      </c>
      <c r="N161">
        <f>IF(L161-M161&lt;0.005,0,L161-M161)</f>
        <v/>
      </c>
      <c r="O161">
        <f>T160</f>
        <v/>
      </c>
      <c r="P161">
        <f>O161*Plan!D8/100/12</f>
        <v/>
      </c>
      <c r="Q161">
        <f>MIN(Plan!E8,O161+P161)</f>
        <v/>
      </c>
      <c r="R161">
        <f>O161+P161-Q161</f>
        <v/>
      </c>
      <c r="S161">
        <f>MIN(R161,MAX(0,$B161-((E$5&lt;Q$5)*F161+(K$5&lt;Q$5)*L161+(W$5&lt;Q$5)*X161+(AC$5&lt;Q$5)*AD161+(AI$5&lt;Q$5)*AJ161+(AO$5&lt;Q$5)*AP161+(AU$5&lt;Q$5)*AV161)))</f>
        <v/>
      </c>
      <c r="T161">
        <f>IF(R161-S161&lt;0.005,0,R161-S161)</f>
        <v/>
      </c>
      <c r="U161">
        <f>Z160</f>
        <v/>
      </c>
      <c r="V161">
        <f>U161*Plan!D9/100/12</f>
        <v/>
      </c>
      <c r="W161">
        <f>MIN(Plan!E9,U161+V161)</f>
        <v/>
      </c>
      <c r="X161">
        <f>U161+V161-W161</f>
        <v/>
      </c>
      <c r="Y161">
        <f>MIN(X161,MAX(0,$B161-((E$5&lt;W$5)*F161+(K$5&lt;W$5)*L161+(Q$5&lt;W$5)*R161+(AC$5&lt;W$5)*AD161+(AI$5&lt;W$5)*AJ161+(AO$5&lt;W$5)*AP161+(AU$5&lt;W$5)*AV161)))</f>
        <v/>
      </c>
      <c r="Z161">
        <f>IF(X161-Y161&lt;0.005,0,X161-Y161)</f>
        <v/>
      </c>
      <c r="AA161">
        <f>AF160</f>
        <v/>
      </c>
      <c r="AB161">
        <f>AA161*Plan!D10/100/12</f>
        <v/>
      </c>
      <c r="AC161">
        <f>MIN(Plan!E10,AA161+AB161)</f>
        <v/>
      </c>
      <c r="AD161">
        <f>AA161+AB161-AC161</f>
        <v/>
      </c>
      <c r="AE161">
        <f>MIN(AD161,MAX(0,$B161-((E$5&lt;AC$5)*F161+(K$5&lt;AC$5)*L161+(Q$5&lt;AC$5)*R161+(W$5&lt;AC$5)*X161+(AI$5&lt;AC$5)*AJ161+(AO$5&lt;AC$5)*AP161+(AU$5&lt;AC$5)*AV161)))</f>
        <v/>
      </c>
      <c r="AF161">
        <f>IF(AD161-AE161&lt;0.005,0,AD161-AE161)</f>
        <v/>
      </c>
      <c r="AG161">
        <f>AL160</f>
        <v/>
      </c>
      <c r="AH161">
        <f>AG161*Plan!D11/100/12</f>
        <v/>
      </c>
      <c r="AI161">
        <f>MIN(Plan!E11,AG161+AH161)</f>
        <v/>
      </c>
      <c r="AJ161">
        <f>AG161+AH161-AI161</f>
        <v/>
      </c>
      <c r="AK161">
        <f>MIN(AJ161,MAX(0,$B161-((E$5&lt;AI$5)*F161+(K$5&lt;AI$5)*L161+(Q$5&lt;AI$5)*R161+(W$5&lt;AI$5)*X161+(AC$5&lt;AI$5)*AD161+(AO$5&lt;AI$5)*AP161+(AU$5&lt;AI$5)*AV161)))</f>
        <v/>
      </c>
      <c r="AL161">
        <f>IF(AJ161-AK161&lt;0.005,0,AJ161-AK161)</f>
        <v/>
      </c>
      <c r="AM161">
        <f>AR160</f>
        <v/>
      </c>
      <c r="AN161">
        <f>AM161*Plan!D12/100/12</f>
        <v/>
      </c>
      <c r="AO161">
        <f>MIN(Plan!E12,AM161+AN161)</f>
        <v/>
      </c>
      <c r="AP161">
        <f>AM161+AN161-AO161</f>
        <v/>
      </c>
      <c r="AQ161">
        <f>MIN(AP161,MAX(0,$B161-((E$5&lt;AO$5)*F161+(K$5&lt;AO$5)*L161+(Q$5&lt;AO$5)*R161+(W$5&lt;AO$5)*X161+(AC$5&lt;AO$5)*AD161+(AI$5&lt;AO$5)*AJ161+(AU$5&lt;AO$5)*AV161)))</f>
        <v/>
      </c>
      <c r="AR161">
        <f>IF(AP161-AQ161&lt;0.005,0,AP161-AQ161)</f>
        <v/>
      </c>
      <c r="AS161">
        <f>AX160</f>
        <v/>
      </c>
      <c r="AT161">
        <f>AS161*Plan!D13/100/12</f>
        <v/>
      </c>
      <c r="AU161">
        <f>MIN(Plan!E13,AS161+AT161)</f>
        <v/>
      </c>
      <c r="AV161">
        <f>AS161+AT161-AU161</f>
        <v/>
      </c>
      <c r="AW161">
        <f>MIN(AV161,MAX(0,$B161-((E$5&lt;AU$5)*F161+(K$5&lt;AU$5)*L161+(Q$5&lt;AU$5)*R161+(W$5&lt;AU$5)*X161+(AC$5&lt;AU$5)*AD161+(AI$5&lt;AU$5)*AJ161+(AO$5&lt;AU$5)*AP161)))</f>
        <v/>
      </c>
      <c r="AX161">
        <f>IF(AV161-AW161&lt;0.005,0,AV161-AW161)</f>
        <v/>
      </c>
      <c r="BC161">
        <f>H161+N161+T161+Z161+AF161+AL161+AR161+AX161</f>
        <v/>
      </c>
    </row>
    <row r="162">
      <c r="A162" t="n">
        <v>156</v>
      </c>
      <c r="B162" s="19">
        <f>MAX(0,$B$3-(E162+K162+Q162+W162+AC162+AI162+AO162+AU162))</f>
        <v/>
      </c>
      <c r="C162">
        <f>H161</f>
        <v/>
      </c>
      <c r="D162">
        <f>C162*Plan!D6/100/12</f>
        <v/>
      </c>
      <c r="E162">
        <f>MIN(Plan!E6,C162+D162)</f>
        <v/>
      </c>
      <c r="F162">
        <f>C162+D162-E162</f>
        <v/>
      </c>
      <c r="G162">
        <f>MIN(F162,MAX(0,$B162-((K$5&lt;E$5)*L162+(Q$5&lt;E$5)*R162+(W$5&lt;E$5)*X162+(AC$5&lt;E$5)*AD162+(AI$5&lt;E$5)*AJ162+(AO$5&lt;E$5)*AP162+(AU$5&lt;E$5)*AV162)))</f>
        <v/>
      </c>
      <c r="H162">
        <f>IF(F162-G162&lt;0.005,0,F162-G162)</f>
        <v/>
      </c>
      <c r="I162">
        <f>N161</f>
        <v/>
      </c>
      <c r="J162">
        <f>I162*Plan!D7/100/12</f>
        <v/>
      </c>
      <c r="K162">
        <f>MIN(Plan!E7,I162+J162)</f>
        <v/>
      </c>
      <c r="L162">
        <f>I162+J162-K162</f>
        <v/>
      </c>
      <c r="M162">
        <f>MIN(L162,MAX(0,$B162-((E$5&lt;K$5)*F162+(Q$5&lt;K$5)*R162+(W$5&lt;K$5)*X162+(AC$5&lt;K$5)*AD162+(AI$5&lt;K$5)*AJ162+(AO$5&lt;K$5)*AP162+(AU$5&lt;K$5)*AV162)))</f>
        <v/>
      </c>
      <c r="N162">
        <f>IF(L162-M162&lt;0.005,0,L162-M162)</f>
        <v/>
      </c>
      <c r="O162">
        <f>T161</f>
        <v/>
      </c>
      <c r="P162">
        <f>O162*Plan!D8/100/12</f>
        <v/>
      </c>
      <c r="Q162">
        <f>MIN(Plan!E8,O162+P162)</f>
        <v/>
      </c>
      <c r="R162">
        <f>O162+P162-Q162</f>
        <v/>
      </c>
      <c r="S162">
        <f>MIN(R162,MAX(0,$B162-((E$5&lt;Q$5)*F162+(K$5&lt;Q$5)*L162+(W$5&lt;Q$5)*X162+(AC$5&lt;Q$5)*AD162+(AI$5&lt;Q$5)*AJ162+(AO$5&lt;Q$5)*AP162+(AU$5&lt;Q$5)*AV162)))</f>
        <v/>
      </c>
      <c r="T162">
        <f>IF(R162-S162&lt;0.005,0,R162-S162)</f>
        <v/>
      </c>
      <c r="U162">
        <f>Z161</f>
        <v/>
      </c>
      <c r="V162">
        <f>U162*Plan!D9/100/12</f>
        <v/>
      </c>
      <c r="W162">
        <f>MIN(Plan!E9,U162+V162)</f>
        <v/>
      </c>
      <c r="X162">
        <f>U162+V162-W162</f>
        <v/>
      </c>
      <c r="Y162">
        <f>MIN(X162,MAX(0,$B162-((E$5&lt;W$5)*F162+(K$5&lt;W$5)*L162+(Q$5&lt;W$5)*R162+(AC$5&lt;W$5)*AD162+(AI$5&lt;W$5)*AJ162+(AO$5&lt;W$5)*AP162+(AU$5&lt;W$5)*AV162)))</f>
        <v/>
      </c>
      <c r="Z162">
        <f>IF(X162-Y162&lt;0.005,0,X162-Y162)</f>
        <v/>
      </c>
      <c r="AA162">
        <f>AF161</f>
        <v/>
      </c>
      <c r="AB162">
        <f>AA162*Plan!D10/100/12</f>
        <v/>
      </c>
      <c r="AC162">
        <f>MIN(Plan!E10,AA162+AB162)</f>
        <v/>
      </c>
      <c r="AD162">
        <f>AA162+AB162-AC162</f>
        <v/>
      </c>
      <c r="AE162">
        <f>MIN(AD162,MAX(0,$B162-((E$5&lt;AC$5)*F162+(K$5&lt;AC$5)*L162+(Q$5&lt;AC$5)*R162+(W$5&lt;AC$5)*X162+(AI$5&lt;AC$5)*AJ162+(AO$5&lt;AC$5)*AP162+(AU$5&lt;AC$5)*AV162)))</f>
        <v/>
      </c>
      <c r="AF162">
        <f>IF(AD162-AE162&lt;0.005,0,AD162-AE162)</f>
        <v/>
      </c>
      <c r="AG162">
        <f>AL161</f>
        <v/>
      </c>
      <c r="AH162">
        <f>AG162*Plan!D11/100/12</f>
        <v/>
      </c>
      <c r="AI162">
        <f>MIN(Plan!E11,AG162+AH162)</f>
        <v/>
      </c>
      <c r="AJ162">
        <f>AG162+AH162-AI162</f>
        <v/>
      </c>
      <c r="AK162">
        <f>MIN(AJ162,MAX(0,$B162-((E$5&lt;AI$5)*F162+(K$5&lt;AI$5)*L162+(Q$5&lt;AI$5)*R162+(W$5&lt;AI$5)*X162+(AC$5&lt;AI$5)*AD162+(AO$5&lt;AI$5)*AP162+(AU$5&lt;AI$5)*AV162)))</f>
        <v/>
      </c>
      <c r="AL162">
        <f>IF(AJ162-AK162&lt;0.005,0,AJ162-AK162)</f>
        <v/>
      </c>
      <c r="AM162">
        <f>AR161</f>
        <v/>
      </c>
      <c r="AN162">
        <f>AM162*Plan!D12/100/12</f>
        <v/>
      </c>
      <c r="AO162">
        <f>MIN(Plan!E12,AM162+AN162)</f>
        <v/>
      </c>
      <c r="AP162">
        <f>AM162+AN162-AO162</f>
        <v/>
      </c>
      <c r="AQ162">
        <f>MIN(AP162,MAX(0,$B162-((E$5&lt;AO$5)*F162+(K$5&lt;AO$5)*L162+(Q$5&lt;AO$5)*R162+(W$5&lt;AO$5)*X162+(AC$5&lt;AO$5)*AD162+(AI$5&lt;AO$5)*AJ162+(AU$5&lt;AO$5)*AV162)))</f>
        <v/>
      </c>
      <c r="AR162">
        <f>IF(AP162-AQ162&lt;0.005,0,AP162-AQ162)</f>
        <v/>
      </c>
      <c r="AS162">
        <f>AX161</f>
        <v/>
      </c>
      <c r="AT162">
        <f>AS162*Plan!D13/100/12</f>
        <v/>
      </c>
      <c r="AU162">
        <f>MIN(Plan!E13,AS162+AT162)</f>
        <v/>
      </c>
      <c r="AV162">
        <f>AS162+AT162-AU162</f>
        <v/>
      </c>
      <c r="AW162">
        <f>MIN(AV162,MAX(0,$B162-((E$5&lt;AU$5)*F162+(K$5&lt;AU$5)*L162+(Q$5&lt;AU$5)*R162+(W$5&lt;AU$5)*X162+(AC$5&lt;AU$5)*AD162+(AI$5&lt;AU$5)*AJ162+(AO$5&lt;AU$5)*AP162)))</f>
        <v/>
      </c>
      <c r="AX162">
        <f>IF(AV162-AW162&lt;0.005,0,AV162-AW162)</f>
        <v/>
      </c>
      <c r="BC162">
        <f>H162+N162+T162+Z162+AF162+AL162+AR162+AX162</f>
        <v/>
      </c>
    </row>
    <row r="163">
      <c r="A163" t="n">
        <v>157</v>
      </c>
      <c r="B163" s="19">
        <f>MAX(0,$B$3-(E163+K163+Q163+W163+AC163+AI163+AO163+AU163))</f>
        <v/>
      </c>
      <c r="C163">
        <f>H162</f>
        <v/>
      </c>
      <c r="D163">
        <f>C163*Plan!D6/100/12</f>
        <v/>
      </c>
      <c r="E163">
        <f>MIN(Plan!E6,C163+D163)</f>
        <v/>
      </c>
      <c r="F163">
        <f>C163+D163-E163</f>
        <v/>
      </c>
      <c r="G163">
        <f>MIN(F163,MAX(0,$B163-((K$5&lt;E$5)*L163+(Q$5&lt;E$5)*R163+(W$5&lt;E$5)*X163+(AC$5&lt;E$5)*AD163+(AI$5&lt;E$5)*AJ163+(AO$5&lt;E$5)*AP163+(AU$5&lt;E$5)*AV163)))</f>
        <v/>
      </c>
      <c r="H163">
        <f>IF(F163-G163&lt;0.005,0,F163-G163)</f>
        <v/>
      </c>
      <c r="I163">
        <f>N162</f>
        <v/>
      </c>
      <c r="J163">
        <f>I163*Plan!D7/100/12</f>
        <v/>
      </c>
      <c r="K163">
        <f>MIN(Plan!E7,I163+J163)</f>
        <v/>
      </c>
      <c r="L163">
        <f>I163+J163-K163</f>
        <v/>
      </c>
      <c r="M163">
        <f>MIN(L163,MAX(0,$B163-((E$5&lt;K$5)*F163+(Q$5&lt;K$5)*R163+(W$5&lt;K$5)*X163+(AC$5&lt;K$5)*AD163+(AI$5&lt;K$5)*AJ163+(AO$5&lt;K$5)*AP163+(AU$5&lt;K$5)*AV163)))</f>
        <v/>
      </c>
      <c r="N163">
        <f>IF(L163-M163&lt;0.005,0,L163-M163)</f>
        <v/>
      </c>
      <c r="O163">
        <f>T162</f>
        <v/>
      </c>
      <c r="P163">
        <f>O163*Plan!D8/100/12</f>
        <v/>
      </c>
      <c r="Q163">
        <f>MIN(Plan!E8,O163+P163)</f>
        <v/>
      </c>
      <c r="R163">
        <f>O163+P163-Q163</f>
        <v/>
      </c>
      <c r="S163">
        <f>MIN(R163,MAX(0,$B163-((E$5&lt;Q$5)*F163+(K$5&lt;Q$5)*L163+(W$5&lt;Q$5)*X163+(AC$5&lt;Q$5)*AD163+(AI$5&lt;Q$5)*AJ163+(AO$5&lt;Q$5)*AP163+(AU$5&lt;Q$5)*AV163)))</f>
        <v/>
      </c>
      <c r="T163">
        <f>IF(R163-S163&lt;0.005,0,R163-S163)</f>
        <v/>
      </c>
      <c r="U163">
        <f>Z162</f>
        <v/>
      </c>
      <c r="V163">
        <f>U163*Plan!D9/100/12</f>
        <v/>
      </c>
      <c r="W163">
        <f>MIN(Plan!E9,U163+V163)</f>
        <v/>
      </c>
      <c r="X163">
        <f>U163+V163-W163</f>
        <v/>
      </c>
      <c r="Y163">
        <f>MIN(X163,MAX(0,$B163-((E$5&lt;W$5)*F163+(K$5&lt;W$5)*L163+(Q$5&lt;W$5)*R163+(AC$5&lt;W$5)*AD163+(AI$5&lt;W$5)*AJ163+(AO$5&lt;W$5)*AP163+(AU$5&lt;W$5)*AV163)))</f>
        <v/>
      </c>
      <c r="Z163">
        <f>IF(X163-Y163&lt;0.005,0,X163-Y163)</f>
        <v/>
      </c>
      <c r="AA163">
        <f>AF162</f>
        <v/>
      </c>
      <c r="AB163">
        <f>AA163*Plan!D10/100/12</f>
        <v/>
      </c>
      <c r="AC163">
        <f>MIN(Plan!E10,AA163+AB163)</f>
        <v/>
      </c>
      <c r="AD163">
        <f>AA163+AB163-AC163</f>
        <v/>
      </c>
      <c r="AE163">
        <f>MIN(AD163,MAX(0,$B163-((E$5&lt;AC$5)*F163+(K$5&lt;AC$5)*L163+(Q$5&lt;AC$5)*R163+(W$5&lt;AC$5)*X163+(AI$5&lt;AC$5)*AJ163+(AO$5&lt;AC$5)*AP163+(AU$5&lt;AC$5)*AV163)))</f>
        <v/>
      </c>
      <c r="AF163">
        <f>IF(AD163-AE163&lt;0.005,0,AD163-AE163)</f>
        <v/>
      </c>
      <c r="AG163">
        <f>AL162</f>
        <v/>
      </c>
      <c r="AH163">
        <f>AG163*Plan!D11/100/12</f>
        <v/>
      </c>
      <c r="AI163">
        <f>MIN(Plan!E11,AG163+AH163)</f>
        <v/>
      </c>
      <c r="AJ163">
        <f>AG163+AH163-AI163</f>
        <v/>
      </c>
      <c r="AK163">
        <f>MIN(AJ163,MAX(0,$B163-((E$5&lt;AI$5)*F163+(K$5&lt;AI$5)*L163+(Q$5&lt;AI$5)*R163+(W$5&lt;AI$5)*X163+(AC$5&lt;AI$5)*AD163+(AO$5&lt;AI$5)*AP163+(AU$5&lt;AI$5)*AV163)))</f>
        <v/>
      </c>
      <c r="AL163">
        <f>IF(AJ163-AK163&lt;0.005,0,AJ163-AK163)</f>
        <v/>
      </c>
      <c r="AM163">
        <f>AR162</f>
        <v/>
      </c>
      <c r="AN163">
        <f>AM163*Plan!D12/100/12</f>
        <v/>
      </c>
      <c r="AO163">
        <f>MIN(Plan!E12,AM163+AN163)</f>
        <v/>
      </c>
      <c r="AP163">
        <f>AM163+AN163-AO163</f>
        <v/>
      </c>
      <c r="AQ163">
        <f>MIN(AP163,MAX(0,$B163-((E$5&lt;AO$5)*F163+(K$5&lt;AO$5)*L163+(Q$5&lt;AO$5)*R163+(W$5&lt;AO$5)*X163+(AC$5&lt;AO$5)*AD163+(AI$5&lt;AO$5)*AJ163+(AU$5&lt;AO$5)*AV163)))</f>
        <v/>
      </c>
      <c r="AR163">
        <f>IF(AP163-AQ163&lt;0.005,0,AP163-AQ163)</f>
        <v/>
      </c>
      <c r="AS163">
        <f>AX162</f>
        <v/>
      </c>
      <c r="AT163">
        <f>AS163*Plan!D13/100/12</f>
        <v/>
      </c>
      <c r="AU163">
        <f>MIN(Plan!E13,AS163+AT163)</f>
        <v/>
      </c>
      <c r="AV163">
        <f>AS163+AT163-AU163</f>
        <v/>
      </c>
      <c r="AW163">
        <f>MIN(AV163,MAX(0,$B163-((E$5&lt;AU$5)*F163+(K$5&lt;AU$5)*L163+(Q$5&lt;AU$5)*R163+(W$5&lt;AU$5)*X163+(AC$5&lt;AU$5)*AD163+(AI$5&lt;AU$5)*AJ163+(AO$5&lt;AU$5)*AP163)))</f>
        <v/>
      </c>
      <c r="AX163">
        <f>IF(AV163-AW163&lt;0.005,0,AV163-AW163)</f>
        <v/>
      </c>
      <c r="BC163">
        <f>H163+N163+T163+Z163+AF163+AL163+AR163+AX163</f>
        <v/>
      </c>
    </row>
    <row r="164">
      <c r="A164" t="n">
        <v>158</v>
      </c>
      <c r="B164" s="19">
        <f>MAX(0,$B$3-(E164+K164+Q164+W164+AC164+AI164+AO164+AU164))</f>
        <v/>
      </c>
      <c r="C164">
        <f>H163</f>
        <v/>
      </c>
      <c r="D164">
        <f>C164*Plan!D6/100/12</f>
        <v/>
      </c>
      <c r="E164">
        <f>MIN(Plan!E6,C164+D164)</f>
        <v/>
      </c>
      <c r="F164">
        <f>C164+D164-E164</f>
        <v/>
      </c>
      <c r="G164">
        <f>MIN(F164,MAX(0,$B164-((K$5&lt;E$5)*L164+(Q$5&lt;E$5)*R164+(W$5&lt;E$5)*X164+(AC$5&lt;E$5)*AD164+(AI$5&lt;E$5)*AJ164+(AO$5&lt;E$5)*AP164+(AU$5&lt;E$5)*AV164)))</f>
        <v/>
      </c>
      <c r="H164">
        <f>IF(F164-G164&lt;0.005,0,F164-G164)</f>
        <v/>
      </c>
      <c r="I164">
        <f>N163</f>
        <v/>
      </c>
      <c r="J164">
        <f>I164*Plan!D7/100/12</f>
        <v/>
      </c>
      <c r="K164">
        <f>MIN(Plan!E7,I164+J164)</f>
        <v/>
      </c>
      <c r="L164">
        <f>I164+J164-K164</f>
        <v/>
      </c>
      <c r="M164">
        <f>MIN(L164,MAX(0,$B164-((E$5&lt;K$5)*F164+(Q$5&lt;K$5)*R164+(W$5&lt;K$5)*X164+(AC$5&lt;K$5)*AD164+(AI$5&lt;K$5)*AJ164+(AO$5&lt;K$5)*AP164+(AU$5&lt;K$5)*AV164)))</f>
        <v/>
      </c>
      <c r="N164">
        <f>IF(L164-M164&lt;0.005,0,L164-M164)</f>
        <v/>
      </c>
      <c r="O164">
        <f>T163</f>
        <v/>
      </c>
      <c r="P164">
        <f>O164*Plan!D8/100/12</f>
        <v/>
      </c>
      <c r="Q164">
        <f>MIN(Plan!E8,O164+P164)</f>
        <v/>
      </c>
      <c r="R164">
        <f>O164+P164-Q164</f>
        <v/>
      </c>
      <c r="S164">
        <f>MIN(R164,MAX(0,$B164-((E$5&lt;Q$5)*F164+(K$5&lt;Q$5)*L164+(W$5&lt;Q$5)*X164+(AC$5&lt;Q$5)*AD164+(AI$5&lt;Q$5)*AJ164+(AO$5&lt;Q$5)*AP164+(AU$5&lt;Q$5)*AV164)))</f>
        <v/>
      </c>
      <c r="T164">
        <f>IF(R164-S164&lt;0.005,0,R164-S164)</f>
        <v/>
      </c>
      <c r="U164">
        <f>Z163</f>
        <v/>
      </c>
      <c r="V164">
        <f>U164*Plan!D9/100/12</f>
        <v/>
      </c>
      <c r="W164">
        <f>MIN(Plan!E9,U164+V164)</f>
        <v/>
      </c>
      <c r="X164">
        <f>U164+V164-W164</f>
        <v/>
      </c>
      <c r="Y164">
        <f>MIN(X164,MAX(0,$B164-((E$5&lt;W$5)*F164+(K$5&lt;W$5)*L164+(Q$5&lt;W$5)*R164+(AC$5&lt;W$5)*AD164+(AI$5&lt;W$5)*AJ164+(AO$5&lt;W$5)*AP164+(AU$5&lt;W$5)*AV164)))</f>
        <v/>
      </c>
      <c r="Z164">
        <f>IF(X164-Y164&lt;0.005,0,X164-Y164)</f>
        <v/>
      </c>
      <c r="AA164">
        <f>AF163</f>
        <v/>
      </c>
      <c r="AB164">
        <f>AA164*Plan!D10/100/12</f>
        <v/>
      </c>
      <c r="AC164">
        <f>MIN(Plan!E10,AA164+AB164)</f>
        <v/>
      </c>
      <c r="AD164">
        <f>AA164+AB164-AC164</f>
        <v/>
      </c>
      <c r="AE164">
        <f>MIN(AD164,MAX(0,$B164-((E$5&lt;AC$5)*F164+(K$5&lt;AC$5)*L164+(Q$5&lt;AC$5)*R164+(W$5&lt;AC$5)*X164+(AI$5&lt;AC$5)*AJ164+(AO$5&lt;AC$5)*AP164+(AU$5&lt;AC$5)*AV164)))</f>
        <v/>
      </c>
      <c r="AF164">
        <f>IF(AD164-AE164&lt;0.005,0,AD164-AE164)</f>
        <v/>
      </c>
      <c r="AG164">
        <f>AL163</f>
        <v/>
      </c>
      <c r="AH164">
        <f>AG164*Plan!D11/100/12</f>
        <v/>
      </c>
      <c r="AI164">
        <f>MIN(Plan!E11,AG164+AH164)</f>
        <v/>
      </c>
      <c r="AJ164">
        <f>AG164+AH164-AI164</f>
        <v/>
      </c>
      <c r="AK164">
        <f>MIN(AJ164,MAX(0,$B164-((E$5&lt;AI$5)*F164+(K$5&lt;AI$5)*L164+(Q$5&lt;AI$5)*R164+(W$5&lt;AI$5)*X164+(AC$5&lt;AI$5)*AD164+(AO$5&lt;AI$5)*AP164+(AU$5&lt;AI$5)*AV164)))</f>
        <v/>
      </c>
      <c r="AL164">
        <f>IF(AJ164-AK164&lt;0.005,0,AJ164-AK164)</f>
        <v/>
      </c>
      <c r="AM164">
        <f>AR163</f>
        <v/>
      </c>
      <c r="AN164">
        <f>AM164*Plan!D12/100/12</f>
        <v/>
      </c>
      <c r="AO164">
        <f>MIN(Plan!E12,AM164+AN164)</f>
        <v/>
      </c>
      <c r="AP164">
        <f>AM164+AN164-AO164</f>
        <v/>
      </c>
      <c r="AQ164">
        <f>MIN(AP164,MAX(0,$B164-((E$5&lt;AO$5)*F164+(K$5&lt;AO$5)*L164+(Q$5&lt;AO$5)*R164+(W$5&lt;AO$5)*X164+(AC$5&lt;AO$5)*AD164+(AI$5&lt;AO$5)*AJ164+(AU$5&lt;AO$5)*AV164)))</f>
        <v/>
      </c>
      <c r="AR164">
        <f>IF(AP164-AQ164&lt;0.005,0,AP164-AQ164)</f>
        <v/>
      </c>
      <c r="AS164">
        <f>AX163</f>
        <v/>
      </c>
      <c r="AT164">
        <f>AS164*Plan!D13/100/12</f>
        <v/>
      </c>
      <c r="AU164">
        <f>MIN(Plan!E13,AS164+AT164)</f>
        <v/>
      </c>
      <c r="AV164">
        <f>AS164+AT164-AU164</f>
        <v/>
      </c>
      <c r="AW164">
        <f>MIN(AV164,MAX(0,$B164-((E$5&lt;AU$5)*F164+(K$5&lt;AU$5)*L164+(Q$5&lt;AU$5)*R164+(W$5&lt;AU$5)*X164+(AC$5&lt;AU$5)*AD164+(AI$5&lt;AU$5)*AJ164+(AO$5&lt;AU$5)*AP164)))</f>
        <v/>
      </c>
      <c r="AX164">
        <f>IF(AV164-AW164&lt;0.005,0,AV164-AW164)</f>
        <v/>
      </c>
      <c r="BC164">
        <f>H164+N164+T164+Z164+AF164+AL164+AR164+AX164</f>
        <v/>
      </c>
    </row>
    <row r="165">
      <c r="A165" t="n">
        <v>159</v>
      </c>
      <c r="B165" s="19">
        <f>MAX(0,$B$3-(E165+K165+Q165+W165+AC165+AI165+AO165+AU165))</f>
        <v/>
      </c>
      <c r="C165">
        <f>H164</f>
        <v/>
      </c>
      <c r="D165">
        <f>C165*Plan!D6/100/12</f>
        <v/>
      </c>
      <c r="E165">
        <f>MIN(Plan!E6,C165+D165)</f>
        <v/>
      </c>
      <c r="F165">
        <f>C165+D165-E165</f>
        <v/>
      </c>
      <c r="G165">
        <f>MIN(F165,MAX(0,$B165-((K$5&lt;E$5)*L165+(Q$5&lt;E$5)*R165+(W$5&lt;E$5)*X165+(AC$5&lt;E$5)*AD165+(AI$5&lt;E$5)*AJ165+(AO$5&lt;E$5)*AP165+(AU$5&lt;E$5)*AV165)))</f>
        <v/>
      </c>
      <c r="H165">
        <f>IF(F165-G165&lt;0.005,0,F165-G165)</f>
        <v/>
      </c>
      <c r="I165">
        <f>N164</f>
        <v/>
      </c>
      <c r="J165">
        <f>I165*Plan!D7/100/12</f>
        <v/>
      </c>
      <c r="K165">
        <f>MIN(Plan!E7,I165+J165)</f>
        <v/>
      </c>
      <c r="L165">
        <f>I165+J165-K165</f>
        <v/>
      </c>
      <c r="M165">
        <f>MIN(L165,MAX(0,$B165-((E$5&lt;K$5)*F165+(Q$5&lt;K$5)*R165+(W$5&lt;K$5)*X165+(AC$5&lt;K$5)*AD165+(AI$5&lt;K$5)*AJ165+(AO$5&lt;K$5)*AP165+(AU$5&lt;K$5)*AV165)))</f>
        <v/>
      </c>
      <c r="N165">
        <f>IF(L165-M165&lt;0.005,0,L165-M165)</f>
        <v/>
      </c>
      <c r="O165">
        <f>T164</f>
        <v/>
      </c>
      <c r="P165">
        <f>O165*Plan!D8/100/12</f>
        <v/>
      </c>
      <c r="Q165">
        <f>MIN(Plan!E8,O165+P165)</f>
        <v/>
      </c>
      <c r="R165">
        <f>O165+P165-Q165</f>
        <v/>
      </c>
      <c r="S165">
        <f>MIN(R165,MAX(0,$B165-((E$5&lt;Q$5)*F165+(K$5&lt;Q$5)*L165+(W$5&lt;Q$5)*X165+(AC$5&lt;Q$5)*AD165+(AI$5&lt;Q$5)*AJ165+(AO$5&lt;Q$5)*AP165+(AU$5&lt;Q$5)*AV165)))</f>
        <v/>
      </c>
      <c r="T165">
        <f>IF(R165-S165&lt;0.005,0,R165-S165)</f>
        <v/>
      </c>
      <c r="U165">
        <f>Z164</f>
        <v/>
      </c>
      <c r="V165">
        <f>U165*Plan!D9/100/12</f>
        <v/>
      </c>
      <c r="W165">
        <f>MIN(Plan!E9,U165+V165)</f>
        <v/>
      </c>
      <c r="X165">
        <f>U165+V165-W165</f>
        <v/>
      </c>
      <c r="Y165">
        <f>MIN(X165,MAX(0,$B165-((E$5&lt;W$5)*F165+(K$5&lt;W$5)*L165+(Q$5&lt;W$5)*R165+(AC$5&lt;W$5)*AD165+(AI$5&lt;W$5)*AJ165+(AO$5&lt;W$5)*AP165+(AU$5&lt;W$5)*AV165)))</f>
        <v/>
      </c>
      <c r="Z165">
        <f>IF(X165-Y165&lt;0.005,0,X165-Y165)</f>
        <v/>
      </c>
      <c r="AA165">
        <f>AF164</f>
        <v/>
      </c>
      <c r="AB165">
        <f>AA165*Plan!D10/100/12</f>
        <v/>
      </c>
      <c r="AC165">
        <f>MIN(Plan!E10,AA165+AB165)</f>
        <v/>
      </c>
      <c r="AD165">
        <f>AA165+AB165-AC165</f>
        <v/>
      </c>
      <c r="AE165">
        <f>MIN(AD165,MAX(0,$B165-((E$5&lt;AC$5)*F165+(K$5&lt;AC$5)*L165+(Q$5&lt;AC$5)*R165+(W$5&lt;AC$5)*X165+(AI$5&lt;AC$5)*AJ165+(AO$5&lt;AC$5)*AP165+(AU$5&lt;AC$5)*AV165)))</f>
        <v/>
      </c>
      <c r="AF165">
        <f>IF(AD165-AE165&lt;0.005,0,AD165-AE165)</f>
        <v/>
      </c>
      <c r="AG165">
        <f>AL164</f>
        <v/>
      </c>
      <c r="AH165">
        <f>AG165*Plan!D11/100/12</f>
        <v/>
      </c>
      <c r="AI165">
        <f>MIN(Plan!E11,AG165+AH165)</f>
        <v/>
      </c>
      <c r="AJ165">
        <f>AG165+AH165-AI165</f>
        <v/>
      </c>
      <c r="AK165">
        <f>MIN(AJ165,MAX(0,$B165-((E$5&lt;AI$5)*F165+(K$5&lt;AI$5)*L165+(Q$5&lt;AI$5)*R165+(W$5&lt;AI$5)*X165+(AC$5&lt;AI$5)*AD165+(AO$5&lt;AI$5)*AP165+(AU$5&lt;AI$5)*AV165)))</f>
        <v/>
      </c>
      <c r="AL165">
        <f>IF(AJ165-AK165&lt;0.005,0,AJ165-AK165)</f>
        <v/>
      </c>
      <c r="AM165">
        <f>AR164</f>
        <v/>
      </c>
      <c r="AN165">
        <f>AM165*Plan!D12/100/12</f>
        <v/>
      </c>
      <c r="AO165">
        <f>MIN(Plan!E12,AM165+AN165)</f>
        <v/>
      </c>
      <c r="AP165">
        <f>AM165+AN165-AO165</f>
        <v/>
      </c>
      <c r="AQ165">
        <f>MIN(AP165,MAX(0,$B165-((E$5&lt;AO$5)*F165+(K$5&lt;AO$5)*L165+(Q$5&lt;AO$5)*R165+(W$5&lt;AO$5)*X165+(AC$5&lt;AO$5)*AD165+(AI$5&lt;AO$5)*AJ165+(AU$5&lt;AO$5)*AV165)))</f>
        <v/>
      </c>
      <c r="AR165">
        <f>IF(AP165-AQ165&lt;0.005,0,AP165-AQ165)</f>
        <v/>
      </c>
      <c r="AS165">
        <f>AX164</f>
        <v/>
      </c>
      <c r="AT165">
        <f>AS165*Plan!D13/100/12</f>
        <v/>
      </c>
      <c r="AU165">
        <f>MIN(Plan!E13,AS165+AT165)</f>
        <v/>
      </c>
      <c r="AV165">
        <f>AS165+AT165-AU165</f>
        <v/>
      </c>
      <c r="AW165">
        <f>MIN(AV165,MAX(0,$B165-((E$5&lt;AU$5)*F165+(K$5&lt;AU$5)*L165+(Q$5&lt;AU$5)*R165+(W$5&lt;AU$5)*X165+(AC$5&lt;AU$5)*AD165+(AI$5&lt;AU$5)*AJ165+(AO$5&lt;AU$5)*AP165)))</f>
        <v/>
      </c>
      <c r="AX165">
        <f>IF(AV165-AW165&lt;0.005,0,AV165-AW165)</f>
        <v/>
      </c>
      <c r="BC165">
        <f>H165+N165+T165+Z165+AF165+AL165+AR165+AX165</f>
        <v/>
      </c>
    </row>
    <row r="166">
      <c r="A166" t="n">
        <v>160</v>
      </c>
      <c r="B166" s="19">
        <f>MAX(0,$B$3-(E166+K166+Q166+W166+AC166+AI166+AO166+AU166))</f>
        <v/>
      </c>
      <c r="C166">
        <f>H165</f>
        <v/>
      </c>
      <c r="D166">
        <f>C166*Plan!D6/100/12</f>
        <v/>
      </c>
      <c r="E166">
        <f>MIN(Plan!E6,C166+D166)</f>
        <v/>
      </c>
      <c r="F166">
        <f>C166+D166-E166</f>
        <v/>
      </c>
      <c r="G166">
        <f>MIN(F166,MAX(0,$B166-((K$5&lt;E$5)*L166+(Q$5&lt;E$5)*R166+(W$5&lt;E$5)*X166+(AC$5&lt;E$5)*AD166+(AI$5&lt;E$5)*AJ166+(AO$5&lt;E$5)*AP166+(AU$5&lt;E$5)*AV166)))</f>
        <v/>
      </c>
      <c r="H166">
        <f>IF(F166-G166&lt;0.005,0,F166-G166)</f>
        <v/>
      </c>
      <c r="I166">
        <f>N165</f>
        <v/>
      </c>
      <c r="J166">
        <f>I166*Plan!D7/100/12</f>
        <v/>
      </c>
      <c r="K166">
        <f>MIN(Plan!E7,I166+J166)</f>
        <v/>
      </c>
      <c r="L166">
        <f>I166+J166-K166</f>
        <v/>
      </c>
      <c r="M166">
        <f>MIN(L166,MAX(0,$B166-((E$5&lt;K$5)*F166+(Q$5&lt;K$5)*R166+(W$5&lt;K$5)*X166+(AC$5&lt;K$5)*AD166+(AI$5&lt;K$5)*AJ166+(AO$5&lt;K$5)*AP166+(AU$5&lt;K$5)*AV166)))</f>
        <v/>
      </c>
      <c r="N166">
        <f>IF(L166-M166&lt;0.005,0,L166-M166)</f>
        <v/>
      </c>
      <c r="O166">
        <f>T165</f>
        <v/>
      </c>
      <c r="P166">
        <f>O166*Plan!D8/100/12</f>
        <v/>
      </c>
      <c r="Q166">
        <f>MIN(Plan!E8,O166+P166)</f>
        <v/>
      </c>
      <c r="R166">
        <f>O166+P166-Q166</f>
        <v/>
      </c>
      <c r="S166">
        <f>MIN(R166,MAX(0,$B166-((E$5&lt;Q$5)*F166+(K$5&lt;Q$5)*L166+(W$5&lt;Q$5)*X166+(AC$5&lt;Q$5)*AD166+(AI$5&lt;Q$5)*AJ166+(AO$5&lt;Q$5)*AP166+(AU$5&lt;Q$5)*AV166)))</f>
        <v/>
      </c>
      <c r="T166">
        <f>IF(R166-S166&lt;0.005,0,R166-S166)</f>
        <v/>
      </c>
      <c r="U166">
        <f>Z165</f>
        <v/>
      </c>
      <c r="V166">
        <f>U166*Plan!D9/100/12</f>
        <v/>
      </c>
      <c r="W166">
        <f>MIN(Plan!E9,U166+V166)</f>
        <v/>
      </c>
      <c r="X166">
        <f>U166+V166-W166</f>
        <v/>
      </c>
      <c r="Y166">
        <f>MIN(X166,MAX(0,$B166-((E$5&lt;W$5)*F166+(K$5&lt;W$5)*L166+(Q$5&lt;W$5)*R166+(AC$5&lt;W$5)*AD166+(AI$5&lt;W$5)*AJ166+(AO$5&lt;W$5)*AP166+(AU$5&lt;W$5)*AV166)))</f>
        <v/>
      </c>
      <c r="Z166">
        <f>IF(X166-Y166&lt;0.005,0,X166-Y166)</f>
        <v/>
      </c>
      <c r="AA166">
        <f>AF165</f>
        <v/>
      </c>
      <c r="AB166">
        <f>AA166*Plan!D10/100/12</f>
        <v/>
      </c>
      <c r="AC166">
        <f>MIN(Plan!E10,AA166+AB166)</f>
        <v/>
      </c>
      <c r="AD166">
        <f>AA166+AB166-AC166</f>
        <v/>
      </c>
      <c r="AE166">
        <f>MIN(AD166,MAX(0,$B166-((E$5&lt;AC$5)*F166+(K$5&lt;AC$5)*L166+(Q$5&lt;AC$5)*R166+(W$5&lt;AC$5)*X166+(AI$5&lt;AC$5)*AJ166+(AO$5&lt;AC$5)*AP166+(AU$5&lt;AC$5)*AV166)))</f>
        <v/>
      </c>
      <c r="AF166">
        <f>IF(AD166-AE166&lt;0.005,0,AD166-AE166)</f>
        <v/>
      </c>
      <c r="AG166">
        <f>AL165</f>
        <v/>
      </c>
      <c r="AH166">
        <f>AG166*Plan!D11/100/12</f>
        <v/>
      </c>
      <c r="AI166">
        <f>MIN(Plan!E11,AG166+AH166)</f>
        <v/>
      </c>
      <c r="AJ166">
        <f>AG166+AH166-AI166</f>
        <v/>
      </c>
      <c r="AK166">
        <f>MIN(AJ166,MAX(0,$B166-((E$5&lt;AI$5)*F166+(K$5&lt;AI$5)*L166+(Q$5&lt;AI$5)*R166+(W$5&lt;AI$5)*X166+(AC$5&lt;AI$5)*AD166+(AO$5&lt;AI$5)*AP166+(AU$5&lt;AI$5)*AV166)))</f>
        <v/>
      </c>
      <c r="AL166">
        <f>IF(AJ166-AK166&lt;0.005,0,AJ166-AK166)</f>
        <v/>
      </c>
      <c r="AM166">
        <f>AR165</f>
        <v/>
      </c>
      <c r="AN166">
        <f>AM166*Plan!D12/100/12</f>
        <v/>
      </c>
      <c r="AO166">
        <f>MIN(Plan!E12,AM166+AN166)</f>
        <v/>
      </c>
      <c r="AP166">
        <f>AM166+AN166-AO166</f>
        <v/>
      </c>
      <c r="AQ166">
        <f>MIN(AP166,MAX(0,$B166-((E$5&lt;AO$5)*F166+(K$5&lt;AO$5)*L166+(Q$5&lt;AO$5)*R166+(W$5&lt;AO$5)*X166+(AC$5&lt;AO$5)*AD166+(AI$5&lt;AO$5)*AJ166+(AU$5&lt;AO$5)*AV166)))</f>
        <v/>
      </c>
      <c r="AR166">
        <f>IF(AP166-AQ166&lt;0.005,0,AP166-AQ166)</f>
        <v/>
      </c>
      <c r="AS166">
        <f>AX165</f>
        <v/>
      </c>
      <c r="AT166">
        <f>AS166*Plan!D13/100/12</f>
        <v/>
      </c>
      <c r="AU166">
        <f>MIN(Plan!E13,AS166+AT166)</f>
        <v/>
      </c>
      <c r="AV166">
        <f>AS166+AT166-AU166</f>
        <v/>
      </c>
      <c r="AW166">
        <f>MIN(AV166,MAX(0,$B166-((E$5&lt;AU$5)*F166+(K$5&lt;AU$5)*L166+(Q$5&lt;AU$5)*R166+(W$5&lt;AU$5)*X166+(AC$5&lt;AU$5)*AD166+(AI$5&lt;AU$5)*AJ166+(AO$5&lt;AU$5)*AP166)))</f>
        <v/>
      </c>
      <c r="AX166">
        <f>IF(AV166-AW166&lt;0.005,0,AV166-AW166)</f>
        <v/>
      </c>
      <c r="BC166">
        <f>H166+N166+T166+Z166+AF166+AL166+AR166+AX166</f>
        <v/>
      </c>
    </row>
    <row r="167">
      <c r="A167" t="n">
        <v>161</v>
      </c>
      <c r="B167" s="19">
        <f>MAX(0,$B$3-(E167+K167+Q167+W167+AC167+AI167+AO167+AU167))</f>
        <v/>
      </c>
      <c r="C167">
        <f>H166</f>
        <v/>
      </c>
      <c r="D167">
        <f>C167*Plan!D6/100/12</f>
        <v/>
      </c>
      <c r="E167">
        <f>MIN(Plan!E6,C167+D167)</f>
        <v/>
      </c>
      <c r="F167">
        <f>C167+D167-E167</f>
        <v/>
      </c>
      <c r="G167">
        <f>MIN(F167,MAX(0,$B167-((K$5&lt;E$5)*L167+(Q$5&lt;E$5)*R167+(W$5&lt;E$5)*X167+(AC$5&lt;E$5)*AD167+(AI$5&lt;E$5)*AJ167+(AO$5&lt;E$5)*AP167+(AU$5&lt;E$5)*AV167)))</f>
        <v/>
      </c>
      <c r="H167">
        <f>IF(F167-G167&lt;0.005,0,F167-G167)</f>
        <v/>
      </c>
      <c r="I167">
        <f>N166</f>
        <v/>
      </c>
      <c r="J167">
        <f>I167*Plan!D7/100/12</f>
        <v/>
      </c>
      <c r="K167">
        <f>MIN(Plan!E7,I167+J167)</f>
        <v/>
      </c>
      <c r="L167">
        <f>I167+J167-K167</f>
        <v/>
      </c>
      <c r="M167">
        <f>MIN(L167,MAX(0,$B167-((E$5&lt;K$5)*F167+(Q$5&lt;K$5)*R167+(W$5&lt;K$5)*X167+(AC$5&lt;K$5)*AD167+(AI$5&lt;K$5)*AJ167+(AO$5&lt;K$5)*AP167+(AU$5&lt;K$5)*AV167)))</f>
        <v/>
      </c>
      <c r="N167">
        <f>IF(L167-M167&lt;0.005,0,L167-M167)</f>
        <v/>
      </c>
      <c r="O167">
        <f>T166</f>
        <v/>
      </c>
      <c r="P167">
        <f>O167*Plan!D8/100/12</f>
        <v/>
      </c>
      <c r="Q167">
        <f>MIN(Plan!E8,O167+P167)</f>
        <v/>
      </c>
      <c r="R167">
        <f>O167+P167-Q167</f>
        <v/>
      </c>
      <c r="S167">
        <f>MIN(R167,MAX(0,$B167-((E$5&lt;Q$5)*F167+(K$5&lt;Q$5)*L167+(W$5&lt;Q$5)*X167+(AC$5&lt;Q$5)*AD167+(AI$5&lt;Q$5)*AJ167+(AO$5&lt;Q$5)*AP167+(AU$5&lt;Q$5)*AV167)))</f>
        <v/>
      </c>
      <c r="T167">
        <f>IF(R167-S167&lt;0.005,0,R167-S167)</f>
        <v/>
      </c>
      <c r="U167">
        <f>Z166</f>
        <v/>
      </c>
      <c r="V167">
        <f>U167*Plan!D9/100/12</f>
        <v/>
      </c>
      <c r="W167">
        <f>MIN(Plan!E9,U167+V167)</f>
        <v/>
      </c>
      <c r="X167">
        <f>U167+V167-W167</f>
        <v/>
      </c>
      <c r="Y167">
        <f>MIN(X167,MAX(0,$B167-((E$5&lt;W$5)*F167+(K$5&lt;W$5)*L167+(Q$5&lt;W$5)*R167+(AC$5&lt;W$5)*AD167+(AI$5&lt;W$5)*AJ167+(AO$5&lt;W$5)*AP167+(AU$5&lt;W$5)*AV167)))</f>
        <v/>
      </c>
      <c r="Z167">
        <f>IF(X167-Y167&lt;0.005,0,X167-Y167)</f>
        <v/>
      </c>
      <c r="AA167">
        <f>AF166</f>
        <v/>
      </c>
      <c r="AB167">
        <f>AA167*Plan!D10/100/12</f>
        <v/>
      </c>
      <c r="AC167">
        <f>MIN(Plan!E10,AA167+AB167)</f>
        <v/>
      </c>
      <c r="AD167">
        <f>AA167+AB167-AC167</f>
        <v/>
      </c>
      <c r="AE167">
        <f>MIN(AD167,MAX(0,$B167-((E$5&lt;AC$5)*F167+(K$5&lt;AC$5)*L167+(Q$5&lt;AC$5)*R167+(W$5&lt;AC$5)*X167+(AI$5&lt;AC$5)*AJ167+(AO$5&lt;AC$5)*AP167+(AU$5&lt;AC$5)*AV167)))</f>
        <v/>
      </c>
      <c r="AF167">
        <f>IF(AD167-AE167&lt;0.005,0,AD167-AE167)</f>
        <v/>
      </c>
      <c r="AG167">
        <f>AL166</f>
        <v/>
      </c>
      <c r="AH167">
        <f>AG167*Plan!D11/100/12</f>
        <v/>
      </c>
      <c r="AI167">
        <f>MIN(Plan!E11,AG167+AH167)</f>
        <v/>
      </c>
      <c r="AJ167">
        <f>AG167+AH167-AI167</f>
        <v/>
      </c>
      <c r="AK167">
        <f>MIN(AJ167,MAX(0,$B167-((E$5&lt;AI$5)*F167+(K$5&lt;AI$5)*L167+(Q$5&lt;AI$5)*R167+(W$5&lt;AI$5)*X167+(AC$5&lt;AI$5)*AD167+(AO$5&lt;AI$5)*AP167+(AU$5&lt;AI$5)*AV167)))</f>
        <v/>
      </c>
      <c r="AL167">
        <f>IF(AJ167-AK167&lt;0.005,0,AJ167-AK167)</f>
        <v/>
      </c>
      <c r="AM167">
        <f>AR166</f>
        <v/>
      </c>
      <c r="AN167">
        <f>AM167*Plan!D12/100/12</f>
        <v/>
      </c>
      <c r="AO167">
        <f>MIN(Plan!E12,AM167+AN167)</f>
        <v/>
      </c>
      <c r="AP167">
        <f>AM167+AN167-AO167</f>
        <v/>
      </c>
      <c r="AQ167">
        <f>MIN(AP167,MAX(0,$B167-((E$5&lt;AO$5)*F167+(K$5&lt;AO$5)*L167+(Q$5&lt;AO$5)*R167+(W$5&lt;AO$5)*X167+(AC$5&lt;AO$5)*AD167+(AI$5&lt;AO$5)*AJ167+(AU$5&lt;AO$5)*AV167)))</f>
        <v/>
      </c>
      <c r="AR167">
        <f>IF(AP167-AQ167&lt;0.005,0,AP167-AQ167)</f>
        <v/>
      </c>
      <c r="AS167">
        <f>AX166</f>
        <v/>
      </c>
      <c r="AT167">
        <f>AS167*Plan!D13/100/12</f>
        <v/>
      </c>
      <c r="AU167">
        <f>MIN(Plan!E13,AS167+AT167)</f>
        <v/>
      </c>
      <c r="AV167">
        <f>AS167+AT167-AU167</f>
        <v/>
      </c>
      <c r="AW167">
        <f>MIN(AV167,MAX(0,$B167-((E$5&lt;AU$5)*F167+(K$5&lt;AU$5)*L167+(Q$5&lt;AU$5)*R167+(W$5&lt;AU$5)*X167+(AC$5&lt;AU$5)*AD167+(AI$5&lt;AU$5)*AJ167+(AO$5&lt;AU$5)*AP167)))</f>
        <v/>
      </c>
      <c r="AX167">
        <f>IF(AV167-AW167&lt;0.005,0,AV167-AW167)</f>
        <v/>
      </c>
      <c r="BC167">
        <f>H167+N167+T167+Z167+AF167+AL167+AR167+AX167</f>
        <v/>
      </c>
    </row>
    <row r="168">
      <c r="A168" t="n">
        <v>162</v>
      </c>
      <c r="B168" s="19">
        <f>MAX(0,$B$3-(E168+K168+Q168+W168+AC168+AI168+AO168+AU168))</f>
        <v/>
      </c>
      <c r="C168">
        <f>H167</f>
        <v/>
      </c>
      <c r="D168">
        <f>C168*Plan!D6/100/12</f>
        <v/>
      </c>
      <c r="E168">
        <f>MIN(Plan!E6,C168+D168)</f>
        <v/>
      </c>
      <c r="F168">
        <f>C168+D168-E168</f>
        <v/>
      </c>
      <c r="G168">
        <f>MIN(F168,MAX(0,$B168-((K$5&lt;E$5)*L168+(Q$5&lt;E$5)*R168+(W$5&lt;E$5)*X168+(AC$5&lt;E$5)*AD168+(AI$5&lt;E$5)*AJ168+(AO$5&lt;E$5)*AP168+(AU$5&lt;E$5)*AV168)))</f>
        <v/>
      </c>
      <c r="H168">
        <f>IF(F168-G168&lt;0.005,0,F168-G168)</f>
        <v/>
      </c>
      <c r="I168">
        <f>N167</f>
        <v/>
      </c>
      <c r="J168">
        <f>I168*Plan!D7/100/12</f>
        <v/>
      </c>
      <c r="K168">
        <f>MIN(Plan!E7,I168+J168)</f>
        <v/>
      </c>
      <c r="L168">
        <f>I168+J168-K168</f>
        <v/>
      </c>
      <c r="M168">
        <f>MIN(L168,MAX(0,$B168-((E$5&lt;K$5)*F168+(Q$5&lt;K$5)*R168+(W$5&lt;K$5)*X168+(AC$5&lt;K$5)*AD168+(AI$5&lt;K$5)*AJ168+(AO$5&lt;K$5)*AP168+(AU$5&lt;K$5)*AV168)))</f>
        <v/>
      </c>
      <c r="N168">
        <f>IF(L168-M168&lt;0.005,0,L168-M168)</f>
        <v/>
      </c>
      <c r="O168">
        <f>T167</f>
        <v/>
      </c>
      <c r="P168">
        <f>O168*Plan!D8/100/12</f>
        <v/>
      </c>
      <c r="Q168">
        <f>MIN(Plan!E8,O168+P168)</f>
        <v/>
      </c>
      <c r="R168">
        <f>O168+P168-Q168</f>
        <v/>
      </c>
      <c r="S168">
        <f>MIN(R168,MAX(0,$B168-((E$5&lt;Q$5)*F168+(K$5&lt;Q$5)*L168+(W$5&lt;Q$5)*X168+(AC$5&lt;Q$5)*AD168+(AI$5&lt;Q$5)*AJ168+(AO$5&lt;Q$5)*AP168+(AU$5&lt;Q$5)*AV168)))</f>
        <v/>
      </c>
      <c r="T168">
        <f>IF(R168-S168&lt;0.005,0,R168-S168)</f>
        <v/>
      </c>
      <c r="U168">
        <f>Z167</f>
        <v/>
      </c>
      <c r="V168">
        <f>U168*Plan!D9/100/12</f>
        <v/>
      </c>
      <c r="W168">
        <f>MIN(Plan!E9,U168+V168)</f>
        <v/>
      </c>
      <c r="X168">
        <f>U168+V168-W168</f>
        <v/>
      </c>
      <c r="Y168">
        <f>MIN(X168,MAX(0,$B168-((E$5&lt;W$5)*F168+(K$5&lt;W$5)*L168+(Q$5&lt;W$5)*R168+(AC$5&lt;W$5)*AD168+(AI$5&lt;W$5)*AJ168+(AO$5&lt;W$5)*AP168+(AU$5&lt;W$5)*AV168)))</f>
        <v/>
      </c>
      <c r="Z168">
        <f>IF(X168-Y168&lt;0.005,0,X168-Y168)</f>
        <v/>
      </c>
      <c r="AA168">
        <f>AF167</f>
        <v/>
      </c>
      <c r="AB168">
        <f>AA168*Plan!D10/100/12</f>
        <v/>
      </c>
      <c r="AC168">
        <f>MIN(Plan!E10,AA168+AB168)</f>
        <v/>
      </c>
      <c r="AD168">
        <f>AA168+AB168-AC168</f>
        <v/>
      </c>
      <c r="AE168">
        <f>MIN(AD168,MAX(0,$B168-((E$5&lt;AC$5)*F168+(K$5&lt;AC$5)*L168+(Q$5&lt;AC$5)*R168+(W$5&lt;AC$5)*X168+(AI$5&lt;AC$5)*AJ168+(AO$5&lt;AC$5)*AP168+(AU$5&lt;AC$5)*AV168)))</f>
        <v/>
      </c>
      <c r="AF168">
        <f>IF(AD168-AE168&lt;0.005,0,AD168-AE168)</f>
        <v/>
      </c>
      <c r="AG168">
        <f>AL167</f>
        <v/>
      </c>
      <c r="AH168">
        <f>AG168*Plan!D11/100/12</f>
        <v/>
      </c>
      <c r="AI168">
        <f>MIN(Plan!E11,AG168+AH168)</f>
        <v/>
      </c>
      <c r="AJ168">
        <f>AG168+AH168-AI168</f>
        <v/>
      </c>
      <c r="AK168">
        <f>MIN(AJ168,MAX(0,$B168-((E$5&lt;AI$5)*F168+(K$5&lt;AI$5)*L168+(Q$5&lt;AI$5)*R168+(W$5&lt;AI$5)*X168+(AC$5&lt;AI$5)*AD168+(AO$5&lt;AI$5)*AP168+(AU$5&lt;AI$5)*AV168)))</f>
        <v/>
      </c>
      <c r="AL168">
        <f>IF(AJ168-AK168&lt;0.005,0,AJ168-AK168)</f>
        <v/>
      </c>
      <c r="AM168">
        <f>AR167</f>
        <v/>
      </c>
      <c r="AN168">
        <f>AM168*Plan!D12/100/12</f>
        <v/>
      </c>
      <c r="AO168">
        <f>MIN(Plan!E12,AM168+AN168)</f>
        <v/>
      </c>
      <c r="AP168">
        <f>AM168+AN168-AO168</f>
        <v/>
      </c>
      <c r="AQ168">
        <f>MIN(AP168,MAX(0,$B168-((E$5&lt;AO$5)*F168+(K$5&lt;AO$5)*L168+(Q$5&lt;AO$5)*R168+(W$5&lt;AO$5)*X168+(AC$5&lt;AO$5)*AD168+(AI$5&lt;AO$5)*AJ168+(AU$5&lt;AO$5)*AV168)))</f>
        <v/>
      </c>
      <c r="AR168">
        <f>IF(AP168-AQ168&lt;0.005,0,AP168-AQ168)</f>
        <v/>
      </c>
      <c r="AS168">
        <f>AX167</f>
        <v/>
      </c>
      <c r="AT168">
        <f>AS168*Plan!D13/100/12</f>
        <v/>
      </c>
      <c r="AU168">
        <f>MIN(Plan!E13,AS168+AT168)</f>
        <v/>
      </c>
      <c r="AV168">
        <f>AS168+AT168-AU168</f>
        <v/>
      </c>
      <c r="AW168">
        <f>MIN(AV168,MAX(0,$B168-((E$5&lt;AU$5)*F168+(K$5&lt;AU$5)*L168+(Q$5&lt;AU$5)*R168+(W$5&lt;AU$5)*X168+(AC$5&lt;AU$5)*AD168+(AI$5&lt;AU$5)*AJ168+(AO$5&lt;AU$5)*AP168)))</f>
        <v/>
      </c>
      <c r="AX168">
        <f>IF(AV168-AW168&lt;0.005,0,AV168-AW168)</f>
        <v/>
      </c>
      <c r="BC168">
        <f>H168+N168+T168+Z168+AF168+AL168+AR168+AX168</f>
        <v/>
      </c>
    </row>
    <row r="169">
      <c r="A169" t="n">
        <v>163</v>
      </c>
      <c r="B169" s="19">
        <f>MAX(0,$B$3-(E169+K169+Q169+W169+AC169+AI169+AO169+AU169))</f>
        <v/>
      </c>
      <c r="C169">
        <f>H168</f>
        <v/>
      </c>
      <c r="D169">
        <f>C169*Plan!D6/100/12</f>
        <v/>
      </c>
      <c r="E169">
        <f>MIN(Plan!E6,C169+D169)</f>
        <v/>
      </c>
      <c r="F169">
        <f>C169+D169-E169</f>
        <v/>
      </c>
      <c r="G169">
        <f>MIN(F169,MAX(0,$B169-((K$5&lt;E$5)*L169+(Q$5&lt;E$5)*R169+(W$5&lt;E$5)*X169+(AC$5&lt;E$5)*AD169+(AI$5&lt;E$5)*AJ169+(AO$5&lt;E$5)*AP169+(AU$5&lt;E$5)*AV169)))</f>
        <v/>
      </c>
      <c r="H169">
        <f>IF(F169-G169&lt;0.005,0,F169-G169)</f>
        <v/>
      </c>
      <c r="I169">
        <f>N168</f>
        <v/>
      </c>
      <c r="J169">
        <f>I169*Plan!D7/100/12</f>
        <v/>
      </c>
      <c r="K169">
        <f>MIN(Plan!E7,I169+J169)</f>
        <v/>
      </c>
      <c r="L169">
        <f>I169+J169-K169</f>
        <v/>
      </c>
      <c r="M169">
        <f>MIN(L169,MAX(0,$B169-((E$5&lt;K$5)*F169+(Q$5&lt;K$5)*R169+(W$5&lt;K$5)*X169+(AC$5&lt;K$5)*AD169+(AI$5&lt;K$5)*AJ169+(AO$5&lt;K$5)*AP169+(AU$5&lt;K$5)*AV169)))</f>
        <v/>
      </c>
      <c r="N169">
        <f>IF(L169-M169&lt;0.005,0,L169-M169)</f>
        <v/>
      </c>
      <c r="O169">
        <f>T168</f>
        <v/>
      </c>
      <c r="P169">
        <f>O169*Plan!D8/100/12</f>
        <v/>
      </c>
      <c r="Q169">
        <f>MIN(Plan!E8,O169+P169)</f>
        <v/>
      </c>
      <c r="R169">
        <f>O169+P169-Q169</f>
        <v/>
      </c>
      <c r="S169">
        <f>MIN(R169,MAX(0,$B169-((E$5&lt;Q$5)*F169+(K$5&lt;Q$5)*L169+(W$5&lt;Q$5)*X169+(AC$5&lt;Q$5)*AD169+(AI$5&lt;Q$5)*AJ169+(AO$5&lt;Q$5)*AP169+(AU$5&lt;Q$5)*AV169)))</f>
        <v/>
      </c>
      <c r="T169">
        <f>IF(R169-S169&lt;0.005,0,R169-S169)</f>
        <v/>
      </c>
      <c r="U169">
        <f>Z168</f>
        <v/>
      </c>
      <c r="V169">
        <f>U169*Plan!D9/100/12</f>
        <v/>
      </c>
      <c r="W169">
        <f>MIN(Plan!E9,U169+V169)</f>
        <v/>
      </c>
      <c r="X169">
        <f>U169+V169-W169</f>
        <v/>
      </c>
      <c r="Y169">
        <f>MIN(X169,MAX(0,$B169-((E$5&lt;W$5)*F169+(K$5&lt;W$5)*L169+(Q$5&lt;W$5)*R169+(AC$5&lt;W$5)*AD169+(AI$5&lt;W$5)*AJ169+(AO$5&lt;W$5)*AP169+(AU$5&lt;W$5)*AV169)))</f>
        <v/>
      </c>
      <c r="Z169">
        <f>IF(X169-Y169&lt;0.005,0,X169-Y169)</f>
        <v/>
      </c>
      <c r="AA169">
        <f>AF168</f>
        <v/>
      </c>
      <c r="AB169">
        <f>AA169*Plan!D10/100/12</f>
        <v/>
      </c>
      <c r="AC169">
        <f>MIN(Plan!E10,AA169+AB169)</f>
        <v/>
      </c>
      <c r="AD169">
        <f>AA169+AB169-AC169</f>
        <v/>
      </c>
      <c r="AE169">
        <f>MIN(AD169,MAX(0,$B169-((E$5&lt;AC$5)*F169+(K$5&lt;AC$5)*L169+(Q$5&lt;AC$5)*R169+(W$5&lt;AC$5)*X169+(AI$5&lt;AC$5)*AJ169+(AO$5&lt;AC$5)*AP169+(AU$5&lt;AC$5)*AV169)))</f>
        <v/>
      </c>
      <c r="AF169">
        <f>IF(AD169-AE169&lt;0.005,0,AD169-AE169)</f>
        <v/>
      </c>
      <c r="AG169">
        <f>AL168</f>
        <v/>
      </c>
      <c r="AH169">
        <f>AG169*Plan!D11/100/12</f>
        <v/>
      </c>
      <c r="AI169">
        <f>MIN(Plan!E11,AG169+AH169)</f>
        <v/>
      </c>
      <c r="AJ169">
        <f>AG169+AH169-AI169</f>
        <v/>
      </c>
      <c r="AK169">
        <f>MIN(AJ169,MAX(0,$B169-((E$5&lt;AI$5)*F169+(K$5&lt;AI$5)*L169+(Q$5&lt;AI$5)*R169+(W$5&lt;AI$5)*X169+(AC$5&lt;AI$5)*AD169+(AO$5&lt;AI$5)*AP169+(AU$5&lt;AI$5)*AV169)))</f>
        <v/>
      </c>
      <c r="AL169">
        <f>IF(AJ169-AK169&lt;0.005,0,AJ169-AK169)</f>
        <v/>
      </c>
      <c r="AM169">
        <f>AR168</f>
        <v/>
      </c>
      <c r="AN169">
        <f>AM169*Plan!D12/100/12</f>
        <v/>
      </c>
      <c r="AO169">
        <f>MIN(Plan!E12,AM169+AN169)</f>
        <v/>
      </c>
      <c r="AP169">
        <f>AM169+AN169-AO169</f>
        <v/>
      </c>
      <c r="AQ169">
        <f>MIN(AP169,MAX(0,$B169-((E$5&lt;AO$5)*F169+(K$5&lt;AO$5)*L169+(Q$5&lt;AO$5)*R169+(W$5&lt;AO$5)*X169+(AC$5&lt;AO$5)*AD169+(AI$5&lt;AO$5)*AJ169+(AU$5&lt;AO$5)*AV169)))</f>
        <v/>
      </c>
      <c r="AR169">
        <f>IF(AP169-AQ169&lt;0.005,0,AP169-AQ169)</f>
        <v/>
      </c>
      <c r="AS169">
        <f>AX168</f>
        <v/>
      </c>
      <c r="AT169">
        <f>AS169*Plan!D13/100/12</f>
        <v/>
      </c>
      <c r="AU169">
        <f>MIN(Plan!E13,AS169+AT169)</f>
        <v/>
      </c>
      <c r="AV169">
        <f>AS169+AT169-AU169</f>
        <v/>
      </c>
      <c r="AW169">
        <f>MIN(AV169,MAX(0,$B169-((E$5&lt;AU$5)*F169+(K$5&lt;AU$5)*L169+(Q$5&lt;AU$5)*R169+(W$5&lt;AU$5)*X169+(AC$5&lt;AU$5)*AD169+(AI$5&lt;AU$5)*AJ169+(AO$5&lt;AU$5)*AP169)))</f>
        <v/>
      </c>
      <c r="AX169">
        <f>IF(AV169-AW169&lt;0.005,0,AV169-AW169)</f>
        <v/>
      </c>
      <c r="BC169">
        <f>H169+N169+T169+Z169+AF169+AL169+AR169+AX169</f>
        <v/>
      </c>
    </row>
    <row r="170">
      <c r="A170" t="n">
        <v>164</v>
      </c>
      <c r="B170" s="19">
        <f>MAX(0,$B$3-(E170+K170+Q170+W170+AC170+AI170+AO170+AU170))</f>
        <v/>
      </c>
      <c r="C170">
        <f>H169</f>
        <v/>
      </c>
      <c r="D170">
        <f>C170*Plan!D6/100/12</f>
        <v/>
      </c>
      <c r="E170">
        <f>MIN(Plan!E6,C170+D170)</f>
        <v/>
      </c>
      <c r="F170">
        <f>C170+D170-E170</f>
        <v/>
      </c>
      <c r="G170">
        <f>MIN(F170,MAX(0,$B170-((K$5&lt;E$5)*L170+(Q$5&lt;E$5)*R170+(W$5&lt;E$5)*X170+(AC$5&lt;E$5)*AD170+(AI$5&lt;E$5)*AJ170+(AO$5&lt;E$5)*AP170+(AU$5&lt;E$5)*AV170)))</f>
        <v/>
      </c>
      <c r="H170">
        <f>IF(F170-G170&lt;0.005,0,F170-G170)</f>
        <v/>
      </c>
      <c r="I170">
        <f>N169</f>
        <v/>
      </c>
      <c r="J170">
        <f>I170*Plan!D7/100/12</f>
        <v/>
      </c>
      <c r="K170">
        <f>MIN(Plan!E7,I170+J170)</f>
        <v/>
      </c>
      <c r="L170">
        <f>I170+J170-K170</f>
        <v/>
      </c>
      <c r="M170">
        <f>MIN(L170,MAX(0,$B170-((E$5&lt;K$5)*F170+(Q$5&lt;K$5)*R170+(W$5&lt;K$5)*X170+(AC$5&lt;K$5)*AD170+(AI$5&lt;K$5)*AJ170+(AO$5&lt;K$5)*AP170+(AU$5&lt;K$5)*AV170)))</f>
        <v/>
      </c>
      <c r="N170">
        <f>IF(L170-M170&lt;0.005,0,L170-M170)</f>
        <v/>
      </c>
      <c r="O170">
        <f>T169</f>
        <v/>
      </c>
      <c r="P170">
        <f>O170*Plan!D8/100/12</f>
        <v/>
      </c>
      <c r="Q170">
        <f>MIN(Plan!E8,O170+P170)</f>
        <v/>
      </c>
      <c r="R170">
        <f>O170+P170-Q170</f>
        <v/>
      </c>
      <c r="S170">
        <f>MIN(R170,MAX(0,$B170-((E$5&lt;Q$5)*F170+(K$5&lt;Q$5)*L170+(W$5&lt;Q$5)*X170+(AC$5&lt;Q$5)*AD170+(AI$5&lt;Q$5)*AJ170+(AO$5&lt;Q$5)*AP170+(AU$5&lt;Q$5)*AV170)))</f>
        <v/>
      </c>
      <c r="T170">
        <f>IF(R170-S170&lt;0.005,0,R170-S170)</f>
        <v/>
      </c>
      <c r="U170">
        <f>Z169</f>
        <v/>
      </c>
      <c r="V170">
        <f>U170*Plan!D9/100/12</f>
        <v/>
      </c>
      <c r="W170">
        <f>MIN(Plan!E9,U170+V170)</f>
        <v/>
      </c>
      <c r="X170">
        <f>U170+V170-W170</f>
        <v/>
      </c>
      <c r="Y170">
        <f>MIN(X170,MAX(0,$B170-((E$5&lt;W$5)*F170+(K$5&lt;W$5)*L170+(Q$5&lt;W$5)*R170+(AC$5&lt;W$5)*AD170+(AI$5&lt;W$5)*AJ170+(AO$5&lt;W$5)*AP170+(AU$5&lt;W$5)*AV170)))</f>
        <v/>
      </c>
      <c r="Z170">
        <f>IF(X170-Y170&lt;0.005,0,X170-Y170)</f>
        <v/>
      </c>
      <c r="AA170">
        <f>AF169</f>
        <v/>
      </c>
      <c r="AB170">
        <f>AA170*Plan!D10/100/12</f>
        <v/>
      </c>
      <c r="AC170">
        <f>MIN(Plan!E10,AA170+AB170)</f>
        <v/>
      </c>
      <c r="AD170">
        <f>AA170+AB170-AC170</f>
        <v/>
      </c>
      <c r="AE170">
        <f>MIN(AD170,MAX(0,$B170-((E$5&lt;AC$5)*F170+(K$5&lt;AC$5)*L170+(Q$5&lt;AC$5)*R170+(W$5&lt;AC$5)*X170+(AI$5&lt;AC$5)*AJ170+(AO$5&lt;AC$5)*AP170+(AU$5&lt;AC$5)*AV170)))</f>
        <v/>
      </c>
      <c r="AF170">
        <f>IF(AD170-AE170&lt;0.005,0,AD170-AE170)</f>
        <v/>
      </c>
      <c r="AG170">
        <f>AL169</f>
        <v/>
      </c>
      <c r="AH170">
        <f>AG170*Plan!D11/100/12</f>
        <v/>
      </c>
      <c r="AI170">
        <f>MIN(Plan!E11,AG170+AH170)</f>
        <v/>
      </c>
      <c r="AJ170">
        <f>AG170+AH170-AI170</f>
        <v/>
      </c>
      <c r="AK170">
        <f>MIN(AJ170,MAX(0,$B170-((E$5&lt;AI$5)*F170+(K$5&lt;AI$5)*L170+(Q$5&lt;AI$5)*R170+(W$5&lt;AI$5)*X170+(AC$5&lt;AI$5)*AD170+(AO$5&lt;AI$5)*AP170+(AU$5&lt;AI$5)*AV170)))</f>
        <v/>
      </c>
      <c r="AL170">
        <f>IF(AJ170-AK170&lt;0.005,0,AJ170-AK170)</f>
        <v/>
      </c>
      <c r="AM170">
        <f>AR169</f>
        <v/>
      </c>
      <c r="AN170">
        <f>AM170*Plan!D12/100/12</f>
        <v/>
      </c>
      <c r="AO170">
        <f>MIN(Plan!E12,AM170+AN170)</f>
        <v/>
      </c>
      <c r="AP170">
        <f>AM170+AN170-AO170</f>
        <v/>
      </c>
      <c r="AQ170">
        <f>MIN(AP170,MAX(0,$B170-((E$5&lt;AO$5)*F170+(K$5&lt;AO$5)*L170+(Q$5&lt;AO$5)*R170+(W$5&lt;AO$5)*X170+(AC$5&lt;AO$5)*AD170+(AI$5&lt;AO$5)*AJ170+(AU$5&lt;AO$5)*AV170)))</f>
        <v/>
      </c>
      <c r="AR170">
        <f>IF(AP170-AQ170&lt;0.005,0,AP170-AQ170)</f>
        <v/>
      </c>
      <c r="AS170">
        <f>AX169</f>
        <v/>
      </c>
      <c r="AT170">
        <f>AS170*Plan!D13/100/12</f>
        <v/>
      </c>
      <c r="AU170">
        <f>MIN(Plan!E13,AS170+AT170)</f>
        <v/>
      </c>
      <c r="AV170">
        <f>AS170+AT170-AU170</f>
        <v/>
      </c>
      <c r="AW170">
        <f>MIN(AV170,MAX(0,$B170-((E$5&lt;AU$5)*F170+(K$5&lt;AU$5)*L170+(Q$5&lt;AU$5)*R170+(W$5&lt;AU$5)*X170+(AC$5&lt;AU$5)*AD170+(AI$5&lt;AU$5)*AJ170+(AO$5&lt;AU$5)*AP170)))</f>
        <v/>
      </c>
      <c r="AX170">
        <f>IF(AV170-AW170&lt;0.005,0,AV170-AW170)</f>
        <v/>
      </c>
      <c r="BC170">
        <f>H170+N170+T170+Z170+AF170+AL170+AR170+AX170</f>
        <v/>
      </c>
    </row>
    <row r="171">
      <c r="A171" t="n">
        <v>165</v>
      </c>
      <c r="B171" s="19">
        <f>MAX(0,$B$3-(E171+K171+Q171+W171+AC171+AI171+AO171+AU171))</f>
        <v/>
      </c>
      <c r="C171">
        <f>H170</f>
        <v/>
      </c>
      <c r="D171">
        <f>C171*Plan!D6/100/12</f>
        <v/>
      </c>
      <c r="E171">
        <f>MIN(Plan!E6,C171+D171)</f>
        <v/>
      </c>
      <c r="F171">
        <f>C171+D171-E171</f>
        <v/>
      </c>
      <c r="G171">
        <f>MIN(F171,MAX(0,$B171-((K$5&lt;E$5)*L171+(Q$5&lt;E$5)*R171+(W$5&lt;E$5)*X171+(AC$5&lt;E$5)*AD171+(AI$5&lt;E$5)*AJ171+(AO$5&lt;E$5)*AP171+(AU$5&lt;E$5)*AV171)))</f>
        <v/>
      </c>
      <c r="H171">
        <f>IF(F171-G171&lt;0.005,0,F171-G171)</f>
        <v/>
      </c>
      <c r="I171">
        <f>N170</f>
        <v/>
      </c>
      <c r="J171">
        <f>I171*Plan!D7/100/12</f>
        <v/>
      </c>
      <c r="K171">
        <f>MIN(Plan!E7,I171+J171)</f>
        <v/>
      </c>
      <c r="L171">
        <f>I171+J171-K171</f>
        <v/>
      </c>
      <c r="M171">
        <f>MIN(L171,MAX(0,$B171-((E$5&lt;K$5)*F171+(Q$5&lt;K$5)*R171+(W$5&lt;K$5)*X171+(AC$5&lt;K$5)*AD171+(AI$5&lt;K$5)*AJ171+(AO$5&lt;K$5)*AP171+(AU$5&lt;K$5)*AV171)))</f>
        <v/>
      </c>
      <c r="N171">
        <f>IF(L171-M171&lt;0.005,0,L171-M171)</f>
        <v/>
      </c>
      <c r="O171">
        <f>T170</f>
        <v/>
      </c>
      <c r="P171">
        <f>O171*Plan!D8/100/12</f>
        <v/>
      </c>
      <c r="Q171">
        <f>MIN(Plan!E8,O171+P171)</f>
        <v/>
      </c>
      <c r="R171">
        <f>O171+P171-Q171</f>
        <v/>
      </c>
      <c r="S171">
        <f>MIN(R171,MAX(0,$B171-((E$5&lt;Q$5)*F171+(K$5&lt;Q$5)*L171+(W$5&lt;Q$5)*X171+(AC$5&lt;Q$5)*AD171+(AI$5&lt;Q$5)*AJ171+(AO$5&lt;Q$5)*AP171+(AU$5&lt;Q$5)*AV171)))</f>
        <v/>
      </c>
      <c r="T171">
        <f>IF(R171-S171&lt;0.005,0,R171-S171)</f>
        <v/>
      </c>
      <c r="U171">
        <f>Z170</f>
        <v/>
      </c>
      <c r="V171">
        <f>U171*Plan!D9/100/12</f>
        <v/>
      </c>
      <c r="W171">
        <f>MIN(Plan!E9,U171+V171)</f>
        <v/>
      </c>
      <c r="X171">
        <f>U171+V171-W171</f>
        <v/>
      </c>
      <c r="Y171">
        <f>MIN(X171,MAX(0,$B171-((E$5&lt;W$5)*F171+(K$5&lt;W$5)*L171+(Q$5&lt;W$5)*R171+(AC$5&lt;W$5)*AD171+(AI$5&lt;W$5)*AJ171+(AO$5&lt;W$5)*AP171+(AU$5&lt;W$5)*AV171)))</f>
        <v/>
      </c>
      <c r="Z171">
        <f>IF(X171-Y171&lt;0.005,0,X171-Y171)</f>
        <v/>
      </c>
      <c r="AA171">
        <f>AF170</f>
        <v/>
      </c>
      <c r="AB171">
        <f>AA171*Plan!D10/100/12</f>
        <v/>
      </c>
      <c r="AC171">
        <f>MIN(Plan!E10,AA171+AB171)</f>
        <v/>
      </c>
      <c r="AD171">
        <f>AA171+AB171-AC171</f>
        <v/>
      </c>
      <c r="AE171">
        <f>MIN(AD171,MAX(0,$B171-((E$5&lt;AC$5)*F171+(K$5&lt;AC$5)*L171+(Q$5&lt;AC$5)*R171+(W$5&lt;AC$5)*X171+(AI$5&lt;AC$5)*AJ171+(AO$5&lt;AC$5)*AP171+(AU$5&lt;AC$5)*AV171)))</f>
        <v/>
      </c>
      <c r="AF171">
        <f>IF(AD171-AE171&lt;0.005,0,AD171-AE171)</f>
        <v/>
      </c>
      <c r="AG171">
        <f>AL170</f>
        <v/>
      </c>
      <c r="AH171">
        <f>AG171*Plan!D11/100/12</f>
        <v/>
      </c>
      <c r="AI171">
        <f>MIN(Plan!E11,AG171+AH171)</f>
        <v/>
      </c>
      <c r="AJ171">
        <f>AG171+AH171-AI171</f>
        <v/>
      </c>
      <c r="AK171">
        <f>MIN(AJ171,MAX(0,$B171-((E$5&lt;AI$5)*F171+(K$5&lt;AI$5)*L171+(Q$5&lt;AI$5)*R171+(W$5&lt;AI$5)*X171+(AC$5&lt;AI$5)*AD171+(AO$5&lt;AI$5)*AP171+(AU$5&lt;AI$5)*AV171)))</f>
        <v/>
      </c>
      <c r="AL171">
        <f>IF(AJ171-AK171&lt;0.005,0,AJ171-AK171)</f>
        <v/>
      </c>
      <c r="AM171">
        <f>AR170</f>
        <v/>
      </c>
      <c r="AN171">
        <f>AM171*Plan!D12/100/12</f>
        <v/>
      </c>
      <c r="AO171">
        <f>MIN(Plan!E12,AM171+AN171)</f>
        <v/>
      </c>
      <c r="AP171">
        <f>AM171+AN171-AO171</f>
        <v/>
      </c>
      <c r="AQ171">
        <f>MIN(AP171,MAX(0,$B171-((E$5&lt;AO$5)*F171+(K$5&lt;AO$5)*L171+(Q$5&lt;AO$5)*R171+(W$5&lt;AO$5)*X171+(AC$5&lt;AO$5)*AD171+(AI$5&lt;AO$5)*AJ171+(AU$5&lt;AO$5)*AV171)))</f>
        <v/>
      </c>
      <c r="AR171">
        <f>IF(AP171-AQ171&lt;0.005,0,AP171-AQ171)</f>
        <v/>
      </c>
      <c r="AS171">
        <f>AX170</f>
        <v/>
      </c>
      <c r="AT171">
        <f>AS171*Plan!D13/100/12</f>
        <v/>
      </c>
      <c r="AU171">
        <f>MIN(Plan!E13,AS171+AT171)</f>
        <v/>
      </c>
      <c r="AV171">
        <f>AS171+AT171-AU171</f>
        <v/>
      </c>
      <c r="AW171">
        <f>MIN(AV171,MAX(0,$B171-((E$5&lt;AU$5)*F171+(K$5&lt;AU$5)*L171+(Q$5&lt;AU$5)*R171+(W$5&lt;AU$5)*X171+(AC$5&lt;AU$5)*AD171+(AI$5&lt;AU$5)*AJ171+(AO$5&lt;AU$5)*AP171)))</f>
        <v/>
      </c>
      <c r="AX171">
        <f>IF(AV171-AW171&lt;0.005,0,AV171-AW171)</f>
        <v/>
      </c>
      <c r="BC171">
        <f>H171+N171+T171+Z171+AF171+AL171+AR171+AX171</f>
        <v/>
      </c>
    </row>
    <row r="172">
      <c r="A172" t="n">
        <v>166</v>
      </c>
      <c r="B172" s="19">
        <f>MAX(0,$B$3-(E172+K172+Q172+W172+AC172+AI172+AO172+AU172))</f>
        <v/>
      </c>
      <c r="C172">
        <f>H171</f>
        <v/>
      </c>
      <c r="D172">
        <f>C172*Plan!D6/100/12</f>
        <v/>
      </c>
      <c r="E172">
        <f>MIN(Plan!E6,C172+D172)</f>
        <v/>
      </c>
      <c r="F172">
        <f>C172+D172-E172</f>
        <v/>
      </c>
      <c r="G172">
        <f>MIN(F172,MAX(0,$B172-((K$5&lt;E$5)*L172+(Q$5&lt;E$5)*R172+(W$5&lt;E$5)*X172+(AC$5&lt;E$5)*AD172+(AI$5&lt;E$5)*AJ172+(AO$5&lt;E$5)*AP172+(AU$5&lt;E$5)*AV172)))</f>
        <v/>
      </c>
      <c r="H172">
        <f>IF(F172-G172&lt;0.005,0,F172-G172)</f>
        <v/>
      </c>
      <c r="I172">
        <f>N171</f>
        <v/>
      </c>
      <c r="J172">
        <f>I172*Plan!D7/100/12</f>
        <v/>
      </c>
      <c r="K172">
        <f>MIN(Plan!E7,I172+J172)</f>
        <v/>
      </c>
      <c r="L172">
        <f>I172+J172-K172</f>
        <v/>
      </c>
      <c r="M172">
        <f>MIN(L172,MAX(0,$B172-((E$5&lt;K$5)*F172+(Q$5&lt;K$5)*R172+(W$5&lt;K$5)*X172+(AC$5&lt;K$5)*AD172+(AI$5&lt;K$5)*AJ172+(AO$5&lt;K$5)*AP172+(AU$5&lt;K$5)*AV172)))</f>
        <v/>
      </c>
      <c r="N172">
        <f>IF(L172-M172&lt;0.005,0,L172-M172)</f>
        <v/>
      </c>
      <c r="O172">
        <f>T171</f>
        <v/>
      </c>
      <c r="P172">
        <f>O172*Plan!D8/100/12</f>
        <v/>
      </c>
      <c r="Q172">
        <f>MIN(Plan!E8,O172+P172)</f>
        <v/>
      </c>
      <c r="R172">
        <f>O172+P172-Q172</f>
        <v/>
      </c>
      <c r="S172">
        <f>MIN(R172,MAX(0,$B172-((E$5&lt;Q$5)*F172+(K$5&lt;Q$5)*L172+(W$5&lt;Q$5)*X172+(AC$5&lt;Q$5)*AD172+(AI$5&lt;Q$5)*AJ172+(AO$5&lt;Q$5)*AP172+(AU$5&lt;Q$5)*AV172)))</f>
        <v/>
      </c>
      <c r="T172">
        <f>IF(R172-S172&lt;0.005,0,R172-S172)</f>
        <v/>
      </c>
      <c r="U172">
        <f>Z171</f>
        <v/>
      </c>
      <c r="V172">
        <f>U172*Plan!D9/100/12</f>
        <v/>
      </c>
      <c r="W172">
        <f>MIN(Plan!E9,U172+V172)</f>
        <v/>
      </c>
      <c r="X172">
        <f>U172+V172-W172</f>
        <v/>
      </c>
      <c r="Y172">
        <f>MIN(X172,MAX(0,$B172-((E$5&lt;W$5)*F172+(K$5&lt;W$5)*L172+(Q$5&lt;W$5)*R172+(AC$5&lt;W$5)*AD172+(AI$5&lt;W$5)*AJ172+(AO$5&lt;W$5)*AP172+(AU$5&lt;W$5)*AV172)))</f>
        <v/>
      </c>
      <c r="Z172">
        <f>IF(X172-Y172&lt;0.005,0,X172-Y172)</f>
        <v/>
      </c>
      <c r="AA172">
        <f>AF171</f>
        <v/>
      </c>
      <c r="AB172">
        <f>AA172*Plan!D10/100/12</f>
        <v/>
      </c>
      <c r="AC172">
        <f>MIN(Plan!E10,AA172+AB172)</f>
        <v/>
      </c>
      <c r="AD172">
        <f>AA172+AB172-AC172</f>
        <v/>
      </c>
      <c r="AE172">
        <f>MIN(AD172,MAX(0,$B172-((E$5&lt;AC$5)*F172+(K$5&lt;AC$5)*L172+(Q$5&lt;AC$5)*R172+(W$5&lt;AC$5)*X172+(AI$5&lt;AC$5)*AJ172+(AO$5&lt;AC$5)*AP172+(AU$5&lt;AC$5)*AV172)))</f>
        <v/>
      </c>
      <c r="AF172">
        <f>IF(AD172-AE172&lt;0.005,0,AD172-AE172)</f>
        <v/>
      </c>
      <c r="AG172">
        <f>AL171</f>
        <v/>
      </c>
      <c r="AH172">
        <f>AG172*Plan!D11/100/12</f>
        <v/>
      </c>
      <c r="AI172">
        <f>MIN(Plan!E11,AG172+AH172)</f>
        <v/>
      </c>
      <c r="AJ172">
        <f>AG172+AH172-AI172</f>
        <v/>
      </c>
      <c r="AK172">
        <f>MIN(AJ172,MAX(0,$B172-((E$5&lt;AI$5)*F172+(K$5&lt;AI$5)*L172+(Q$5&lt;AI$5)*R172+(W$5&lt;AI$5)*X172+(AC$5&lt;AI$5)*AD172+(AO$5&lt;AI$5)*AP172+(AU$5&lt;AI$5)*AV172)))</f>
        <v/>
      </c>
      <c r="AL172">
        <f>IF(AJ172-AK172&lt;0.005,0,AJ172-AK172)</f>
        <v/>
      </c>
      <c r="AM172">
        <f>AR171</f>
        <v/>
      </c>
      <c r="AN172">
        <f>AM172*Plan!D12/100/12</f>
        <v/>
      </c>
      <c r="AO172">
        <f>MIN(Plan!E12,AM172+AN172)</f>
        <v/>
      </c>
      <c r="AP172">
        <f>AM172+AN172-AO172</f>
        <v/>
      </c>
      <c r="AQ172">
        <f>MIN(AP172,MAX(0,$B172-((E$5&lt;AO$5)*F172+(K$5&lt;AO$5)*L172+(Q$5&lt;AO$5)*R172+(W$5&lt;AO$5)*X172+(AC$5&lt;AO$5)*AD172+(AI$5&lt;AO$5)*AJ172+(AU$5&lt;AO$5)*AV172)))</f>
        <v/>
      </c>
      <c r="AR172">
        <f>IF(AP172-AQ172&lt;0.005,0,AP172-AQ172)</f>
        <v/>
      </c>
      <c r="AS172">
        <f>AX171</f>
        <v/>
      </c>
      <c r="AT172">
        <f>AS172*Plan!D13/100/12</f>
        <v/>
      </c>
      <c r="AU172">
        <f>MIN(Plan!E13,AS172+AT172)</f>
        <v/>
      </c>
      <c r="AV172">
        <f>AS172+AT172-AU172</f>
        <v/>
      </c>
      <c r="AW172">
        <f>MIN(AV172,MAX(0,$B172-((E$5&lt;AU$5)*F172+(K$5&lt;AU$5)*L172+(Q$5&lt;AU$5)*R172+(W$5&lt;AU$5)*X172+(AC$5&lt;AU$5)*AD172+(AI$5&lt;AU$5)*AJ172+(AO$5&lt;AU$5)*AP172)))</f>
        <v/>
      </c>
      <c r="AX172">
        <f>IF(AV172-AW172&lt;0.005,0,AV172-AW172)</f>
        <v/>
      </c>
      <c r="BC172">
        <f>H172+N172+T172+Z172+AF172+AL172+AR172+AX172</f>
        <v/>
      </c>
    </row>
    <row r="173">
      <c r="A173" t="n">
        <v>167</v>
      </c>
      <c r="B173" s="19">
        <f>MAX(0,$B$3-(E173+K173+Q173+W173+AC173+AI173+AO173+AU173))</f>
        <v/>
      </c>
      <c r="C173">
        <f>H172</f>
        <v/>
      </c>
      <c r="D173">
        <f>C173*Plan!D6/100/12</f>
        <v/>
      </c>
      <c r="E173">
        <f>MIN(Plan!E6,C173+D173)</f>
        <v/>
      </c>
      <c r="F173">
        <f>C173+D173-E173</f>
        <v/>
      </c>
      <c r="G173">
        <f>MIN(F173,MAX(0,$B173-((K$5&lt;E$5)*L173+(Q$5&lt;E$5)*R173+(W$5&lt;E$5)*X173+(AC$5&lt;E$5)*AD173+(AI$5&lt;E$5)*AJ173+(AO$5&lt;E$5)*AP173+(AU$5&lt;E$5)*AV173)))</f>
        <v/>
      </c>
      <c r="H173">
        <f>IF(F173-G173&lt;0.005,0,F173-G173)</f>
        <v/>
      </c>
      <c r="I173">
        <f>N172</f>
        <v/>
      </c>
      <c r="J173">
        <f>I173*Plan!D7/100/12</f>
        <v/>
      </c>
      <c r="K173">
        <f>MIN(Plan!E7,I173+J173)</f>
        <v/>
      </c>
      <c r="L173">
        <f>I173+J173-K173</f>
        <v/>
      </c>
      <c r="M173">
        <f>MIN(L173,MAX(0,$B173-((E$5&lt;K$5)*F173+(Q$5&lt;K$5)*R173+(W$5&lt;K$5)*X173+(AC$5&lt;K$5)*AD173+(AI$5&lt;K$5)*AJ173+(AO$5&lt;K$5)*AP173+(AU$5&lt;K$5)*AV173)))</f>
        <v/>
      </c>
      <c r="N173">
        <f>IF(L173-M173&lt;0.005,0,L173-M173)</f>
        <v/>
      </c>
      <c r="O173">
        <f>T172</f>
        <v/>
      </c>
      <c r="P173">
        <f>O173*Plan!D8/100/12</f>
        <v/>
      </c>
      <c r="Q173">
        <f>MIN(Plan!E8,O173+P173)</f>
        <v/>
      </c>
      <c r="R173">
        <f>O173+P173-Q173</f>
        <v/>
      </c>
      <c r="S173">
        <f>MIN(R173,MAX(0,$B173-((E$5&lt;Q$5)*F173+(K$5&lt;Q$5)*L173+(W$5&lt;Q$5)*X173+(AC$5&lt;Q$5)*AD173+(AI$5&lt;Q$5)*AJ173+(AO$5&lt;Q$5)*AP173+(AU$5&lt;Q$5)*AV173)))</f>
        <v/>
      </c>
      <c r="T173">
        <f>IF(R173-S173&lt;0.005,0,R173-S173)</f>
        <v/>
      </c>
      <c r="U173">
        <f>Z172</f>
        <v/>
      </c>
      <c r="V173">
        <f>U173*Plan!D9/100/12</f>
        <v/>
      </c>
      <c r="W173">
        <f>MIN(Plan!E9,U173+V173)</f>
        <v/>
      </c>
      <c r="X173">
        <f>U173+V173-W173</f>
        <v/>
      </c>
      <c r="Y173">
        <f>MIN(X173,MAX(0,$B173-((E$5&lt;W$5)*F173+(K$5&lt;W$5)*L173+(Q$5&lt;W$5)*R173+(AC$5&lt;W$5)*AD173+(AI$5&lt;W$5)*AJ173+(AO$5&lt;W$5)*AP173+(AU$5&lt;W$5)*AV173)))</f>
        <v/>
      </c>
      <c r="Z173">
        <f>IF(X173-Y173&lt;0.005,0,X173-Y173)</f>
        <v/>
      </c>
      <c r="AA173">
        <f>AF172</f>
        <v/>
      </c>
      <c r="AB173">
        <f>AA173*Plan!D10/100/12</f>
        <v/>
      </c>
      <c r="AC173">
        <f>MIN(Plan!E10,AA173+AB173)</f>
        <v/>
      </c>
      <c r="AD173">
        <f>AA173+AB173-AC173</f>
        <v/>
      </c>
      <c r="AE173">
        <f>MIN(AD173,MAX(0,$B173-((E$5&lt;AC$5)*F173+(K$5&lt;AC$5)*L173+(Q$5&lt;AC$5)*R173+(W$5&lt;AC$5)*X173+(AI$5&lt;AC$5)*AJ173+(AO$5&lt;AC$5)*AP173+(AU$5&lt;AC$5)*AV173)))</f>
        <v/>
      </c>
      <c r="AF173">
        <f>IF(AD173-AE173&lt;0.005,0,AD173-AE173)</f>
        <v/>
      </c>
      <c r="AG173">
        <f>AL172</f>
        <v/>
      </c>
      <c r="AH173">
        <f>AG173*Plan!D11/100/12</f>
        <v/>
      </c>
      <c r="AI173">
        <f>MIN(Plan!E11,AG173+AH173)</f>
        <v/>
      </c>
      <c r="AJ173">
        <f>AG173+AH173-AI173</f>
        <v/>
      </c>
      <c r="AK173">
        <f>MIN(AJ173,MAX(0,$B173-((E$5&lt;AI$5)*F173+(K$5&lt;AI$5)*L173+(Q$5&lt;AI$5)*R173+(W$5&lt;AI$5)*X173+(AC$5&lt;AI$5)*AD173+(AO$5&lt;AI$5)*AP173+(AU$5&lt;AI$5)*AV173)))</f>
        <v/>
      </c>
      <c r="AL173">
        <f>IF(AJ173-AK173&lt;0.005,0,AJ173-AK173)</f>
        <v/>
      </c>
      <c r="AM173">
        <f>AR172</f>
        <v/>
      </c>
      <c r="AN173">
        <f>AM173*Plan!D12/100/12</f>
        <v/>
      </c>
      <c r="AO173">
        <f>MIN(Plan!E12,AM173+AN173)</f>
        <v/>
      </c>
      <c r="AP173">
        <f>AM173+AN173-AO173</f>
        <v/>
      </c>
      <c r="AQ173">
        <f>MIN(AP173,MAX(0,$B173-((E$5&lt;AO$5)*F173+(K$5&lt;AO$5)*L173+(Q$5&lt;AO$5)*R173+(W$5&lt;AO$5)*X173+(AC$5&lt;AO$5)*AD173+(AI$5&lt;AO$5)*AJ173+(AU$5&lt;AO$5)*AV173)))</f>
        <v/>
      </c>
      <c r="AR173">
        <f>IF(AP173-AQ173&lt;0.005,0,AP173-AQ173)</f>
        <v/>
      </c>
      <c r="AS173">
        <f>AX172</f>
        <v/>
      </c>
      <c r="AT173">
        <f>AS173*Plan!D13/100/12</f>
        <v/>
      </c>
      <c r="AU173">
        <f>MIN(Plan!E13,AS173+AT173)</f>
        <v/>
      </c>
      <c r="AV173">
        <f>AS173+AT173-AU173</f>
        <v/>
      </c>
      <c r="AW173">
        <f>MIN(AV173,MAX(0,$B173-((E$5&lt;AU$5)*F173+(K$5&lt;AU$5)*L173+(Q$5&lt;AU$5)*R173+(W$5&lt;AU$5)*X173+(AC$5&lt;AU$5)*AD173+(AI$5&lt;AU$5)*AJ173+(AO$5&lt;AU$5)*AP173)))</f>
        <v/>
      </c>
      <c r="AX173">
        <f>IF(AV173-AW173&lt;0.005,0,AV173-AW173)</f>
        <v/>
      </c>
      <c r="BC173">
        <f>H173+N173+T173+Z173+AF173+AL173+AR173+AX173</f>
        <v/>
      </c>
    </row>
    <row r="174">
      <c r="A174" t="n">
        <v>168</v>
      </c>
      <c r="B174" s="19">
        <f>MAX(0,$B$3-(E174+K174+Q174+W174+AC174+AI174+AO174+AU174))</f>
        <v/>
      </c>
      <c r="C174">
        <f>H173</f>
        <v/>
      </c>
      <c r="D174">
        <f>C174*Plan!D6/100/12</f>
        <v/>
      </c>
      <c r="E174">
        <f>MIN(Plan!E6,C174+D174)</f>
        <v/>
      </c>
      <c r="F174">
        <f>C174+D174-E174</f>
        <v/>
      </c>
      <c r="G174">
        <f>MIN(F174,MAX(0,$B174-((K$5&lt;E$5)*L174+(Q$5&lt;E$5)*R174+(W$5&lt;E$5)*X174+(AC$5&lt;E$5)*AD174+(AI$5&lt;E$5)*AJ174+(AO$5&lt;E$5)*AP174+(AU$5&lt;E$5)*AV174)))</f>
        <v/>
      </c>
      <c r="H174">
        <f>IF(F174-G174&lt;0.005,0,F174-G174)</f>
        <v/>
      </c>
      <c r="I174">
        <f>N173</f>
        <v/>
      </c>
      <c r="J174">
        <f>I174*Plan!D7/100/12</f>
        <v/>
      </c>
      <c r="K174">
        <f>MIN(Plan!E7,I174+J174)</f>
        <v/>
      </c>
      <c r="L174">
        <f>I174+J174-K174</f>
        <v/>
      </c>
      <c r="M174">
        <f>MIN(L174,MAX(0,$B174-((E$5&lt;K$5)*F174+(Q$5&lt;K$5)*R174+(W$5&lt;K$5)*X174+(AC$5&lt;K$5)*AD174+(AI$5&lt;K$5)*AJ174+(AO$5&lt;K$5)*AP174+(AU$5&lt;K$5)*AV174)))</f>
        <v/>
      </c>
      <c r="N174">
        <f>IF(L174-M174&lt;0.005,0,L174-M174)</f>
        <v/>
      </c>
      <c r="O174">
        <f>T173</f>
        <v/>
      </c>
      <c r="P174">
        <f>O174*Plan!D8/100/12</f>
        <v/>
      </c>
      <c r="Q174">
        <f>MIN(Plan!E8,O174+P174)</f>
        <v/>
      </c>
      <c r="R174">
        <f>O174+P174-Q174</f>
        <v/>
      </c>
      <c r="S174">
        <f>MIN(R174,MAX(0,$B174-((E$5&lt;Q$5)*F174+(K$5&lt;Q$5)*L174+(W$5&lt;Q$5)*X174+(AC$5&lt;Q$5)*AD174+(AI$5&lt;Q$5)*AJ174+(AO$5&lt;Q$5)*AP174+(AU$5&lt;Q$5)*AV174)))</f>
        <v/>
      </c>
      <c r="T174">
        <f>IF(R174-S174&lt;0.005,0,R174-S174)</f>
        <v/>
      </c>
      <c r="U174">
        <f>Z173</f>
        <v/>
      </c>
      <c r="V174">
        <f>U174*Plan!D9/100/12</f>
        <v/>
      </c>
      <c r="W174">
        <f>MIN(Plan!E9,U174+V174)</f>
        <v/>
      </c>
      <c r="X174">
        <f>U174+V174-W174</f>
        <v/>
      </c>
      <c r="Y174">
        <f>MIN(X174,MAX(0,$B174-((E$5&lt;W$5)*F174+(K$5&lt;W$5)*L174+(Q$5&lt;W$5)*R174+(AC$5&lt;W$5)*AD174+(AI$5&lt;W$5)*AJ174+(AO$5&lt;W$5)*AP174+(AU$5&lt;W$5)*AV174)))</f>
        <v/>
      </c>
      <c r="Z174">
        <f>IF(X174-Y174&lt;0.005,0,X174-Y174)</f>
        <v/>
      </c>
      <c r="AA174">
        <f>AF173</f>
        <v/>
      </c>
      <c r="AB174">
        <f>AA174*Plan!D10/100/12</f>
        <v/>
      </c>
      <c r="AC174">
        <f>MIN(Plan!E10,AA174+AB174)</f>
        <v/>
      </c>
      <c r="AD174">
        <f>AA174+AB174-AC174</f>
        <v/>
      </c>
      <c r="AE174">
        <f>MIN(AD174,MAX(0,$B174-((E$5&lt;AC$5)*F174+(K$5&lt;AC$5)*L174+(Q$5&lt;AC$5)*R174+(W$5&lt;AC$5)*X174+(AI$5&lt;AC$5)*AJ174+(AO$5&lt;AC$5)*AP174+(AU$5&lt;AC$5)*AV174)))</f>
        <v/>
      </c>
      <c r="AF174">
        <f>IF(AD174-AE174&lt;0.005,0,AD174-AE174)</f>
        <v/>
      </c>
      <c r="AG174">
        <f>AL173</f>
        <v/>
      </c>
      <c r="AH174">
        <f>AG174*Plan!D11/100/12</f>
        <v/>
      </c>
      <c r="AI174">
        <f>MIN(Plan!E11,AG174+AH174)</f>
        <v/>
      </c>
      <c r="AJ174">
        <f>AG174+AH174-AI174</f>
        <v/>
      </c>
      <c r="AK174">
        <f>MIN(AJ174,MAX(0,$B174-((E$5&lt;AI$5)*F174+(K$5&lt;AI$5)*L174+(Q$5&lt;AI$5)*R174+(W$5&lt;AI$5)*X174+(AC$5&lt;AI$5)*AD174+(AO$5&lt;AI$5)*AP174+(AU$5&lt;AI$5)*AV174)))</f>
        <v/>
      </c>
      <c r="AL174">
        <f>IF(AJ174-AK174&lt;0.005,0,AJ174-AK174)</f>
        <v/>
      </c>
      <c r="AM174">
        <f>AR173</f>
        <v/>
      </c>
      <c r="AN174">
        <f>AM174*Plan!D12/100/12</f>
        <v/>
      </c>
      <c r="AO174">
        <f>MIN(Plan!E12,AM174+AN174)</f>
        <v/>
      </c>
      <c r="AP174">
        <f>AM174+AN174-AO174</f>
        <v/>
      </c>
      <c r="AQ174">
        <f>MIN(AP174,MAX(0,$B174-((E$5&lt;AO$5)*F174+(K$5&lt;AO$5)*L174+(Q$5&lt;AO$5)*R174+(W$5&lt;AO$5)*X174+(AC$5&lt;AO$5)*AD174+(AI$5&lt;AO$5)*AJ174+(AU$5&lt;AO$5)*AV174)))</f>
        <v/>
      </c>
      <c r="AR174">
        <f>IF(AP174-AQ174&lt;0.005,0,AP174-AQ174)</f>
        <v/>
      </c>
      <c r="AS174">
        <f>AX173</f>
        <v/>
      </c>
      <c r="AT174">
        <f>AS174*Plan!D13/100/12</f>
        <v/>
      </c>
      <c r="AU174">
        <f>MIN(Plan!E13,AS174+AT174)</f>
        <v/>
      </c>
      <c r="AV174">
        <f>AS174+AT174-AU174</f>
        <v/>
      </c>
      <c r="AW174">
        <f>MIN(AV174,MAX(0,$B174-((E$5&lt;AU$5)*F174+(K$5&lt;AU$5)*L174+(Q$5&lt;AU$5)*R174+(W$5&lt;AU$5)*X174+(AC$5&lt;AU$5)*AD174+(AI$5&lt;AU$5)*AJ174+(AO$5&lt;AU$5)*AP174)))</f>
        <v/>
      </c>
      <c r="AX174">
        <f>IF(AV174-AW174&lt;0.005,0,AV174-AW174)</f>
        <v/>
      </c>
      <c r="BC174">
        <f>H174+N174+T174+Z174+AF174+AL174+AR174+AX174</f>
        <v/>
      </c>
    </row>
    <row r="175">
      <c r="A175" t="n">
        <v>169</v>
      </c>
      <c r="B175" s="19">
        <f>MAX(0,$B$3-(E175+K175+Q175+W175+AC175+AI175+AO175+AU175))</f>
        <v/>
      </c>
      <c r="C175">
        <f>H174</f>
        <v/>
      </c>
      <c r="D175">
        <f>C175*Plan!D6/100/12</f>
        <v/>
      </c>
      <c r="E175">
        <f>MIN(Plan!E6,C175+D175)</f>
        <v/>
      </c>
      <c r="F175">
        <f>C175+D175-E175</f>
        <v/>
      </c>
      <c r="G175">
        <f>MIN(F175,MAX(0,$B175-((K$5&lt;E$5)*L175+(Q$5&lt;E$5)*R175+(W$5&lt;E$5)*X175+(AC$5&lt;E$5)*AD175+(AI$5&lt;E$5)*AJ175+(AO$5&lt;E$5)*AP175+(AU$5&lt;E$5)*AV175)))</f>
        <v/>
      </c>
      <c r="H175">
        <f>IF(F175-G175&lt;0.005,0,F175-G175)</f>
        <v/>
      </c>
      <c r="I175">
        <f>N174</f>
        <v/>
      </c>
      <c r="J175">
        <f>I175*Plan!D7/100/12</f>
        <v/>
      </c>
      <c r="K175">
        <f>MIN(Plan!E7,I175+J175)</f>
        <v/>
      </c>
      <c r="L175">
        <f>I175+J175-K175</f>
        <v/>
      </c>
      <c r="M175">
        <f>MIN(L175,MAX(0,$B175-((E$5&lt;K$5)*F175+(Q$5&lt;K$5)*R175+(W$5&lt;K$5)*X175+(AC$5&lt;K$5)*AD175+(AI$5&lt;K$5)*AJ175+(AO$5&lt;K$5)*AP175+(AU$5&lt;K$5)*AV175)))</f>
        <v/>
      </c>
      <c r="N175">
        <f>IF(L175-M175&lt;0.005,0,L175-M175)</f>
        <v/>
      </c>
      <c r="O175">
        <f>T174</f>
        <v/>
      </c>
      <c r="P175">
        <f>O175*Plan!D8/100/12</f>
        <v/>
      </c>
      <c r="Q175">
        <f>MIN(Plan!E8,O175+P175)</f>
        <v/>
      </c>
      <c r="R175">
        <f>O175+P175-Q175</f>
        <v/>
      </c>
      <c r="S175">
        <f>MIN(R175,MAX(0,$B175-((E$5&lt;Q$5)*F175+(K$5&lt;Q$5)*L175+(W$5&lt;Q$5)*X175+(AC$5&lt;Q$5)*AD175+(AI$5&lt;Q$5)*AJ175+(AO$5&lt;Q$5)*AP175+(AU$5&lt;Q$5)*AV175)))</f>
        <v/>
      </c>
      <c r="T175">
        <f>IF(R175-S175&lt;0.005,0,R175-S175)</f>
        <v/>
      </c>
      <c r="U175">
        <f>Z174</f>
        <v/>
      </c>
      <c r="V175">
        <f>U175*Plan!D9/100/12</f>
        <v/>
      </c>
      <c r="W175">
        <f>MIN(Plan!E9,U175+V175)</f>
        <v/>
      </c>
      <c r="X175">
        <f>U175+V175-W175</f>
        <v/>
      </c>
      <c r="Y175">
        <f>MIN(X175,MAX(0,$B175-((E$5&lt;W$5)*F175+(K$5&lt;W$5)*L175+(Q$5&lt;W$5)*R175+(AC$5&lt;W$5)*AD175+(AI$5&lt;W$5)*AJ175+(AO$5&lt;W$5)*AP175+(AU$5&lt;W$5)*AV175)))</f>
        <v/>
      </c>
      <c r="Z175">
        <f>IF(X175-Y175&lt;0.005,0,X175-Y175)</f>
        <v/>
      </c>
      <c r="AA175">
        <f>AF174</f>
        <v/>
      </c>
      <c r="AB175">
        <f>AA175*Plan!D10/100/12</f>
        <v/>
      </c>
      <c r="AC175">
        <f>MIN(Plan!E10,AA175+AB175)</f>
        <v/>
      </c>
      <c r="AD175">
        <f>AA175+AB175-AC175</f>
        <v/>
      </c>
      <c r="AE175">
        <f>MIN(AD175,MAX(0,$B175-((E$5&lt;AC$5)*F175+(K$5&lt;AC$5)*L175+(Q$5&lt;AC$5)*R175+(W$5&lt;AC$5)*X175+(AI$5&lt;AC$5)*AJ175+(AO$5&lt;AC$5)*AP175+(AU$5&lt;AC$5)*AV175)))</f>
        <v/>
      </c>
      <c r="AF175">
        <f>IF(AD175-AE175&lt;0.005,0,AD175-AE175)</f>
        <v/>
      </c>
      <c r="AG175">
        <f>AL174</f>
        <v/>
      </c>
      <c r="AH175">
        <f>AG175*Plan!D11/100/12</f>
        <v/>
      </c>
      <c r="AI175">
        <f>MIN(Plan!E11,AG175+AH175)</f>
        <v/>
      </c>
      <c r="AJ175">
        <f>AG175+AH175-AI175</f>
        <v/>
      </c>
      <c r="AK175">
        <f>MIN(AJ175,MAX(0,$B175-((E$5&lt;AI$5)*F175+(K$5&lt;AI$5)*L175+(Q$5&lt;AI$5)*R175+(W$5&lt;AI$5)*X175+(AC$5&lt;AI$5)*AD175+(AO$5&lt;AI$5)*AP175+(AU$5&lt;AI$5)*AV175)))</f>
        <v/>
      </c>
      <c r="AL175">
        <f>IF(AJ175-AK175&lt;0.005,0,AJ175-AK175)</f>
        <v/>
      </c>
      <c r="AM175">
        <f>AR174</f>
        <v/>
      </c>
      <c r="AN175">
        <f>AM175*Plan!D12/100/12</f>
        <v/>
      </c>
      <c r="AO175">
        <f>MIN(Plan!E12,AM175+AN175)</f>
        <v/>
      </c>
      <c r="AP175">
        <f>AM175+AN175-AO175</f>
        <v/>
      </c>
      <c r="AQ175">
        <f>MIN(AP175,MAX(0,$B175-((E$5&lt;AO$5)*F175+(K$5&lt;AO$5)*L175+(Q$5&lt;AO$5)*R175+(W$5&lt;AO$5)*X175+(AC$5&lt;AO$5)*AD175+(AI$5&lt;AO$5)*AJ175+(AU$5&lt;AO$5)*AV175)))</f>
        <v/>
      </c>
      <c r="AR175">
        <f>IF(AP175-AQ175&lt;0.005,0,AP175-AQ175)</f>
        <v/>
      </c>
      <c r="AS175">
        <f>AX174</f>
        <v/>
      </c>
      <c r="AT175">
        <f>AS175*Plan!D13/100/12</f>
        <v/>
      </c>
      <c r="AU175">
        <f>MIN(Plan!E13,AS175+AT175)</f>
        <v/>
      </c>
      <c r="AV175">
        <f>AS175+AT175-AU175</f>
        <v/>
      </c>
      <c r="AW175">
        <f>MIN(AV175,MAX(0,$B175-((E$5&lt;AU$5)*F175+(K$5&lt;AU$5)*L175+(Q$5&lt;AU$5)*R175+(W$5&lt;AU$5)*X175+(AC$5&lt;AU$5)*AD175+(AI$5&lt;AU$5)*AJ175+(AO$5&lt;AU$5)*AP175)))</f>
        <v/>
      </c>
      <c r="AX175">
        <f>IF(AV175-AW175&lt;0.005,0,AV175-AW175)</f>
        <v/>
      </c>
      <c r="BC175">
        <f>H175+N175+T175+Z175+AF175+AL175+AR175+AX175</f>
        <v/>
      </c>
    </row>
    <row r="176">
      <c r="A176" t="n">
        <v>170</v>
      </c>
      <c r="B176" s="19">
        <f>MAX(0,$B$3-(E176+K176+Q176+W176+AC176+AI176+AO176+AU176))</f>
        <v/>
      </c>
      <c r="C176">
        <f>H175</f>
        <v/>
      </c>
      <c r="D176">
        <f>C176*Plan!D6/100/12</f>
        <v/>
      </c>
      <c r="E176">
        <f>MIN(Plan!E6,C176+D176)</f>
        <v/>
      </c>
      <c r="F176">
        <f>C176+D176-E176</f>
        <v/>
      </c>
      <c r="G176">
        <f>MIN(F176,MAX(0,$B176-((K$5&lt;E$5)*L176+(Q$5&lt;E$5)*R176+(W$5&lt;E$5)*X176+(AC$5&lt;E$5)*AD176+(AI$5&lt;E$5)*AJ176+(AO$5&lt;E$5)*AP176+(AU$5&lt;E$5)*AV176)))</f>
        <v/>
      </c>
      <c r="H176">
        <f>IF(F176-G176&lt;0.005,0,F176-G176)</f>
        <v/>
      </c>
      <c r="I176">
        <f>N175</f>
        <v/>
      </c>
      <c r="J176">
        <f>I176*Plan!D7/100/12</f>
        <v/>
      </c>
      <c r="K176">
        <f>MIN(Plan!E7,I176+J176)</f>
        <v/>
      </c>
      <c r="L176">
        <f>I176+J176-K176</f>
        <v/>
      </c>
      <c r="M176">
        <f>MIN(L176,MAX(0,$B176-((E$5&lt;K$5)*F176+(Q$5&lt;K$5)*R176+(W$5&lt;K$5)*X176+(AC$5&lt;K$5)*AD176+(AI$5&lt;K$5)*AJ176+(AO$5&lt;K$5)*AP176+(AU$5&lt;K$5)*AV176)))</f>
        <v/>
      </c>
      <c r="N176">
        <f>IF(L176-M176&lt;0.005,0,L176-M176)</f>
        <v/>
      </c>
      <c r="O176">
        <f>T175</f>
        <v/>
      </c>
      <c r="P176">
        <f>O176*Plan!D8/100/12</f>
        <v/>
      </c>
      <c r="Q176">
        <f>MIN(Plan!E8,O176+P176)</f>
        <v/>
      </c>
      <c r="R176">
        <f>O176+P176-Q176</f>
        <v/>
      </c>
      <c r="S176">
        <f>MIN(R176,MAX(0,$B176-((E$5&lt;Q$5)*F176+(K$5&lt;Q$5)*L176+(W$5&lt;Q$5)*X176+(AC$5&lt;Q$5)*AD176+(AI$5&lt;Q$5)*AJ176+(AO$5&lt;Q$5)*AP176+(AU$5&lt;Q$5)*AV176)))</f>
        <v/>
      </c>
      <c r="T176">
        <f>IF(R176-S176&lt;0.005,0,R176-S176)</f>
        <v/>
      </c>
      <c r="U176">
        <f>Z175</f>
        <v/>
      </c>
      <c r="V176">
        <f>U176*Plan!D9/100/12</f>
        <v/>
      </c>
      <c r="W176">
        <f>MIN(Plan!E9,U176+V176)</f>
        <v/>
      </c>
      <c r="X176">
        <f>U176+V176-W176</f>
        <v/>
      </c>
      <c r="Y176">
        <f>MIN(X176,MAX(0,$B176-((E$5&lt;W$5)*F176+(K$5&lt;W$5)*L176+(Q$5&lt;W$5)*R176+(AC$5&lt;W$5)*AD176+(AI$5&lt;W$5)*AJ176+(AO$5&lt;W$5)*AP176+(AU$5&lt;W$5)*AV176)))</f>
        <v/>
      </c>
      <c r="Z176">
        <f>IF(X176-Y176&lt;0.005,0,X176-Y176)</f>
        <v/>
      </c>
      <c r="AA176">
        <f>AF175</f>
        <v/>
      </c>
      <c r="AB176">
        <f>AA176*Plan!D10/100/12</f>
        <v/>
      </c>
      <c r="AC176">
        <f>MIN(Plan!E10,AA176+AB176)</f>
        <v/>
      </c>
      <c r="AD176">
        <f>AA176+AB176-AC176</f>
        <v/>
      </c>
      <c r="AE176">
        <f>MIN(AD176,MAX(0,$B176-((E$5&lt;AC$5)*F176+(K$5&lt;AC$5)*L176+(Q$5&lt;AC$5)*R176+(W$5&lt;AC$5)*X176+(AI$5&lt;AC$5)*AJ176+(AO$5&lt;AC$5)*AP176+(AU$5&lt;AC$5)*AV176)))</f>
        <v/>
      </c>
      <c r="AF176">
        <f>IF(AD176-AE176&lt;0.005,0,AD176-AE176)</f>
        <v/>
      </c>
      <c r="AG176">
        <f>AL175</f>
        <v/>
      </c>
      <c r="AH176">
        <f>AG176*Plan!D11/100/12</f>
        <v/>
      </c>
      <c r="AI176">
        <f>MIN(Plan!E11,AG176+AH176)</f>
        <v/>
      </c>
      <c r="AJ176">
        <f>AG176+AH176-AI176</f>
        <v/>
      </c>
      <c r="AK176">
        <f>MIN(AJ176,MAX(0,$B176-((E$5&lt;AI$5)*F176+(K$5&lt;AI$5)*L176+(Q$5&lt;AI$5)*R176+(W$5&lt;AI$5)*X176+(AC$5&lt;AI$5)*AD176+(AO$5&lt;AI$5)*AP176+(AU$5&lt;AI$5)*AV176)))</f>
        <v/>
      </c>
      <c r="AL176">
        <f>IF(AJ176-AK176&lt;0.005,0,AJ176-AK176)</f>
        <v/>
      </c>
      <c r="AM176">
        <f>AR175</f>
        <v/>
      </c>
      <c r="AN176">
        <f>AM176*Plan!D12/100/12</f>
        <v/>
      </c>
      <c r="AO176">
        <f>MIN(Plan!E12,AM176+AN176)</f>
        <v/>
      </c>
      <c r="AP176">
        <f>AM176+AN176-AO176</f>
        <v/>
      </c>
      <c r="AQ176">
        <f>MIN(AP176,MAX(0,$B176-((E$5&lt;AO$5)*F176+(K$5&lt;AO$5)*L176+(Q$5&lt;AO$5)*R176+(W$5&lt;AO$5)*X176+(AC$5&lt;AO$5)*AD176+(AI$5&lt;AO$5)*AJ176+(AU$5&lt;AO$5)*AV176)))</f>
        <v/>
      </c>
      <c r="AR176">
        <f>IF(AP176-AQ176&lt;0.005,0,AP176-AQ176)</f>
        <v/>
      </c>
      <c r="AS176">
        <f>AX175</f>
        <v/>
      </c>
      <c r="AT176">
        <f>AS176*Plan!D13/100/12</f>
        <v/>
      </c>
      <c r="AU176">
        <f>MIN(Plan!E13,AS176+AT176)</f>
        <v/>
      </c>
      <c r="AV176">
        <f>AS176+AT176-AU176</f>
        <v/>
      </c>
      <c r="AW176">
        <f>MIN(AV176,MAX(0,$B176-((E$5&lt;AU$5)*F176+(K$5&lt;AU$5)*L176+(Q$5&lt;AU$5)*R176+(W$5&lt;AU$5)*X176+(AC$5&lt;AU$5)*AD176+(AI$5&lt;AU$5)*AJ176+(AO$5&lt;AU$5)*AP176)))</f>
        <v/>
      </c>
      <c r="AX176">
        <f>IF(AV176-AW176&lt;0.005,0,AV176-AW176)</f>
        <v/>
      </c>
      <c r="BC176">
        <f>H176+N176+T176+Z176+AF176+AL176+AR176+AX176</f>
        <v/>
      </c>
    </row>
    <row r="177">
      <c r="A177" t="n">
        <v>171</v>
      </c>
      <c r="B177" s="19">
        <f>MAX(0,$B$3-(E177+K177+Q177+W177+AC177+AI177+AO177+AU177))</f>
        <v/>
      </c>
      <c r="C177">
        <f>H176</f>
        <v/>
      </c>
      <c r="D177">
        <f>C177*Plan!D6/100/12</f>
        <v/>
      </c>
      <c r="E177">
        <f>MIN(Plan!E6,C177+D177)</f>
        <v/>
      </c>
      <c r="F177">
        <f>C177+D177-E177</f>
        <v/>
      </c>
      <c r="G177">
        <f>MIN(F177,MAX(0,$B177-((K$5&lt;E$5)*L177+(Q$5&lt;E$5)*R177+(W$5&lt;E$5)*X177+(AC$5&lt;E$5)*AD177+(AI$5&lt;E$5)*AJ177+(AO$5&lt;E$5)*AP177+(AU$5&lt;E$5)*AV177)))</f>
        <v/>
      </c>
      <c r="H177">
        <f>IF(F177-G177&lt;0.005,0,F177-G177)</f>
        <v/>
      </c>
      <c r="I177">
        <f>N176</f>
        <v/>
      </c>
      <c r="J177">
        <f>I177*Plan!D7/100/12</f>
        <v/>
      </c>
      <c r="K177">
        <f>MIN(Plan!E7,I177+J177)</f>
        <v/>
      </c>
      <c r="L177">
        <f>I177+J177-K177</f>
        <v/>
      </c>
      <c r="M177">
        <f>MIN(L177,MAX(0,$B177-((E$5&lt;K$5)*F177+(Q$5&lt;K$5)*R177+(W$5&lt;K$5)*X177+(AC$5&lt;K$5)*AD177+(AI$5&lt;K$5)*AJ177+(AO$5&lt;K$5)*AP177+(AU$5&lt;K$5)*AV177)))</f>
        <v/>
      </c>
      <c r="N177">
        <f>IF(L177-M177&lt;0.005,0,L177-M177)</f>
        <v/>
      </c>
      <c r="O177">
        <f>T176</f>
        <v/>
      </c>
      <c r="P177">
        <f>O177*Plan!D8/100/12</f>
        <v/>
      </c>
      <c r="Q177">
        <f>MIN(Plan!E8,O177+P177)</f>
        <v/>
      </c>
      <c r="R177">
        <f>O177+P177-Q177</f>
        <v/>
      </c>
      <c r="S177">
        <f>MIN(R177,MAX(0,$B177-((E$5&lt;Q$5)*F177+(K$5&lt;Q$5)*L177+(W$5&lt;Q$5)*X177+(AC$5&lt;Q$5)*AD177+(AI$5&lt;Q$5)*AJ177+(AO$5&lt;Q$5)*AP177+(AU$5&lt;Q$5)*AV177)))</f>
        <v/>
      </c>
      <c r="T177">
        <f>IF(R177-S177&lt;0.005,0,R177-S177)</f>
        <v/>
      </c>
      <c r="U177">
        <f>Z176</f>
        <v/>
      </c>
      <c r="V177">
        <f>U177*Plan!D9/100/12</f>
        <v/>
      </c>
      <c r="W177">
        <f>MIN(Plan!E9,U177+V177)</f>
        <v/>
      </c>
      <c r="X177">
        <f>U177+V177-W177</f>
        <v/>
      </c>
      <c r="Y177">
        <f>MIN(X177,MAX(0,$B177-((E$5&lt;W$5)*F177+(K$5&lt;W$5)*L177+(Q$5&lt;W$5)*R177+(AC$5&lt;W$5)*AD177+(AI$5&lt;W$5)*AJ177+(AO$5&lt;W$5)*AP177+(AU$5&lt;W$5)*AV177)))</f>
        <v/>
      </c>
      <c r="Z177">
        <f>IF(X177-Y177&lt;0.005,0,X177-Y177)</f>
        <v/>
      </c>
      <c r="AA177">
        <f>AF176</f>
        <v/>
      </c>
      <c r="AB177">
        <f>AA177*Plan!D10/100/12</f>
        <v/>
      </c>
      <c r="AC177">
        <f>MIN(Plan!E10,AA177+AB177)</f>
        <v/>
      </c>
      <c r="AD177">
        <f>AA177+AB177-AC177</f>
        <v/>
      </c>
      <c r="AE177">
        <f>MIN(AD177,MAX(0,$B177-((E$5&lt;AC$5)*F177+(K$5&lt;AC$5)*L177+(Q$5&lt;AC$5)*R177+(W$5&lt;AC$5)*X177+(AI$5&lt;AC$5)*AJ177+(AO$5&lt;AC$5)*AP177+(AU$5&lt;AC$5)*AV177)))</f>
        <v/>
      </c>
      <c r="AF177">
        <f>IF(AD177-AE177&lt;0.005,0,AD177-AE177)</f>
        <v/>
      </c>
      <c r="AG177">
        <f>AL176</f>
        <v/>
      </c>
      <c r="AH177">
        <f>AG177*Plan!D11/100/12</f>
        <v/>
      </c>
      <c r="AI177">
        <f>MIN(Plan!E11,AG177+AH177)</f>
        <v/>
      </c>
      <c r="AJ177">
        <f>AG177+AH177-AI177</f>
        <v/>
      </c>
      <c r="AK177">
        <f>MIN(AJ177,MAX(0,$B177-((E$5&lt;AI$5)*F177+(K$5&lt;AI$5)*L177+(Q$5&lt;AI$5)*R177+(W$5&lt;AI$5)*X177+(AC$5&lt;AI$5)*AD177+(AO$5&lt;AI$5)*AP177+(AU$5&lt;AI$5)*AV177)))</f>
        <v/>
      </c>
      <c r="AL177">
        <f>IF(AJ177-AK177&lt;0.005,0,AJ177-AK177)</f>
        <v/>
      </c>
      <c r="AM177">
        <f>AR176</f>
        <v/>
      </c>
      <c r="AN177">
        <f>AM177*Plan!D12/100/12</f>
        <v/>
      </c>
      <c r="AO177">
        <f>MIN(Plan!E12,AM177+AN177)</f>
        <v/>
      </c>
      <c r="AP177">
        <f>AM177+AN177-AO177</f>
        <v/>
      </c>
      <c r="AQ177">
        <f>MIN(AP177,MAX(0,$B177-((E$5&lt;AO$5)*F177+(K$5&lt;AO$5)*L177+(Q$5&lt;AO$5)*R177+(W$5&lt;AO$5)*X177+(AC$5&lt;AO$5)*AD177+(AI$5&lt;AO$5)*AJ177+(AU$5&lt;AO$5)*AV177)))</f>
        <v/>
      </c>
      <c r="AR177">
        <f>IF(AP177-AQ177&lt;0.005,0,AP177-AQ177)</f>
        <v/>
      </c>
      <c r="AS177">
        <f>AX176</f>
        <v/>
      </c>
      <c r="AT177">
        <f>AS177*Plan!D13/100/12</f>
        <v/>
      </c>
      <c r="AU177">
        <f>MIN(Plan!E13,AS177+AT177)</f>
        <v/>
      </c>
      <c r="AV177">
        <f>AS177+AT177-AU177</f>
        <v/>
      </c>
      <c r="AW177">
        <f>MIN(AV177,MAX(0,$B177-((E$5&lt;AU$5)*F177+(K$5&lt;AU$5)*L177+(Q$5&lt;AU$5)*R177+(W$5&lt;AU$5)*X177+(AC$5&lt;AU$5)*AD177+(AI$5&lt;AU$5)*AJ177+(AO$5&lt;AU$5)*AP177)))</f>
        <v/>
      </c>
      <c r="AX177">
        <f>IF(AV177-AW177&lt;0.005,0,AV177-AW177)</f>
        <v/>
      </c>
      <c r="BC177">
        <f>H177+N177+T177+Z177+AF177+AL177+AR177+AX177</f>
        <v/>
      </c>
    </row>
    <row r="178">
      <c r="A178" t="n">
        <v>172</v>
      </c>
      <c r="B178" s="19">
        <f>MAX(0,$B$3-(E178+K178+Q178+W178+AC178+AI178+AO178+AU178))</f>
        <v/>
      </c>
      <c r="C178">
        <f>H177</f>
        <v/>
      </c>
      <c r="D178">
        <f>C178*Plan!D6/100/12</f>
        <v/>
      </c>
      <c r="E178">
        <f>MIN(Plan!E6,C178+D178)</f>
        <v/>
      </c>
      <c r="F178">
        <f>C178+D178-E178</f>
        <v/>
      </c>
      <c r="G178">
        <f>MIN(F178,MAX(0,$B178-((K$5&lt;E$5)*L178+(Q$5&lt;E$5)*R178+(W$5&lt;E$5)*X178+(AC$5&lt;E$5)*AD178+(AI$5&lt;E$5)*AJ178+(AO$5&lt;E$5)*AP178+(AU$5&lt;E$5)*AV178)))</f>
        <v/>
      </c>
      <c r="H178">
        <f>IF(F178-G178&lt;0.005,0,F178-G178)</f>
        <v/>
      </c>
      <c r="I178">
        <f>N177</f>
        <v/>
      </c>
      <c r="J178">
        <f>I178*Plan!D7/100/12</f>
        <v/>
      </c>
      <c r="K178">
        <f>MIN(Plan!E7,I178+J178)</f>
        <v/>
      </c>
      <c r="L178">
        <f>I178+J178-K178</f>
        <v/>
      </c>
      <c r="M178">
        <f>MIN(L178,MAX(0,$B178-((E$5&lt;K$5)*F178+(Q$5&lt;K$5)*R178+(W$5&lt;K$5)*X178+(AC$5&lt;K$5)*AD178+(AI$5&lt;K$5)*AJ178+(AO$5&lt;K$5)*AP178+(AU$5&lt;K$5)*AV178)))</f>
        <v/>
      </c>
      <c r="N178">
        <f>IF(L178-M178&lt;0.005,0,L178-M178)</f>
        <v/>
      </c>
      <c r="O178">
        <f>T177</f>
        <v/>
      </c>
      <c r="P178">
        <f>O178*Plan!D8/100/12</f>
        <v/>
      </c>
      <c r="Q178">
        <f>MIN(Plan!E8,O178+P178)</f>
        <v/>
      </c>
      <c r="R178">
        <f>O178+P178-Q178</f>
        <v/>
      </c>
      <c r="S178">
        <f>MIN(R178,MAX(0,$B178-((E$5&lt;Q$5)*F178+(K$5&lt;Q$5)*L178+(W$5&lt;Q$5)*X178+(AC$5&lt;Q$5)*AD178+(AI$5&lt;Q$5)*AJ178+(AO$5&lt;Q$5)*AP178+(AU$5&lt;Q$5)*AV178)))</f>
        <v/>
      </c>
      <c r="T178">
        <f>IF(R178-S178&lt;0.005,0,R178-S178)</f>
        <v/>
      </c>
      <c r="U178">
        <f>Z177</f>
        <v/>
      </c>
      <c r="V178">
        <f>U178*Plan!D9/100/12</f>
        <v/>
      </c>
      <c r="W178">
        <f>MIN(Plan!E9,U178+V178)</f>
        <v/>
      </c>
      <c r="X178">
        <f>U178+V178-W178</f>
        <v/>
      </c>
      <c r="Y178">
        <f>MIN(X178,MAX(0,$B178-((E$5&lt;W$5)*F178+(K$5&lt;W$5)*L178+(Q$5&lt;W$5)*R178+(AC$5&lt;W$5)*AD178+(AI$5&lt;W$5)*AJ178+(AO$5&lt;W$5)*AP178+(AU$5&lt;W$5)*AV178)))</f>
        <v/>
      </c>
      <c r="Z178">
        <f>IF(X178-Y178&lt;0.005,0,X178-Y178)</f>
        <v/>
      </c>
      <c r="AA178">
        <f>AF177</f>
        <v/>
      </c>
      <c r="AB178">
        <f>AA178*Plan!D10/100/12</f>
        <v/>
      </c>
      <c r="AC178">
        <f>MIN(Plan!E10,AA178+AB178)</f>
        <v/>
      </c>
      <c r="AD178">
        <f>AA178+AB178-AC178</f>
        <v/>
      </c>
      <c r="AE178">
        <f>MIN(AD178,MAX(0,$B178-((E$5&lt;AC$5)*F178+(K$5&lt;AC$5)*L178+(Q$5&lt;AC$5)*R178+(W$5&lt;AC$5)*X178+(AI$5&lt;AC$5)*AJ178+(AO$5&lt;AC$5)*AP178+(AU$5&lt;AC$5)*AV178)))</f>
        <v/>
      </c>
      <c r="AF178">
        <f>IF(AD178-AE178&lt;0.005,0,AD178-AE178)</f>
        <v/>
      </c>
      <c r="AG178">
        <f>AL177</f>
        <v/>
      </c>
      <c r="AH178">
        <f>AG178*Plan!D11/100/12</f>
        <v/>
      </c>
      <c r="AI178">
        <f>MIN(Plan!E11,AG178+AH178)</f>
        <v/>
      </c>
      <c r="AJ178">
        <f>AG178+AH178-AI178</f>
        <v/>
      </c>
      <c r="AK178">
        <f>MIN(AJ178,MAX(0,$B178-((E$5&lt;AI$5)*F178+(K$5&lt;AI$5)*L178+(Q$5&lt;AI$5)*R178+(W$5&lt;AI$5)*X178+(AC$5&lt;AI$5)*AD178+(AO$5&lt;AI$5)*AP178+(AU$5&lt;AI$5)*AV178)))</f>
        <v/>
      </c>
      <c r="AL178">
        <f>IF(AJ178-AK178&lt;0.005,0,AJ178-AK178)</f>
        <v/>
      </c>
      <c r="AM178">
        <f>AR177</f>
        <v/>
      </c>
      <c r="AN178">
        <f>AM178*Plan!D12/100/12</f>
        <v/>
      </c>
      <c r="AO178">
        <f>MIN(Plan!E12,AM178+AN178)</f>
        <v/>
      </c>
      <c r="AP178">
        <f>AM178+AN178-AO178</f>
        <v/>
      </c>
      <c r="AQ178">
        <f>MIN(AP178,MAX(0,$B178-((E$5&lt;AO$5)*F178+(K$5&lt;AO$5)*L178+(Q$5&lt;AO$5)*R178+(W$5&lt;AO$5)*X178+(AC$5&lt;AO$5)*AD178+(AI$5&lt;AO$5)*AJ178+(AU$5&lt;AO$5)*AV178)))</f>
        <v/>
      </c>
      <c r="AR178">
        <f>IF(AP178-AQ178&lt;0.005,0,AP178-AQ178)</f>
        <v/>
      </c>
      <c r="AS178">
        <f>AX177</f>
        <v/>
      </c>
      <c r="AT178">
        <f>AS178*Plan!D13/100/12</f>
        <v/>
      </c>
      <c r="AU178">
        <f>MIN(Plan!E13,AS178+AT178)</f>
        <v/>
      </c>
      <c r="AV178">
        <f>AS178+AT178-AU178</f>
        <v/>
      </c>
      <c r="AW178">
        <f>MIN(AV178,MAX(0,$B178-((E$5&lt;AU$5)*F178+(K$5&lt;AU$5)*L178+(Q$5&lt;AU$5)*R178+(W$5&lt;AU$5)*X178+(AC$5&lt;AU$5)*AD178+(AI$5&lt;AU$5)*AJ178+(AO$5&lt;AU$5)*AP178)))</f>
        <v/>
      </c>
      <c r="AX178">
        <f>IF(AV178-AW178&lt;0.005,0,AV178-AW178)</f>
        <v/>
      </c>
      <c r="BC178">
        <f>H178+N178+T178+Z178+AF178+AL178+AR178+AX178</f>
        <v/>
      </c>
    </row>
    <row r="179">
      <c r="A179" t="n">
        <v>173</v>
      </c>
      <c r="B179" s="19">
        <f>MAX(0,$B$3-(E179+K179+Q179+W179+AC179+AI179+AO179+AU179))</f>
        <v/>
      </c>
      <c r="C179">
        <f>H178</f>
        <v/>
      </c>
      <c r="D179">
        <f>C179*Plan!D6/100/12</f>
        <v/>
      </c>
      <c r="E179">
        <f>MIN(Plan!E6,C179+D179)</f>
        <v/>
      </c>
      <c r="F179">
        <f>C179+D179-E179</f>
        <v/>
      </c>
      <c r="G179">
        <f>MIN(F179,MAX(0,$B179-((K$5&lt;E$5)*L179+(Q$5&lt;E$5)*R179+(W$5&lt;E$5)*X179+(AC$5&lt;E$5)*AD179+(AI$5&lt;E$5)*AJ179+(AO$5&lt;E$5)*AP179+(AU$5&lt;E$5)*AV179)))</f>
        <v/>
      </c>
      <c r="H179">
        <f>IF(F179-G179&lt;0.005,0,F179-G179)</f>
        <v/>
      </c>
      <c r="I179">
        <f>N178</f>
        <v/>
      </c>
      <c r="J179">
        <f>I179*Plan!D7/100/12</f>
        <v/>
      </c>
      <c r="K179">
        <f>MIN(Plan!E7,I179+J179)</f>
        <v/>
      </c>
      <c r="L179">
        <f>I179+J179-K179</f>
        <v/>
      </c>
      <c r="M179">
        <f>MIN(L179,MAX(0,$B179-((E$5&lt;K$5)*F179+(Q$5&lt;K$5)*R179+(W$5&lt;K$5)*X179+(AC$5&lt;K$5)*AD179+(AI$5&lt;K$5)*AJ179+(AO$5&lt;K$5)*AP179+(AU$5&lt;K$5)*AV179)))</f>
        <v/>
      </c>
      <c r="N179">
        <f>IF(L179-M179&lt;0.005,0,L179-M179)</f>
        <v/>
      </c>
      <c r="O179">
        <f>T178</f>
        <v/>
      </c>
      <c r="P179">
        <f>O179*Plan!D8/100/12</f>
        <v/>
      </c>
      <c r="Q179">
        <f>MIN(Plan!E8,O179+P179)</f>
        <v/>
      </c>
      <c r="R179">
        <f>O179+P179-Q179</f>
        <v/>
      </c>
      <c r="S179">
        <f>MIN(R179,MAX(0,$B179-((E$5&lt;Q$5)*F179+(K$5&lt;Q$5)*L179+(W$5&lt;Q$5)*X179+(AC$5&lt;Q$5)*AD179+(AI$5&lt;Q$5)*AJ179+(AO$5&lt;Q$5)*AP179+(AU$5&lt;Q$5)*AV179)))</f>
        <v/>
      </c>
      <c r="T179">
        <f>IF(R179-S179&lt;0.005,0,R179-S179)</f>
        <v/>
      </c>
      <c r="U179">
        <f>Z178</f>
        <v/>
      </c>
      <c r="V179">
        <f>U179*Plan!D9/100/12</f>
        <v/>
      </c>
      <c r="W179">
        <f>MIN(Plan!E9,U179+V179)</f>
        <v/>
      </c>
      <c r="X179">
        <f>U179+V179-W179</f>
        <v/>
      </c>
      <c r="Y179">
        <f>MIN(X179,MAX(0,$B179-((E$5&lt;W$5)*F179+(K$5&lt;W$5)*L179+(Q$5&lt;W$5)*R179+(AC$5&lt;W$5)*AD179+(AI$5&lt;W$5)*AJ179+(AO$5&lt;W$5)*AP179+(AU$5&lt;W$5)*AV179)))</f>
        <v/>
      </c>
      <c r="Z179">
        <f>IF(X179-Y179&lt;0.005,0,X179-Y179)</f>
        <v/>
      </c>
      <c r="AA179">
        <f>AF178</f>
        <v/>
      </c>
      <c r="AB179">
        <f>AA179*Plan!D10/100/12</f>
        <v/>
      </c>
      <c r="AC179">
        <f>MIN(Plan!E10,AA179+AB179)</f>
        <v/>
      </c>
      <c r="AD179">
        <f>AA179+AB179-AC179</f>
        <v/>
      </c>
      <c r="AE179">
        <f>MIN(AD179,MAX(0,$B179-((E$5&lt;AC$5)*F179+(K$5&lt;AC$5)*L179+(Q$5&lt;AC$5)*R179+(W$5&lt;AC$5)*X179+(AI$5&lt;AC$5)*AJ179+(AO$5&lt;AC$5)*AP179+(AU$5&lt;AC$5)*AV179)))</f>
        <v/>
      </c>
      <c r="AF179">
        <f>IF(AD179-AE179&lt;0.005,0,AD179-AE179)</f>
        <v/>
      </c>
      <c r="AG179">
        <f>AL178</f>
        <v/>
      </c>
      <c r="AH179">
        <f>AG179*Plan!D11/100/12</f>
        <v/>
      </c>
      <c r="AI179">
        <f>MIN(Plan!E11,AG179+AH179)</f>
        <v/>
      </c>
      <c r="AJ179">
        <f>AG179+AH179-AI179</f>
        <v/>
      </c>
      <c r="AK179">
        <f>MIN(AJ179,MAX(0,$B179-((E$5&lt;AI$5)*F179+(K$5&lt;AI$5)*L179+(Q$5&lt;AI$5)*R179+(W$5&lt;AI$5)*X179+(AC$5&lt;AI$5)*AD179+(AO$5&lt;AI$5)*AP179+(AU$5&lt;AI$5)*AV179)))</f>
        <v/>
      </c>
      <c r="AL179">
        <f>IF(AJ179-AK179&lt;0.005,0,AJ179-AK179)</f>
        <v/>
      </c>
      <c r="AM179">
        <f>AR178</f>
        <v/>
      </c>
      <c r="AN179">
        <f>AM179*Plan!D12/100/12</f>
        <v/>
      </c>
      <c r="AO179">
        <f>MIN(Plan!E12,AM179+AN179)</f>
        <v/>
      </c>
      <c r="AP179">
        <f>AM179+AN179-AO179</f>
        <v/>
      </c>
      <c r="AQ179">
        <f>MIN(AP179,MAX(0,$B179-((E$5&lt;AO$5)*F179+(K$5&lt;AO$5)*L179+(Q$5&lt;AO$5)*R179+(W$5&lt;AO$5)*X179+(AC$5&lt;AO$5)*AD179+(AI$5&lt;AO$5)*AJ179+(AU$5&lt;AO$5)*AV179)))</f>
        <v/>
      </c>
      <c r="AR179">
        <f>IF(AP179-AQ179&lt;0.005,0,AP179-AQ179)</f>
        <v/>
      </c>
      <c r="AS179">
        <f>AX178</f>
        <v/>
      </c>
      <c r="AT179">
        <f>AS179*Plan!D13/100/12</f>
        <v/>
      </c>
      <c r="AU179">
        <f>MIN(Plan!E13,AS179+AT179)</f>
        <v/>
      </c>
      <c r="AV179">
        <f>AS179+AT179-AU179</f>
        <v/>
      </c>
      <c r="AW179">
        <f>MIN(AV179,MAX(0,$B179-((E$5&lt;AU$5)*F179+(K$5&lt;AU$5)*L179+(Q$5&lt;AU$5)*R179+(W$5&lt;AU$5)*X179+(AC$5&lt;AU$5)*AD179+(AI$5&lt;AU$5)*AJ179+(AO$5&lt;AU$5)*AP179)))</f>
        <v/>
      </c>
      <c r="AX179">
        <f>IF(AV179-AW179&lt;0.005,0,AV179-AW179)</f>
        <v/>
      </c>
      <c r="BC179">
        <f>H179+N179+T179+Z179+AF179+AL179+AR179+AX179</f>
        <v/>
      </c>
    </row>
    <row r="180">
      <c r="A180" t="n">
        <v>174</v>
      </c>
      <c r="B180" s="19">
        <f>MAX(0,$B$3-(E180+K180+Q180+W180+AC180+AI180+AO180+AU180))</f>
        <v/>
      </c>
      <c r="C180">
        <f>H179</f>
        <v/>
      </c>
      <c r="D180">
        <f>C180*Plan!D6/100/12</f>
        <v/>
      </c>
      <c r="E180">
        <f>MIN(Plan!E6,C180+D180)</f>
        <v/>
      </c>
      <c r="F180">
        <f>C180+D180-E180</f>
        <v/>
      </c>
      <c r="G180">
        <f>MIN(F180,MAX(0,$B180-((K$5&lt;E$5)*L180+(Q$5&lt;E$5)*R180+(W$5&lt;E$5)*X180+(AC$5&lt;E$5)*AD180+(AI$5&lt;E$5)*AJ180+(AO$5&lt;E$5)*AP180+(AU$5&lt;E$5)*AV180)))</f>
        <v/>
      </c>
      <c r="H180">
        <f>IF(F180-G180&lt;0.005,0,F180-G180)</f>
        <v/>
      </c>
      <c r="I180">
        <f>N179</f>
        <v/>
      </c>
      <c r="J180">
        <f>I180*Plan!D7/100/12</f>
        <v/>
      </c>
      <c r="K180">
        <f>MIN(Plan!E7,I180+J180)</f>
        <v/>
      </c>
      <c r="L180">
        <f>I180+J180-K180</f>
        <v/>
      </c>
      <c r="M180">
        <f>MIN(L180,MAX(0,$B180-((E$5&lt;K$5)*F180+(Q$5&lt;K$5)*R180+(W$5&lt;K$5)*X180+(AC$5&lt;K$5)*AD180+(AI$5&lt;K$5)*AJ180+(AO$5&lt;K$5)*AP180+(AU$5&lt;K$5)*AV180)))</f>
        <v/>
      </c>
      <c r="N180">
        <f>IF(L180-M180&lt;0.005,0,L180-M180)</f>
        <v/>
      </c>
      <c r="O180">
        <f>T179</f>
        <v/>
      </c>
      <c r="P180">
        <f>O180*Plan!D8/100/12</f>
        <v/>
      </c>
      <c r="Q180">
        <f>MIN(Plan!E8,O180+P180)</f>
        <v/>
      </c>
      <c r="R180">
        <f>O180+P180-Q180</f>
        <v/>
      </c>
      <c r="S180">
        <f>MIN(R180,MAX(0,$B180-((E$5&lt;Q$5)*F180+(K$5&lt;Q$5)*L180+(W$5&lt;Q$5)*X180+(AC$5&lt;Q$5)*AD180+(AI$5&lt;Q$5)*AJ180+(AO$5&lt;Q$5)*AP180+(AU$5&lt;Q$5)*AV180)))</f>
        <v/>
      </c>
      <c r="T180">
        <f>IF(R180-S180&lt;0.005,0,R180-S180)</f>
        <v/>
      </c>
      <c r="U180">
        <f>Z179</f>
        <v/>
      </c>
      <c r="V180">
        <f>U180*Plan!D9/100/12</f>
        <v/>
      </c>
      <c r="W180">
        <f>MIN(Plan!E9,U180+V180)</f>
        <v/>
      </c>
      <c r="X180">
        <f>U180+V180-W180</f>
        <v/>
      </c>
      <c r="Y180">
        <f>MIN(X180,MAX(0,$B180-((E$5&lt;W$5)*F180+(K$5&lt;W$5)*L180+(Q$5&lt;W$5)*R180+(AC$5&lt;W$5)*AD180+(AI$5&lt;W$5)*AJ180+(AO$5&lt;W$5)*AP180+(AU$5&lt;W$5)*AV180)))</f>
        <v/>
      </c>
      <c r="Z180">
        <f>IF(X180-Y180&lt;0.005,0,X180-Y180)</f>
        <v/>
      </c>
      <c r="AA180">
        <f>AF179</f>
        <v/>
      </c>
      <c r="AB180">
        <f>AA180*Plan!D10/100/12</f>
        <v/>
      </c>
      <c r="AC180">
        <f>MIN(Plan!E10,AA180+AB180)</f>
        <v/>
      </c>
      <c r="AD180">
        <f>AA180+AB180-AC180</f>
        <v/>
      </c>
      <c r="AE180">
        <f>MIN(AD180,MAX(0,$B180-((E$5&lt;AC$5)*F180+(K$5&lt;AC$5)*L180+(Q$5&lt;AC$5)*R180+(W$5&lt;AC$5)*X180+(AI$5&lt;AC$5)*AJ180+(AO$5&lt;AC$5)*AP180+(AU$5&lt;AC$5)*AV180)))</f>
        <v/>
      </c>
      <c r="AF180">
        <f>IF(AD180-AE180&lt;0.005,0,AD180-AE180)</f>
        <v/>
      </c>
      <c r="AG180">
        <f>AL179</f>
        <v/>
      </c>
      <c r="AH180">
        <f>AG180*Plan!D11/100/12</f>
        <v/>
      </c>
      <c r="AI180">
        <f>MIN(Plan!E11,AG180+AH180)</f>
        <v/>
      </c>
      <c r="AJ180">
        <f>AG180+AH180-AI180</f>
        <v/>
      </c>
      <c r="AK180">
        <f>MIN(AJ180,MAX(0,$B180-((E$5&lt;AI$5)*F180+(K$5&lt;AI$5)*L180+(Q$5&lt;AI$5)*R180+(W$5&lt;AI$5)*X180+(AC$5&lt;AI$5)*AD180+(AO$5&lt;AI$5)*AP180+(AU$5&lt;AI$5)*AV180)))</f>
        <v/>
      </c>
      <c r="AL180">
        <f>IF(AJ180-AK180&lt;0.005,0,AJ180-AK180)</f>
        <v/>
      </c>
      <c r="AM180">
        <f>AR179</f>
        <v/>
      </c>
      <c r="AN180">
        <f>AM180*Plan!D12/100/12</f>
        <v/>
      </c>
      <c r="AO180">
        <f>MIN(Plan!E12,AM180+AN180)</f>
        <v/>
      </c>
      <c r="AP180">
        <f>AM180+AN180-AO180</f>
        <v/>
      </c>
      <c r="AQ180">
        <f>MIN(AP180,MAX(0,$B180-((E$5&lt;AO$5)*F180+(K$5&lt;AO$5)*L180+(Q$5&lt;AO$5)*R180+(W$5&lt;AO$5)*X180+(AC$5&lt;AO$5)*AD180+(AI$5&lt;AO$5)*AJ180+(AU$5&lt;AO$5)*AV180)))</f>
        <v/>
      </c>
      <c r="AR180">
        <f>IF(AP180-AQ180&lt;0.005,0,AP180-AQ180)</f>
        <v/>
      </c>
      <c r="AS180">
        <f>AX179</f>
        <v/>
      </c>
      <c r="AT180">
        <f>AS180*Plan!D13/100/12</f>
        <v/>
      </c>
      <c r="AU180">
        <f>MIN(Plan!E13,AS180+AT180)</f>
        <v/>
      </c>
      <c r="AV180">
        <f>AS180+AT180-AU180</f>
        <v/>
      </c>
      <c r="AW180">
        <f>MIN(AV180,MAX(0,$B180-((E$5&lt;AU$5)*F180+(K$5&lt;AU$5)*L180+(Q$5&lt;AU$5)*R180+(W$5&lt;AU$5)*X180+(AC$5&lt;AU$5)*AD180+(AI$5&lt;AU$5)*AJ180+(AO$5&lt;AU$5)*AP180)))</f>
        <v/>
      </c>
      <c r="AX180">
        <f>IF(AV180-AW180&lt;0.005,0,AV180-AW180)</f>
        <v/>
      </c>
      <c r="BC180">
        <f>H180+N180+T180+Z180+AF180+AL180+AR180+AX180</f>
        <v/>
      </c>
    </row>
    <row r="181">
      <c r="A181" t="n">
        <v>175</v>
      </c>
      <c r="B181" s="19">
        <f>MAX(0,$B$3-(E181+K181+Q181+W181+AC181+AI181+AO181+AU181))</f>
        <v/>
      </c>
      <c r="C181">
        <f>H180</f>
        <v/>
      </c>
      <c r="D181">
        <f>C181*Plan!D6/100/12</f>
        <v/>
      </c>
      <c r="E181">
        <f>MIN(Plan!E6,C181+D181)</f>
        <v/>
      </c>
      <c r="F181">
        <f>C181+D181-E181</f>
        <v/>
      </c>
      <c r="G181">
        <f>MIN(F181,MAX(0,$B181-((K$5&lt;E$5)*L181+(Q$5&lt;E$5)*R181+(W$5&lt;E$5)*X181+(AC$5&lt;E$5)*AD181+(AI$5&lt;E$5)*AJ181+(AO$5&lt;E$5)*AP181+(AU$5&lt;E$5)*AV181)))</f>
        <v/>
      </c>
      <c r="H181">
        <f>IF(F181-G181&lt;0.005,0,F181-G181)</f>
        <v/>
      </c>
      <c r="I181">
        <f>N180</f>
        <v/>
      </c>
      <c r="J181">
        <f>I181*Plan!D7/100/12</f>
        <v/>
      </c>
      <c r="K181">
        <f>MIN(Plan!E7,I181+J181)</f>
        <v/>
      </c>
      <c r="L181">
        <f>I181+J181-K181</f>
        <v/>
      </c>
      <c r="M181">
        <f>MIN(L181,MAX(0,$B181-((E$5&lt;K$5)*F181+(Q$5&lt;K$5)*R181+(W$5&lt;K$5)*X181+(AC$5&lt;K$5)*AD181+(AI$5&lt;K$5)*AJ181+(AO$5&lt;K$5)*AP181+(AU$5&lt;K$5)*AV181)))</f>
        <v/>
      </c>
      <c r="N181">
        <f>IF(L181-M181&lt;0.005,0,L181-M181)</f>
        <v/>
      </c>
      <c r="O181">
        <f>T180</f>
        <v/>
      </c>
      <c r="P181">
        <f>O181*Plan!D8/100/12</f>
        <v/>
      </c>
      <c r="Q181">
        <f>MIN(Plan!E8,O181+P181)</f>
        <v/>
      </c>
      <c r="R181">
        <f>O181+P181-Q181</f>
        <v/>
      </c>
      <c r="S181">
        <f>MIN(R181,MAX(0,$B181-((E$5&lt;Q$5)*F181+(K$5&lt;Q$5)*L181+(W$5&lt;Q$5)*X181+(AC$5&lt;Q$5)*AD181+(AI$5&lt;Q$5)*AJ181+(AO$5&lt;Q$5)*AP181+(AU$5&lt;Q$5)*AV181)))</f>
        <v/>
      </c>
      <c r="T181">
        <f>IF(R181-S181&lt;0.005,0,R181-S181)</f>
        <v/>
      </c>
      <c r="U181">
        <f>Z180</f>
        <v/>
      </c>
      <c r="V181">
        <f>U181*Plan!D9/100/12</f>
        <v/>
      </c>
      <c r="W181">
        <f>MIN(Plan!E9,U181+V181)</f>
        <v/>
      </c>
      <c r="X181">
        <f>U181+V181-W181</f>
        <v/>
      </c>
      <c r="Y181">
        <f>MIN(X181,MAX(0,$B181-((E$5&lt;W$5)*F181+(K$5&lt;W$5)*L181+(Q$5&lt;W$5)*R181+(AC$5&lt;W$5)*AD181+(AI$5&lt;W$5)*AJ181+(AO$5&lt;W$5)*AP181+(AU$5&lt;W$5)*AV181)))</f>
        <v/>
      </c>
      <c r="Z181">
        <f>IF(X181-Y181&lt;0.005,0,X181-Y181)</f>
        <v/>
      </c>
      <c r="AA181">
        <f>AF180</f>
        <v/>
      </c>
      <c r="AB181">
        <f>AA181*Plan!D10/100/12</f>
        <v/>
      </c>
      <c r="AC181">
        <f>MIN(Plan!E10,AA181+AB181)</f>
        <v/>
      </c>
      <c r="AD181">
        <f>AA181+AB181-AC181</f>
        <v/>
      </c>
      <c r="AE181">
        <f>MIN(AD181,MAX(0,$B181-((E$5&lt;AC$5)*F181+(K$5&lt;AC$5)*L181+(Q$5&lt;AC$5)*R181+(W$5&lt;AC$5)*X181+(AI$5&lt;AC$5)*AJ181+(AO$5&lt;AC$5)*AP181+(AU$5&lt;AC$5)*AV181)))</f>
        <v/>
      </c>
      <c r="AF181">
        <f>IF(AD181-AE181&lt;0.005,0,AD181-AE181)</f>
        <v/>
      </c>
      <c r="AG181">
        <f>AL180</f>
        <v/>
      </c>
      <c r="AH181">
        <f>AG181*Plan!D11/100/12</f>
        <v/>
      </c>
      <c r="AI181">
        <f>MIN(Plan!E11,AG181+AH181)</f>
        <v/>
      </c>
      <c r="AJ181">
        <f>AG181+AH181-AI181</f>
        <v/>
      </c>
      <c r="AK181">
        <f>MIN(AJ181,MAX(0,$B181-((E$5&lt;AI$5)*F181+(K$5&lt;AI$5)*L181+(Q$5&lt;AI$5)*R181+(W$5&lt;AI$5)*X181+(AC$5&lt;AI$5)*AD181+(AO$5&lt;AI$5)*AP181+(AU$5&lt;AI$5)*AV181)))</f>
        <v/>
      </c>
      <c r="AL181">
        <f>IF(AJ181-AK181&lt;0.005,0,AJ181-AK181)</f>
        <v/>
      </c>
      <c r="AM181">
        <f>AR180</f>
        <v/>
      </c>
      <c r="AN181">
        <f>AM181*Plan!D12/100/12</f>
        <v/>
      </c>
      <c r="AO181">
        <f>MIN(Plan!E12,AM181+AN181)</f>
        <v/>
      </c>
      <c r="AP181">
        <f>AM181+AN181-AO181</f>
        <v/>
      </c>
      <c r="AQ181">
        <f>MIN(AP181,MAX(0,$B181-((E$5&lt;AO$5)*F181+(K$5&lt;AO$5)*L181+(Q$5&lt;AO$5)*R181+(W$5&lt;AO$5)*X181+(AC$5&lt;AO$5)*AD181+(AI$5&lt;AO$5)*AJ181+(AU$5&lt;AO$5)*AV181)))</f>
        <v/>
      </c>
      <c r="AR181">
        <f>IF(AP181-AQ181&lt;0.005,0,AP181-AQ181)</f>
        <v/>
      </c>
      <c r="AS181">
        <f>AX180</f>
        <v/>
      </c>
      <c r="AT181">
        <f>AS181*Plan!D13/100/12</f>
        <v/>
      </c>
      <c r="AU181">
        <f>MIN(Plan!E13,AS181+AT181)</f>
        <v/>
      </c>
      <c r="AV181">
        <f>AS181+AT181-AU181</f>
        <v/>
      </c>
      <c r="AW181">
        <f>MIN(AV181,MAX(0,$B181-((E$5&lt;AU$5)*F181+(K$5&lt;AU$5)*L181+(Q$5&lt;AU$5)*R181+(W$5&lt;AU$5)*X181+(AC$5&lt;AU$5)*AD181+(AI$5&lt;AU$5)*AJ181+(AO$5&lt;AU$5)*AP181)))</f>
        <v/>
      </c>
      <c r="AX181">
        <f>IF(AV181-AW181&lt;0.005,0,AV181-AW181)</f>
        <v/>
      </c>
      <c r="BC181">
        <f>H181+N181+T181+Z181+AF181+AL181+AR181+AX181</f>
        <v/>
      </c>
    </row>
    <row r="182">
      <c r="A182" t="n">
        <v>176</v>
      </c>
      <c r="B182" s="19">
        <f>MAX(0,$B$3-(E182+K182+Q182+W182+AC182+AI182+AO182+AU182))</f>
        <v/>
      </c>
      <c r="C182">
        <f>H181</f>
        <v/>
      </c>
      <c r="D182">
        <f>C182*Plan!D6/100/12</f>
        <v/>
      </c>
      <c r="E182">
        <f>MIN(Plan!E6,C182+D182)</f>
        <v/>
      </c>
      <c r="F182">
        <f>C182+D182-E182</f>
        <v/>
      </c>
      <c r="G182">
        <f>MIN(F182,MAX(0,$B182-((K$5&lt;E$5)*L182+(Q$5&lt;E$5)*R182+(W$5&lt;E$5)*X182+(AC$5&lt;E$5)*AD182+(AI$5&lt;E$5)*AJ182+(AO$5&lt;E$5)*AP182+(AU$5&lt;E$5)*AV182)))</f>
        <v/>
      </c>
      <c r="H182">
        <f>IF(F182-G182&lt;0.005,0,F182-G182)</f>
        <v/>
      </c>
      <c r="I182">
        <f>N181</f>
        <v/>
      </c>
      <c r="J182">
        <f>I182*Plan!D7/100/12</f>
        <v/>
      </c>
      <c r="K182">
        <f>MIN(Plan!E7,I182+J182)</f>
        <v/>
      </c>
      <c r="L182">
        <f>I182+J182-K182</f>
        <v/>
      </c>
      <c r="M182">
        <f>MIN(L182,MAX(0,$B182-((E$5&lt;K$5)*F182+(Q$5&lt;K$5)*R182+(W$5&lt;K$5)*X182+(AC$5&lt;K$5)*AD182+(AI$5&lt;K$5)*AJ182+(AO$5&lt;K$5)*AP182+(AU$5&lt;K$5)*AV182)))</f>
        <v/>
      </c>
      <c r="N182">
        <f>IF(L182-M182&lt;0.005,0,L182-M182)</f>
        <v/>
      </c>
      <c r="O182">
        <f>T181</f>
        <v/>
      </c>
      <c r="P182">
        <f>O182*Plan!D8/100/12</f>
        <v/>
      </c>
      <c r="Q182">
        <f>MIN(Plan!E8,O182+P182)</f>
        <v/>
      </c>
      <c r="R182">
        <f>O182+P182-Q182</f>
        <v/>
      </c>
      <c r="S182">
        <f>MIN(R182,MAX(0,$B182-((E$5&lt;Q$5)*F182+(K$5&lt;Q$5)*L182+(W$5&lt;Q$5)*X182+(AC$5&lt;Q$5)*AD182+(AI$5&lt;Q$5)*AJ182+(AO$5&lt;Q$5)*AP182+(AU$5&lt;Q$5)*AV182)))</f>
        <v/>
      </c>
      <c r="T182">
        <f>IF(R182-S182&lt;0.005,0,R182-S182)</f>
        <v/>
      </c>
      <c r="U182">
        <f>Z181</f>
        <v/>
      </c>
      <c r="V182">
        <f>U182*Plan!D9/100/12</f>
        <v/>
      </c>
      <c r="W182">
        <f>MIN(Plan!E9,U182+V182)</f>
        <v/>
      </c>
      <c r="X182">
        <f>U182+V182-W182</f>
        <v/>
      </c>
      <c r="Y182">
        <f>MIN(X182,MAX(0,$B182-((E$5&lt;W$5)*F182+(K$5&lt;W$5)*L182+(Q$5&lt;W$5)*R182+(AC$5&lt;W$5)*AD182+(AI$5&lt;W$5)*AJ182+(AO$5&lt;W$5)*AP182+(AU$5&lt;W$5)*AV182)))</f>
        <v/>
      </c>
      <c r="Z182">
        <f>IF(X182-Y182&lt;0.005,0,X182-Y182)</f>
        <v/>
      </c>
      <c r="AA182">
        <f>AF181</f>
        <v/>
      </c>
      <c r="AB182">
        <f>AA182*Plan!D10/100/12</f>
        <v/>
      </c>
      <c r="AC182">
        <f>MIN(Plan!E10,AA182+AB182)</f>
        <v/>
      </c>
      <c r="AD182">
        <f>AA182+AB182-AC182</f>
        <v/>
      </c>
      <c r="AE182">
        <f>MIN(AD182,MAX(0,$B182-((E$5&lt;AC$5)*F182+(K$5&lt;AC$5)*L182+(Q$5&lt;AC$5)*R182+(W$5&lt;AC$5)*X182+(AI$5&lt;AC$5)*AJ182+(AO$5&lt;AC$5)*AP182+(AU$5&lt;AC$5)*AV182)))</f>
        <v/>
      </c>
      <c r="AF182">
        <f>IF(AD182-AE182&lt;0.005,0,AD182-AE182)</f>
        <v/>
      </c>
      <c r="AG182">
        <f>AL181</f>
        <v/>
      </c>
      <c r="AH182">
        <f>AG182*Plan!D11/100/12</f>
        <v/>
      </c>
      <c r="AI182">
        <f>MIN(Plan!E11,AG182+AH182)</f>
        <v/>
      </c>
      <c r="AJ182">
        <f>AG182+AH182-AI182</f>
        <v/>
      </c>
      <c r="AK182">
        <f>MIN(AJ182,MAX(0,$B182-((E$5&lt;AI$5)*F182+(K$5&lt;AI$5)*L182+(Q$5&lt;AI$5)*R182+(W$5&lt;AI$5)*X182+(AC$5&lt;AI$5)*AD182+(AO$5&lt;AI$5)*AP182+(AU$5&lt;AI$5)*AV182)))</f>
        <v/>
      </c>
      <c r="AL182">
        <f>IF(AJ182-AK182&lt;0.005,0,AJ182-AK182)</f>
        <v/>
      </c>
      <c r="AM182">
        <f>AR181</f>
        <v/>
      </c>
      <c r="AN182">
        <f>AM182*Plan!D12/100/12</f>
        <v/>
      </c>
      <c r="AO182">
        <f>MIN(Plan!E12,AM182+AN182)</f>
        <v/>
      </c>
      <c r="AP182">
        <f>AM182+AN182-AO182</f>
        <v/>
      </c>
      <c r="AQ182">
        <f>MIN(AP182,MAX(0,$B182-((E$5&lt;AO$5)*F182+(K$5&lt;AO$5)*L182+(Q$5&lt;AO$5)*R182+(W$5&lt;AO$5)*X182+(AC$5&lt;AO$5)*AD182+(AI$5&lt;AO$5)*AJ182+(AU$5&lt;AO$5)*AV182)))</f>
        <v/>
      </c>
      <c r="AR182">
        <f>IF(AP182-AQ182&lt;0.005,0,AP182-AQ182)</f>
        <v/>
      </c>
      <c r="AS182">
        <f>AX181</f>
        <v/>
      </c>
      <c r="AT182">
        <f>AS182*Plan!D13/100/12</f>
        <v/>
      </c>
      <c r="AU182">
        <f>MIN(Plan!E13,AS182+AT182)</f>
        <v/>
      </c>
      <c r="AV182">
        <f>AS182+AT182-AU182</f>
        <v/>
      </c>
      <c r="AW182">
        <f>MIN(AV182,MAX(0,$B182-((E$5&lt;AU$5)*F182+(K$5&lt;AU$5)*L182+(Q$5&lt;AU$5)*R182+(W$5&lt;AU$5)*X182+(AC$5&lt;AU$5)*AD182+(AI$5&lt;AU$5)*AJ182+(AO$5&lt;AU$5)*AP182)))</f>
        <v/>
      </c>
      <c r="AX182">
        <f>IF(AV182-AW182&lt;0.005,0,AV182-AW182)</f>
        <v/>
      </c>
      <c r="BC182">
        <f>H182+N182+T182+Z182+AF182+AL182+AR182+AX182</f>
        <v/>
      </c>
    </row>
    <row r="183">
      <c r="A183" t="n">
        <v>177</v>
      </c>
      <c r="B183" s="19">
        <f>MAX(0,$B$3-(E183+K183+Q183+W183+AC183+AI183+AO183+AU183))</f>
        <v/>
      </c>
      <c r="C183">
        <f>H182</f>
        <v/>
      </c>
      <c r="D183">
        <f>C183*Plan!D6/100/12</f>
        <v/>
      </c>
      <c r="E183">
        <f>MIN(Plan!E6,C183+D183)</f>
        <v/>
      </c>
      <c r="F183">
        <f>C183+D183-E183</f>
        <v/>
      </c>
      <c r="G183">
        <f>MIN(F183,MAX(0,$B183-((K$5&lt;E$5)*L183+(Q$5&lt;E$5)*R183+(W$5&lt;E$5)*X183+(AC$5&lt;E$5)*AD183+(AI$5&lt;E$5)*AJ183+(AO$5&lt;E$5)*AP183+(AU$5&lt;E$5)*AV183)))</f>
        <v/>
      </c>
      <c r="H183">
        <f>IF(F183-G183&lt;0.005,0,F183-G183)</f>
        <v/>
      </c>
      <c r="I183">
        <f>N182</f>
        <v/>
      </c>
      <c r="J183">
        <f>I183*Plan!D7/100/12</f>
        <v/>
      </c>
      <c r="K183">
        <f>MIN(Plan!E7,I183+J183)</f>
        <v/>
      </c>
      <c r="L183">
        <f>I183+J183-K183</f>
        <v/>
      </c>
      <c r="M183">
        <f>MIN(L183,MAX(0,$B183-((E$5&lt;K$5)*F183+(Q$5&lt;K$5)*R183+(W$5&lt;K$5)*X183+(AC$5&lt;K$5)*AD183+(AI$5&lt;K$5)*AJ183+(AO$5&lt;K$5)*AP183+(AU$5&lt;K$5)*AV183)))</f>
        <v/>
      </c>
      <c r="N183">
        <f>IF(L183-M183&lt;0.005,0,L183-M183)</f>
        <v/>
      </c>
      <c r="O183">
        <f>T182</f>
        <v/>
      </c>
      <c r="P183">
        <f>O183*Plan!D8/100/12</f>
        <v/>
      </c>
      <c r="Q183">
        <f>MIN(Plan!E8,O183+P183)</f>
        <v/>
      </c>
      <c r="R183">
        <f>O183+P183-Q183</f>
        <v/>
      </c>
      <c r="S183">
        <f>MIN(R183,MAX(0,$B183-((E$5&lt;Q$5)*F183+(K$5&lt;Q$5)*L183+(W$5&lt;Q$5)*X183+(AC$5&lt;Q$5)*AD183+(AI$5&lt;Q$5)*AJ183+(AO$5&lt;Q$5)*AP183+(AU$5&lt;Q$5)*AV183)))</f>
        <v/>
      </c>
      <c r="T183">
        <f>IF(R183-S183&lt;0.005,0,R183-S183)</f>
        <v/>
      </c>
      <c r="U183">
        <f>Z182</f>
        <v/>
      </c>
      <c r="V183">
        <f>U183*Plan!D9/100/12</f>
        <v/>
      </c>
      <c r="W183">
        <f>MIN(Plan!E9,U183+V183)</f>
        <v/>
      </c>
      <c r="X183">
        <f>U183+V183-W183</f>
        <v/>
      </c>
      <c r="Y183">
        <f>MIN(X183,MAX(0,$B183-((E$5&lt;W$5)*F183+(K$5&lt;W$5)*L183+(Q$5&lt;W$5)*R183+(AC$5&lt;W$5)*AD183+(AI$5&lt;W$5)*AJ183+(AO$5&lt;W$5)*AP183+(AU$5&lt;W$5)*AV183)))</f>
        <v/>
      </c>
      <c r="Z183">
        <f>IF(X183-Y183&lt;0.005,0,X183-Y183)</f>
        <v/>
      </c>
      <c r="AA183">
        <f>AF182</f>
        <v/>
      </c>
      <c r="AB183">
        <f>AA183*Plan!D10/100/12</f>
        <v/>
      </c>
      <c r="AC183">
        <f>MIN(Plan!E10,AA183+AB183)</f>
        <v/>
      </c>
      <c r="AD183">
        <f>AA183+AB183-AC183</f>
        <v/>
      </c>
      <c r="AE183">
        <f>MIN(AD183,MAX(0,$B183-((E$5&lt;AC$5)*F183+(K$5&lt;AC$5)*L183+(Q$5&lt;AC$5)*R183+(W$5&lt;AC$5)*X183+(AI$5&lt;AC$5)*AJ183+(AO$5&lt;AC$5)*AP183+(AU$5&lt;AC$5)*AV183)))</f>
        <v/>
      </c>
      <c r="AF183">
        <f>IF(AD183-AE183&lt;0.005,0,AD183-AE183)</f>
        <v/>
      </c>
      <c r="AG183">
        <f>AL182</f>
        <v/>
      </c>
      <c r="AH183">
        <f>AG183*Plan!D11/100/12</f>
        <v/>
      </c>
      <c r="AI183">
        <f>MIN(Plan!E11,AG183+AH183)</f>
        <v/>
      </c>
      <c r="AJ183">
        <f>AG183+AH183-AI183</f>
        <v/>
      </c>
      <c r="AK183">
        <f>MIN(AJ183,MAX(0,$B183-((E$5&lt;AI$5)*F183+(K$5&lt;AI$5)*L183+(Q$5&lt;AI$5)*R183+(W$5&lt;AI$5)*X183+(AC$5&lt;AI$5)*AD183+(AO$5&lt;AI$5)*AP183+(AU$5&lt;AI$5)*AV183)))</f>
        <v/>
      </c>
      <c r="AL183">
        <f>IF(AJ183-AK183&lt;0.005,0,AJ183-AK183)</f>
        <v/>
      </c>
      <c r="AM183">
        <f>AR182</f>
        <v/>
      </c>
      <c r="AN183">
        <f>AM183*Plan!D12/100/12</f>
        <v/>
      </c>
      <c r="AO183">
        <f>MIN(Plan!E12,AM183+AN183)</f>
        <v/>
      </c>
      <c r="AP183">
        <f>AM183+AN183-AO183</f>
        <v/>
      </c>
      <c r="AQ183">
        <f>MIN(AP183,MAX(0,$B183-((E$5&lt;AO$5)*F183+(K$5&lt;AO$5)*L183+(Q$5&lt;AO$5)*R183+(W$5&lt;AO$5)*X183+(AC$5&lt;AO$5)*AD183+(AI$5&lt;AO$5)*AJ183+(AU$5&lt;AO$5)*AV183)))</f>
        <v/>
      </c>
      <c r="AR183">
        <f>IF(AP183-AQ183&lt;0.005,0,AP183-AQ183)</f>
        <v/>
      </c>
      <c r="AS183">
        <f>AX182</f>
        <v/>
      </c>
      <c r="AT183">
        <f>AS183*Plan!D13/100/12</f>
        <v/>
      </c>
      <c r="AU183">
        <f>MIN(Plan!E13,AS183+AT183)</f>
        <v/>
      </c>
      <c r="AV183">
        <f>AS183+AT183-AU183</f>
        <v/>
      </c>
      <c r="AW183">
        <f>MIN(AV183,MAX(0,$B183-((E$5&lt;AU$5)*F183+(K$5&lt;AU$5)*L183+(Q$5&lt;AU$5)*R183+(W$5&lt;AU$5)*X183+(AC$5&lt;AU$5)*AD183+(AI$5&lt;AU$5)*AJ183+(AO$5&lt;AU$5)*AP183)))</f>
        <v/>
      </c>
      <c r="AX183">
        <f>IF(AV183-AW183&lt;0.005,0,AV183-AW183)</f>
        <v/>
      </c>
      <c r="BC183">
        <f>H183+N183+T183+Z183+AF183+AL183+AR183+AX183</f>
        <v/>
      </c>
    </row>
    <row r="184">
      <c r="A184" t="n">
        <v>178</v>
      </c>
      <c r="B184" s="19">
        <f>MAX(0,$B$3-(E184+K184+Q184+W184+AC184+AI184+AO184+AU184))</f>
        <v/>
      </c>
      <c r="C184">
        <f>H183</f>
        <v/>
      </c>
      <c r="D184">
        <f>C184*Plan!D6/100/12</f>
        <v/>
      </c>
      <c r="E184">
        <f>MIN(Plan!E6,C184+D184)</f>
        <v/>
      </c>
      <c r="F184">
        <f>C184+D184-E184</f>
        <v/>
      </c>
      <c r="G184">
        <f>MIN(F184,MAX(0,$B184-((K$5&lt;E$5)*L184+(Q$5&lt;E$5)*R184+(W$5&lt;E$5)*X184+(AC$5&lt;E$5)*AD184+(AI$5&lt;E$5)*AJ184+(AO$5&lt;E$5)*AP184+(AU$5&lt;E$5)*AV184)))</f>
        <v/>
      </c>
      <c r="H184">
        <f>IF(F184-G184&lt;0.005,0,F184-G184)</f>
        <v/>
      </c>
      <c r="I184">
        <f>N183</f>
        <v/>
      </c>
      <c r="J184">
        <f>I184*Plan!D7/100/12</f>
        <v/>
      </c>
      <c r="K184">
        <f>MIN(Plan!E7,I184+J184)</f>
        <v/>
      </c>
      <c r="L184">
        <f>I184+J184-K184</f>
        <v/>
      </c>
      <c r="M184">
        <f>MIN(L184,MAX(0,$B184-((E$5&lt;K$5)*F184+(Q$5&lt;K$5)*R184+(W$5&lt;K$5)*X184+(AC$5&lt;K$5)*AD184+(AI$5&lt;K$5)*AJ184+(AO$5&lt;K$5)*AP184+(AU$5&lt;K$5)*AV184)))</f>
        <v/>
      </c>
      <c r="N184">
        <f>IF(L184-M184&lt;0.005,0,L184-M184)</f>
        <v/>
      </c>
      <c r="O184">
        <f>T183</f>
        <v/>
      </c>
      <c r="P184">
        <f>O184*Plan!D8/100/12</f>
        <v/>
      </c>
      <c r="Q184">
        <f>MIN(Plan!E8,O184+P184)</f>
        <v/>
      </c>
      <c r="R184">
        <f>O184+P184-Q184</f>
        <v/>
      </c>
      <c r="S184">
        <f>MIN(R184,MAX(0,$B184-((E$5&lt;Q$5)*F184+(K$5&lt;Q$5)*L184+(W$5&lt;Q$5)*X184+(AC$5&lt;Q$5)*AD184+(AI$5&lt;Q$5)*AJ184+(AO$5&lt;Q$5)*AP184+(AU$5&lt;Q$5)*AV184)))</f>
        <v/>
      </c>
      <c r="T184">
        <f>IF(R184-S184&lt;0.005,0,R184-S184)</f>
        <v/>
      </c>
      <c r="U184">
        <f>Z183</f>
        <v/>
      </c>
      <c r="V184">
        <f>U184*Plan!D9/100/12</f>
        <v/>
      </c>
      <c r="W184">
        <f>MIN(Plan!E9,U184+V184)</f>
        <v/>
      </c>
      <c r="X184">
        <f>U184+V184-W184</f>
        <v/>
      </c>
      <c r="Y184">
        <f>MIN(X184,MAX(0,$B184-((E$5&lt;W$5)*F184+(K$5&lt;W$5)*L184+(Q$5&lt;W$5)*R184+(AC$5&lt;W$5)*AD184+(AI$5&lt;W$5)*AJ184+(AO$5&lt;W$5)*AP184+(AU$5&lt;W$5)*AV184)))</f>
        <v/>
      </c>
      <c r="Z184">
        <f>IF(X184-Y184&lt;0.005,0,X184-Y184)</f>
        <v/>
      </c>
      <c r="AA184">
        <f>AF183</f>
        <v/>
      </c>
      <c r="AB184">
        <f>AA184*Plan!D10/100/12</f>
        <v/>
      </c>
      <c r="AC184">
        <f>MIN(Plan!E10,AA184+AB184)</f>
        <v/>
      </c>
      <c r="AD184">
        <f>AA184+AB184-AC184</f>
        <v/>
      </c>
      <c r="AE184">
        <f>MIN(AD184,MAX(0,$B184-((E$5&lt;AC$5)*F184+(K$5&lt;AC$5)*L184+(Q$5&lt;AC$5)*R184+(W$5&lt;AC$5)*X184+(AI$5&lt;AC$5)*AJ184+(AO$5&lt;AC$5)*AP184+(AU$5&lt;AC$5)*AV184)))</f>
        <v/>
      </c>
      <c r="AF184">
        <f>IF(AD184-AE184&lt;0.005,0,AD184-AE184)</f>
        <v/>
      </c>
      <c r="AG184">
        <f>AL183</f>
        <v/>
      </c>
      <c r="AH184">
        <f>AG184*Plan!D11/100/12</f>
        <v/>
      </c>
      <c r="AI184">
        <f>MIN(Plan!E11,AG184+AH184)</f>
        <v/>
      </c>
      <c r="AJ184">
        <f>AG184+AH184-AI184</f>
        <v/>
      </c>
      <c r="AK184">
        <f>MIN(AJ184,MAX(0,$B184-((E$5&lt;AI$5)*F184+(K$5&lt;AI$5)*L184+(Q$5&lt;AI$5)*R184+(W$5&lt;AI$5)*X184+(AC$5&lt;AI$5)*AD184+(AO$5&lt;AI$5)*AP184+(AU$5&lt;AI$5)*AV184)))</f>
        <v/>
      </c>
      <c r="AL184">
        <f>IF(AJ184-AK184&lt;0.005,0,AJ184-AK184)</f>
        <v/>
      </c>
      <c r="AM184">
        <f>AR183</f>
        <v/>
      </c>
      <c r="AN184">
        <f>AM184*Plan!D12/100/12</f>
        <v/>
      </c>
      <c r="AO184">
        <f>MIN(Plan!E12,AM184+AN184)</f>
        <v/>
      </c>
      <c r="AP184">
        <f>AM184+AN184-AO184</f>
        <v/>
      </c>
      <c r="AQ184">
        <f>MIN(AP184,MAX(0,$B184-((E$5&lt;AO$5)*F184+(K$5&lt;AO$5)*L184+(Q$5&lt;AO$5)*R184+(W$5&lt;AO$5)*X184+(AC$5&lt;AO$5)*AD184+(AI$5&lt;AO$5)*AJ184+(AU$5&lt;AO$5)*AV184)))</f>
        <v/>
      </c>
      <c r="AR184">
        <f>IF(AP184-AQ184&lt;0.005,0,AP184-AQ184)</f>
        <v/>
      </c>
      <c r="AS184">
        <f>AX183</f>
        <v/>
      </c>
      <c r="AT184">
        <f>AS184*Plan!D13/100/12</f>
        <v/>
      </c>
      <c r="AU184">
        <f>MIN(Plan!E13,AS184+AT184)</f>
        <v/>
      </c>
      <c r="AV184">
        <f>AS184+AT184-AU184</f>
        <v/>
      </c>
      <c r="AW184">
        <f>MIN(AV184,MAX(0,$B184-((E$5&lt;AU$5)*F184+(K$5&lt;AU$5)*L184+(Q$5&lt;AU$5)*R184+(W$5&lt;AU$5)*X184+(AC$5&lt;AU$5)*AD184+(AI$5&lt;AU$5)*AJ184+(AO$5&lt;AU$5)*AP184)))</f>
        <v/>
      </c>
      <c r="AX184">
        <f>IF(AV184-AW184&lt;0.005,0,AV184-AW184)</f>
        <v/>
      </c>
      <c r="BC184">
        <f>H184+N184+T184+Z184+AF184+AL184+AR184+AX184</f>
        <v/>
      </c>
    </row>
    <row r="185">
      <c r="A185" t="n">
        <v>179</v>
      </c>
      <c r="B185" s="19">
        <f>MAX(0,$B$3-(E185+K185+Q185+W185+AC185+AI185+AO185+AU185))</f>
        <v/>
      </c>
      <c r="C185">
        <f>H184</f>
        <v/>
      </c>
      <c r="D185">
        <f>C185*Plan!D6/100/12</f>
        <v/>
      </c>
      <c r="E185">
        <f>MIN(Plan!E6,C185+D185)</f>
        <v/>
      </c>
      <c r="F185">
        <f>C185+D185-E185</f>
        <v/>
      </c>
      <c r="G185">
        <f>MIN(F185,MAX(0,$B185-((K$5&lt;E$5)*L185+(Q$5&lt;E$5)*R185+(W$5&lt;E$5)*X185+(AC$5&lt;E$5)*AD185+(AI$5&lt;E$5)*AJ185+(AO$5&lt;E$5)*AP185+(AU$5&lt;E$5)*AV185)))</f>
        <v/>
      </c>
      <c r="H185">
        <f>IF(F185-G185&lt;0.005,0,F185-G185)</f>
        <v/>
      </c>
      <c r="I185">
        <f>N184</f>
        <v/>
      </c>
      <c r="J185">
        <f>I185*Plan!D7/100/12</f>
        <v/>
      </c>
      <c r="K185">
        <f>MIN(Plan!E7,I185+J185)</f>
        <v/>
      </c>
      <c r="L185">
        <f>I185+J185-K185</f>
        <v/>
      </c>
      <c r="M185">
        <f>MIN(L185,MAX(0,$B185-((E$5&lt;K$5)*F185+(Q$5&lt;K$5)*R185+(W$5&lt;K$5)*X185+(AC$5&lt;K$5)*AD185+(AI$5&lt;K$5)*AJ185+(AO$5&lt;K$5)*AP185+(AU$5&lt;K$5)*AV185)))</f>
        <v/>
      </c>
      <c r="N185">
        <f>IF(L185-M185&lt;0.005,0,L185-M185)</f>
        <v/>
      </c>
      <c r="O185">
        <f>T184</f>
        <v/>
      </c>
      <c r="P185">
        <f>O185*Plan!D8/100/12</f>
        <v/>
      </c>
      <c r="Q185">
        <f>MIN(Plan!E8,O185+P185)</f>
        <v/>
      </c>
      <c r="R185">
        <f>O185+P185-Q185</f>
        <v/>
      </c>
      <c r="S185">
        <f>MIN(R185,MAX(0,$B185-((E$5&lt;Q$5)*F185+(K$5&lt;Q$5)*L185+(W$5&lt;Q$5)*X185+(AC$5&lt;Q$5)*AD185+(AI$5&lt;Q$5)*AJ185+(AO$5&lt;Q$5)*AP185+(AU$5&lt;Q$5)*AV185)))</f>
        <v/>
      </c>
      <c r="T185">
        <f>IF(R185-S185&lt;0.005,0,R185-S185)</f>
        <v/>
      </c>
      <c r="U185">
        <f>Z184</f>
        <v/>
      </c>
      <c r="V185">
        <f>U185*Plan!D9/100/12</f>
        <v/>
      </c>
      <c r="W185">
        <f>MIN(Plan!E9,U185+V185)</f>
        <v/>
      </c>
      <c r="X185">
        <f>U185+V185-W185</f>
        <v/>
      </c>
      <c r="Y185">
        <f>MIN(X185,MAX(0,$B185-((E$5&lt;W$5)*F185+(K$5&lt;W$5)*L185+(Q$5&lt;W$5)*R185+(AC$5&lt;W$5)*AD185+(AI$5&lt;W$5)*AJ185+(AO$5&lt;W$5)*AP185+(AU$5&lt;W$5)*AV185)))</f>
        <v/>
      </c>
      <c r="Z185">
        <f>IF(X185-Y185&lt;0.005,0,X185-Y185)</f>
        <v/>
      </c>
      <c r="AA185">
        <f>AF184</f>
        <v/>
      </c>
      <c r="AB185">
        <f>AA185*Plan!D10/100/12</f>
        <v/>
      </c>
      <c r="AC185">
        <f>MIN(Plan!E10,AA185+AB185)</f>
        <v/>
      </c>
      <c r="AD185">
        <f>AA185+AB185-AC185</f>
        <v/>
      </c>
      <c r="AE185">
        <f>MIN(AD185,MAX(0,$B185-((E$5&lt;AC$5)*F185+(K$5&lt;AC$5)*L185+(Q$5&lt;AC$5)*R185+(W$5&lt;AC$5)*X185+(AI$5&lt;AC$5)*AJ185+(AO$5&lt;AC$5)*AP185+(AU$5&lt;AC$5)*AV185)))</f>
        <v/>
      </c>
      <c r="AF185">
        <f>IF(AD185-AE185&lt;0.005,0,AD185-AE185)</f>
        <v/>
      </c>
      <c r="AG185">
        <f>AL184</f>
        <v/>
      </c>
      <c r="AH185">
        <f>AG185*Plan!D11/100/12</f>
        <v/>
      </c>
      <c r="AI185">
        <f>MIN(Plan!E11,AG185+AH185)</f>
        <v/>
      </c>
      <c r="AJ185">
        <f>AG185+AH185-AI185</f>
        <v/>
      </c>
      <c r="AK185">
        <f>MIN(AJ185,MAX(0,$B185-((E$5&lt;AI$5)*F185+(K$5&lt;AI$5)*L185+(Q$5&lt;AI$5)*R185+(W$5&lt;AI$5)*X185+(AC$5&lt;AI$5)*AD185+(AO$5&lt;AI$5)*AP185+(AU$5&lt;AI$5)*AV185)))</f>
        <v/>
      </c>
      <c r="AL185">
        <f>IF(AJ185-AK185&lt;0.005,0,AJ185-AK185)</f>
        <v/>
      </c>
      <c r="AM185">
        <f>AR184</f>
        <v/>
      </c>
      <c r="AN185">
        <f>AM185*Plan!D12/100/12</f>
        <v/>
      </c>
      <c r="AO185">
        <f>MIN(Plan!E12,AM185+AN185)</f>
        <v/>
      </c>
      <c r="AP185">
        <f>AM185+AN185-AO185</f>
        <v/>
      </c>
      <c r="AQ185">
        <f>MIN(AP185,MAX(0,$B185-((E$5&lt;AO$5)*F185+(K$5&lt;AO$5)*L185+(Q$5&lt;AO$5)*R185+(W$5&lt;AO$5)*X185+(AC$5&lt;AO$5)*AD185+(AI$5&lt;AO$5)*AJ185+(AU$5&lt;AO$5)*AV185)))</f>
        <v/>
      </c>
      <c r="AR185">
        <f>IF(AP185-AQ185&lt;0.005,0,AP185-AQ185)</f>
        <v/>
      </c>
      <c r="AS185">
        <f>AX184</f>
        <v/>
      </c>
      <c r="AT185">
        <f>AS185*Plan!D13/100/12</f>
        <v/>
      </c>
      <c r="AU185">
        <f>MIN(Plan!E13,AS185+AT185)</f>
        <v/>
      </c>
      <c r="AV185">
        <f>AS185+AT185-AU185</f>
        <v/>
      </c>
      <c r="AW185">
        <f>MIN(AV185,MAX(0,$B185-((E$5&lt;AU$5)*F185+(K$5&lt;AU$5)*L185+(Q$5&lt;AU$5)*R185+(W$5&lt;AU$5)*X185+(AC$5&lt;AU$5)*AD185+(AI$5&lt;AU$5)*AJ185+(AO$5&lt;AU$5)*AP185)))</f>
        <v/>
      </c>
      <c r="AX185">
        <f>IF(AV185-AW185&lt;0.005,0,AV185-AW185)</f>
        <v/>
      </c>
      <c r="BC185">
        <f>H185+N185+T185+Z185+AF185+AL185+AR185+AX185</f>
        <v/>
      </c>
    </row>
    <row r="186">
      <c r="A186" t="n">
        <v>180</v>
      </c>
      <c r="B186" s="19">
        <f>MAX(0,$B$3-(E186+K186+Q186+W186+AC186+AI186+AO186+AU186))</f>
        <v/>
      </c>
      <c r="C186">
        <f>H185</f>
        <v/>
      </c>
      <c r="D186">
        <f>C186*Plan!D6/100/12</f>
        <v/>
      </c>
      <c r="E186">
        <f>MIN(Plan!E6,C186+D186)</f>
        <v/>
      </c>
      <c r="F186">
        <f>C186+D186-E186</f>
        <v/>
      </c>
      <c r="G186">
        <f>MIN(F186,MAX(0,$B186-((K$5&lt;E$5)*L186+(Q$5&lt;E$5)*R186+(W$5&lt;E$5)*X186+(AC$5&lt;E$5)*AD186+(AI$5&lt;E$5)*AJ186+(AO$5&lt;E$5)*AP186+(AU$5&lt;E$5)*AV186)))</f>
        <v/>
      </c>
      <c r="H186">
        <f>IF(F186-G186&lt;0.005,0,F186-G186)</f>
        <v/>
      </c>
      <c r="I186">
        <f>N185</f>
        <v/>
      </c>
      <c r="J186">
        <f>I186*Plan!D7/100/12</f>
        <v/>
      </c>
      <c r="K186">
        <f>MIN(Plan!E7,I186+J186)</f>
        <v/>
      </c>
      <c r="L186">
        <f>I186+J186-K186</f>
        <v/>
      </c>
      <c r="M186">
        <f>MIN(L186,MAX(0,$B186-((E$5&lt;K$5)*F186+(Q$5&lt;K$5)*R186+(W$5&lt;K$5)*X186+(AC$5&lt;K$5)*AD186+(AI$5&lt;K$5)*AJ186+(AO$5&lt;K$5)*AP186+(AU$5&lt;K$5)*AV186)))</f>
        <v/>
      </c>
      <c r="N186">
        <f>IF(L186-M186&lt;0.005,0,L186-M186)</f>
        <v/>
      </c>
      <c r="O186">
        <f>T185</f>
        <v/>
      </c>
      <c r="P186">
        <f>O186*Plan!D8/100/12</f>
        <v/>
      </c>
      <c r="Q186">
        <f>MIN(Plan!E8,O186+P186)</f>
        <v/>
      </c>
      <c r="R186">
        <f>O186+P186-Q186</f>
        <v/>
      </c>
      <c r="S186">
        <f>MIN(R186,MAX(0,$B186-((E$5&lt;Q$5)*F186+(K$5&lt;Q$5)*L186+(W$5&lt;Q$5)*X186+(AC$5&lt;Q$5)*AD186+(AI$5&lt;Q$5)*AJ186+(AO$5&lt;Q$5)*AP186+(AU$5&lt;Q$5)*AV186)))</f>
        <v/>
      </c>
      <c r="T186">
        <f>IF(R186-S186&lt;0.005,0,R186-S186)</f>
        <v/>
      </c>
      <c r="U186">
        <f>Z185</f>
        <v/>
      </c>
      <c r="V186">
        <f>U186*Plan!D9/100/12</f>
        <v/>
      </c>
      <c r="W186">
        <f>MIN(Plan!E9,U186+V186)</f>
        <v/>
      </c>
      <c r="X186">
        <f>U186+V186-W186</f>
        <v/>
      </c>
      <c r="Y186">
        <f>MIN(X186,MAX(0,$B186-((E$5&lt;W$5)*F186+(K$5&lt;W$5)*L186+(Q$5&lt;W$5)*R186+(AC$5&lt;W$5)*AD186+(AI$5&lt;W$5)*AJ186+(AO$5&lt;W$5)*AP186+(AU$5&lt;W$5)*AV186)))</f>
        <v/>
      </c>
      <c r="Z186">
        <f>IF(X186-Y186&lt;0.005,0,X186-Y186)</f>
        <v/>
      </c>
      <c r="AA186">
        <f>AF185</f>
        <v/>
      </c>
      <c r="AB186">
        <f>AA186*Plan!D10/100/12</f>
        <v/>
      </c>
      <c r="AC186">
        <f>MIN(Plan!E10,AA186+AB186)</f>
        <v/>
      </c>
      <c r="AD186">
        <f>AA186+AB186-AC186</f>
        <v/>
      </c>
      <c r="AE186">
        <f>MIN(AD186,MAX(0,$B186-((E$5&lt;AC$5)*F186+(K$5&lt;AC$5)*L186+(Q$5&lt;AC$5)*R186+(W$5&lt;AC$5)*X186+(AI$5&lt;AC$5)*AJ186+(AO$5&lt;AC$5)*AP186+(AU$5&lt;AC$5)*AV186)))</f>
        <v/>
      </c>
      <c r="AF186">
        <f>IF(AD186-AE186&lt;0.005,0,AD186-AE186)</f>
        <v/>
      </c>
      <c r="AG186">
        <f>AL185</f>
        <v/>
      </c>
      <c r="AH186">
        <f>AG186*Plan!D11/100/12</f>
        <v/>
      </c>
      <c r="AI186">
        <f>MIN(Plan!E11,AG186+AH186)</f>
        <v/>
      </c>
      <c r="AJ186">
        <f>AG186+AH186-AI186</f>
        <v/>
      </c>
      <c r="AK186">
        <f>MIN(AJ186,MAX(0,$B186-((E$5&lt;AI$5)*F186+(K$5&lt;AI$5)*L186+(Q$5&lt;AI$5)*R186+(W$5&lt;AI$5)*X186+(AC$5&lt;AI$5)*AD186+(AO$5&lt;AI$5)*AP186+(AU$5&lt;AI$5)*AV186)))</f>
        <v/>
      </c>
      <c r="AL186">
        <f>IF(AJ186-AK186&lt;0.005,0,AJ186-AK186)</f>
        <v/>
      </c>
      <c r="AM186">
        <f>AR185</f>
        <v/>
      </c>
      <c r="AN186">
        <f>AM186*Plan!D12/100/12</f>
        <v/>
      </c>
      <c r="AO186">
        <f>MIN(Plan!E12,AM186+AN186)</f>
        <v/>
      </c>
      <c r="AP186">
        <f>AM186+AN186-AO186</f>
        <v/>
      </c>
      <c r="AQ186">
        <f>MIN(AP186,MAX(0,$B186-((E$5&lt;AO$5)*F186+(K$5&lt;AO$5)*L186+(Q$5&lt;AO$5)*R186+(W$5&lt;AO$5)*X186+(AC$5&lt;AO$5)*AD186+(AI$5&lt;AO$5)*AJ186+(AU$5&lt;AO$5)*AV186)))</f>
        <v/>
      </c>
      <c r="AR186">
        <f>IF(AP186-AQ186&lt;0.005,0,AP186-AQ186)</f>
        <v/>
      </c>
      <c r="AS186">
        <f>AX185</f>
        <v/>
      </c>
      <c r="AT186">
        <f>AS186*Plan!D13/100/12</f>
        <v/>
      </c>
      <c r="AU186">
        <f>MIN(Plan!E13,AS186+AT186)</f>
        <v/>
      </c>
      <c r="AV186">
        <f>AS186+AT186-AU186</f>
        <v/>
      </c>
      <c r="AW186">
        <f>MIN(AV186,MAX(0,$B186-((E$5&lt;AU$5)*F186+(K$5&lt;AU$5)*L186+(Q$5&lt;AU$5)*R186+(W$5&lt;AU$5)*X186+(AC$5&lt;AU$5)*AD186+(AI$5&lt;AU$5)*AJ186+(AO$5&lt;AU$5)*AP186)))</f>
        <v/>
      </c>
      <c r="AX186">
        <f>IF(AV186-AW186&lt;0.005,0,AV186-AW186)</f>
        <v/>
      </c>
      <c r="BC186">
        <f>H186+N186+T186+Z186+AF186+AL186+AR186+AX186</f>
        <v/>
      </c>
    </row>
    <row r="187">
      <c r="A187" t="n">
        <v>181</v>
      </c>
      <c r="B187" s="19">
        <f>MAX(0,$B$3-(E187+K187+Q187+W187+AC187+AI187+AO187+AU187))</f>
        <v/>
      </c>
      <c r="C187">
        <f>H186</f>
        <v/>
      </c>
      <c r="D187">
        <f>C187*Plan!D6/100/12</f>
        <v/>
      </c>
      <c r="E187">
        <f>MIN(Plan!E6,C187+D187)</f>
        <v/>
      </c>
      <c r="F187">
        <f>C187+D187-E187</f>
        <v/>
      </c>
      <c r="G187">
        <f>MIN(F187,MAX(0,$B187-((K$5&lt;E$5)*L187+(Q$5&lt;E$5)*R187+(W$5&lt;E$5)*X187+(AC$5&lt;E$5)*AD187+(AI$5&lt;E$5)*AJ187+(AO$5&lt;E$5)*AP187+(AU$5&lt;E$5)*AV187)))</f>
        <v/>
      </c>
      <c r="H187">
        <f>IF(F187-G187&lt;0.005,0,F187-G187)</f>
        <v/>
      </c>
      <c r="I187">
        <f>N186</f>
        <v/>
      </c>
      <c r="J187">
        <f>I187*Plan!D7/100/12</f>
        <v/>
      </c>
      <c r="K187">
        <f>MIN(Plan!E7,I187+J187)</f>
        <v/>
      </c>
      <c r="L187">
        <f>I187+J187-K187</f>
        <v/>
      </c>
      <c r="M187">
        <f>MIN(L187,MAX(0,$B187-((E$5&lt;K$5)*F187+(Q$5&lt;K$5)*R187+(W$5&lt;K$5)*X187+(AC$5&lt;K$5)*AD187+(AI$5&lt;K$5)*AJ187+(AO$5&lt;K$5)*AP187+(AU$5&lt;K$5)*AV187)))</f>
        <v/>
      </c>
      <c r="N187">
        <f>IF(L187-M187&lt;0.005,0,L187-M187)</f>
        <v/>
      </c>
      <c r="O187">
        <f>T186</f>
        <v/>
      </c>
      <c r="P187">
        <f>O187*Plan!D8/100/12</f>
        <v/>
      </c>
      <c r="Q187">
        <f>MIN(Plan!E8,O187+P187)</f>
        <v/>
      </c>
      <c r="R187">
        <f>O187+P187-Q187</f>
        <v/>
      </c>
      <c r="S187">
        <f>MIN(R187,MAX(0,$B187-((E$5&lt;Q$5)*F187+(K$5&lt;Q$5)*L187+(W$5&lt;Q$5)*X187+(AC$5&lt;Q$5)*AD187+(AI$5&lt;Q$5)*AJ187+(AO$5&lt;Q$5)*AP187+(AU$5&lt;Q$5)*AV187)))</f>
        <v/>
      </c>
      <c r="T187">
        <f>IF(R187-S187&lt;0.005,0,R187-S187)</f>
        <v/>
      </c>
      <c r="U187">
        <f>Z186</f>
        <v/>
      </c>
      <c r="V187">
        <f>U187*Plan!D9/100/12</f>
        <v/>
      </c>
      <c r="W187">
        <f>MIN(Plan!E9,U187+V187)</f>
        <v/>
      </c>
      <c r="X187">
        <f>U187+V187-W187</f>
        <v/>
      </c>
      <c r="Y187">
        <f>MIN(X187,MAX(0,$B187-((E$5&lt;W$5)*F187+(K$5&lt;W$5)*L187+(Q$5&lt;W$5)*R187+(AC$5&lt;W$5)*AD187+(AI$5&lt;W$5)*AJ187+(AO$5&lt;W$5)*AP187+(AU$5&lt;W$5)*AV187)))</f>
        <v/>
      </c>
      <c r="Z187">
        <f>IF(X187-Y187&lt;0.005,0,X187-Y187)</f>
        <v/>
      </c>
      <c r="AA187">
        <f>AF186</f>
        <v/>
      </c>
      <c r="AB187">
        <f>AA187*Plan!D10/100/12</f>
        <v/>
      </c>
      <c r="AC187">
        <f>MIN(Plan!E10,AA187+AB187)</f>
        <v/>
      </c>
      <c r="AD187">
        <f>AA187+AB187-AC187</f>
        <v/>
      </c>
      <c r="AE187">
        <f>MIN(AD187,MAX(0,$B187-((E$5&lt;AC$5)*F187+(K$5&lt;AC$5)*L187+(Q$5&lt;AC$5)*R187+(W$5&lt;AC$5)*X187+(AI$5&lt;AC$5)*AJ187+(AO$5&lt;AC$5)*AP187+(AU$5&lt;AC$5)*AV187)))</f>
        <v/>
      </c>
      <c r="AF187">
        <f>IF(AD187-AE187&lt;0.005,0,AD187-AE187)</f>
        <v/>
      </c>
      <c r="AG187">
        <f>AL186</f>
        <v/>
      </c>
      <c r="AH187">
        <f>AG187*Plan!D11/100/12</f>
        <v/>
      </c>
      <c r="AI187">
        <f>MIN(Plan!E11,AG187+AH187)</f>
        <v/>
      </c>
      <c r="AJ187">
        <f>AG187+AH187-AI187</f>
        <v/>
      </c>
      <c r="AK187">
        <f>MIN(AJ187,MAX(0,$B187-((E$5&lt;AI$5)*F187+(K$5&lt;AI$5)*L187+(Q$5&lt;AI$5)*R187+(W$5&lt;AI$5)*X187+(AC$5&lt;AI$5)*AD187+(AO$5&lt;AI$5)*AP187+(AU$5&lt;AI$5)*AV187)))</f>
        <v/>
      </c>
      <c r="AL187">
        <f>IF(AJ187-AK187&lt;0.005,0,AJ187-AK187)</f>
        <v/>
      </c>
      <c r="AM187">
        <f>AR186</f>
        <v/>
      </c>
      <c r="AN187">
        <f>AM187*Plan!D12/100/12</f>
        <v/>
      </c>
      <c r="AO187">
        <f>MIN(Plan!E12,AM187+AN187)</f>
        <v/>
      </c>
      <c r="AP187">
        <f>AM187+AN187-AO187</f>
        <v/>
      </c>
      <c r="AQ187">
        <f>MIN(AP187,MAX(0,$B187-((E$5&lt;AO$5)*F187+(K$5&lt;AO$5)*L187+(Q$5&lt;AO$5)*R187+(W$5&lt;AO$5)*X187+(AC$5&lt;AO$5)*AD187+(AI$5&lt;AO$5)*AJ187+(AU$5&lt;AO$5)*AV187)))</f>
        <v/>
      </c>
      <c r="AR187">
        <f>IF(AP187-AQ187&lt;0.005,0,AP187-AQ187)</f>
        <v/>
      </c>
      <c r="AS187">
        <f>AX186</f>
        <v/>
      </c>
      <c r="AT187">
        <f>AS187*Plan!D13/100/12</f>
        <v/>
      </c>
      <c r="AU187">
        <f>MIN(Plan!E13,AS187+AT187)</f>
        <v/>
      </c>
      <c r="AV187">
        <f>AS187+AT187-AU187</f>
        <v/>
      </c>
      <c r="AW187">
        <f>MIN(AV187,MAX(0,$B187-((E$5&lt;AU$5)*F187+(K$5&lt;AU$5)*L187+(Q$5&lt;AU$5)*R187+(W$5&lt;AU$5)*X187+(AC$5&lt;AU$5)*AD187+(AI$5&lt;AU$5)*AJ187+(AO$5&lt;AU$5)*AP187)))</f>
        <v/>
      </c>
      <c r="AX187">
        <f>IF(AV187-AW187&lt;0.005,0,AV187-AW187)</f>
        <v/>
      </c>
      <c r="BC187">
        <f>H187+N187+T187+Z187+AF187+AL187+AR187+AX187</f>
        <v/>
      </c>
    </row>
    <row r="188">
      <c r="A188" t="n">
        <v>182</v>
      </c>
      <c r="B188" s="19">
        <f>MAX(0,$B$3-(E188+K188+Q188+W188+AC188+AI188+AO188+AU188))</f>
        <v/>
      </c>
      <c r="C188">
        <f>H187</f>
        <v/>
      </c>
      <c r="D188">
        <f>C188*Plan!D6/100/12</f>
        <v/>
      </c>
      <c r="E188">
        <f>MIN(Plan!E6,C188+D188)</f>
        <v/>
      </c>
      <c r="F188">
        <f>C188+D188-E188</f>
        <v/>
      </c>
      <c r="G188">
        <f>MIN(F188,MAX(0,$B188-((K$5&lt;E$5)*L188+(Q$5&lt;E$5)*R188+(W$5&lt;E$5)*X188+(AC$5&lt;E$5)*AD188+(AI$5&lt;E$5)*AJ188+(AO$5&lt;E$5)*AP188+(AU$5&lt;E$5)*AV188)))</f>
        <v/>
      </c>
      <c r="H188">
        <f>IF(F188-G188&lt;0.005,0,F188-G188)</f>
        <v/>
      </c>
      <c r="I188">
        <f>N187</f>
        <v/>
      </c>
      <c r="J188">
        <f>I188*Plan!D7/100/12</f>
        <v/>
      </c>
      <c r="K188">
        <f>MIN(Plan!E7,I188+J188)</f>
        <v/>
      </c>
      <c r="L188">
        <f>I188+J188-K188</f>
        <v/>
      </c>
      <c r="M188">
        <f>MIN(L188,MAX(0,$B188-((E$5&lt;K$5)*F188+(Q$5&lt;K$5)*R188+(W$5&lt;K$5)*X188+(AC$5&lt;K$5)*AD188+(AI$5&lt;K$5)*AJ188+(AO$5&lt;K$5)*AP188+(AU$5&lt;K$5)*AV188)))</f>
        <v/>
      </c>
      <c r="N188">
        <f>IF(L188-M188&lt;0.005,0,L188-M188)</f>
        <v/>
      </c>
      <c r="O188">
        <f>T187</f>
        <v/>
      </c>
      <c r="P188">
        <f>O188*Plan!D8/100/12</f>
        <v/>
      </c>
      <c r="Q188">
        <f>MIN(Plan!E8,O188+P188)</f>
        <v/>
      </c>
      <c r="R188">
        <f>O188+P188-Q188</f>
        <v/>
      </c>
      <c r="S188">
        <f>MIN(R188,MAX(0,$B188-((E$5&lt;Q$5)*F188+(K$5&lt;Q$5)*L188+(W$5&lt;Q$5)*X188+(AC$5&lt;Q$5)*AD188+(AI$5&lt;Q$5)*AJ188+(AO$5&lt;Q$5)*AP188+(AU$5&lt;Q$5)*AV188)))</f>
        <v/>
      </c>
      <c r="T188">
        <f>IF(R188-S188&lt;0.005,0,R188-S188)</f>
        <v/>
      </c>
      <c r="U188">
        <f>Z187</f>
        <v/>
      </c>
      <c r="V188">
        <f>U188*Plan!D9/100/12</f>
        <v/>
      </c>
      <c r="W188">
        <f>MIN(Plan!E9,U188+V188)</f>
        <v/>
      </c>
      <c r="X188">
        <f>U188+V188-W188</f>
        <v/>
      </c>
      <c r="Y188">
        <f>MIN(X188,MAX(0,$B188-((E$5&lt;W$5)*F188+(K$5&lt;W$5)*L188+(Q$5&lt;W$5)*R188+(AC$5&lt;W$5)*AD188+(AI$5&lt;W$5)*AJ188+(AO$5&lt;W$5)*AP188+(AU$5&lt;W$5)*AV188)))</f>
        <v/>
      </c>
      <c r="Z188">
        <f>IF(X188-Y188&lt;0.005,0,X188-Y188)</f>
        <v/>
      </c>
      <c r="AA188">
        <f>AF187</f>
        <v/>
      </c>
      <c r="AB188">
        <f>AA188*Plan!D10/100/12</f>
        <v/>
      </c>
      <c r="AC188">
        <f>MIN(Plan!E10,AA188+AB188)</f>
        <v/>
      </c>
      <c r="AD188">
        <f>AA188+AB188-AC188</f>
        <v/>
      </c>
      <c r="AE188">
        <f>MIN(AD188,MAX(0,$B188-((E$5&lt;AC$5)*F188+(K$5&lt;AC$5)*L188+(Q$5&lt;AC$5)*R188+(W$5&lt;AC$5)*X188+(AI$5&lt;AC$5)*AJ188+(AO$5&lt;AC$5)*AP188+(AU$5&lt;AC$5)*AV188)))</f>
        <v/>
      </c>
      <c r="AF188">
        <f>IF(AD188-AE188&lt;0.005,0,AD188-AE188)</f>
        <v/>
      </c>
      <c r="AG188">
        <f>AL187</f>
        <v/>
      </c>
      <c r="AH188">
        <f>AG188*Plan!D11/100/12</f>
        <v/>
      </c>
      <c r="AI188">
        <f>MIN(Plan!E11,AG188+AH188)</f>
        <v/>
      </c>
      <c r="AJ188">
        <f>AG188+AH188-AI188</f>
        <v/>
      </c>
      <c r="AK188">
        <f>MIN(AJ188,MAX(0,$B188-((E$5&lt;AI$5)*F188+(K$5&lt;AI$5)*L188+(Q$5&lt;AI$5)*R188+(W$5&lt;AI$5)*X188+(AC$5&lt;AI$5)*AD188+(AO$5&lt;AI$5)*AP188+(AU$5&lt;AI$5)*AV188)))</f>
        <v/>
      </c>
      <c r="AL188">
        <f>IF(AJ188-AK188&lt;0.005,0,AJ188-AK188)</f>
        <v/>
      </c>
      <c r="AM188">
        <f>AR187</f>
        <v/>
      </c>
      <c r="AN188">
        <f>AM188*Plan!D12/100/12</f>
        <v/>
      </c>
      <c r="AO188">
        <f>MIN(Plan!E12,AM188+AN188)</f>
        <v/>
      </c>
      <c r="AP188">
        <f>AM188+AN188-AO188</f>
        <v/>
      </c>
      <c r="AQ188">
        <f>MIN(AP188,MAX(0,$B188-((E$5&lt;AO$5)*F188+(K$5&lt;AO$5)*L188+(Q$5&lt;AO$5)*R188+(W$5&lt;AO$5)*X188+(AC$5&lt;AO$5)*AD188+(AI$5&lt;AO$5)*AJ188+(AU$5&lt;AO$5)*AV188)))</f>
        <v/>
      </c>
      <c r="AR188">
        <f>IF(AP188-AQ188&lt;0.005,0,AP188-AQ188)</f>
        <v/>
      </c>
      <c r="AS188">
        <f>AX187</f>
        <v/>
      </c>
      <c r="AT188">
        <f>AS188*Plan!D13/100/12</f>
        <v/>
      </c>
      <c r="AU188">
        <f>MIN(Plan!E13,AS188+AT188)</f>
        <v/>
      </c>
      <c r="AV188">
        <f>AS188+AT188-AU188</f>
        <v/>
      </c>
      <c r="AW188">
        <f>MIN(AV188,MAX(0,$B188-((E$5&lt;AU$5)*F188+(K$5&lt;AU$5)*L188+(Q$5&lt;AU$5)*R188+(W$5&lt;AU$5)*X188+(AC$5&lt;AU$5)*AD188+(AI$5&lt;AU$5)*AJ188+(AO$5&lt;AU$5)*AP188)))</f>
        <v/>
      </c>
      <c r="AX188">
        <f>IF(AV188-AW188&lt;0.005,0,AV188-AW188)</f>
        <v/>
      </c>
      <c r="BC188">
        <f>H188+N188+T188+Z188+AF188+AL188+AR188+AX188</f>
        <v/>
      </c>
    </row>
    <row r="189">
      <c r="A189" t="n">
        <v>183</v>
      </c>
      <c r="B189" s="19">
        <f>MAX(0,$B$3-(E189+K189+Q189+W189+AC189+AI189+AO189+AU189))</f>
        <v/>
      </c>
      <c r="C189">
        <f>H188</f>
        <v/>
      </c>
      <c r="D189">
        <f>C189*Plan!D6/100/12</f>
        <v/>
      </c>
      <c r="E189">
        <f>MIN(Plan!E6,C189+D189)</f>
        <v/>
      </c>
      <c r="F189">
        <f>C189+D189-E189</f>
        <v/>
      </c>
      <c r="G189">
        <f>MIN(F189,MAX(0,$B189-((K$5&lt;E$5)*L189+(Q$5&lt;E$5)*R189+(W$5&lt;E$5)*X189+(AC$5&lt;E$5)*AD189+(AI$5&lt;E$5)*AJ189+(AO$5&lt;E$5)*AP189+(AU$5&lt;E$5)*AV189)))</f>
        <v/>
      </c>
      <c r="H189">
        <f>IF(F189-G189&lt;0.005,0,F189-G189)</f>
        <v/>
      </c>
      <c r="I189">
        <f>N188</f>
        <v/>
      </c>
      <c r="J189">
        <f>I189*Plan!D7/100/12</f>
        <v/>
      </c>
      <c r="K189">
        <f>MIN(Plan!E7,I189+J189)</f>
        <v/>
      </c>
      <c r="L189">
        <f>I189+J189-K189</f>
        <v/>
      </c>
      <c r="M189">
        <f>MIN(L189,MAX(0,$B189-((E$5&lt;K$5)*F189+(Q$5&lt;K$5)*R189+(W$5&lt;K$5)*X189+(AC$5&lt;K$5)*AD189+(AI$5&lt;K$5)*AJ189+(AO$5&lt;K$5)*AP189+(AU$5&lt;K$5)*AV189)))</f>
        <v/>
      </c>
      <c r="N189">
        <f>IF(L189-M189&lt;0.005,0,L189-M189)</f>
        <v/>
      </c>
      <c r="O189">
        <f>T188</f>
        <v/>
      </c>
      <c r="P189">
        <f>O189*Plan!D8/100/12</f>
        <v/>
      </c>
      <c r="Q189">
        <f>MIN(Plan!E8,O189+P189)</f>
        <v/>
      </c>
      <c r="R189">
        <f>O189+P189-Q189</f>
        <v/>
      </c>
      <c r="S189">
        <f>MIN(R189,MAX(0,$B189-((E$5&lt;Q$5)*F189+(K$5&lt;Q$5)*L189+(W$5&lt;Q$5)*X189+(AC$5&lt;Q$5)*AD189+(AI$5&lt;Q$5)*AJ189+(AO$5&lt;Q$5)*AP189+(AU$5&lt;Q$5)*AV189)))</f>
        <v/>
      </c>
      <c r="T189">
        <f>IF(R189-S189&lt;0.005,0,R189-S189)</f>
        <v/>
      </c>
      <c r="U189">
        <f>Z188</f>
        <v/>
      </c>
      <c r="V189">
        <f>U189*Plan!D9/100/12</f>
        <v/>
      </c>
      <c r="W189">
        <f>MIN(Plan!E9,U189+V189)</f>
        <v/>
      </c>
      <c r="X189">
        <f>U189+V189-W189</f>
        <v/>
      </c>
      <c r="Y189">
        <f>MIN(X189,MAX(0,$B189-((E$5&lt;W$5)*F189+(K$5&lt;W$5)*L189+(Q$5&lt;W$5)*R189+(AC$5&lt;W$5)*AD189+(AI$5&lt;W$5)*AJ189+(AO$5&lt;W$5)*AP189+(AU$5&lt;W$5)*AV189)))</f>
        <v/>
      </c>
      <c r="Z189">
        <f>IF(X189-Y189&lt;0.005,0,X189-Y189)</f>
        <v/>
      </c>
      <c r="AA189">
        <f>AF188</f>
        <v/>
      </c>
      <c r="AB189">
        <f>AA189*Plan!D10/100/12</f>
        <v/>
      </c>
      <c r="AC189">
        <f>MIN(Plan!E10,AA189+AB189)</f>
        <v/>
      </c>
      <c r="AD189">
        <f>AA189+AB189-AC189</f>
        <v/>
      </c>
      <c r="AE189">
        <f>MIN(AD189,MAX(0,$B189-((E$5&lt;AC$5)*F189+(K$5&lt;AC$5)*L189+(Q$5&lt;AC$5)*R189+(W$5&lt;AC$5)*X189+(AI$5&lt;AC$5)*AJ189+(AO$5&lt;AC$5)*AP189+(AU$5&lt;AC$5)*AV189)))</f>
        <v/>
      </c>
      <c r="AF189">
        <f>IF(AD189-AE189&lt;0.005,0,AD189-AE189)</f>
        <v/>
      </c>
      <c r="AG189">
        <f>AL188</f>
        <v/>
      </c>
      <c r="AH189">
        <f>AG189*Plan!D11/100/12</f>
        <v/>
      </c>
      <c r="AI189">
        <f>MIN(Plan!E11,AG189+AH189)</f>
        <v/>
      </c>
      <c r="AJ189">
        <f>AG189+AH189-AI189</f>
        <v/>
      </c>
      <c r="AK189">
        <f>MIN(AJ189,MAX(0,$B189-((E$5&lt;AI$5)*F189+(K$5&lt;AI$5)*L189+(Q$5&lt;AI$5)*R189+(W$5&lt;AI$5)*X189+(AC$5&lt;AI$5)*AD189+(AO$5&lt;AI$5)*AP189+(AU$5&lt;AI$5)*AV189)))</f>
        <v/>
      </c>
      <c r="AL189">
        <f>IF(AJ189-AK189&lt;0.005,0,AJ189-AK189)</f>
        <v/>
      </c>
      <c r="AM189">
        <f>AR188</f>
        <v/>
      </c>
      <c r="AN189">
        <f>AM189*Plan!D12/100/12</f>
        <v/>
      </c>
      <c r="AO189">
        <f>MIN(Plan!E12,AM189+AN189)</f>
        <v/>
      </c>
      <c r="AP189">
        <f>AM189+AN189-AO189</f>
        <v/>
      </c>
      <c r="AQ189">
        <f>MIN(AP189,MAX(0,$B189-((E$5&lt;AO$5)*F189+(K$5&lt;AO$5)*L189+(Q$5&lt;AO$5)*R189+(W$5&lt;AO$5)*X189+(AC$5&lt;AO$5)*AD189+(AI$5&lt;AO$5)*AJ189+(AU$5&lt;AO$5)*AV189)))</f>
        <v/>
      </c>
      <c r="AR189">
        <f>IF(AP189-AQ189&lt;0.005,0,AP189-AQ189)</f>
        <v/>
      </c>
      <c r="AS189">
        <f>AX188</f>
        <v/>
      </c>
      <c r="AT189">
        <f>AS189*Plan!D13/100/12</f>
        <v/>
      </c>
      <c r="AU189">
        <f>MIN(Plan!E13,AS189+AT189)</f>
        <v/>
      </c>
      <c r="AV189">
        <f>AS189+AT189-AU189</f>
        <v/>
      </c>
      <c r="AW189">
        <f>MIN(AV189,MAX(0,$B189-((E$5&lt;AU$5)*F189+(K$5&lt;AU$5)*L189+(Q$5&lt;AU$5)*R189+(W$5&lt;AU$5)*X189+(AC$5&lt;AU$5)*AD189+(AI$5&lt;AU$5)*AJ189+(AO$5&lt;AU$5)*AP189)))</f>
        <v/>
      </c>
      <c r="AX189">
        <f>IF(AV189-AW189&lt;0.005,0,AV189-AW189)</f>
        <v/>
      </c>
      <c r="BC189">
        <f>H189+N189+T189+Z189+AF189+AL189+AR189+AX189</f>
        <v/>
      </c>
    </row>
    <row r="190">
      <c r="A190" t="n">
        <v>184</v>
      </c>
      <c r="B190" s="19">
        <f>MAX(0,$B$3-(E190+K190+Q190+W190+AC190+AI190+AO190+AU190))</f>
        <v/>
      </c>
      <c r="C190">
        <f>H189</f>
        <v/>
      </c>
      <c r="D190">
        <f>C190*Plan!D6/100/12</f>
        <v/>
      </c>
      <c r="E190">
        <f>MIN(Plan!E6,C190+D190)</f>
        <v/>
      </c>
      <c r="F190">
        <f>C190+D190-E190</f>
        <v/>
      </c>
      <c r="G190">
        <f>MIN(F190,MAX(0,$B190-((K$5&lt;E$5)*L190+(Q$5&lt;E$5)*R190+(W$5&lt;E$5)*X190+(AC$5&lt;E$5)*AD190+(AI$5&lt;E$5)*AJ190+(AO$5&lt;E$5)*AP190+(AU$5&lt;E$5)*AV190)))</f>
        <v/>
      </c>
      <c r="H190">
        <f>IF(F190-G190&lt;0.005,0,F190-G190)</f>
        <v/>
      </c>
      <c r="I190">
        <f>N189</f>
        <v/>
      </c>
      <c r="J190">
        <f>I190*Plan!D7/100/12</f>
        <v/>
      </c>
      <c r="K190">
        <f>MIN(Plan!E7,I190+J190)</f>
        <v/>
      </c>
      <c r="L190">
        <f>I190+J190-K190</f>
        <v/>
      </c>
      <c r="M190">
        <f>MIN(L190,MAX(0,$B190-((E$5&lt;K$5)*F190+(Q$5&lt;K$5)*R190+(W$5&lt;K$5)*X190+(AC$5&lt;K$5)*AD190+(AI$5&lt;K$5)*AJ190+(AO$5&lt;K$5)*AP190+(AU$5&lt;K$5)*AV190)))</f>
        <v/>
      </c>
      <c r="N190">
        <f>IF(L190-M190&lt;0.005,0,L190-M190)</f>
        <v/>
      </c>
      <c r="O190">
        <f>T189</f>
        <v/>
      </c>
      <c r="P190">
        <f>O190*Plan!D8/100/12</f>
        <v/>
      </c>
      <c r="Q190">
        <f>MIN(Plan!E8,O190+P190)</f>
        <v/>
      </c>
      <c r="R190">
        <f>O190+P190-Q190</f>
        <v/>
      </c>
      <c r="S190">
        <f>MIN(R190,MAX(0,$B190-((E$5&lt;Q$5)*F190+(K$5&lt;Q$5)*L190+(W$5&lt;Q$5)*X190+(AC$5&lt;Q$5)*AD190+(AI$5&lt;Q$5)*AJ190+(AO$5&lt;Q$5)*AP190+(AU$5&lt;Q$5)*AV190)))</f>
        <v/>
      </c>
      <c r="T190">
        <f>IF(R190-S190&lt;0.005,0,R190-S190)</f>
        <v/>
      </c>
      <c r="U190">
        <f>Z189</f>
        <v/>
      </c>
      <c r="V190">
        <f>U190*Plan!D9/100/12</f>
        <v/>
      </c>
      <c r="W190">
        <f>MIN(Plan!E9,U190+V190)</f>
        <v/>
      </c>
      <c r="X190">
        <f>U190+V190-W190</f>
        <v/>
      </c>
      <c r="Y190">
        <f>MIN(X190,MAX(0,$B190-((E$5&lt;W$5)*F190+(K$5&lt;W$5)*L190+(Q$5&lt;W$5)*R190+(AC$5&lt;W$5)*AD190+(AI$5&lt;W$5)*AJ190+(AO$5&lt;W$5)*AP190+(AU$5&lt;W$5)*AV190)))</f>
        <v/>
      </c>
      <c r="Z190">
        <f>IF(X190-Y190&lt;0.005,0,X190-Y190)</f>
        <v/>
      </c>
      <c r="AA190">
        <f>AF189</f>
        <v/>
      </c>
      <c r="AB190">
        <f>AA190*Plan!D10/100/12</f>
        <v/>
      </c>
      <c r="AC190">
        <f>MIN(Plan!E10,AA190+AB190)</f>
        <v/>
      </c>
      <c r="AD190">
        <f>AA190+AB190-AC190</f>
        <v/>
      </c>
      <c r="AE190">
        <f>MIN(AD190,MAX(0,$B190-((E$5&lt;AC$5)*F190+(K$5&lt;AC$5)*L190+(Q$5&lt;AC$5)*R190+(W$5&lt;AC$5)*X190+(AI$5&lt;AC$5)*AJ190+(AO$5&lt;AC$5)*AP190+(AU$5&lt;AC$5)*AV190)))</f>
        <v/>
      </c>
      <c r="AF190">
        <f>IF(AD190-AE190&lt;0.005,0,AD190-AE190)</f>
        <v/>
      </c>
      <c r="AG190">
        <f>AL189</f>
        <v/>
      </c>
      <c r="AH190">
        <f>AG190*Plan!D11/100/12</f>
        <v/>
      </c>
      <c r="AI190">
        <f>MIN(Plan!E11,AG190+AH190)</f>
        <v/>
      </c>
      <c r="AJ190">
        <f>AG190+AH190-AI190</f>
        <v/>
      </c>
      <c r="AK190">
        <f>MIN(AJ190,MAX(0,$B190-((E$5&lt;AI$5)*F190+(K$5&lt;AI$5)*L190+(Q$5&lt;AI$5)*R190+(W$5&lt;AI$5)*X190+(AC$5&lt;AI$5)*AD190+(AO$5&lt;AI$5)*AP190+(AU$5&lt;AI$5)*AV190)))</f>
        <v/>
      </c>
      <c r="AL190">
        <f>IF(AJ190-AK190&lt;0.005,0,AJ190-AK190)</f>
        <v/>
      </c>
      <c r="AM190">
        <f>AR189</f>
        <v/>
      </c>
      <c r="AN190">
        <f>AM190*Plan!D12/100/12</f>
        <v/>
      </c>
      <c r="AO190">
        <f>MIN(Plan!E12,AM190+AN190)</f>
        <v/>
      </c>
      <c r="AP190">
        <f>AM190+AN190-AO190</f>
        <v/>
      </c>
      <c r="AQ190">
        <f>MIN(AP190,MAX(0,$B190-((E$5&lt;AO$5)*F190+(K$5&lt;AO$5)*L190+(Q$5&lt;AO$5)*R190+(W$5&lt;AO$5)*X190+(AC$5&lt;AO$5)*AD190+(AI$5&lt;AO$5)*AJ190+(AU$5&lt;AO$5)*AV190)))</f>
        <v/>
      </c>
      <c r="AR190">
        <f>IF(AP190-AQ190&lt;0.005,0,AP190-AQ190)</f>
        <v/>
      </c>
      <c r="AS190">
        <f>AX189</f>
        <v/>
      </c>
      <c r="AT190">
        <f>AS190*Plan!D13/100/12</f>
        <v/>
      </c>
      <c r="AU190">
        <f>MIN(Plan!E13,AS190+AT190)</f>
        <v/>
      </c>
      <c r="AV190">
        <f>AS190+AT190-AU190</f>
        <v/>
      </c>
      <c r="AW190">
        <f>MIN(AV190,MAX(0,$B190-((E$5&lt;AU$5)*F190+(K$5&lt;AU$5)*L190+(Q$5&lt;AU$5)*R190+(W$5&lt;AU$5)*X190+(AC$5&lt;AU$5)*AD190+(AI$5&lt;AU$5)*AJ190+(AO$5&lt;AU$5)*AP190)))</f>
        <v/>
      </c>
      <c r="AX190">
        <f>IF(AV190-AW190&lt;0.005,0,AV190-AW190)</f>
        <v/>
      </c>
      <c r="BC190">
        <f>H190+N190+T190+Z190+AF190+AL190+AR190+AX190</f>
        <v/>
      </c>
    </row>
    <row r="191">
      <c r="A191" t="n">
        <v>185</v>
      </c>
      <c r="B191" s="19">
        <f>MAX(0,$B$3-(E191+K191+Q191+W191+AC191+AI191+AO191+AU191))</f>
        <v/>
      </c>
      <c r="C191">
        <f>H190</f>
        <v/>
      </c>
      <c r="D191">
        <f>C191*Plan!D6/100/12</f>
        <v/>
      </c>
      <c r="E191">
        <f>MIN(Plan!E6,C191+D191)</f>
        <v/>
      </c>
      <c r="F191">
        <f>C191+D191-E191</f>
        <v/>
      </c>
      <c r="G191">
        <f>MIN(F191,MAX(0,$B191-((K$5&lt;E$5)*L191+(Q$5&lt;E$5)*R191+(W$5&lt;E$5)*X191+(AC$5&lt;E$5)*AD191+(AI$5&lt;E$5)*AJ191+(AO$5&lt;E$5)*AP191+(AU$5&lt;E$5)*AV191)))</f>
        <v/>
      </c>
      <c r="H191">
        <f>IF(F191-G191&lt;0.005,0,F191-G191)</f>
        <v/>
      </c>
      <c r="I191">
        <f>N190</f>
        <v/>
      </c>
      <c r="J191">
        <f>I191*Plan!D7/100/12</f>
        <v/>
      </c>
      <c r="K191">
        <f>MIN(Plan!E7,I191+J191)</f>
        <v/>
      </c>
      <c r="L191">
        <f>I191+J191-K191</f>
        <v/>
      </c>
      <c r="M191">
        <f>MIN(L191,MAX(0,$B191-((E$5&lt;K$5)*F191+(Q$5&lt;K$5)*R191+(W$5&lt;K$5)*X191+(AC$5&lt;K$5)*AD191+(AI$5&lt;K$5)*AJ191+(AO$5&lt;K$5)*AP191+(AU$5&lt;K$5)*AV191)))</f>
        <v/>
      </c>
      <c r="N191">
        <f>IF(L191-M191&lt;0.005,0,L191-M191)</f>
        <v/>
      </c>
      <c r="O191">
        <f>T190</f>
        <v/>
      </c>
      <c r="P191">
        <f>O191*Plan!D8/100/12</f>
        <v/>
      </c>
      <c r="Q191">
        <f>MIN(Plan!E8,O191+P191)</f>
        <v/>
      </c>
      <c r="R191">
        <f>O191+P191-Q191</f>
        <v/>
      </c>
      <c r="S191">
        <f>MIN(R191,MAX(0,$B191-((E$5&lt;Q$5)*F191+(K$5&lt;Q$5)*L191+(W$5&lt;Q$5)*X191+(AC$5&lt;Q$5)*AD191+(AI$5&lt;Q$5)*AJ191+(AO$5&lt;Q$5)*AP191+(AU$5&lt;Q$5)*AV191)))</f>
        <v/>
      </c>
      <c r="T191">
        <f>IF(R191-S191&lt;0.005,0,R191-S191)</f>
        <v/>
      </c>
      <c r="U191">
        <f>Z190</f>
        <v/>
      </c>
      <c r="V191">
        <f>U191*Plan!D9/100/12</f>
        <v/>
      </c>
      <c r="W191">
        <f>MIN(Plan!E9,U191+V191)</f>
        <v/>
      </c>
      <c r="X191">
        <f>U191+V191-W191</f>
        <v/>
      </c>
      <c r="Y191">
        <f>MIN(X191,MAX(0,$B191-((E$5&lt;W$5)*F191+(K$5&lt;W$5)*L191+(Q$5&lt;W$5)*R191+(AC$5&lt;W$5)*AD191+(AI$5&lt;W$5)*AJ191+(AO$5&lt;W$5)*AP191+(AU$5&lt;W$5)*AV191)))</f>
        <v/>
      </c>
      <c r="Z191">
        <f>IF(X191-Y191&lt;0.005,0,X191-Y191)</f>
        <v/>
      </c>
      <c r="AA191">
        <f>AF190</f>
        <v/>
      </c>
      <c r="AB191">
        <f>AA191*Plan!D10/100/12</f>
        <v/>
      </c>
      <c r="AC191">
        <f>MIN(Plan!E10,AA191+AB191)</f>
        <v/>
      </c>
      <c r="AD191">
        <f>AA191+AB191-AC191</f>
        <v/>
      </c>
      <c r="AE191">
        <f>MIN(AD191,MAX(0,$B191-((E$5&lt;AC$5)*F191+(K$5&lt;AC$5)*L191+(Q$5&lt;AC$5)*R191+(W$5&lt;AC$5)*X191+(AI$5&lt;AC$5)*AJ191+(AO$5&lt;AC$5)*AP191+(AU$5&lt;AC$5)*AV191)))</f>
        <v/>
      </c>
      <c r="AF191">
        <f>IF(AD191-AE191&lt;0.005,0,AD191-AE191)</f>
        <v/>
      </c>
      <c r="AG191">
        <f>AL190</f>
        <v/>
      </c>
      <c r="AH191">
        <f>AG191*Plan!D11/100/12</f>
        <v/>
      </c>
      <c r="AI191">
        <f>MIN(Plan!E11,AG191+AH191)</f>
        <v/>
      </c>
      <c r="AJ191">
        <f>AG191+AH191-AI191</f>
        <v/>
      </c>
      <c r="AK191">
        <f>MIN(AJ191,MAX(0,$B191-((E$5&lt;AI$5)*F191+(K$5&lt;AI$5)*L191+(Q$5&lt;AI$5)*R191+(W$5&lt;AI$5)*X191+(AC$5&lt;AI$5)*AD191+(AO$5&lt;AI$5)*AP191+(AU$5&lt;AI$5)*AV191)))</f>
        <v/>
      </c>
      <c r="AL191">
        <f>IF(AJ191-AK191&lt;0.005,0,AJ191-AK191)</f>
        <v/>
      </c>
      <c r="AM191">
        <f>AR190</f>
        <v/>
      </c>
      <c r="AN191">
        <f>AM191*Plan!D12/100/12</f>
        <v/>
      </c>
      <c r="AO191">
        <f>MIN(Plan!E12,AM191+AN191)</f>
        <v/>
      </c>
      <c r="AP191">
        <f>AM191+AN191-AO191</f>
        <v/>
      </c>
      <c r="AQ191">
        <f>MIN(AP191,MAX(0,$B191-((E$5&lt;AO$5)*F191+(K$5&lt;AO$5)*L191+(Q$5&lt;AO$5)*R191+(W$5&lt;AO$5)*X191+(AC$5&lt;AO$5)*AD191+(AI$5&lt;AO$5)*AJ191+(AU$5&lt;AO$5)*AV191)))</f>
        <v/>
      </c>
      <c r="AR191">
        <f>IF(AP191-AQ191&lt;0.005,0,AP191-AQ191)</f>
        <v/>
      </c>
      <c r="AS191">
        <f>AX190</f>
        <v/>
      </c>
      <c r="AT191">
        <f>AS191*Plan!D13/100/12</f>
        <v/>
      </c>
      <c r="AU191">
        <f>MIN(Plan!E13,AS191+AT191)</f>
        <v/>
      </c>
      <c r="AV191">
        <f>AS191+AT191-AU191</f>
        <v/>
      </c>
      <c r="AW191">
        <f>MIN(AV191,MAX(0,$B191-((E$5&lt;AU$5)*F191+(K$5&lt;AU$5)*L191+(Q$5&lt;AU$5)*R191+(W$5&lt;AU$5)*X191+(AC$5&lt;AU$5)*AD191+(AI$5&lt;AU$5)*AJ191+(AO$5&lt;AU$5)*AP191)))</f>
        <v/>
      </c>
      <c r="AX191">
        <f>IF(AV191-AW191&lt;0.005,0,AV191-AW191)</f>
        <v/>
      </c>
      <c r="BC191">
        <f>H191+N191+T191+Z191+AF191+AL191+AR191+AX191</f>
        <v/>
      </c>
    </row>
    <row r="192">
      <c r="A192" t="n">
        <v>186</v>
      </c>
      <c r="B192" s="19">
        <f>MAX(0,$B$3-(E192+K192+Q192+W192+AC192+AI192+AO192+AU192))</f>
        <v/>
      </c>
      <c r="C192">
        <f>H191</f>
        <v/>
      </c>
      <c r="D192">
        <f>C192*Plan!D6/100/12</f>
        <v/>
      </c>
      <c r="E192">
        <f>MIN(Plan!E6,C192+D192)</f>
        <v/>
      </c>
      <c r="F192">
        <f>C192+D192-E192</f>
        <v/>
      </c>
      <c r="G192">
        <f>MIN(F192,MAX(0,$B192-((K$5&lt;E$5)*L192+(Q$5&lt;E$5)*R192+(W$5&lt;E$5)*X192+(AC$5&lt;E$5)*AD192+(AI$5&lt;E$5)*AJ192+(AO$5&lt;E$5)*AP192+(AU$5&lt;E$5)*AV192)))</f>
        <v/>
      </c>
      <c r="H192">
        <f>IF(F192-G192&lt;0.005,0,F192-G192)</f>
        <v/>
      </c>
      <c r="I192">
        <f>N191</f>
        <v/>
      </c>
      <c r="J192">
        <f>I192*Plan!D7/100/12</f>
        <v/>
      </c>
      <c r="K192">
        <f>MIN(Plan!E7,I192+J192)</f>
        <v/>
      </c>
      <c r="L192">
        <f>I192+J192-K192</f>
        <v/>
      </c>
      <c r="M192">
        <f>MIN(L192,MAX(0,$B192-((E$5&lt;K$5)*F192+(Q$5&lt;K$5)*R192+(W$5&lt;K$5)*X192+(AC$5&lt;K$5)*AD192+(AI$5&lt;K$5)*AJ192+(AO$5&lt;K$5)*AP192+(AU$5&lt;K$5)*AV192)))</f>
        <v/>
      </c>
      <c r="N192">
        <f>IF(L192-M192&lt;0.005,0,L192-M192)</f>
        <v/>
      </c>
      <c r="O192">
        <f>T191</f>
        <v/>
      </c>
      <c r="P192">
        <f>O192*Plan!D8/100/12</f>
        <v/>
      </c>
      <c r="Q192">
        <f>MIN(Plan!E8,O192+P192)</f>
        <v/>
      </c>
      <c r="R192">
        <f>O192+P192-Q192</f>
        <v/>
      </c>
      <c r="S192">
        <f>MIN(R192,MAX(0,$B192-((E$5&lt;Q$5)*F192+(K$5&lt;Q$5)*L192+(W$5&lt;Q$5)*X192+(AC$5&lt;Q$5)*AD192+(AI$5&lt;Q$5)*AJ192+(AO$5&lt;Q$5)*AP192+(AU$5&lt;Q$5)*AV192)))</f>
        <v/>
      </c>
      <c r="T192">
        <f>IF(R192-S192&lt;0.005,0,R192-S192)</f>
        <v/>
      </c>
      <c r="U192">
        <f>Z191</f>
        <v/>
      </c>
      <c r="V192">
        <f>U192*Plan!D9/100/12</f>
        <v/>
      </c>
      <c r="W192">
        <f>MIN(Plan!E9,U192+V192)</f>
        <v/>
      </c>
      <c r="X192">
        <f>U192+V192-W192</f>
        <v/>
      </c>
      <c r="Y192">
        <f>MIN(X192,MAX(0,$B192-((E$5&lt;W$5)*F192+(K$5&lt;W$5)*L192+(Q$5&lt;W$5)*R192+(AC$5&lt;W$5)*AD192+(AI$5&lt;W$5)*AJ192+(AO$5&lt;W$5)*AP192+(AU$5&lt;W$5)*AV192)))</f>
        <v/>
      </c>
      <c r="Z192">
        <f>IF(X192-Y192&lt;0.005,0,X192-Y192)</f>
        <v/>
      </c>
      <c r="AA192">
        <f>AF191</f>
        <v/>
      </c>
      <c r="AB192">
        <f>AA192*Plan!D10/100/12</f>
        <v/>
      </c>
      <c r="AC192">
        <f>MIN(Plan!E10,AA192+AB192)</f>
        <v/>
      </c>
      <c r="AD192">
        <f>AA192+AB192-AC192</f>
        <v/>
      </c>
      <c r="AE192">
        <f>MIN(AD192,MAX(0,$B192-((E$5&lt;AC$5)*F192+(K$5&lt;AC$5)*L192+(Q$5&lt;AC$5)*R192+(W$5&lt;AC$5)*X192+(AI$5&lt;AC$5)*AJ192+(AO$5&lt;AC$5)*AP192+(AU$5&lt;AC$5)*AV192)))</f>
        <v/>
      </c>
      <c r="AF192">
        <f>IF(AD192-AE192&lt;0.005,0,AD192-AE192)</f>
        <v/>
      </c>
      <c r="AG192">
        <f>AL191</f>
        <v/>
      </c>
      <c r="AH192">
        <f>AG192*Plan!D11/100/12</f>
        <v/>
      </c>
      <c r="AI192">
        <f>MIN(Plan!E11,AG192+AH192)</f>
        <v/>
      </c>
      <c r="AJ192">
        <f>AG192+AH192-AI192</f>
        <v/>
      </c>
      <c r="AK192">
        <f>MIN(AJ192,MAX(0,$B192-((E$5&lt;AI$5)*F192+(K$5&lt;AI$5)*L192+(Q$5&lt;AI$5)*R192+(W$5&lt;AI$5)*X192+(AC$5&lt;AI$5)*AD192+(AO$5&lt;AI$5)*AP192+(AU$5&lt;AI$5)*AV192)))</f>
        <v/>
      </c>
      <c r="AL192">
        <f>IF(AJ192-AK192&lt;0.005,0,AJ192-AK192)</f>
        <v/>
      </c>
      <c r="AM192">
        <f>AR191</f>
        <v/>
      </c>
      <c r="AN192">
        <f>AM192*Plan!D12/100/12</f>
        <v/>
      </c>
      <c r="AO192">
        <f>MIN(Plan!E12,AM192+AN192)</f>
        <v/>
      </c>
      <c r="AP192">
        <f>AM192+AN192-AO192</f>
        <v/>
      </c>
      <c r="AQ192">
        <f>MIN(AP192,MAX(0,$B192-((E$5&lt;AO$5)*F192+(K$5&lt;AO$5)*L192+(Q$5&lt;AO$5)*R192+(W$5&lt;AO$5)*X192+(AC$5&lt;AO$5)*AD192+(AI$5&lt;AO$5)*AJ192+(AU$5&lt;AO$5)*AV192)))</f>
        <v/>
      </c>
      <c r="AR192">
        <f>IF(AP192-AQ192&lt;0.005,0,AP192-AQ192)</f>
        <v/>
      </c>
      <c r="AS192">
        <f>AX191</f>
        <v/>
      </c>
      <c r="AT192">
        <f>AS192*Plan!D13/100/12</f>
        <v/>
      </c>
      <c r="AU192">
        <f>MIN(Plan!E13,AS192+AT192)</f>
        <v/>
      </c>
      <c r="AV192">
        <f>AS192+AT192-AU192</f>
        <v/>
      </c>
      <c r="AW192">
        <f>MIN(AV192,MAX(0,$B192-((E$5&lt;AU$5)*F192+(K$5&lt;AU$5)*L192+(Q$5&lt;AU$5)*R192+(W$5&lt;AU$5)*X192+(AC$5&lt;AU$5)*AD192+(AI$5&lt;AU$5)*AJ192+(AO$5&lt;AU$5)*AP192)))</f>
        <v/>
      </c>
      <c r="AX192">
        <f>IF(AV192-AW192&lt;0.005,0,AV192-AW192)</f>
        <v/>
      </c>
      <c r="BC192">
        <f>H192+N192+T192+Z192+AF192+AL192+AR192+AX192</f>
        <v/>
      </c>
    </row>
    <row r="193">
      <c r="A193" t="n">
        <v>187</v>
      </c>
      <c r="B193" s="19">
        <f>MAX(0,$B$3-(E193+K193+Q193+W193+AC193+AI193+AO193+AU193))</f>
        <v/>
      </c>
      <c r="C193">
        <f>H192</f>
        <v/>
      </c>
      <c r="D193">
        <f>C193*Plan!D6/100/12</f>
        <v/>
      </c>
      <c r="E193">
        <f>MIN(Plan!E6,C193+D193)</f>
        <v/>
      </c>
      <c r="F193">
        <f>C193+D193-E193</f>
        <v/>
      </c>
      <c r="G193">
        <f>MIN(F193,MAX(0,$B193-((K$5&lt;E$5)*L193+(Q$5&lt;E$5)*R193+(W$5&lt;E$5)*X193+(AC$5&lt;E$5)*AD193+(AI$5&lt;E$5)*AJ193+(AO$5&lt;E$5)*AP193+(AU$5&lt;E$5)*AV193)))</f>
        <v/>
      </c>
      <c r="H193">
        <f>IF(F193-G193&lt;0.005,0,F193-G193)</f>
        <v/>
      </c>
      <c r="I193">
        <f>N192</f>
        <v/>
      </c>
      <c r="J193">
        <f>I193*Plan!D7/100/12</f>
        <v/>
      </c>
      <c r="K193">
        <f>MIN(Plan!E7,I193+J193)</f>
        <v/>
      </c>
      <c r="L193">
        <f>I193+J193-K193</f>
        <v/>
      </c>
      <c r="M193">
        <f>MIN(L193,MAX(0,$B193-((E$5&lt;K$5)*F193+(Q$5&lt;K$5)*R193+(W$5&lt;K$5)*X193+(AC$5&lt;K$5)*AD193+(AI$5&lt;K$5)*AJ193+(AO$5&lt;K$5)*AP193+(AU$5&lt;K$5)*AV193)))</f>
        <v/>
      </c>
      <c r="N193">
        <f>IF(L193-M193&lt;0.005,0,L193-M193)</f>
        <v/>
      </c>
      <c r="O193">
        <f>T192</f>
        <v/>
      </c>
      <c r="P193">
        <f>O193*Plan!D8/100/12</f>
        <v/>
      </c>
      <c r="Q193">
        <f>MIN(Plan!E8,O193+P193)</f>
        <v/>
      </c>
      <c r="R193">
        <f>O193+P193-Q193</f>
        <v/>
      </c>
      <c r="S193">
        <f>MIN(R193,MAX(0,$B193-((E$5&lt;Q$5)*F193+(K$5&lt;Q$5)*L193+(W$5&lt;Q$5)*X193+(AC$5&lt;Q$5)*AD193+(AI$5&lt;Q$5)*AJ193+(AO$5&lt;Q$5)*AP193+(AU$5&lt;Q$5)*AV193)))</f>
        <v/>
      </c>
      <c r="T193">
        <f>IF(R193-S193&lt;0.005,0,R193-S193)</f>
        <v/>
      </c>
      <c r="U193">
        <f>Z192</f>
        <v/>
      </c>
      <c r="V193">
        <f>U193*Plan!D9/100/12</f>
        <v/>
      </c>
      <c r="W193">
        <f>MIN(Plan!E9,U193+V193)</f>
        <v/>
      </c>
      <c r="X193">
        <f>U193+V193-W193</f>
        <v/>
      </c>
      <c r="Y193">
        <f>MIN(X193,MAX(0,$B193-((E$5&lt;W$5)*F193+(K$5&lt;W$5)*L193+(Q$5&lt;W$5)*R193+(AC$5&lt;W$5)*AD193+(AI$5&lt;W$5)*AJ193+(AO$5&lt;W$5)*AP193+(AU$5&lt;W$5)*AV193)))</f>
        <v/>
      </c>
      <c r="Z193">
        <f>IF(X193-Y193&lt;0.005,0,X193-Y193)</f>
        <v/>
      </c>
      <c r="AA193">
        <f>AF192</f>
        <v/>
      </c>
      <c r="AB193">
        <f>AA193*Plan!D10/100/12</f>
        <v/>
      </c>
      <c r="AC193">
        <f>MIN(Plan!E10,AA193+AB193)</f>
        <v/>
      </c>
      <c r="AD193">
        <f>AA193+AB193-AC193</f>
        <v/>
      </c>
      <c r="AE193">
        <f>MIN(AD193,MAX(0,$B193-((E$5&lt;AC$5)*F193+(K$5&lt;AC$5)*L193+(Q$5&lt;AC$5)*R193+(W$5&lt;AC$5)*X193+(AI$5&lt;AC$5)*AJ193+(AO$5&lt;AC$5)*AP193+(AU$5&lt;AC$5)*AV193)))</f>
        <v/>
      </c>
      <c r="AF193">
        <f>IF(AD193-AE193&lt;0.005,0,AD193-AE193)</f>
        <v/>
      </c>
      <c r="AG193">
        <f>AL192</f>
        <v/>
      </c>
      <c r="AH193">
        <f>AG193*Plan!D11/100/12</f>
        <v/>
      </c>
      <c r="AI193">
        <f>MIN(Plan!E11,AG193+AH193)</f>
        <v/>
      </c>
      <c r="AJ193">
        <f>AG193+AH193-AI193</f>
        <v/>
      </c>
      <c r="AK193">
        <f>MIN(AJ193,MAX(0,$B193-((E$5&lt;AI$5)*F193+(K$5&lt;AI$5)*L193+(Q$5&lt;AI$5)*R193+(W$5&lt;AI$5)*X193+(AC$5&lt;AI$5)*AD193+(AO$5&lt;AI$5)*AP193+(AU$5&lt;AI$5)*AV193)))</f>
        <v/>
      </c>
      <c r="AL193">
        <f>IF(AJ193-AK193&lt;0.005,0,AJ193-AK193)</f>
        <v/>
      </c>
      <c r="AM193">
        <f>AR192</f>
        <v/>
      </c>
      <c r="AN193">
        <f>AM193*Plan!D12/100/12</f>
        <v/>
      </c>
      <c r="AO193">
        <f>MIN(Plan!E12,AM193+AN193)</f>
        <v/>
      </c>
      <c r="AP193">
        <f>AM193+AN193-AO193</f>
        <v/>
      </c>
      <c r="AQ193">
        <f>MIN(AP193,MAX(0,$B193-((E$5&lt;AO$5)*F193+(K$5&lt;AO$5)*L193+(Q$5&lt;AO$5)*R193+(W$5&lt;AO$5)*X193+(AC$5&lt;AO$5)*AD193+(AI$5&lt;AO$5)*AJ193+(AU$5&lt;AO$5)*AV193)))</f>
        <v/>
      </c>
      <c r="AR193">
        <f>IF(AP193-AQ193&lt;0.005,0,AP193-AQ193)</f>
        <v/>
      </c>
      <c r="AS193">
        <f>AX192</f>
        <v/>
      </c>
      <c r="AT193">
        <f>AS193*Plan!D13/100/12</f>
        <v/>
      </c>
      <c r="AU193">
        <f>MIN(Plan!E13,AS193+AT193)</f>
        <v/>
      </c>
      <c r="AV193">
        <f>AS193+AT193-AU193</f>
        <v/>
      </c>
      <c r="AW193">
        <f>MIN(AV193,MAX(0,$B193-((E$5&lt;AU$5)*F193+(K$5&lt;AU$5)*L193+(Q$5&lt;AU$5)*R193+(W$5&lt;AU$5)*X193+(AC$5&lt;AU$5)*AD193+(AI$5&lt;AU$5)*AJ193+(AO$5&lt;AU$5)*AP193)))</f>
        <v/>
      </c>
      <c r="AX193">
        <f>IF(AV193-AW193&lt;0.005,0,AV193-AW193)</f>
        <v/>
      </c>
      <c r="BC193">
        <f>H193+N193+T193+Z193+AF193+AL193+AR193+AX193</f>
        <v/>
      </c>
    </row>
    <row r="194">
      <c r="A194" t="n">
        <v>188</v>
      </c>
      <c r="B194" s="19">
        <f>MAX(0,$B$3-(E194+K194+Q194+W194+AC194+AI194+AO194+AU194))</f>
        <v/>
      </c>
      <c r="C194">
        <f>H193</f>
        <v/>
      </c>
      <c r="D194">
        <f>C194*Plan!D6/100/12</f>
        <v/>
      </c>
      <c r="E194">
        <f>MIN(Plan!E6,C194+D194)</f>
        <v/>
      </c>
      <c r="F194">
        <f>C194+D194-E194</f>
        <v/>
      </c>
      <c r="G194">
        <f>MIN(F194,MAX(0,$B194-((K$5&lt;E$5)*L194+(Q$5&lt;E$5)*R194+(W$5&lt;E$5)*X194+(AC$5&lt;E$5)*AD194+(AI$5&lt;E$5)*AJ194+(AO$5&lt;E$5)*AP194+(AU$5&lt;E$5)*AV194)))</f>
        <v/>
      </c>
      <c r="H194">
        <f>IF(F194-G194&lt;0.005,0,F194-G194)</f>
        <v/>
      </c>
      <c r="I194">
        <f>N193</f>
        <v/>
      </c>
      <c r="J194">
        <f>I194*Plan!D7/100/12</f>
        <v/>
      </c>
      <c r="K194">
        <f>MIN(Plan!E7,I194+J194)</f>
        <v/>
      </c>
      <c r="L194">
        <f>I194+J194-K194</f>
        <v/>
      </c>
      <c r="M194">
        <f>MIN(L194,MAX(0,$B194-((E$5&lt;K$5)*F194+(Q$5&lt;K$5)*R194+(W$5&lt;K$5)*X194+(AC$5&lt;K$5)*AD194+(AI$5&lt;K$5)*AJ194+(AO$5&lt;K$5)*AP194+(AU$5&lt;K$5)*AV194)))</f>
        <v/>
      </c>
      <c r="N194">
        <f>IF(L194-M194&lt;0.005,0,L194-M194)</f>
        <v/>
      </c>
      <c r="O194">
        <f>T193</f>
        <v/>
      </c>
      <c r="P194">
        <f>O194*Plan!D8/100/12</f>
        <v/>
      </c>
      <c r="Q194">
        <f>MIN(Plan!E8,O194+P194)</f>
        <v/>
      </c>
      <c r="R194">
        <f>O194+P194-Q194</f>
        <v/>
      </c>
      <c r="S194">
        <f>MIN(R194,MAX(0,$B194-((E$5&lt;Q$5)*F194+(K$5&lt;Q$5)*L194+(W$5&lt;Q$5)*X194+(AC$5&lt;Q$5)*AD194+(AI$5&lt;Q$5)*AJ194+(AO$5&lt;Q$5)*AP194+(AU$5&lt;Q$5)*AV194)))</f>
        <v/>
      </c>
      <c r="T194">
        <f>IF(R194-S194&lt;0.005,0,R194-S194)</f>
        <v/>
      </c>
      <c r="U194">
        <f>Z193</f>
        <v/>
      </c>
      <c r="V194">
        <f>U194*Plan!D9/100/12</f>
        <v/>
      </c>
      <c r="W194">
        <f>MIN(Plan!E9,U194+V194)</f>
        <v/>
      </c>
      <c r="X194">
        <f>U194+V194-W194</f>
        <v/>
      </c>
      <c r="Y194">
        <f>MIN(X194,MAX(0,$B194-((E$5&lt;W$5)*F194+(K$5&lt;W$5)*L194+(Q$5&lt;W$5)*R194+(AC$5&lt;W$5)*AD194+(AI$5&lt;W$5)*AJ194+(AO$5&lt;W$5)*AP194+(AU$5&lt;W$5)*AV194)))</f>
        <v/>
      </c>
      <c r="Z194">
        <f>IF(X194-Y194&lt;0.005,0,X194-Y194)</f>
        <v/>
      </c>
      <c r="AA194">
        <f>AF193</f>
        <v/>
      </c>
      <c r="AB194">
        <f>AA194*Plan!D10/100/12</f>
        <v/>
      </c>
      <c r="AC194">
        <f>MIN(Plan!E10,AA194+AB194)</f>
        <v/>
      </c>
      <c r="AD194">
        <f>AA194+AB194-AC194</f>
        <v/>
      </c>
      <c r="AE194">
        <f>MIN(AD194,MAX(0,$B194-((E$5&lt;AC$5)*F194+(K$5&lt;AC$5)*L194+(Q$5&lt;AC$5)*R194+(W$5&lt;AC$5)*X194+(AI$5&lt;AC$5)*AJ194+(AO$5&lt;AC$5)*AP194+(AU$5&lt;AC$5)*AV194)))</f>
        <v/>
      </c>
      <c r="AF194">
        <f>IF(AD194-AE194&lt;0.005,0,AD194-AE194)</f>
        <v/>
      </c>
      <c r="AG194">
        <f>AL193</f>
        <v/>
      </c>
      <c r="AH194">
        <f>AG194*Plan!D11/100/12</f>
        <v/>
      </c>
      <c r="AI194">
        <f>MIN(Plan!E11,AG194+AH194)</f>
        <v/>
      </c>
      <c r="AJ194">
        <f>AG194+AH194-AI194</f>
        <v/>
      </c>
      <c r="AK194">
        <f>MIN(AJ194,MAX(0,$B194-((E$5&lt;AI$5)*F194+(K$5&lt;AI$5)*L194+(Q$5&lt;AI$5)*R194+(W$5&lt;AI$5)*X194+(AC$5&lt;AI$5)*AD194+(AO$5&lt;AI$5)*AP194+(AU$5&lt;AI$5)*AV194)))</f>
        <v/>
      </c>
      <c r="AL194">
        <f>IF(AJ194-AK194&lt;0.005,0,AJ194-AK194)</f>
        <v/>
      </c>
      <c r="AM194">
        <f>AR193</f>
        <v/>
      </c>
      <c r="AN194">
        <f>AM194*Plan!D12/100/12</f>
        <v/>
      </c>
      <c r="AO194">
        <f>MIN(Plan!E12,AM194+AN194)</f>
        <v/>
      </c>
      <c r="AP194">
        <f>AM194+AN194-AO194</f>
        <v/>
      </c>
      <c r="AQ194">
        <f>MIN(AP194,MAX(0,$B194-((E$5&lt;AO$5)*F194+(K$5&lt;AO$5)*L194+(Q$5&lt;AO$5)*R194+(W$5&lt;AO$5)*X194+(AC$5&lt;AO$5)*AD194+(AI$5&lt;AO$5)*AJ194+(AU$5&lt;AO$5)*AV194)))</f>
        <v/>
      </c>
      <c r="AR194">
        <f>IF(AP194-AQ194&lt;0.005,0,AP194-AQ194)</f>
        <v/>
      </c>
      <c r="AS194">
        <f>AX193</f>
        <v/>
      </c>
      <c r="AT194">
        <f>AS194*Plan!D13/100/12</f>
        <v/>
      </c>
      <c r="AU194">
        <f>MIN(Plan!E13,AS194+AT194)</f>
        <v/>
      </c>
      <c r="AV194">
        <f>AS194+AT194-AU194</f>
        <v/>
      </c>
      <c r="AW194">
        <f>MIN(AV194,MAX(0,$B194-((E$5&lt;AU$5)*F194+(K$5&lt;AU$5)*L194+(Q$5&lt;AU$5)*R194+(W$5&lt;AU$5)*X194+(AC$5&lt;AU$5)*AD194+(AI$5&lt;AU$5)*AJ194+(AO$5&lt;AU$5)*AP194)))</f>
        <v/>
      </c>
      <c r="AX194">
        <f>IF(AV194-AW194&lt;0.005,0,AV194-AW194)</f>
        <v/>
      </c>
      <c r="BC194">
        <f>H194+N194+T194+Z194+AF194+AL194+AR194+AX194</f>
        <v/>
      </c>
    </row>
    <row r="195">
      <c r="A195" t="n">
        <v>189</v>
      </c>
      <c r="B195" s="19">
        <f>MAX(0,$B$3-(E195+K195+Q195+W195+AC195+AI195+AO195+AU195))</f>
        <v/>
      </c>
      <c r="C195">
        <f>H194</f>
        <v/>
      </c>
      <c r="D195">
        <f>C195*Plan!D6/100/12</f>
        <v/>
      </c>
      <c r="E195">
        <f>MIN(Plan!E6,C195+D195)</f>
        <v/>
      </c>
      <c r="F195">
        <f>C195+D195-E195</f>
        <v/>
      </c>
      <c r="G195">
        <f>MIN(F195,MAX(0,$B195-((K$5&lt;E$5)*L195+(Q$5&lt;E$5)*R195+(W$5&lt;E$5)*X195+(AC$5&lt;E$5)*AD195+(AI$5&lt;E$5)*AJ195+(AO$5&lt;E$5)*AP195+(AU$5&lt;E$5)*AV195)))</f>
        <v/>
      </c>
      <c r="H195">
        <f>IF(F195-G195&lt;0.005,0,F195-G195)</f>
        <v/>
      </c>
      <c r="I195">
        <f>N194</f>
        <v/>
      </c>
      <c r="J195">
        <f>I195*Plan!D7/100/12</f>
        <v/>
      </c>
      <c r="K195">
        <f>MIN(Plan!E7,I195+J195)</f>
        <v/>
      </c>
      <c r="L195">
        <f>I195+J195-K195</f>
        <v/>
      </c>
      <c r="M195">
        <f>MIN(L195,MAX(0,$B195-((E$5&lt;K$5)*F195+(Q$5&lt;K$5)*R195+(W$5&lt;K$5)*X195+(AC$5&lt;K$5)*AD195+(AI$5&lt;K$5)*AJ195+(AO$5&lt;K$5)*AP195+(AU$5&lt;K$5)*AV195)))</f>
        <v/>
      </c>
      <c r="N195">
        <f>IF(L195-M195&lt;0.005,0,L195-M195)</f>
        <v/>
      </c>
      <c r="O195">
        <f>T194</f>
        <v/>
      </c>
      <c r="P195">
        <f>O195*Plan!D8/100/12</f>
        <v/>
      </c>
      <c r="Q195">
        <f>MIN(Plan!E8,O195+P195)</f>
        <v/>
      </c>
      <c r="R195">
        <f>O195+P195-Q195</f>
        <v/>
      </c>
      <c r="S195">
        <f>MIN(R195,MAX(0,$B195-((E$5&lt;Q$5)*F195+(K$5&lt;Q$5)*L195+(W$5&lt;Q$5)*X195+(AC$5&lt;Q$5)*AD195+(AI$5&lt;Q$5)*AJ195+(AO$5&lt;Q$5)*AP195+(AU$5&lt;Q$5)*AV195)))</f>
        <v/>
      </c>
      <c r="T195">
        <f>IF(R195-S195&lt;0.005,0,R195-S195)</f>
        <v/>
      </c>
      <c r="U195">
        <f>Z194</f>
        <v/>
      </c>
      <c r="V195">
        <f>U195*Plan!D9/100/12</f>
        <v/>
      </c>
      <c r="W195">
        <f>MIN(Plan!E9,U195+V195)</f>
        <v/>
      </c>
      <c r="X195">
        <f>U195+V195-W195</f>
        <v/>
      </c>
      <c r="Y195">
        <f>MIN(X195,MAX(0,$B195-((E$5&lt;W$5)*F195+(K$5&lt;W$5)*L195+(Q$5&lt;W$5)*R195+(AC$5&lt;W$5)*AD195+(AI$5&lt;W$5)*AJ195+(AO$5&lt;W$5)*AP195+(AU$5&lt;W$5)*AV195)))</f>
        <v/>
      </c>
      <c r="Z195">
        <f>IF(X195-Y195&lt;0.005,0,X195-Y195)</f>
        <v/>
      </c>
      <c r="AA195">
        <f>AF194</f>
        <v/>
      </c>
      <c r="AB195">
        <f>AA195*Plan!D10/100/12</f>
        <v/>
      </c>
      <c r="AC195">
        <f>MIN(Plan!E10,AA195+AB195)</f>
        <v/>
      </c>
      <c r="AD195">
        <f>AA195+AB195-AC195</f>
        <v/>
      </c>
      <c r="AE195">
        <f>MIN(AD195,MAX(0,$B195-((E$5&lt;AC$5)*F195+(K$5&lt;AC$5)*L195+(Q$5&lt;AC$5)*R195+(W$5&lt;AC$5)*X195+(AI$5&lt;AC$5)*AJ195+(AO$5&lt;AC$5)*AP195+(AU$5&lt;AC$5)*AV195)))</f>
        <v/>
      </c>
      <c r="AF195">
        <f>IF(AD195-AE195&lt;0.005,0,AD195-AE195)</f>
        <v/>
      </c>
      <c r="AG195">
        <f>AL194</f>
        <v/>
      </c>
      <c r="AH195">
        <f>AG195*Plan!D11/100/12</f>
        <v/>
      </c>
      <c r="AI195">
        <f>MIN(Plan!E11,AG195+AH195)</f>
        <v/>
      </c>
      <c r="AJ195">
        <f>AG195+AH195-AI195</f>
        <v/>
      </c>
      <c r="AK195">
        <f>MIN(AJ195,MAX(0,$B195-((E$5&lt;AI$5)*F195+(K$5&lt;AI$5)*L195+(Q$5&lt;AI$5)*R195+(W$5&lt;AI$5)*X195+(AC$5&lt;AI$5)*AD195+(AO$5&lt;AI$5)*AP195+(AU$5&lt;AI$5)*AV195)))</f>
        <v/>
      </c>
      <c r="AL195">
        <f>IF(AJ195-AK195&lt;0.005,0,AJ195-AK195)</f>
        <v/>
      </c>
      <c r="AM195">
        <f>AR194</f>
        <v/>
      </c>
      <c r="AN195">
        <f>AM195*Plan!D12/100/12</f>
        <v/>
      </c>
      <c r="AO195">
        <f>MIN(Plan!E12,AM195+AN195)</f>
        <v/>
      </c>
      <c r="AP195">
        <f>AM195+AN195-AO195</f>
        <v/>
      </c>
      <c r="AQ195">
        <f>MIN(AP195,MAX(0,$B195-((E$5&lt;AO$5)*F195+(K$5&lt;AO$5)*L195+(Q$5&lt;AO$5)*R195+(W$5&lt;AO$5)*X195+(AC$5&lt;AO$5)*AD195+(AI$5&lt;AO$5)*AJ195+(AU$5&lt;AO$5)*AV195)))</f>
        <v/>
      </c>
      <c r="AR195">
        <f>IF(AP195-AQ195&lt;0.005,0,AP195-AQ195)</f>
        <v/>
      </c>
      <c r="AS195">
        <f>AX194</f>
        <v/>
      </c>
      <c r="AT195">
        <f>AS195*Plan!D13/100/12</f>
        <v/>
      </c>
      <c r="AU195">
        <f>MIN(Plan!E13,AS195+AT195)</f>
        <v/>
      </c>
      <c r="AV195">
        <f>AS195+AT195-AU195</f>
        <v/>
      </c>
      <c r="AW195">
        <f>MIN(AV195,MAX(0,$B195-((E$5&lt;AU$5)*F195+(K$5&lt;AU$5)*L195+(Q$5&lt;AU$5)*R195+(W$5&lt;AU$5)*X195+(AC$5&lt;AU$5)*AD195+(AI$5&lt;AU$5)*AJ195+(AO$5&lt;AU$5)*AP195)))</f>
        <v/>
      </c>
      <c r="AX195">
        <f>IF(AV195-AW195&lt;0.005,0,AV195-AW195)</f>
        <v/>
      </c>
      <c r="BC195">
        <f>H195+N195+T195+Z195+AF195+AL195+AR195+AX195</f>
        <v/>
      </c>
    </row>
    <row r="196">
      <c r="A196" t="n">
        <v>190</v>
      </c>
      <c r="B196" s="19">
        <f>MAX(0,$B$3-(E196+K196+Q196+W196+AC196+AI196+AO196+AU196))</f>
        <v/>
      </c>
      <c r="C196">
        <f>H195</f>
        <v/>
      </c>
      <c r="D196">
        <f>C196*Plan!D6/100/12</f>
        <v/>
      </c>
      <c r="E196">
        <f>MIN(Plan!E6,C196+D196)</f>
        <v/>
      </c>
      <c r="F196">
        <f>C196+D196-E196</f>
        <v/>
      </c>
      <c r="G196">
        <f>MIN(F196,MAX(0,$B196-((K$5&lt;E$5)*L196+(Q$5&lt;E$5)*R196+(W$5&lt;E$5)*X196+(AC$5&lt;E$5)*AD196+(AI$5&lt;E$5)*AJ196+(AO$5&lt;E$5)*AP196+(AU$5&lt;E$5)*AV196)))</f>
        <v/>
      </c>
      <c r="H196">
        <f>IF(F196-G196&lt;0.005,0,F196-G196)</f>
        <v/>
      </c>
      <c r="I196">
        <f>N195</f>
        <v/>
      </c>
      <c r="J196">
        <f>I196*Plan!D7/100/12</f>
        <v/>
      </c>
      <c r="K196">
        <f>MIN(Plan!E7,I196+J196)</f>
        <v/>
      </c>
      <c r="L196">
        <f>I196+J196-K196</f>
        <v/>
      </c>
      <c r="M196">
        <f>MIN(L196,MAX(0,$B196-((E$5&lt;K$5)*F196+(Q$5&lt;K$5)*R196+(W$5&lt;K$5)*X196+(AC$5&lt;K$5)*AD196+(AI$5&lt;K$5)*AJ196+(AO$5&lt;K$5)*AP196+(AU$5&lt;K$5)*AV196)))</f>
        <v/>
      </c>
      <c r="N196">
        <f>IF(L196-M196&lt;0.005,0,L196-M196)</f>
        <v/>
      </c>
      <c r="O196">
        <f>T195</f>
        <v/>
      </c>
      <c r="P196">
        <f>O196*Plan!D8/100/12</f>
        <v/>
      </c>
      <c r="Q196">
        <f>MIN(Plan!E8,O196+P196)</f>
        <v/>
      </c>
      <c r="R196">
        <f>O196+P196-Q196</f>
        <v/>
      </c>
      <c r="S196">
        <f>MIN(R196,MAX(0,$B196-((E$5&lt;Q$5)*F196+(K$5&lt;Q$5)*L196+(W$5&lt;Q$5)*X196+(AC$5&lt;Q$5)*AD196+(AI$5&lt;Q$5)*AJ196+(AO$5&lt;Q$5)*AP196+(AU$5&lt;Q$5)*AV196)))</f>
        <v/>
      </c>
      <c r="T196">
        <f>IF(R196-S196&lt;0.005,0,R196-S196)</f>
        <v/>
      </c>
      <c r="U196">
        <f>Z195</f>
        <v/>
      </c>
      <c r="V196">
        <f>U196*Plan!D9/100/12</f>
        <v/>
      </c>
      <c r="W196">
        <f>MIN(Plan!E9,U196+V196)</f>
        <v/>
      </c>
      <c r="X196">
        <f>U196+V196-W196</f>
        <v/>
      </c>
      <c r="Y196">
        <f>MIN(X196,MAX(0,$B196-((E$5&lt;W$5)*F196+(K$5&lt;W$5)*L196+(Q$5&lt;W$5)*R196+(AC$5&lt;W$5)*AD196+(AI$5&lt;W$5)*AJ196+(AO$5&lt;W$5)*AP196+(AU$5&lt;W$5)*AV196)))</f>
        <v/>
      </c>
      <c r="Z196">
        <f>IF(X196-Y196&lt;0.005,0,X196-Y196)</f>
        <v/>
      </c>
      <c r="AA196">
        <f>AF195</f>
        <v/>
      </c>
      <c r="AB196">
        <f>AA196*Plan!D10/100/12</f>
        <v/>
      </c>
      <c r="AC196">
        <f>MIN(Plan!E10,AA196+AB196)</f>
        <v/>
      </c>
      <c r="AD196">
        <f>AA196+AB196-AC196</f>
        <v/>
      </c>
      <c r="AE196">
        <f>MIN(AD196,MAX(0,$B196-((E$5&lt;AC$5)*F196+(K$5&lt;AC$5)*L196+(Q$5&lt;AC$5)*R196+(W$5&lt;AC$5)*X196+(AI$5&lt;AC$5)*AJ196+(AO$5&lt;AC$5)*AP196+(AU$5&lt;AC$5)*AV196)))</f>
        <v/>
      </c>
      <c r="AF196">
        <f>IF(AD196-AE196&lt;0.005,0,AD196-AE196)</f>
        <v/>
      </c>
      <c r="AG196">
        <f>AL195</f>
        <v/>
      </c>
      <c r="AH196">
        <f>AG196*Plan!D11/100/12</f>
        <v/>
      </c>
      <c r="AI196">
        <f>MIN(Plan!E11,AG196+AH196)</f>
        <v/>
      </c>
      <c r="AJ196">
        <f>AG196+AH196-AI196</f>
        <v/>
      </c>
      <c r="AK196">
        <f>MIN(AJ196,MAX(0,$B196-((E$5&lt;AI$5)*F196+(K$5&lt;AI$5)*L196+(Q$5&lt;AI$5)*R196+(W$5&lt;AI$5)*X196+(AC$5&lt;AI$5)*AD196+(AO$5&lt;AI$5)*AP196+(AU$5&lt;AI$5)*AV196)))</f>
        <v/>
      </c>
      <c r="AL196">
        <f>IF(AJ196-AK196&lt;0.005,0,AJ196-AK196)</f>
        <v/>
      </c>
      <c r="AM196">
        <f>AR195</f>
        <v/>
      </c>
      <c r="AN196">
        <f>AM196*Plan!D12/100/12</f>
        <v/>
      </c>
      <c r="AO196">
        <f>MIN(Plan!E12,AM196+AN196)</f>
        <v/>
      </c>
      <c r="AP196">
        <f>AM196+AN196-AO196</f>
        <v/>
      </c>
      <c r="AQ196">
        <f>MIN(AP196,MAX(0,$B196-((E$5&lt;AO$5)*F196+(K$5&lt;AO$5)*L196+(Q$5&lt;AO$5)*R196+(W$5&lt;AO$5)*X196+(AC$5&lt;AO$5)*AD196+(AI$5&lt;AO$5)*AJ196+(AU$5&lt;AO$5)*AV196)))</f>
        <v/>
      </c>
      <c r="AR196">
        <f>IF(AP196-AQ196&lt;0.005,0,AP196-AQ196)</f>
        <v/>
      </c>
      <c r="AS196">
        <f>AX195</f>
        <v/>
      </c>
      <c r="AT196">
        <f>AS196*Plan!D13/100/12</f>
        <v/>
      </c>
      <c r="AU196">
        <f>MIN(Plan!E13,AS196+AT196)</f>
        <v/>
      </c>
      <c r="AV196">
        <f>AS196+AT196-AU196</f>
        <v/>
      </c>
      <c r="AW196">
        <f>MIN(AV196,MAX(0,$B196-((E$5&lt;AU$5)*F196+(K$5&lt;AU$5)*L196+(Q$5&lt;AU$5)*R196+(W$5&lt;AU$5)*X196+(AC$5&lt;AU$5)*AD196+(AI$5&lt;AU$5)*AJ196+(AO$5&lt;AU$5)*AP196)))</f>
        <v/>
      </c>
      <c r="AX196">
        <f>IF(AV196-AW196&lt;0.005,0,AV196-AW196)</f>
        <v/>
      </c>
      <c r="BC196">
        <f>H196+N196+T196+Z196+AF196+AL196+AR196+AX196</f>
        <v/>
      </c>
    </row>
    <row r="197">
      <c r="A197" t="n">
        <v>191</v>
      </c>
      <c r="B197" s="19">
        <f>MAX(0,$B$3-(E197+K197+Q197+W197+AC197+AI197+AO197+AU197))</f>
        <v/>
      </c>
      <c r="C197">
        <f>H196</f>
        <v/>
      </c>
      <c r="D197">
        <f>C197*Plan!D6/100/12</f>
        <v/>
      </c>
      <c r="E197">
        <f>MIN(Plan!E6,C197+D197)</f>
        <v/>
      </c>
      <c r="F197">
        <f>C197+D197-E197</f>
        <v/>
      </c>
      <c r="G197">
        <f>MIN(F197,MAX(0,$B197-((K$5&lt;E$5)*L197+(Q$5&lt;E$5)*R197+(W$5&lt;E$5)*X197+(AC$5&lt;E$5)*AD197+(AI$5&lt;E$5)*AJ197+(AO$5&lt;E$5)*AP197+(AU$5&lt;E$5)*AV197)))</f>
        <v/>
      </c>
      <c r="H197">
        <f>IF(F197-G197&lt;0.005,0,F197-G197)</f>
        <v/>
      </c>
      <c r="I197">
        <f>N196</f>
        <v/>
      </c>
      <c r="J197">
        <f>I197*Plan!D7/100/12</f>
        <v/>
      </c>
      <c r="K197">
        <f>MIN(Plan!E7,I197+J197)</f>
        <v/>
      </c>
      <c r="L197">
        <f>I197+J197-K197</f>
        <v/>
      </c>
      <c r="M197">
        <f>MIN(L197,MAX(0,$B197-((E$5&lt;K$5)*F197+(Q$5&lt;K$5)*R197+(W$5&lt;K$5)*X197+(AC$5&lt;K$5)*AD197+(AI$5&lt;K$5)*AJ197+(AO$5&lt;K$5)*AP197+(AU$5&lt;K$5)*AV197)))</f>
        <v/>
      </c>
      <c r="N197">
        <f>IF(L197-M197&lt;0.005,0,L197-M197)</f>
        <v/>
      </c>
      <c r="O197">
        <f>T196</f>
        <v/>
      </c>
      <c r="P197">
        <f>O197*Plan!D8/100/12</f>
        <v/>
      </c>
      <c r="Q197">
        <f>MIN(Plan!E8,O197+P197)</f>
        <v/>
      </c>
      <c r="R197">
        <f>O197+P197-Q197</f>
        <v/>
      </c>
      <c r="S197">
        <f>MIN(R197,MAX(0,$B197-((E$5&lt;Q$5)*F197+(K$5&lt;Q$5)*L197+(W$5&lt;Q$5)*X197+(AC$5&lt;Q$5)*AD197+(AI$5&lt;Q$5)*AJ197+(AO$5&lt;Q$5)*AP197+(AU$5&lt;Q$5)*AV197)))</f>
        <v/>
      </c>
      <c r="T197">
        <f>IF(R197-S197&lt;0.005,0,R197-S197)</f>
        <v/>
      </c>
      <c r="U197">
        <f>Z196</f>
        <v/>
      </c>
      <c r="V197">
        <f>U197*Plan!D9/100/12</f>
        <v/>
      </c>
      <c r="W197">
        <f>MIN(Plan!E9,U197+V197)</f>
        <v/>
      </c>
      <c r="X197">
        <f>U197+V197-W197</f>
        <v/>
      </c>
      <c r="Y197">
        <f>MIN(X197,MAX(0,$B197-((E$5&lt;W$5)*F197+(K$5&lt;W$5)*L197+(Q$5&lt;W$5)*R197+(AC$5&lt;W$5)*AD197+(AI$5&lt;W$5)*AJ197+(AO$5&lt;W$5)*AP197+(AU$5&lt;W$5)*AV197)))</f>
        <v/>
      </c>
      <c r="Z197">
        <f>IF(X197-Y197&lt;0.005,0,X197-Y197)</f>
        <v/>
      </c>
      <c r="AA197">
        <f>AF196</f>
        <v/>
      </c>
      <c r="AB197">
        <f>AA197*Plan!D10/100/12</f>
        <v/>
      </c>
      <c r="AC197">
        <f>MIN(Plan!E10,AA197+AB197)</f>
        <v/>
      </c>
      <c r="AD197">
        <f>AA197+AB197-AC197</f>
        <v/>
      </c>
      <c r="AE197">
        <f>MIN(AD197,MAX(0,$B197-((E$5&lt;AC$5)*F197+(K$5&lt;AC$5)*L197+(Q$5&lt;AC$5)*R197+(W$5&lt;AC$5)*X197+(AI$5&lt;AC$5)*AJ197+(AO$5&lt;AC$5)*AP197+(AU$5&lt;AC$5)*AV197)))</f>
        <v/>
      </c>
      <c r="AF197">
        <f>IF(AD197-AE197&lt;0.005,0,AD197-AE197)</f>
        <v/>
      </c>
      <c r="AG197">
        <f>AL196</f>
        <v/>
      </c>
      <c r="AH197">
        <f>AG197*Plan!D11/100/12</f>
        <v/>
      </c>
      <c r="AI197">
        <f>MIN(Plan!E11,AG197+AH197)</f>
        <v/>
      </c>
      <c r="AJ197">
        <f>AG197+AH197-AI197</f>
        <v/>
      </c>
      <c r="AK197">
        <f>MIN(AJ197,MAX(0,$B197-((E$5&lt;AI$5)*F197+(K$5&lt;AI$5)*L197+(Q$5&lt;AI$5)*R197+(W$5&lt;AI$5)*X197+(AC$5&lt;AI$5)*AD197+(AO$5&lt;AI$5)*AP197+(AU$5&lt;AI$5)*AV197)))</f>
        <v/>
      </c>
      <c r="AL197">
        <f>IF(AJ197-AK197&lt;0.005,0,AJ197-AK197)</f>
        <v/>
      </c>
      <c r="AM197">
        <f>AR196</f>
        <v/>
      </c>
      <c r="AN197">
        <f>AM197*Plan!D12/100/12</f>
        <v/>
      </c>
      <c r="AO197">
        <f>MIN(Plan!E12,AM197+AN197)</f>
        <v/>
      </c>
      <c r="AP197">
        <f>AM197+AN197-AO197</f>
        <v/>
      </c>
      <c r="AQ197">
        <f>MIN(AP197,MAX(0,$B197-((E$5&lt;AO$5)*F197+(K$5&lt;AO$5)*L197+(Q$5&lt;AO$5)*R197+(W$5&lt;AO$5)*X197+(AC$5&lt;AO$5)*AD197+(AI$5&lt;AO$5)*AJ197+(AU$5&lt;AO$5)*AV197)))</f>
        <v/>
      </c>
      <c r="AR197">
        <f>IF(AP197-AQ197&lt;0.005,0,AP197-AQ197)</f>
        <v/>
      </c>
      <c r="AS197">
        <f>AX196</f>
        <v/>
      </c>
      <c r="AT197">
        <f>AS197*Plan!D13/100/12</f>
        <v/>
      </c>
      <c r="AU197">
        <f>MIN(Plan!E13,AS197+AT197)</f>
        <v/>
      </c>
      <c r="AV197">
        <f>AS197+AT197-AU197</f>
        <v/>
      </c>
      <c r="AW197">
        <f>MIN(AV197,MAX(0,$B197-((E$5&lt;AU$5)*F197+(K$5&lt;AU$5)*L197+(Q$5&lt;AU$5)*R197+(W$5&lt;AU$5)*X197+(AC$5&lt;AU$5)*AD197+(AI$5&lt;AU$5)*AJ197+(AO$5&lt;AU$5)*AP197)))</f>
        <v/>
      </c>
      <c r="AX197">
        <f>IF(AV197-AW197&lt;0.005,0,AV197-AW197)</f>
        <v/>
      </c>
      <c r="BC197">
        <f>H197+N197+T197+Z197+AF197+AL197+AR197+AX197</f>
        <v/>
      </c>
    </row>
    <row r="198">
      <c r="A198" t="n">
        <v>192</v>
      </c>
      <c r="B198" s="19">
        <f>MAX(0,$B$3-(E198+K198+Q198+W198+AC198+AI198+AO198+AU198))</f>
        <v/>
      </c>
      <c r="C198">
        <f>H197</f>
        <v/>
      </c>
      <c r="D198">
        <f>C198*Plan!D6/100/12</f>
        <v/>
      </c>
      <c r="E198">
        <f>MIN(Plan!E6,C198+D198)</f>
        <v/>
      </c>
      <c r="F198">
        <f>C198+D198-E198</f>
        <v/>
      </c>
      <c r="G198">
        <f>MIN(F198,MAX(0,$B198-((K$5&lt;E$5)*L198+(Q$5&lt;E$5)*R198+(W$5&lt;E$5)*X198+(AC$5&lt;E$5)*AD198+(AI$5&lt;E$5)*AJ198+(AO$5&lt;E$5)*AP198+(AU$5&lt;E$5)*AV198)))</f>
        <v/>
      </c>
      <c r="H198">
        <f>IF(F198-G198&lt;0.005,0,F198-G198)</f>
        <v/>
      </c>
      <c r="I198">
        <f>N197</f>
        <v/>
      </c>
      <c r="J198">
        <f>I198*Plan!D7/100/12</f>
        <v/>
      </c>
      <c r="K198">
        <f>MIN(Plan!E7,I198+J198)</f>
        <v/>
      </c>
      <c r="L198">
        <f>I198+J198-K198</f>
        <v/>
      </c>
      <c r="M198">
        <f>MIN(L198,MAX(0,$B198-((E$5&lt;K$5)*F198+(Q$5&lt;K$5)*R198+(W$5&lt;K$5)*X198+(AC$5&lt;K$5)*AD198+(AI$5&lt;K$5)*AJ198+(AO$5&lt;K$5)*AP198+(AU$5&lt;K$5)*AV198)))</f>
        <v/>
      </c>
      <c r="N198">
        <f>IF(L198-M198&lt;0.005,0,L198-M198)</f>
        <v/>
      </c>
      <c r="O198">
        <f>T197</f>
        <v/>
      </c>
      <c r="P198">
        <f>O198*Plan!D8/100/12</f>
        <v/>
      </c>
      <c r="Q198">
        <f>MIN(Plan!E8,O198+P198)</f>
        <v/>
      </c>
      <c r="R198">
        <f>O198+P198-Q198</f>
        <v/>
      </c>
      <c r="S198">
        <f>MIN(R198,MAX(0,$B198-((E$5&lt;Q$5)*F198+(K$5&lt;Q$5)*L198+(W$5&lt;Q$5)*X198+(AC$5&lt;Q$5)*AD198+(AI$5&lt;Q$5)*AJ198+(AO$5&lt;Q$5)*AP198+(AU$5&lt;Q$5)*AV198)))</f>
        <v/>
      </c>
      <c r="T198">
        <f>IF(R198-S198&lt;0.005,0,R198-S198)</f>
        <v/>
      </c>
      <c r="U198">
        <f>Z197</f>
        <v/>
      </c>
      <c r="V198">
        <f>U198*Plan!D9/100/12</f>
        <v/>
      </c>
      <c r="W198">
        <f>MIN(Plan!E9,U198+V198)</f>
        <v/>
      </c>
      <c r="X198">
        <f>U198+V198-W198</f>
        <v/>
      </c>
      <c r="Y198">
        <f>MIN(X198,MAX(0,$B198-((E$5&lt;W$5)*F198+(K$5&lt;W$5)*L198+(Q$5&lt;W$5)*R198+(AC$5&lt;W$5)*AD198+(AI$5&lt;W$5)*AJ198+(AO$5&lt;W$5)*AP198+(AU$5&lt;W$5)*AV198)))</f>
        <v/>
      </c>
      <c r="Z198">
        <f>IF(X198-Y198&lt;0.005,0,X198-Y198)</f>
        <v/>
      </c>
      <c r="AA198">
        <f>AF197</f>
        <v/>
      </c>
      <c r="AB198">
        <f>AA198*Plan!D10/100/12</f>
        <v/>
      </c>
      <c r="AC198">
        <f>MIN(Plan!E10,AA198+AB198)</f>
        <v/>
      </c>
      <c r="AD198">
        <f>AA198+AB198-AC198</f>
        <v/>
      </c>
      <c r="AE198">
        <f>MIN(AD198,MAX(0,$B198-((E$5&lt;AC$5)*F198+(K$5&lt;AC$5)*L198+(Q$5&lt;AC$5)*R198+(W$5&lt;AC$5)*X198+(AI$5&lt;AC$5)*AJ198+(AO$5&lt;AC$5)*AP198+(AU$5&lt;AC$5)*AV198)))</f>
        <v/>
      </c>
      <c r="AF198">
        <f>IF(AD198-AE198&lt;0.005,0,AD198-AE198)</f>
        <v/>
      </c>
      <c r="AG198">
        <f>AL197</f>
        <v/>
      </c>
      <c r="AH198">
        <f>AG198*Plan!D11/100/12</f>
        <v/>
      </c>
      <c r="AI198">
        <f>MIN(Plan!E11,AG198+AH198)</f>
        <v/>
      </c>
      <c r="AJ198">
        <f>AG198+AH198-AI198</f>
        <v/>
      </c>
      <c r="AK198">
        <f>MIN(AJ198,MAX(0,$B198-((E$5&lt;AI$5)*F198+(K$5&lt;AI$5)*L198+(Q$5&lt;AI$5)*R198+(W$5&lt;AI$5)*X198+(AC$5&lt;AI$5)*AD198+(AO$5&lt;AI$5)*AP198+(AU$5&lt;AI$5)*AV198)))</f>
        <v/>
      </c>
      <c r="AL198">
        <f>IF(AJ198-AK198&lt;0.005,0,AJ198-AK198)</f>
        <v/>
      </c>
      <c r="AM198">
        <f>AR197</f>
        <v/>
      </c>
      <c r="AN198">
        <f>AM198*Plan!D12/100/12</f>
        <v/>
      </c>
      <c r="AO198">
        <f>MIN(Plan!E12,AM198+AN198)</f>
        <v/>
      </c>
      <c r="AP198">
        <f>AM198+AN198-AO198</f>
        <v/>
      </c>
      <c r="AQ198">
        <f>MIN(AP198,MAX(0,$B198-((E$5&lt;AO$5)*F198+(K$5&lt;AO$5)*L198+(Q$5&lt;AO$5)*R198+(W$5&lt;AO$5)*X198+(AC$5&lt;AO$5)*AD198+(AI$5&lt;AO$5)*AJ198+(AU$5&lt;AO$5)*AV198)))</f>
        <v/>
      </c>
      <c r="AR198">
        <f>IF(AP198-AQ198&lt;0.005,0,AP198-AQ198)</f>
        <v/>
      </c>
      <c r="AS198">
        <f>AX197</f>
        <v/>
      </c>
      <c r="AT198">
        <f>AS198*Plan!D13/100/12</f>
        <v/>
      </c>
      <c r="AU198">
        <f>MIN(Plan!E13,AS198+AT198)</f>
        <v/>
      </c>
      <c r="AV198">
        <f>AS198+AT198-AU198</f>
        <v/>
      </c>
      <c r="AW198">
        <f>MIN(AV198,MAX(0,$B198-((E$5&lt;AU$5)*F198+(K$5&lt;AU$5)*L198+(Q$5&lt;AU$5)*R198+(W$5&lt;AU$5)*X198+(AC$5&lt;AU$5)*AD198+(AI$5&lt;AU$5)*AJ198+(AO$5&lt;AU$5)*AP198)))</f>
        <v/>
      </c>
      <c r="AX198">
        <f>IF(AV198-AW198&lt;0.005,0,AV198-AW198)</f>
        <v/>
      </c>
      <c r="BC198">
        <f>H198+N198+T198+Z198+AF198+AL198+AR198+AX198</f>
        <v/>
      </c>
    </row>
    <row r="199">
      <c r="A199" t="n">
        <v>193</v>
      </c>
      <c r="B199" s="19">
        <f>MAX(0,$B$3-(E199+K199+Q199+W199+AC199+AI199+AO199+AU199))</f>
        <v/>
      </c>
      <c r="C199">
        <f>H198</f>
        <v/>
      </c>
      <c r="D199">
        <f>C199*Plan!D6/100/12</f>
        <v/>
      </c>
      <c r="E199">
        <f>MIN(Plan!E6,C199+D199)</f>
        <v/>
      </c>
      <c r="F199">
        <f>C199+D199-E199</f>
        <v/>
      </c>
      <c r="G199">
        <f>MIN(F199,MAX(0,$B199-((K$5&lt;E$5)*L199+(Q$5&lt;E$5)*R199+(W$5&lt;E$5)*X199+(AC$5&lt;E$5)*AD199+(AI$5&lt;E$5)*AJ199+(AO$5&lt;E$5)*AP199+(AU$5&lt;E$5)*AV199)))</f>
        <v/>
      </c>
      <c r="H199">
        <f>IF(F199-G199&lt;0.005,0,F199-G199)</f>
        <v/>
      </c>
      <c r="I199">
        <f>N198</f>
        <v/>
      </c>
      <c r="J199">
        <f>I199*Plan!D7/100/12</f>
        <v/>
      </c>
      <c r="K199">
        <f>MIN(Plan!E7,I199+J199)</f>
        <v/>
      </c>
      <c r="L199">
        <f>I199+J199-K199</f>
        <v/>
      </c>
      <c r="M199">
        <f>MIN(L199,MAX(0,$B199-((E$5&lt;K$5)*F199+(Q$5&lt;K$5)*R199+(W$5&lt;K$5)*X199+(AC$5&lt;K$5)*AD199+(AI$5&lt;K$5)*AJ199+(AO$5&lt;K$5)*AP199+(AU$5&lt;K$5)*AV199)))</f>
        <v/>
      </c>
      <c r="N199">
        <f>IF(L199-M199&lt;0.005,0,L199-M199)</f>
        <v/>
      </c>
      <c r="O199">
        <f>T198</f>
        <v/>
      </c>
      <c r="P199">
        <f>O199*Plan!D8/100/12</f>
        <v/>
      </c>
      <c r="Q199">
        <f>MIN(Plan!E8,O199+P199)</f>
        <v/>
      </c>
      <c r="R199">
        <f>O199+P199-Q199</f>
        <v/>
      </c>
      <c r="S199">
        <f>MIN(R199,MAX(0,$B199-((E$5&lt;Q$5)*F199+(K$5&lt;Q$5)*L199+(W$5&lt;Q$5)*X199+(AC$5&lt;Q$5)*AD199+(AI$5&lt;Q$5)*AJ199+(AO$5&lt;Q$5)*AP199+(AU$5&lt;Q$5)*AV199)))</f>
        <v/>
      </c>
      <c r="T199">
        <f>IF(R199-S199&lt;0.005,0,R199-S199)</f>
        <v/>
      </c>
      <c r="U199">
        <f>Z198</f>
        <v/>
      </c>
      <c r="V199">
        <f>U199*Plan!D9/100/12</f>
        <v/>
      </c>
      <c r="W199">
        <f>MIN(Plan!E9,U199+V199)</f>
        <v/>
      </c>
      <c r="X199">
        <f>U199+V199-W199</f>
        <v/>
      </c>
      <c r="Y199">
        <f>MIN(X199,MAX(0,$B199-((E$5&lt;W$5)*F199+(K$5&lt;W$5)*L199+(Q$5&lt;W$5)*R199+(AC$5&lt;W$5)*AD199+(AI$5&lt;W$5)*AJ199+(AO$5&lt;W$5)*AP199+(AU$5&lt;W$5)*AV199)))</f>
        <v/>
      </c>
      <c r="Z199">
        <f>IF(X199-Y199&lt;0.005,0,X199-Y199)</f>
        <v/>
      </c>
      <c r="AA199">
        <f>AF198</f>
        <v/>
      </c>
      <c r="AB199">
        <f>AA199*Plan!D10/100/12</f>
        <v/>
      </c>
      <c r="AC199">
        <f>MIN(Plan!E10,AA199+AB199)</f>
        <v/>
      </c>
      <c r="AD199">
        <f>AA199+AB199-AC199</f>
        <v/>
      </c>
      <c r="AE199">
        <f>MIN(AD199,MAX(0,$B199-((E$5&lt;AC$5)*F199+(K$5&lt;AC$5)*L199+(Q$5&lt;AC$5)*R199+(W$5&lt;AC$5)*X199+(AI$5&lt;AC$5)*AJ199+(AO$5&lt;AC$5)*AP199+(AU$5&lt;AC$5)*AV199)))</f>
        <v/>
      </c>
      <c r="AF199">
        <f>IF(AD199-AE199&lt;0.005,0,AD199-AE199)</f>
        <v/>
      </c>
      <c r="AG199">
        <f>AL198</f>
        <v/>
      </c>
      <c r="AH199">
        <f>AG199*Plan!D11/100/12</f>
        <v/>
      </c>
      <c r="AI199">
        <f>MIN(Plan!E11,AG199+AH199)</f>
        <v/>
      </c>
      <c r="AJ199">
        <f>AG199+AH199-AI199</f>
        <v/>
      </c>
      <c r="AK199">
        <f>MIN(AJ199,MAX(0,$B199-((E$5&lt;AI$5)*F199+(K$5&lt;AI$5)*L199+(Q$5&lt;AI$5)*R199+(W$5&lt;AI$5)*X199+(AC$5&lt;AI$5)*AD199+(AO$5&lt;AI$5)*AP199+(AU$5&lt;AI$5)*AV199)))</f>
        <v/>
      </c>
      <c r="AL199">
        <f>IF(AJ199-AK199&lt;0.005,0,AJ199-AK199)</f>
        <v/>
      </c>
      <c r="AM199">
        <f>AR198</f>
        <v/>
      </c>
      <c r="AN199">
        <f>AM199*Plan!D12/100/12</f>
        <v/>
      </c>
      <c r="AO199">
        <f>MIN(Plan!E12,AM199+AN199)</f>
        <v/>
      </c>
      <c r="AP199">
        <f>AM199+AN199-AO199</f>
        <v/>
      </c>
      <c r="AQ199">
        <f>MIN(AP199,MAX(0,$B199-((E$5&lt;AO$5)*F199+(K$5&lt;AO$5)*L199+(Q$5&lt;AO$5)*R199+(W$5&lt;AO$5)*X199+(AC$5&lt;AO$5)*AD199+(AI$5&lt;AO$5)*AJ199+(AU$5&lt;AO$5)*AV199)))</f>
        <v/>
      </c>
      <c r="AR199">
        <f>IF(AP199-AQ199&lt;0.005,0,AP199-AQ199)</f>
        <v/>
      </c>
      <c r="AS199">
        <f>AX198</f>
        <v/>
      </c>
      <c r="AT199">
        <f>AS199*Plan!D13/100/12</f>
        <v/>
      </c>
      <c r="AU199">
        <f>MIN(Plan!E13,AS199+AT199)</f>
        <v/>
      </c>
      <c r="AV199">
        <f>AS199+AT199-AU199</f>
        <v/>
      </c>
      <c r="AW199">
        <f>MIN(AV199,MAX(0,$B199-((E$5&lt;AU$5)*F199+(K$5&lt;AU$5)*L199+(Q$5&lt;AU$5)*R199+(W$5&lt;AU$5)*X199+(AC$5&lt;AU$5)*AD199+(AI$5&lt;AU$5)*AJ199+(AO$5&lt;AU$5)*AP199)))</f>
        <v/>
      </c>
      <c r="AX199">
        <f>IF(AV199-AW199&lt;0.005,0,AV199-AW199)</f>
        <v/>
      </c>
      <c r="BC199">
        <f>H199+N199+T199+Z199+AF199+AL199+AR199+AX199</f>
        <v/>
      </c>
    </row>
    <row r="200">
      <c r="A200" t="n">
        <v>194</v>
      </c>
      <c r="B200" s="19">
        <f>MAX(0,$B$3-(E200+K200+Q200+W200+AC200+AI200+AO200+AU200))</f>
        <v/>
      </c>
      <c r="C200">
        <f>H199</f>
        <v/>
      </c>
      <c r="D200">
        <f>C200*Plan!D6/100/12</f>
        <v/>
      </c>
      <c r="E200">
        <f>MIN(Plan!E6,C200+D200)</f>
        <v/>
      </c>
      <c r="F200">
        <f>C200+D200-E200</f>
        <v/>
      </c>
      <c r="G200">
        <f>MIN(F200,MAX(0,$B200-((K$5&lt;E$5)*L200+(Q$5&lt;E$5)*R200+(W$5&lt;E$5)*X200+(AC$5&lt;E$5)*AD200+(AI$5&lt;E$5)*AJ200+(AO$5&lt;E$5)*AP200+(AU$5&lt;E$5)*AV200)))</f>
        <v/>
      </c>
      <c r="H200">
        <f>IF(F200-G200&lt;0.005,0,F200-G200)</f>
        <v/>
      </c>
      <c r="I200">
        <f>N199</f>
        <v/>
      </c>
      <c r="J200">
        <f>I200*Plan!D7/100/12</f>
        <v/>
      </c>
      <c r="K200">
        <f>MIN(Plan!E7,I200+J200)</f>
        <v/>
      </c>
      <c r="L200">
        <f>I200+J200-K200</f>
        <v/>
      </c>
      <c r="M200">
        <f>MIN(L200,MAX(0,$B200-((E$5&lt;K$5)*F200+(Q$5&lt;K$5)*R200+(W$5&lt;K$5)*X200+(AC$5&lt;K$5)*AD200+(AI$5&lt;K$5)*AJ200+(AO$5&lt;K$5)*AP200+(AU$5&lt;K$5)*AV200)))</f>
        <v/>
      </c>
      <c r="N200">
        <f>IF(L200-M200&lt;0.005,0,L200-M200)</f>
        <v/>
      </c>
      <c r="O200">
        <f>T199</f>
        <v/>
      </c>
      <c r="P200">
        <f>O200*Plan!D8/100/12</f>
        <v/>
      </c>
      <c r="Q200">
        <f>MIN(Plan!E8,O200+P200)</f>
        <v/>
      </c>
      <c r="R200">
        <f>O200+P200-Q200</f>
        <v/>
      </c>
      <c r="S200">
        <f>MIN(R200,MAX(0,$B200-((E$5&lt;Q$5)*F200+(K$5&lt;Q$5)*L200+(W$5&lt;Q$5)*X200+(AC$5&lt;Q$5)*AD200+(AI$5&lt;Q$5)*AJ200+(AO$5&lt;Q$5)*AP200+(AU$5&lt;Q$5)*AV200)))</f>
        <v/>
      </c>
      <c r="T200">
        <f>IF(R200-S200&lt;0.005,0,R200-S200)</f>
        <v/>
      </c>
      <c r="U200">
        <f>Z199</f>
        <v/>
      </c>
      <c r="V200">
        <f>U200*Plan!D9/100/12</f>
        <v/>
      </c>
      <c r="W200">
        <f>MIN(Plan!E9,U200+V200)</f>
        <v/>
      </c>
      <c r="X200">
        <f>U200+V200-W200</f>
        <v/>
      </c>
      <c r="Y200">
        <f>MIN(X200,MAX(0,$B200-((E$5&lt;W$5)*F200+(K$5&lt;W$5)*L200+(Q$5&lt;W$5)*R200+(AC$5&lt;W$5)*AD200+(AI$5&lt;W$5)*AJ200+(AO$5&lt;W$5)*AP200+(AU$5&lt;W$5)*AV200)))</f>
        <v/>
      </c>
      <c r="Z200">
        <f>IF(X200-Y200&lt;0.005,0,X200-Y200)</f>
        <v/>
      </c>
      <c r="AA200">
        <f>AF199</f>
        <v/>
      </c>
      <c r="AB200">
        <f>AA200*Plan!D10/100/12</f>
        <v/>
      </c>
      <c r="AC200">
        <f>MIN(Plan!E10,AA200+AB200)</f>
        <v/>
      </c>
      <c r="AD200">
        <f>AA200+AB200-AC200</f>
        <v/>
      </c>
      <c r="AE200">
        <f>MIN(AD200,MAX(0,$B200-((E$5&lt;AC$5)*F200+(K$5&lt;AC$5)*L200+(Q$5&lt;AC$5)*R200+(W$5&lt;AC$5)*X200+(AI$5&lt;AC$5)*AJ200+(AO$5&lt;AC$5)*AP200+(AU$5&lt;AC$5)*AV200)))</f>
        <v/>
      </c>
      <c r="AF200">
        <f>IF(AD200-AE200&lt;0.005,0,AD200-AE200)</f>
        <v/>
      </c>
      <c r="AG200">
        <f>AL199</f>
        <v/>
      </c>
      <c r="AH200">
        <f>AG200*Plan!D11/100/12</f>
        <v/>
      </c>
      <c r="AI200">
        <f>MIN(Plan!E11,AG200+AH200)</f>
        <v/>
      </c>
      <c r="AJ200">
        <f>AG200+AH200-AI200</f>
        <v/>
      </c>
      <c r="AK200">
        <f>MIN(AJ200,MAX(0,$B200-((E$5&lt;AI$5)*F200+(K$5&lt;AI$5)*L200+(Q$5&lt;AI$5)*R200+(W$5&lt;AI$5)*X200+(AC$5&lt;AI$5)*AD200+(AO$5&lt;AI$5)*AP200+(AU$5&lt;AI$5)*AV200)))</f>
        <v/>
      </c>
      <c r="AL200">
        <f>IF(AJ200-AK200&lt;0.005,0,AJ200-AK200)</f>
        <v/>
      </c>
      <c r="AM200">
        <f>AR199</f>
        <v/>
      </c>
      <c r="AN200">
        <f>AM200*Plan!D12/100/12</f>
        <v/>
      </c>
      <c r="AO200">
        <f>MIN(Plan!E12,AM200+AN200)</f>
        <v/>
      </c>
      <c r="AP200">
        <f>AM200+AN200-AO200</f>
        <v/>
      </c>
      <c r="AQ200">
        <f>MIN(AP200,MAX(0,$B200-((E$5&lt;AO$5)*F200+(K$5&lt;AO$5)*L200+(Q$5&lt;AO$5)*R200+(W$5&lt;AO$5)*X200+(AC$5&lt;AO$5)*AD200+(AI$5&lt;AO$5)*AJ200+(AU$5&lt;AO$5)*AV200)))</f>
        <v/>
      </c>
      <c r="AR200">
        <f>IF(AP200-AQ200&lt;0.005,0,AP200-AQ200)</f>
        <v/>
      </c>
      <c r="AS200">
        <f>AX199</f>
        <v/>
      </c>
      <c r="AT200">
        <f>AS200*Plan!D13/100/12</f>
        <v/>
      </c>
      <c r="AU200">
        <f>MIN(Plan!E13,AS200+AT200)</f>
        <v/>
      </c>
      <c r="AV200">
        <f>AS200+AT200-AU200</f>
        <v/>
      </c>
      <c r="AW200">
        <f>MIN(AV200,MAX(0,$B200-((E$5&lt;AU$5)*F200+(K$5&lt;AU$5)*L200+(Q$5&lt;AU$5)*R200+(W$5&lt;AU$5)*X200+(AC$5&lt;AU$5)*AD200+(AI$5&lt;AU$5)*AJ200+(AO$5&lt;AU$5)*AP200)))</f>
        <v/>
      </c>
      <c r="AX200">
        <f>IF(AV200-AW200&lt;0.005,0,AV200-AW200)</f>
        <v/>
      </c>
      <c r="BC200">
        <f>H200+N200+T200+Z200+AF200+AL200+AR200+AX200</f>
        <v/>
      </c>
    </row>
    <row r="201">
      <c r="A201" t="n">
        <v>195</v>
      </c>
      <c r="B201" s="19">
        <f>MAX(0,$B$3-(E201+K201+Q201+W201+AC201+AI201+AO201+AU201))</f>
        <v/>
      </c>
      <c r="C201">
        <f>H200</f>
        <v/>
      </c>
      <c r="D201">
        <f>C201*Plan!D6/100/12</f>
        <v/>
      </c>
      <c r="E201">
        <f>MIN(Plan!E6,C201+D201)</f>
        <v/>
      </c>
      <c r="F201">
        <f>C201+D201-E201</f>
        <v/>
      </c>
      <c r="G201">
        <f>MIN(F201,MAX(0,$B201-((K$5&lt;E$5)*L201+(Q$5&lt;E$5)*R201+(W$5&lt;E$5)*X201+(AC$5&lt;E$5)*AD201+(AI$5&lt;E$5)*AJ201+(AO$5&lt;E$5)*AP201+(AU$5&lt;E$5)*AV201)))</f>
        <v/>
      </c>
      <c r="H201">
        <f>IF(F201-G201&lt;0.005,0,F201-G201)</f>
        <v/>
      </c>
      <c r="I201">
        <f>N200</f>
        <v/>
      </c>
      <c r="J201">
        <f>I201*Plan!D7/100/12</f>
        <v/>
      </c>
      <c r="K201">
        <f>MIN(Plan!E7,I201+J201)</f>
        <v/>
      </c>
      <c r="L201">
        <f>I201+J201-K201</f>
        <v/>
      </c>
      <c r="M201">
        <f>MIN(L201,MAX(0,$B201-((E$5&lt;K$5)*F201+(Q$5&lt;K$5)*R201+(W$5&lt;K$5)*X201+(AC$5&lt;K$5)*AD201+(AI$5&lt;K$5)*AJ201+(AO$5&lt;K$5)*AP201+(AU$5&lt;K$5)*AV201)))</f>
        <v/>
      </c>
      <c r="N201">
        <f>IF(L201-M201&lt;0.005,0,L201-M201)</f>
        <v/>
      </c>
      <c r="O201">
        <f>T200</f>
        <v/>
      </c>
      <c r="P201">
        <f>O201*Plan!D8/100/12</f>
        <v/>
      </c>
      <c r="Q201">
        <f>MIN(Plan!E8,O201+P201)</f>
        <v/>
      </c>
      <c r="R201">
        <f>O201+P201-Q201</f>
        <v/>
      </c>
      <c r="S201">
        <f>MIN(R201,MAX(0,$B201-((E$5&lt;Q$5)*F201+(K$5&lt;Q$5)*L201+(W$5&lt;Q$5)*X201+(AC$5&lt;Q$5)*AD201+(AI$5&lt;Q$5)*AJ201+(AO$5&lt;Q$5)*AP201+(AU$5&lt;Q$5)*AV201)))</f>
        <v/>
      </c>
      <c r="T201">
        <f>IF(R201-S201&lt;0.005,0,R201-S201)</f>
        <v/>
      </c>
      <c r="U201">
        <f>Z200</f>
        <v/>
      </c>
      <c r="V201">
        <f>U201*Plan!D9/100/12</f>
        <v/>
      </c>
      <c r="W201">
        <f>MIN(Plan!E9,U201+V201)</f>
        <v/>
      </c>
      <c r="X201">
        <f>U201+V201-W201</f>
        <v/>
      </c>
      <c r="Y201">
        <f>MIN(X201,MAX(0,$B201-((E$5&lt;W$5)*F201+(K$5&lt;W$5)*L201+(Q$5&lt;W$5)*R201+(AC$5&lt;W$5)*AD201+(AI$5&lt;W$5)*AJ201+(AO$5&lt;W$5)*AP201+(AU$5&lt;W$5)*AV201)))</f>
        <v/>
      </c>
      <c r="Z201">
        <f>IF(X201-Y201&lt;0.005,0,X201-Y201)</f>
        <v/>
      </c>
      <c r="AA201">
        <f>AF200</f>
        <v/>
      </c>
      <c r="AB201">
        <f>AA201*Plan!D10/100/12</f>
        <v/>
      </c>
      <c r="AC201">
        <f>MIN(Plan!E10,AA201+AB201)</f>
        <v/>
      </c>
      <c r="AD201">
        <f>AA201+AB201-AC201</f>
        <v/>
      </c>
      <c r="AE201">
        <f>MIN(AD201,MAX(0,$B201-((E$5&lt;AC$5)*F201+(K$5&lt;AC$5)*L201+(Q$5&lt;AC$5)*R201+(W$5&lt;AC$5)*X201+(AI$5&lt;AC$5)*AJ201+(AO$5&lt;AC$5)*AP201+(AU$5&lt;AC$5)*AV201)))</f>
        <v/>
      </c>
      <c r="AF201">
        <f>IF(AD201-AE201&lt;0.005,0,AD201-AE201)</f>
        <v/>
      </c>
      <c r="AG201">
        <f>AL200</f>
        <v/>
      </c>
      <c r="AH201">
        <f>AG201*Plan!D11/100/12</f>
        <v/>
      </c>
      <c r="AI201">
        <f>MIN(Plan!E11,AG201+AH201)</f>
        <v/>
      </c>
      <c r="AJ201">
        <f>AG201+AH201-AI201</f>
        <v/>
      </c>
      <c r="AK201">
        <f>MIN(AJ201,MAX(0,$B201-((E$5&lt;AI$5)*F201+(K$5&lt;AI$5)*L201+(Q$5&lt;AI$5)*R201+(W$5&lt;AI$5)*X201+(AC$5&lt;AI$5)*AD201+(AO$5&lt;AI$5)*AP201+(AU$5&lt;AI$5)*AV201)))</f>
        <v/>
      </c>
      <c r="AL201">
        <f>IF(AJ201-AK201&lt;0.005,0,AJ201-AK201)</f>
        <v/>
      </c>
      <c r="AM201">
        <f>AR200</f>
        <v/>
      </c>
      <c r="AN201">
        <f>AM201*Plan!D12/100/12</f>
        <v/>
      </c>
      <c r="AO201">
        <f>MIN(Plan!E12,AM201+AN201)</f>
        <v/>
      </c>
      <c r="AP201">
        <f>AM201+AN201-AO201</f>
        <v/>
      </c>
      <c r="AQ201">
        <f>MIN(AP201,MAX(0,$B201-((E$5&lt;AO$5)*F201+(K$5&lt;AO$5)*L201+(Q$5&lt;AO$5)*R201+(W$5&lt;AO$5)*X201+(AC$5&lt;AO$5)*AD201+(AI$5&lt;AO$5)*AJ201+(AU$5&lt;AO$5)*AV201)))</f>
        <v/>
      </c>
      <c r="AR201">
        <f>IF(AP201-AQ201&lt;0.005,0,AP201-AQ201)</f>
        <v/>
      </c>
      <c r="AS201">
        <f>AX200</f>
        <v/>
      </c>
      <c r="AT201">
        <f>AS201*Plan!D13/100/12</f>
        <v/>
      </c>
      <c r="AU201">
        <f>MIN(Plan!E13,AS201+AT201)</f>
        <v/>
      </c>
      <c r="AV201">
        <f>AS201+AT201-AU201</f>
        <v/>
      </c>
      <c r="AW201">
        <f>MIN(AV201,MAX(0,$B201-((E$5&lt;AU$5)*F201+(K$5&lt;AU$5)*L201+(Q$5&lt;AU$5)*R201+(W$5&lt;AU$5)*X201+(AC$5&lt;AU$5)*AD201+(AI$5&lt;AU$5)*AJ201+(AO$5&lt;AU$5)*AP201)))</f>
        <v/>
      </c>
      <c r="AX201">
        <f>IF(AV201-AW201&lt;0.005,0,AV201-AW201)</f>
        <v/>
      </c>
      <c r="BC201">
        <f>H201+N201+T201+Z201+AF201+AL201+AR201+AX201</f>
        <v/>
      </c>
    </row>
    <row r="202">
      <c r="A202" t="n">
        <v>196</v>
      </c>
      <c r="B202" s="19">
        <f>MAX(0,$B$3-(E202+K202+Q202+W202+AC202+AI202+AO202+AU202))</f>
        <v/>
      </c>
      <c r="C202">
        <f>H201</f>
        <v/>
      </c>
      <c r="D202">
        <f>C202*Plan!D6/100/12</f>
        <v/>
      </c>
      <c r="E202">
        <f>MIN(Plan!E6,C202+D202)</f>
        <v/>
      </c>
      <c r="F202">
        <f>C202+D202-E202</f>
        <v/>
      </c>
      <c r="G202">
        <f>MIN(F202,MAX(0,$B202-((K$5&lt;E$5)*L202+(Q$5&lt;E$5)*R202+(W$5&lt;E$5)*X202+(AC$5&lt;E$5)*AD202+(AI$5&lt;E$5)*AJ202+(AO$5&lt;E$5)*AP202+(AU$5&lt;E$5)*AV202)))</f>
        <v/>
      </c>
      <c r="H202">
        <f>IF(F202-G202&lt;0.005,0,F202-G202)</f>
        <v/>
      </c>
      <c r="I202">
        <f>N201</f>
        <v/>
      </c>
      <c r="J202">
        <f>I202*Plan!D7/100/12</f>
        <v/>
      </c>
      <c r="K202">
        <f>MIN(Plan!E7,I202+J202)</f>
        <v/>
      </c>
      <c r="L202">
        <f>I202+J202-K202</f>
        <v/>
      </c>
      <c r="M202">
        <f>MIN(L202,MAX(0,$B202-((E$5&lt;K$5)*F202+(Q$5&lt;K$5)*R202+(W$5&lt;K$5)*X202+(AC$5&lt;K$5)*AD202+(AI$5&lt;K$5)*AJ202+(AO$5&lt;K$5)*AP202+(AU$5&lt;K$5)*AV202)))</f>
        <v/>
      </c>
      <c r="N202">
        <f>IF(L202-M202&lt;0.005,0,L202-M202)</f>
        <v/>
      </c>
      <c r="O202">
        <f>T201</f>
        <v/>
      </c>
      <c r="P202">
        <f>O202*Plan!D8/100/12</f>
        <v/>
      </c>
      <c r="Q202">
        <f>MIN(Plan!E8,O202+P202)</f>
        <v/>
      </c>
      <c r="R202">
        <f>O202+P202-Q202</f>
        <v/>
      </c>
      <c r="S202">
        <f>MIN(R202,MAX(0,$B202-((E$5&lt;Q$5)*F202+(K$5&lt;Q$5)*L202+(W$5&lt;Q$5)*X202+(AC$5&lt;Q$5)*AD202+(AI$5&lt;Q$5)*AJ202+(AO$5&lt;Q$5)*AP202+(AU$5&lt;Q$5)*AV202)))</f>
        <v/>
      </c>
      <c r="T202">
        <f>IF(R202-S202&lt;0.005,0,R202-S202)</f>
        <v/>
      </c>
      <c r="U202">
        <f>Z201</f>
        <v/>
      </c>
      <c r="V202">
        <f>U202*Plan!D9/100/12</f>
        <v/>
      </c>
      <c r="W202">
        <f>MIN(Plan!E9,U202+V202)</f>
        <v/>
      </c>
      <c r="X202">
        <f>U202+V202-W202</f>
        <v/>
      </c>
      <c r="Y202">
        <f>MIN(X202,MAX(0,$B202-((E$5&lt;W$5)*F202+(K$5&lt;W$5)*L202+(Q$5&lt;W$5)*R202+(AC$5&lt;W$5)*AD202+(AI$5&lt;W$5)*AJ202+(AO$5&lt;W$5)*AP202+(AU$5&lt;W$5)*AV202)))</f>
        <v/>
      </c>
      <c r="Z202">
        <f>IF(X202-Y202&lt;0.005,0,X202-Y202)</f>
        <v/>
      </c>
      <c r="AA202">
        <f>AF201</f>
        <v/>
      </c>
      <c r="AB202">
        <f>AA202*Plan!D10/100/12</f>
        <v/>
      </c>
      <c r="AC202">
        <f>MIN(Plan!E10,AA202+AB202)</f>
        <v/>
      </c>
      <c r="AD202">
        <f>AA202+AB202-AC202</f>
        <v/>
      </c>
      <c r="AE202">
        <f>MIN(AD202,MAX(0,$B202-((E$5&lt;AC$5)*F202+(K$5&lt;AC$5)*L202+(Q$5&lt;AC$5)*R202+(W$5&lt;AC$5)*X202+(AI$5&lt;AC$5)*AJ202+(AO$5&lt;AC$5)*AP202+(AU$5&lt;AC$5)*AV202)))</f>
        <v/>
      </c>
      <c r="AF202">
        <f>IF(AD202-AE202&lt;0.005,0,AD202-AE202)</f>
        <v/>
      </c>
      <c r="AG202">
        <f>AL201</f>
        <v/>
      </c>
      <c r="AH202">
        <f>AG202*Plan!D11/100/12</f>
        <v/>
      </c>
      <c r="AI202">
        <f>MIN(Plan!E11,AG202+AH202)</f>
        <v/>
      </c>
      <c r="AJ202">
        <f>AG202+AH202-AI202</f>
        <v/>
      </c>
      <c r="AK202">
        <f>MIN(AJ202,MAX(0,$B202-((E$5&lt;AI$5)*F202+(K$5&lt;AI$5)*L202+(Q$5&lt;AI$5)*R202+(W$5&lt;AI$5)*X202+(AC$5&lt;AI$5)*AD202+(AO$5&lt;AI$5)*AP202+(AU$5&lt;AI$5)*AV202)))</f>
        <v/>
      </c>
      <c r="AL202">
        <f>IF(AJ202-AK202&lt;0.005,0,AJ202-AK202)</f>
        <v/>
      </c>
      <c r="AM202">
        <f>AR201</f>
        <v/>
      </c>
      <c r="AN202">
        <f>AM202*Plan!D12/100/12</f>
        <v/>
      </c>
      <c r="AO202">
        <f>MIN(Plan!E12,AM202+AN202)</f>
        <v/>
      </c>
      <c r="AP202">
        <f>AM202+AN202-AO202</f>
        <v/>
      </c>
      <c r="AQ202">
        <f>MIN(AP202,MAX(0,$B202-((E$5&lt;AO$5)*F202+(K$5&lt;AO$5)*L202+(Q$5&lt;AO$5)*R202+(W$5&lt;AO$5)*X202+(AC$5&lt;AO$5)*AD202+(AI$5&lt;AO$5)*AJ202+(AU$5&lt;AO$5)*AV202)))</f>
        <v/>
      </c>
      <c r="AR202">
        <f>IF(AP202-AQ202&lt;0.005,0,AP202-AQ202)</f>
        <v/>
      </c>
      <c r="AS202">
        <f>AX201</f>
        <v/>
      </c>
      <c r="AT202">
        <f>AS202*Plan!D13/100/12</f>
        <v/>
      </c>
      <c r="AU202">
        <f>MIN(Plan!E13,AS202+AT202)</f>
        <v/>
      </c>
      <c r="AV202">
        <f>AS202+AT202-AU202</f>
        <v/>
      </c>
      <c r="AW202">
        <f>MIN(AV202,MAX(0,$B202-((E$5&lt;AU$5)*F202+(K$5&lt;AU$5)*L202+(Q$5&lt;AU$5)*R202+(W$5&lt;AU$5)*X202+(AC$5&lt;AU$5)*AD202+(AI$5&lt;AU$5)*AJ202+(AO$5&lt;AU$5)*AP202)))</f>
        <v/>
      </c>
      <c r="AX202">
        <f>IF(AV202-AW202&lt;0.005,0,AV202-AW202)</f>
        <v/>
      </c>
      <c r="BC202">
        <f>H202+N202+T202+Z202+AF202+AL202+AR202+AX202</f>
        <v/>
      </c>
    </row>
    <row r="203">
      <c r="A203" t="n">
        <v>197</v>
      </c>
      <c r="B203" s="19">
        <f>MAX(0,$B$3-(E203+K203+Q203+W203+AC203+AI203+AO203+AU203))</f>
        <v/>
      </c>
      <c r="C203">
        <f>H202</f>
        <v/>
      </c>
      <c r="D203">
        <f>C203*Plan!D6/100/12</f>
        <v/>
      </c>
      <c r="E203">
        <f>MIN(Plan!E6,C203+D203)</f>
        <v/>
      </c>
      <c r="F203">
        <f>C203+D203-E203</f>
        <v/>
      </c>
      <c r="G203">
        <f>MIN(F203,MAX(0,$B203-((K$5&lt;E$5)*L203+(Q$5&lt;E$5)*R203+(W$5&lt;E$5)*X203+(AC$5&lt;E$5)*AD203+(AI$5&lt;E$5)*AJ203+(AO$5&lt;E$5)*AP203+(AU$5&lt;E$5)*AV203)))</f>
        <v/>
      </c>
      <c r="H203">
        <f>IF(F203-G203&lt;0.005,0,F203-G203)</f>
        <v/>
      </c>
      <c r="I203">
        <f>N202</f>
        <v/>
      </c>
      <c r="J203">
        <f>I203*Plan!D7/100/12</f>
        <v/>
      </c>
      <c r="K203">
        <f>MIN(Plan!E7,I203+J203)</f>
        <v/>
      </c>
      <c r="L203">
        <f>I203+J203-K203</f>
        <v/>
      </c>
      <c r="M203">
        <f>MIN(L203,MAX(0,$B203-((E$5&lt;K$5)*F203+(Q$5&lt;K$5)*R203+(W$5&lt;K$5)*X203+(AC$5&lt;K$5)*AD203+(AI$5&lt;K$5)*AJ203+(AO$5&lt;K$5)*AP203+(AU$5&lt;K$5)*AV203)))</f>
        <v/>
      </c>
      <c r="N203">
        <f>IF(L203-M203&lt;0.005,0,L203-M203)</f>
        <v/>
      </c>
      <c r="O203">
        <f>T202</f>
        <v/>
      </c>
      <c r="P203">
        <f>O203*Plan!D8/100/12</f>
        <v/>
      </c>
      <c r="Q203">
        <f>MIN(Plan!E8,O203+P203)</f>
        <v/>
      </c>
      <c r="R203">
        <f>O203+P203-Q203</f>
        <v/>
      </c>
      <c r="S203">
        <f>MIN(R203,MAX(0,$B203-((E$5&lt;Q$5)*F203+(K$5&lt;Q$5)*L203+(W$5&lt;Q$5)*X203+(AC$5&lt;Q$5)*AD203+(AI$5&lt;Q$5)*AJ203+(AO$5&lt;Q$5)*AP203+(AU$5&lt;Q$5)*AV203)))</f>
        <v/>
      </c>
      <c r="T203">
        <f>IF(R203-S203&lt;0.005,0,R203-S203)</f>
        <v/>
      </c>
      <c r="U203">
        <f>Z202</f>
        <v/>
      </c>
      <c r="V203">
        <f>U203*Plan!D9/100/12</f>
        <v/>
      </c>
      <c r="W203">
        <f>MIN(Plan!E9,U203+V203)</f>
        <v/>
      </c>
      <c r="X203">
        <f>U203+V203-W203</f>
        <v/>
      </c>
      <c r="Y203">
        <f>MIN(X203,MAX(0,$B203-((E$5&lt;W$5)*F203+(K$5&lt;W$5)*L203+(Q$5&lt;W$5)*R203+(AC$5&lt;W$5)*AD203+(AI$5&lt;W$5)*AJ203+(AO$5&lt;W$5)*AP203+(AU$5&lt;W$5)*AV203)))</f>
        <v/>
      </c>
      <c r="Z203">
        <f>IF(X203-Y203&lt;0.005,0,X203-Y203)</f>
        <v/>
      </c>
      <c r="AA203">
        <f>AF202</f>
        <v/>
      </c>
      <c r="AB203">
        <f>AA203*Plan!D10/100/12</f>
        <v/>
      </c>
      <c r="AC203">
        <f>MIN(Plan!E10,AA203+AB203)</f>
        <v/>
      </c>
      <c r="AD203">
        <f>AA203+AB203-AC203</f>
        <v/>
      </c>
      <c r="AE203">
        <f>MIN(AD203,MAX(0,$B203-((E$5&lt;AC$5)*F203+(K$5&lt;AC$5)*L203+(Q$5&lt;AC$5)*R203+(W$5&lt;AC$5)*X203+(AI$5&lt;AC$5)*AJ203+(AO$5&lt;AC$5)*AP203+(AU$5&lt;AC$5)*AV203)))</f>
        <v/>
      </c>
      <c r="AF203">
        <f>IF(AD203-AE203&lt;0.005,0,AD203-AE203)</f>
        <v/>
      </c>
      <c r="AG203">
        <f>AL202</f>
        <v/>
      </c>
      <c r="AH203">
        <f>AG203*Plan!D11/100/12</f>
        <v/>
      </c>
      <c r="AI203">
        <f>MIN(Plan!E11,AG203+AH203)</f>
        <v/>
      </c>
      <c r="AJ203">
        <f>AG203+AH203-AI203</f>
        <v/>
      </c>
      <c r="AK203">
        <f>MIN(AJ203,MAX(0,$B203-((E$5&lt;AI$5)*F203+(K$5&lt;AI$5)*L203+(Q$5&lt;AI$5)*R203+(W$5&lt;AI$5)*X203+(AC$5&lt;AI$5)*AD203+(AO$5&lt;AI$5)*AP203+(AU$5&lt;AI$5)*AV203)))</f>
        <v/>
      </c>
      <c r="AL203">
        <f>IF(AJ203-AK203&lt;0.005,0,AJ203-AK203)</f>
        <v/>
      </c>
      <c r="AM203">
        <f>AR202</f>
        <v/>
      </c>
      <c r="AN203">
        <f>AM203*Plan!D12/100/12</f>
        <v/>
      </c>
      <c r="AO203">
        <f>MIN(Plan!E12,AM203+AN203)</f>
        <v/>
      </c>
      <c r="AP203">
        <f>AM203+AN203-AO203</f>
        <v/>
      </c>
      <c r="AQ203">
        <f>MIN(AP203,MAX(0,$B203-((E$5&lt;AO$5)*F203+(K$5&lt;AO$5)*L203+(Q$5&lt;AO$5)*R203+(W$5&lt;AO$5)*X203+(AC$5&lt;AO$5)*AD203+(AI$5&lt;AO$5)*AJ203+(AU$5&lt;AO$5)*AV203)))</f>
        <v/>
      </c>
      <c r="AR203">
        <f>IF(AP203-AQ203&lt;0.005,0,AP203-AQ203)</f>
        <v/>
      </c>
      <c r="AS203">
        <f>AX202</f>
        <v/>
      </c>
      <c r="AT203">
        <f>AS203*Plan!D13/100/12</f>
        <v/>
      </c>
      <c r="AU203">
        <f>MIN(Plan!E13,AS203+AT203)</f>
        <v/>
      </c>
      <c r="AV203">
        <f>AS203+AT203-AU203</f>
        <v/>
      </c>
      <c r="AW203">
        <f>MIN(AV203,MAX(0,$B203-((E$5&lt;AU$5)*F203+(K$5&lt;AU$5)*L203+(Q$5&lt;AU$5)*R203+(W$5&lt;AU$5)*X203+(AC$5&lt;AU$5)*AD203+(AI$5&lt;AU$5)*AJ203+(AO$5&lt;AU$5)*AP203)))</f>
        <v/>
      </c>
      <c r="AX203">
        <f>IF(AV203-AW203&lt;0.005,0,AV203-AW203)</f>
        <v/>
      </c>
      <c r="BC203">
        <f>H203+N203+T203+Z203+AF203+AL203+AR203+AX203</f>
        <v/>
      </c>
    </row>
    <row r="204">
      <c r="A204" t="n">
        <v>198</v>
      </c>
      <c r="B204" s="19">
        <f>MAX(0,$B$3-(E204+K204+Q204+W204+AC204+AI204+AO204+AU204))</f>
        <v/>
      </c>
      <c r="C204">
        <f>H203</f>
        <v/>
      </c>
      <c r="D204">
        <f>C204*Plan!D6/100/12</f>
        <v/>
      </c>
      <c r="E204">
        <f>MIN(Plan!E6,C204+D204)</f>
        <v/>
      </c>
      <c r="F204">
        <f>C204+D204-E204</f>
        <v/>
      </c>
      <c r="G204">
        <f>MIN(F204,MAX(0,$B204-((K$5&lt;E$5)*L204+(Q$5&lt;E$5)*R204+(W$5&lt;E$5)*X204+(AC$5&lt;E$5)*AD204+(AI$5&lt;E$5)*AJ204+(AO$5&lt;E$5)*AP204+(AU$5&lt;E$5)*AV204)))</f>
        <v/>
      </c>
      <c r="H204">
        <f>IF(F204-G204&lt;0.005,0,F204-G204)</f>
        <v/>
      </c>
      <c r="I204">
        <f>N203</f>
        <v/>
      </c>
      <c r="J204">
        <f>I204*Plan!D7/100/12</f>
        <v/>
      </c>
      <c r="K204">
        <f>MIN(Plan!E7,I204+J204)</f>
        <v/>
      </c>
      <c r="L204">
        <f>I204+J204-K204</f>
        <v/>
      </c>
      <c r="M204">
        <f>MIN(L204,MAX(0,$B204-((E$5&lt;K$5)*F204+(Q$5&lt;K$5)*R204+(W$5&lt;K$5)*X204+(AC$5&lt;K$5)*AD204+(AI$5&lt;K$5)*AJ204+(AO$5&lt;K$5)*AP204+(AU$5&lt;K$5)*AV204)))</f>
        <v/>
      </c>
      <c r="N204">
        <f>IF(L204-M204&lt;0.005,0,L204-M204)</f>
        <v/>
      </c>
      <c r="O204">
        <f>T203</f>
        <v/>
      </c>
      <c r="P204">
        <f>O204*Plan!D8/100/12</f>
        <v/>
      </c>
      <c r="Q204">
        <f>MIN(Plan!E8,O204+P204)</f>
        <v/>
      </c>
      <c r="R204">
        <f>O204+P204-Q204</f>
        <v/>
      </c>
      <c r="S204">
        <f>MIN(R204,MAX(0,$B204-((E$5&lt;Q$5)*F204+(K$5&lt;Q$5)*L204+(W$5&lt;Q$5)*X204+(AC$5&lt;Q$5)*AD204+(AI$5&lt;Q$5)*AJ204+(AO$5&lt;Q$5)*AP204+(AU$5&lt;Q$5)*AV204)))</f>
        <v/>
      </c>
      <c r="T204">
        <f>IF(R204-S204&lt;0.005,0,R204-S204)</f>
        <v/>
      </c>
      <c r="U204">
        <f>Z203</f>
        <v/>
      </c>
      <c r="V204">
        <f>U204*Plan!D9/100/12</f>
        <v/>
      </c>
      <c r="W204">
        <f>MIN(Plan!E9,U204+V204)</f>
        <v/>
      </c>
      <c r="X204">
        <f>U204+V204-W204</f>
        <v/>
      </c>
      <c r="Y204">
        <f>MIN(X204,MAX(0,$B204-((E$5&lt;W$5)*F204+(K$5&lt;W$5)*L204+(Q$5&lt;W$5)*R204+(AC$5&lt;W$5)*AD204+(AI$5&lt;W$5)*AJ204+(AO$5&lt;W$5)*AP204+(AU$5&lt;W$5)*AV204)))</f>
        <v/>
      </c>
      <c r="Z204">
        <f>IF(X204-Y204&lt;0.005,0,X204-Y204)</f>
        <v/>
      </c>
      <c r="AA204">
        <f>AF203</f>
        <v/>
      </c>
      <c r="AB204">
        <f>AA204*Plan!D10/100/12</f>
        <v/>
      </c>
      <c r="AC204">
        <f>MIN(Plan!E10,AA204+AB204)</f>
        <v/>
      </c>
      <c r="AD204">
        <f>AA204+AB204-AC204</f>
        <v/>
      </c>
      <c r="AE204">
        <f>MIN(AD204,MAX(0,$B204-((E$5&lt;AC$5)*F204+(K$5&lt;AC$5)*L204+(Q$5&lt;AC$5)*R204+(W$5&lt;AC$5)*X204+(AI$5&lt;AC$5)*AJ204+(AO$5&lt;AC$5)*AP204+(AU$5&lt;AC$5)*AV204)))</f>
        <v/>
      </c>
      <c r="AF204">
        <f>IF(AD204-AE204&lt;0.005,0,AD204-AE204)</f>
        <v/>
      </c>
      <c r="AG204">
        <f>AL203</f>
        <v/>
      </c>
      <c r="AH204">
        <f>AG204*Plan!D11/100/12</f>
        <v/>
      </c>
      <c r="AI204">
        <f>MIN(Plan!E11,AG204+AH204)</f>
        <v/>
      </c>
      <c r="AJ204">
        <f>AG204+AH204-AI204</f>
        <v/>
      </c>
      <c r="AK204">
        <f>MIN(AJ204,MAX(0,$B204-((E$5&lt;AI$5)*F204+(K$5&lt;AI$5)*L204+(Q$5&lt;AI$5)*R204+(W$5&lt;AI$5)*X204+(AC$5&lt;AI$5)*AD204+(AO$5&lt;AI$5)*AP204+(AU$5&lt;AI$5)*AV204)))</f>
        <v/>
      </c>
      <c r="AL204">
        <f>IF(AJ204-AK204&lt;0.005,0,AJ204-AK204)</f>
        <v/>
      </c>
      <c r="AM204">
        <f>AR203</f>
        <v/>
      </c>
      <c r="AN204">
        <f>AM204*Plan!D12/100/12</f>
        <v/>
      </c>
      <c r="AO204">
        <f>MIN(Plan!E12,AM204+AN204)</f>
        <v/>
      </c>
      <c r="AP204">
        <f>AM204+AN204-AO204</f>
        <v/>
      </c>
      <c r="AQ204">
        <f>MIN(AP204,MAX(0,$B204-((E$5&lt;AO$5)*F204+(K$5&lt;AO$5)*L204+(Q$5&lt;AO$5)*R204+(W$5&lt;AO$5)*X204+(AC$5&lt;AO$5)*AD204+(AI$5&lt;AO$5)*AJ204+(AU$5&lt;AO$5)*AV204)))</f>
        <v/>
      </c>
      <c r="AR204">
        <f>IF(AP204-AQ204&lt;0.005,0,AP204-AQ204)</f>
        <v/>
      </c>
      <c r="AS204">
        <f>AX203</f>
        <v/>
      </c>
      <c r="AT204">
        <f>AS204*Plan!D13/100/12</f>
        <v/>
      </c>
      <c r="AU204">
        <f>MIN(Plan!E13,AS204+AT204)</f>
        <v/>
      </c>
      <c r="AV204">
        <f>AS204+AT204-AU204</f>
        <v/>
      </c>
      <c r="AW204">
        <f>MIN(AV204,MAX(0,$B204-((E$5&lt;AU$5)*F204+(K$5&lt;AU$5)*L204+(Q$5&lt;AU$5)*R204+(W$5&lt;AU$5)*X204+(AC$5&lt;AU$5)*AD204+(AI$5&lt;AU$5)*AJ204+(AO$5&lt;AU$5)*AP204)))</f>
        <v/>
      </c>
      <c r="AX204">
        <f>IF(AV204-AW204&lt;0.005,0,AV204-AW204)</f>
        <v/>
      </c>
      <c r="BC204">
        <f>H204+N204+T204+Z204+AF204+AL204+AR204+AX204</f>
        <v/>
      </c>
    </row>
    <row r="205">
      <c r="A205" t="n">
        <v>199</v>
      </c>
      <c r="B205" s="19">
        <f>MAX(0,$B$3-(E205+K205+Q205+W205+AC205+AI205+AO205+AU205))</f>
        <v/>
      </c>
      <c r="C205">
        <f>H204</f>
        <v/>
      </c>
      <c r="D205">
        <f>C205*Plan!D6/100/12</f>
        <v/>
      </c>
      <c r="E205">
        <f>MIN(Plan!E6,C205+D205)</f>
        <v/>
      </c>
      <c r="F205">
        <f>C205+D205-E205</f>
        <v/>
      </c>
      <c r="G205">
        <f>MIN(F205,MAX(0,$B205-((K$5&lt;E$5)*L205+(Q$5&lt;E$5)*R205+(W$5&lt;E$5)*X205+(AC$5&lt;E$5)*AD205+(AI$5&lt;E$5)*AJ205+(AO$5&lt;E$5)*AP205+(AU$5&lt;E$5)*AV205)))</f>
        <v/>
      </c>
      <c r="H205">
        <f>IF(F205-G205&lt;0.005,0,F205-G205)</f>
        <v/>
      </c>
      <c r="I205">
        <f>N204</f>
        <v/>
      </c>
      <c r="J205">
        <f>I205*Plan!D7/100/12</f>
        <v/>
      </c>
      <c r="K205">
        <f>MIN(Plan!E7,I205+J205)</f>
        <v/>
      </c>
      <c r="L205">
        <f>I205+J205-K205</f>
        <v/>
      </c>
      <c r="M205">
        <f>MIN(L205,MAX(0,$B205-((E$5&lt;K$5)*F205+(Q$5&lt;K$5)*R205+(W$5&lt;K$5)*X205+(AC$5&lt;K$5)*AD205+(AI$5&lt;K$5)*AJ205+(AO$5&lt;K$5)*AP205+(AU$5&lt;K$5)*AV205)))</f>
        <v/>
      </c>
      <c r="N205">
        <f>IF(L205-M205&lt;0.005,0,L205-M205)</f>
        <v/>
      </c>
      <c r="O205">
        <f>T204</f>
        <v/>
      </c>
      <c r="P205">
        <f>O205*Plan!D8/100/12</f>
        <v/>
      </c>
      <c r="Q205">
        <f>MIN(Plan!E8,O205+P205)</f>
        <v/>
      </c>
      <c r="R205">
        <f>O205+P205-Q205</f>
        <v/>
      </c>
      <c r="S205">
        <f>MIN(R205,MAX(0,$B205-((E$5&lt;Q$5)*F205+(K$5&lt;Q$5)*L205+(W$5&lt;Q$5)*X205+(AC$5&lt;Q$5)*AD205+(AI$5&lt;Q$5)*AJ205+(AO$5&lt;Q$5)*AP205+(AU$5&lt;Q$5)*AV205)))</f>
        <v/>
      </c>
      <c r="T205">
        <f>IF(R205-S205&lt;0.005,0,R205-S205)</f>
        <v/>
      </c>
      <c r="U205">
        <f>Z204</f>
        <v/>
      </c>
      <c r="V205">
        <f>U205*Plan!D9/100/12</f>
        <v/>
      </c>
      <c r="W205">
        <f>MIN(Plan!E9,U205+V205)</f>
        <v/>
      </c>
      <c r="X205">
        <f>U205+V205-W205</f>
        <v/>
      </c>
      <c r="Y205">
        <f>MIN(X205,MAX(0,$B205-((E$5&lt;W$5)*F205+(K$5&lt;W$5)*L205+(Q$5&lt;W$5)*R205+(AC$5&lt;W$5)*AD205+(AI$5&lt;W$5)*AJ205+(AO$5&lt;W$5)*AP205+(AU$5&lt;W$5)*AV205)))</f>
        <v/>
      </c>
      <c r="Z205">
        <f>IF(X205-Y205&lt;0.005,0,X205-Y205)</f>
        <v/>
      </c>
      <c r="AA205">
        <f>AF204</f>
        <v/>
      </c>
      <c r="AB205">
        <f>AA205*Plan!D10/100/12</f>
        <v/>
      </c>
      <c r="AC205">
        <f>MIN(Plan!E10,AA205+AB205)</f>
        <v/>
      </c>
      <c r="AD205">
        <f>AA205+AB205-AC205</f>
        <v/>
      </c>
      <c r="AE205">
        <f>MIN(AD205,MAX(0,$B205-((E$5&lt;AC$5)*F205+(K$5&lt;AC$5)*L205+(Q$5&lt;AC$5)*R205+(W$5&lt;AC$5)*X205+(AI$5&lt;AC$5)*AJ205+(AO$5&lt;AC$5)*AP205+(AU$5&lt;AC$5)*AV205)))</f>
        <v/>
      </c>
      <c r="AF205">
        <f>IF(AD205-AE205&lt;0.005,0,AD205-AE205)</f>
        <v/>
      </c>
      <c r="AG205">
        <f>AL204</f>
        <v/>
      </c>
      <c r="AH205">
        <f>AG205*Plan!D11/100/12</f>
        <v/>
      </c>
      <c r="AI205">
        <f>MIN(Plan!E11,AG205+AH205)</f>
        <v/>
      </c>
      <c r="AJ205">
        <f>AG205+AH205-AI205</f>
        <v/>
      </c>
      <c r="AK205">
        <f>MIN(AJ205,MAX(0,$B205-((E$5&lt;AI$5)*F205+(K$5&lt;AI$5)*L205+(Q$5&lt;AI$5)*R205+(W$5&lt;AI$5)*X205+(AC$5&lt;AI$5)*AD205+(AO$5&lt;AI$5)*AP205+(AU$5&lt;AI$5)*AV205)))</f>
        <v/>
      </c>
      <c r="AL205">
        <f>IF(AJ205-AK205&lt;0.005,0,AJ205-AK205)</f>
        <v/>
      </c>
      <c r="AM205">
        <f>AR204</f>
        <v/>
      </c>
      <c r="AN205">
        <f>AM205*Plan!D12/100/12</f>
        <v/>
      </c>
      <c r="AO205">
        <f>MIN(Plan!E12,AM205+AN205)</f>
        <v/>
      </c>
      <c r="AP205">
        <f>AM205+AN205-AO205</f>
        <v/>
      </c>
      <c r="AQ205">
        <f>MIN(AP205,MAX(0,$B205-((E$5&lt;AO$5)*F205+(K$5&lt;AO$5)*L205+(Q$5&lt;AO$5)*R205+(W$5&lt;AO$5)*X205+(AC$5&lt;AO$5)*AD205+(AI$5&lt;AO$5)*AJ205+(AU$5&lt;AO$5)*AV205)))</f>
        <v/>
      </c>
      <c r="AR205">
        <f>IF(AP205-AQ205&lt;0.005,0,AP205-AQ205)</f>
        <v/>
      </c>
      <c r="AS205">
        <f>AX204</f>
        <v/>
      </c>
      <c r="AT205">
        <f>AS205*Plan!D13/100/12</f>
        <v/>
      </c>
      <c r="AU205">
        <f>MIN(Plan!E13,AS205+AT205)</f>
        <v/>
      </c>
      <c r="AV205">
        <f>AS205+AT205-AU205</f>
        <v/>
      </c>
      <c r="AW205">
        <f>MIN(AV205,MAX(0,$B205-((E$5&lt;AU$5)*F205+(K$5&lt;AU$5)*L205+(Q$5&lt;AU$5)*R205+(W$5&lt;AU$5)*X205+(AC$5&lt;AU$5)*AD205+(AI$5&lt;AU$5)*AJ205+(AO$5&lt;AU$5)*AP205)))</f>
        <v/>
      </c>
      <c r="AX205">
        <f>IF(AV205-AW205&lt;0.005,0,AV205-AW205)</f>
        <v/>
      </c>
      <c r="BC205">
        <f>H205+N205+T205+Z205+AF205+AL205+AR205+AX205</f>
        <v/>
      </c>
    </row>
    <row r="206">
      <c r="A206" t="n">
        <v>200</v>
      </c>
      <c r="B206" s="19">
        <f>MAX(0,$B$3-(E206+K206+Q206+W206+AC206+AI206+AO206+AU206))</f>
        <v/>
      </c>
      <c r="C206">
        <f>H205</f>
        <v/>
      </c>
      <c r="D206">
        <f>C206*Plan!D6/100/12</f>
        <v/>
      </c>
      <c r="E206">
        <f>MIN(Plan!E6,C206+D206)</f>
        <v/>
      </c>
      <c r="F206">
        <f>C206+D206-E206</f>
        <v/>
      </c>
      <c r="G206">
        <f>MIN(F206,MAX(0,$B206-((K$5&lt;E$5)*L206+(Q$5&lt;E$5)*R206+(W$5&lt;E$5)*X206+(AC$5&lt;E$5)*AD206+(AI$5&lt;E$5)*AJ206+(AO$5&lt;E$5)*AP206+(AU$5&lt;E$5)*AV206)))</f>
        <v/>
      </c>
      <c r="H206">
        <f>IF(F206-G206&lt;0.005,0,F206-G206)</f>
        <v/>
      </c>
      <c r="I206">
        <f>N205</f>
        <v/>
      </c>
      <c r="J206">
        <f>I206*Plan!D7/100/12</f>
        <v/>
      </c>
      <c r="K206">
        <f>MIN(Plan!E7,I206+J206)</f>
        <v/>
      </c>
      <c r="L206">
        <f>I206+J206-K206</f>
        <v/>
      </c>
      <c r="M206">
        <f>MIN(L206,MAX(0,$B206-((E$5&lt;K$5)*F206+(Q$5&lt;K$5)*R206+(W$5&lt;K$5)*X206+(AC$5&lt;K$5)*AD206+(AI$5&lt;K$5)*AJ206+(AO$5&lt;K$5)*AP206+(AU$5&lt;K$5)*AV206)))</f>
        <v/>
      </c>
      <c r="N206">
        <f>IF(L206-M206&lt;0.005,0,L206-M206)</f>
        <v/>
      </c>
      <c r="O206">
        <f>T205</f>
        <v/>
      </c>
      <c r="P206">
        <f>O206*Plan!D8/100/12</f>
        <v/>
      </c>
      <c r="Q206">
        <f>MIN(Plan!E8,O206+P206)</f>
        <v/>
      </c>
      <c r="R206">
        <f>O206+P206-Q206</f>
        <v/>
      </c>
      <c r="S206">
        <f>MIN(R206,MAX(0,$B206-((E$5&lt;Q$5)*F206+(K$5&lt;Q$5)*L206+(W$5&lt;Q$5)*X206+(AC$5&lt;Q$5)*AD206+(AI$5&lt;Q$5)*AJ206+(AO$5&lt;Q$5)*AP206+(AU$5&lt;Q$5)*AV206)))</f>
        <v/>
      </c>
      <c r="T206">
        <f>IF(R206-S206&lt;0.005,0,R206-S206)</f>
        <v/>
      </c>
      <c r="U206">
        <f>Z205</f>
        <v/>
      </c>
      <c r="V206">
        <f>U206*Plan!D9/100/12</f>
        <v/>
      </c>
      <c r="W206">
        <f>MIN(Plan!E9,U206+V206)</f>
        <v/>
      </c>
      <c r="X206">
        <f>U206+V206-W206</f>
        <v/>
      </c>
      <c r="Y206">
        <f>MIN(X206,MAX(0,$B206-((E$5&lt;W$5)*F206+(K$5&lt;W$5)*L206+(Q$5&lt;W$5)*R206+(AC$5&lt;W$5)*AD206+(AI$5&lt;W$5)*AJ206+(AO$5&lt;W$5)*AP206+(AU$5&lt;W$5)*AV206)))</f>
        <v/>
      </c>
      <c r="Z206">
        <f>IF(X206-Y206&lt;0.005,0,X206-Y206)</f>
        <v/>
      </c>
      <c r="AA206">
        <f>AF205</f>
        <v/>
      </c>
      <c r="AB206">
        <f>AA206*Plan!D10/100/12</f>
        <v/>
      </c>
      <c r="AC206">
        <f>MIN(Plan!E10,AA206+AB206)</f>
        <v/>
      </c>
      <c r="AD206">
        <f>AA206+AB206-AC206</f>
        <v/>
      </c>
      <c r="AE206">
        <f>MIN(AD206,MAX(0,$B206-((E$5&lt;AC$5)*F206+(K$5&lt;AC$5)*L206+(Q$5&lt;AC$5)*R206+(W$5&lt;AC$5)*X206+(AI$5&lt;AC$5)*AJ206+(AO$5&lt;AC$5)*AP206+(AU$5&lt;AC$5)*AV206)))</f>
        <v/>
      </c>
      <c r="AF206">
        <f>IF(AD206-AE206&lt;0.005,0,AD206-AE206)</f>
        <v/>
      </c>
      <c r="AG206">
        <f>AL205</f>
        <v/>
      </c>
      <c r="AH206">
        <f>AG206*Plan!D11/100/12</f>
        <v/>
      </c>
      <c r="AI206">
        <f>MIN(Plan!E11,AG206+AH206)</f>
        <v/>
      </c>
      <c r="AJ206">
        <f>AG206+AH206-AI206</f>
        <v/>
      </c>
      <c r="AK206">
        <f>MIN(AJ206,MAX(0,$B206-((E$5&lt;AI$5)*F206+(K$5&lt;AI$5)*L206+(Q$5&lt;AI$5)*R206+(W$5&lt;AI$5)*X206+(AC$5&lt;AI$5)*AD206+(AO$5&lt;AI$5)*AP206+(AU$5&lt;AI$5)*AV206)))</f>
        <v/>
      </c>
      <c r="AL206">
        <f>IF(AJ206-AK206&lt;0.005,0,AJ206-AK206)</f>
        <v/>
      </c>
      <c r="AM206">
        <f>AR205</f>
        <v/>
      </c>
      <c r="AN206">
        <f>AM206*Plan!D12/100/12</f>
        <v/>
      </c>
      <c r="AO206">
        <f>MIN(Plan!E12,AM206+AN206)</f>
        <v/>
      </c>
      <c r="AP206">
        <f>AM206+AN206-AO206</f>
        <v/>
      </c>
      <c r="AQ206">
        <f>MIN(AP206,MAX(0,$B206-((E$5&lt;AO$5)*F206+(K$5&lt;AO$5)*L206+(Q$5&lt;AO$5)*R206+(W$5&lt;AO$5)*X206+(AC$5&lt;AO$5)*AD206+(AI$5&lt;AO$5)*AJ206+(AU$5&lt;AO$5)*AV206)))</f>
        <v/>
      </c>
      <c r="AR206">
        <f>IF(AP206-AQ206&lt;0.005,0,AP206-AQ206)</f>
        <v/>
      </c>
      <c r="AS206">
        <f>AX205</f>
        <v/>
      </c>
      <c r="AT206">
        <f>AS206*Plan!D13/100/12</f>
        <v/>
      </c>
      <c r="AU206">
        <f>MIN(Plan!E13,AS206+AT206)</f>
        <v/>
      </c>
      <c r="AV206">
        <f>AS206+AT206-AU206</f>
        <v/>
      </c>
      <c r="AW206">
        <f>MIN(AV206,MAX(0,$B206-((E$5&lt;AU$5)*F206+(K$5&lt;AU$5)*L206+(Q$5&lt;AU$5)*R206+(W$5&lt;AU$5)*X206+(AC$5&lt;AU$5)*AD206+(AI$5&lt;AU$5)*AJ206+(AO$5&lt;AU$5)*AP206)))</f>
        <v/>
      </c>
      <c r="AX206">
        <f>IF(AV206-AW206&lt;0.005,0,AV206-AW206)</f>
        <v/>
      </c>
      <c r="BC206">
        <f>H206+N206+T206+Z206+AF206+AL206+AR206+AX206</f>
        <v/>
      </c>
    </row>
    <row r="207">
      <c r="A207" t="n">
        <v>201</v>
      </c>
      <c r="B207" s="19">
        <f>MAX(0,$B$3-(E207+K207+Q207+W207+AC207+AI207+AO207+AU207))</f>
        <v/>
      </c>
      <c r="C207">
        <f>H206</f>
        <v/>
      </c>
      <c r="D207">
        <f>C207*Plan!D6/100/12</f>
        <v/>
      </c>
      <c r="E207">
        <f>MIN(Plan!E6,C207+D207)</f>
        <v/>
      </c>
      <c r="F207">
        <f>C207+D207-E207</f>
        <v/>
      </c>
      <c r="G207">
        <f>MIN(F207,MAX(0,$B207-((K$5&lt;E$5)*L207+(Q$5&lt;E$5)*R207+(W$5&lt;E$5)*X207+(AC$5&lt;E$5)*AD207+(AI$5&lt;E$5)*AJ207+(AO$5&lt;E$5)*AP207+(AU$5&lt;E$5)*AV207)))</f>
        <v/>
      </c>
      <c r="H207">
        <f>IF(F207-G207&lt;0.005,0,F207-G207)</f>
        <v/>
      </c>
      <c r="I207">
        <f>N206</f>
        <v/>
      </c>
      <c r="J207">
        <f>I207*Plan!D7/100/12</f>
        <v/>
      </c>
      <c r="K207">
        <f>MIN(Plan!E7,I207+J207)</f>
        <v/>
      </c>
      <c r="L207">
        <f>I207+J207-K207</f>
        <v/>
      </c>
      <c r="M207">
        <f>MIN(L207,MAX(0,$B207-((E$5&lt;K$5)*F207+(Q$5&lt;K$5)*R207+(W$5&lt;K$5)*X207+(AC$5&lt;K$5)*AD207+(AI$5&lt;K$5)*AJ207+(AO$5&lt;K$5)*AP207+(AU$5&lt;K$5)*AV207)))</f>
        <v/>
      </c>
      <c r="N207">
        <f>IF(L207-M207&lt;0.005,0,L207-M207)</f>
        <v/>
      </c>
      <c r="O207">
        <f>T206</f>
        <v/>
      </c>
      <c r="P207">
        <f>O207*Plan!D8/100/12</f>
        <v/>
      </c>
      <c r="Q207">
        <f>MIN(Plan!E8,O207+P207)</f>
        <v/>
      </c>
      <c r="R207">
        <f>O207+P207-Q207</f>
        <v/>
      </c>
      <c r="S207">
        <f>MIN(R207,MAX(0,$B207-((E$5&lt;Q$5)*F207+(K$5&lt;Q$5)*L207+(W$5&lt;Q$5)*X207+(AC$5&lt;Q$5)*AD207+(AI$5&lt;Q$5)*AJ207+(AO$5&lt;Q$5)*AP207+(AU$5&lt;Q$5)*AV207)))</f>
        <v/>
      </c>
      <c r="T207">
        <f>IF(R207-S207&lt;0.005,0,R207-S207)</f>
        <v/>
      </c>
      <c r="U207">
        <f>Z206</f>
        <v/>
      </c>
      <c r="V207">
        <f>U207*Plan!D9/100/12</f>
        <v/>
      </c>
      <c r="W207">
        <f>MIN(Plan!E9,U207+V207)</f>
        <v/>
      </c>
      <c r="X207">
        <f>U207+V207-W207</f>
        <v/>
      </c>
      <c r="Y207">
        <f>MIN(X207,MAX(0,$B207-((E$5&lt;W$5)*F207+(K$5&lt;W$5)*L207+(Q$5&lt;W$5)*R207+(AC$5&lt;W$5)*AD207+(AI$5&lt;W$5)*AJ207+(AO$5&lt;W$5)*AP207+(AU$5&lt;W$5)*AV207)))</f>
        <v/>
      </c>
      <c r="Z207">
        <f>IF(X207-Y207&lt;0.005,0,X207-Y207)</f>
        <v/>
      </c>
      <c r="AA207">
        <f>AF206</f>
        <v/>
      </c>
      <c r="AB207">
        <f>AA207*Plan!D10/100/12</f>
        <v/>
      </c>
      <c r="AC207">
        <f>MIN(Plan!E10,AA207+AB207)</f>
        <v/>
      </c>
      <c r="AD207">
        <f>AA207+AB207-AC207</f>
        <v/>
      </c>
      <c r="AE207">
        <f>MIN(AD207,MAX(0,$B207-((E$5&lt;AC$5)*F207+(K$5&lt;AC$5)*L207+(Q$5&lt;AC$5)*R207+(W$5&lt;AC$5)*X207+(AI$5&lt;AC$5)*AJ207+(AO$5&lt;AC$5)*AP207+(AU$5&lt;AC$5)*AV207)))</f>
        <v/>
      </c>
      <c r="AF207">
        <f>IF(AD207-AE207&lt;0.005,0,AD207-AE207)</f>
        <v/>
      </c>
      <c r="AG207">
        <f>AL206</f>
        <v/>
      </c>
      <c r="AH207">
        <f>AG207*Plan!D11/100/12</f>
        <v/>
      </c>
      <c r="AI207">
        <f>MIN(Plan!E11,AG207+AH207)</f>
        <v/>
      </c>
      <c r="AJ207">
        <f>AG207+AH207-AI207</f>
        <v/>
      </c>
      <c r="AK207">
        <f>MIN(AJ207,MAX(0,$B207-((E$5&lt;AI$5)*F207+(K$5&lt;AI$5)*L207+(Q$5&lt;AI$5)*R207+(W$5&lt;AI$5)*X207+(AC$5&lt;AI$5)*AD207+(AO$5&lt;AI$5)*AP207+(AU$5&lt;AI$5)*AV207)))</f>
        <v/>
      </c>
      <c r="AL207">
        <f>IF(AJ207-AK207&lt;0.005,0,AJ207-AK207)</f>
        <v/>
      </c>
      <c r="AM207">
        <f>AR206</f>
        <v/>
      </c>
      <c r="AN207">
        <f>AM207*Plan!D12/100/12</f>
        <v/>
      </c>
      <c r="AO207">
        <f>MIN(Plan!E12,AM207+AN207)</f>
        <v/>
      </c>
      <c r="AP207">
        <f>AM207+AN207-AO207</f>
        <v/>
      </c>
      <c r="AQ207">
        <f>MIN(AP207,MAX(0,$B207-((E$5&lt;AO$5)*F207+(K$5&lt;AO$5)*L207+(Q$5&lt;AO$5)*R207+(W$5&lt;AO$5)*X207+(AC$5&lt;AO$5)*AD207+(AI$5&lt;AO$5)*AJ207+(AU$5&lt;AO$5)*AV207)))</f>
        <v/>
      </c>
      <c r="AR207">
        <f>IF(AP207-AQ207&lt;0.005,0,AP207-AQ207)</f>
        <v/>
      </c>
      <c r="AS207">
        <f>AX206</f>
        <v/>
      </c>
      <c r="AT207">
        <f>AS207*Plan!D13/100/12</f>
        <v/>
      </c>
      <c r="AU207">
        <f>MIN(Plan!E13,AS207+AT207)</f>
        <v/>
      </c>
      <c r="AV207">
        <f>AS207+AT207-AU207</f>
        <v/>
      </c>
      <c r="AW207">
        <f>MIN(AV207,MAX(0,$B207-((E$5&lt;AU$5)*F207+(K$5&lt;AU$5)*L207+(Q$5&lt;AU$5)*R207+(W$5&lt;AU$5)*X207+(AC$5&lt;AU$5)*AD207+(AI$5&lt;AU$5)*AJ207+(AO$5&lt;AU$5)*AP207)))</f>
        <v/>
      </c>
      <c r="AX207">
        <f>IF(AV207-AW207&lt;0.005,0,AV207-AW207)</f>
        <v/>
      </c>
      <c r="BC207">
        <f>H207+N207+T207+Z207+AF207+AL207+AR207+AX207</f>
        <v/>
      </c>
    </row>
    <row r="208">
      <c r="A208" t="n">
        <v>202</v>
      </c>
      <c r="B208" s="19">
        <f>MAX(0,$B$3-(E208+K208+Q208+W208+AC208+AI208+AO208+AU208))</f>
        <v/>
      </c>
      <c r="C208">
        <f>H207</f>
        <v/>
      </c>
      <c r="D208">
        <f>C208*Plan!D6/100/12</f>
        <v/>
      </c>
      <c r="E208">
        <f>MIN(Plan!E6,C208+D208)</f>
        <v/>
      </c>
      <c r="F208">
        <f>C208+D208-E208</f>
        <v/>
      </c>
      <c r="G208">
        <f>MIN(F208,MAX(0,$B208-((K$5&lt;E$5)*L208+(Q$5&lt;E$5)*R208+(W$5&lt;E$5)*X208+(AC$5&lt;E$5)*AD208+(AI$5&lt;E$5)*AJ208+(AO$5&lt;E$5)*AP208+(AU$5&lt;E$5)*AV208)))</f>
        <v/>
      </c>
      <c r="H208">
        <f>IF(F208-G208&lt;0.005,0,F208-G208)</f>
        <v/>
      </c>
      <c r="I208">
        <f>N207</f>
        <v/>
      </c>
      <c r="J208">
        <f>I208*Plan!D7/100/12</f>
        <v/>
      </c>
      <c r="K208">
        <f>MIN(Plan!E7,I208+J208)</f>
        <v/>
      </c>
      <c r="L208">
        <f>I208+J208-K208</f>
        <v/>
      </c>
      <c r="M208">
        <f>MIN(L208,MAX(0,$B208-((E$5&lt;K$5)*F208+(Q$5&lt;K$5)*R208+(W$5&lt;K$5)*X208+(AC$5&lt;K$5)*AD208+(AI$5&lt;K$5)*AJ208+(AO$5&lt;K$5)*AP208+(AU$5&lt;K$5)*AV208)))</f>
        <v/>
      </c>
      <c r="N208">
        <f>IF(L208-M208&lt;0.005,0,L208-M208)</f>
        <v/>
      </c>
      <c r="O208">
        <f>T207</f>
        <v/>
      </c>
      <c r="P208">
        <f>O208*Plan!D8/100/12</f>
        <v/>
      </c>
      <c r="Q208">
        <f>MIN(Plan!E8,O208+P208)</f>
        <v/>
      </c>
      <c r="R208">
        <f>O208+P208-Q208</f>
        <v/>
      </c>
      <c r="S208">
        <f>MIN(R208,MAX(0,$B208-((E$5&lt;Q$5)*F208+(K$5&lt;Q$5)*L208+(W$5&lt;Q$5)*X208+(AC$5&lt;Q$5)*AD208+(AI$5&lt;Q$5)*AJ208+(AO$5&lt;Q$5)*AP208+(AU$5&lt;Q$5)*AV208)))</f>
        <v/>
      </c>
      <c r="T208">
        <f>IF(R208-S208&lt;0.005,0,R208-S208)</f>
        <v/>
      </c>
      <c r="U208">
        <f>Z207</f>
        <v/>
      </c>
      <c r="V208">
        <f>U208*Plan!D9/100/12</f>
        <v/>
      </c>
      <c r="W208">
        <f>MIN(Plan!E9,U208+V208)</f>
        <v/>
      </c>
      <c r="X208">
        <f>U208+V208-W208</f>
        <v/>
      </c>
      <c r="Y208">
        <f>MIN(X208,MAX(0,$B208-((E$5&lt;W$5)*F208+(K$5&lt;W$5)*L208+(Q$5&lt;W$5)*R208+(AC$5&lt;W$5)*AD208+(AI$5&lt;W$5)*AJ208+(AO$5&lt;W$5)*AP208+(AU$5&lt;W$5)*AV208)))</f>
        <v/>
      </c>
      <c r="Z208">
        <f>IF(X208-Y208&lt;0.005,0,X208-Y208)</f>
        <v/>
      </c>
      <c r="AA208">
        <f>AF207</f>
        <v/>
      </c>
      <c r="AB208">
        <f>AA208*Plan!D10/100/12</f>
        <v/>
      </c>
      <c r="AC208">
        <f>MIN(Plan!E10,AA208+AB208)</f>
        <v/>
      </c>
      <c r="AD208">
        <f>AA208+AB208-AC208</f>
        <v/>
      </c>
      <c r="AE208">
        <f>MIN(AD208,MAX(0,$B208-((E$5&lt;AC$5)*F208+(K$5&lt;AC$5)*L208+(Q$5&lt;AC$5)*R208+(W$5&lt;AC$5)*X208+(AI$5&lt;AC$5)*AJ208+(AO$5&lt;AC$5)*AP208+(AU$5&lt;AC$5)*AV208)))</f>
        <v/>
      </c>
      <c r="AF208">
        <f>IF(AD208-AE208&lt;0.005,0,AD208-AE208)</f>
        <v/>
      </c>
      <c r="AG208">
        <f>AL207</f>
        <v/>
      </c>
      <c r="AH208">
        <f>AG208*Plan!D11/100/12</f>
        <v/>
      </c>
      <c r="AI208">
        <f>MIN(Plan!E11,AG208+AH208)</f>
        <v/>
      </c>
      <c r="AJ208">
        <f>AG208+AH208-AI208</f>
        <v/>
      </c>
      <c r="AK208">
        <f>MIN(AJ208,MAX(0,$B208-((E$5&lt;AI$5)*F208+(K$5&lt;AI$5)*L208+(Q$5&lt;AI$5)*R208+(W$5&lt;AI$5)*X208+(AC$5&lt;AI$5)*AD208+(AO$5&lt;AI$5)*AP208+(AU$5&lt;AI$5)*AV208)))</f>
        <v/>
      </c>
      <c r="AL208">
        <f>IF(AJ208-AK208&lt;0.005,0,AJ208-AK208)</f>
        <v/>
      </c>
      <c r="AM208">
        <f>AR207</f>
        <v/>
      </c>
      <c r="AN208">
        <f>AM208*Plan!D12/100/12</f>
        <v/>
      </c>
      <c r="AO208">
        <f>MIN(Plan!E12,AM208+AN208)</f>
        <v/>
      </c>
      <c r="AP208">
        <f>AM208+AN208-AO208</f>
        <v/>
      </c>
      <c r="AQ208">
        <f>MIN(AP208,MAX(0,$B208-((E$5&lt;AO$5)*F208+(K$5&lt;AO$5)*L208+(Q$5&lt;AO$5)*R208+(W$5&lt;AO$5)*X208+(AC$5&lt;AO$5)*AD208+(AI$5&lt;AO$5)*AJ208+(AU$5&lt;AO$5)*AV208)))</f>
        <v/>
      </c>
      <c r="AR208">
        <f>IF(AP208-AQ208&lt;0.005,0,AP208-AQ208)</f>
        <v/>
      </c>
      <c r="AS208">
        <f>AX207</f>
        <v/>
      </c>
      <c r="AT208">
        <f>AS208*Plan!D13/100/12</f>
        <v/>
      </c>
      <c r="AU208">
        <f>MIN(Plan!E13,AS208+AT208)</f>
        <v/>
      </c>
      <c r="AV208">
        <f>AS208+AT208-AU208</f>
        <v/>
      </c>
      <c r="AW208">
        <f>MIN(AV208,MAX(0,$B208-((E$5&lt;AU$5)*F208+(K$5&lt;AU$5)*L208+(Q$5&lt;AU$5)*R208+(W$5&lt;AU$5)*X208+(AC$5&lt;AU$5)*AD208+(AI$5&lt;AU$5)*AJ208+(AO$5&lt;AU$5)*AP208)))</f>
        <v/>
      </c>
      <c r="AX208">
        <f>IF(AV208-AW208&lt;0.005,0,AV208-AW208)</f>
        <v/>
      </c>
      <c r="BC208">
        <f>H208+N208+T208+Z208+AF208+AL208+AR208+AX208</f>
        <v/>
      </c>
    </row>
    <row r="209">
      <c r="A209" t="n">
        <v>203</v>
      </c>
      <c r="B209" s="19">
        <f>MAX(0,$B$3-(E209+K209+Q209+W209+AC209+AI209+AO209+AU209))</f>
        <v/>
      </c>
      <c r="C209">
        <f>H208</f>
        <v/>
      </c>
      <c r="D209">
        <f>C209*Plan!D6/100/12</f>
        <v/>
      </c>
      <c r="E209">
        <f>MIN(Plan!E6,C209+D209)</f>
        <v/>
      </c>
      <c r="F209">
        <f>C209+D209-E209</f>
        <v/>
      </c>
      <c r="G209">
        <f>MIN(F209,MAX(0,$B209-((K$5&lt;E$5)*L209+(Q$5&lt;E$5)*R209+(W$5&lt;E$5)*X209+(AC$5&lt;E$5)*AD209+(AI$5&lt;E$5)*AJ209+(AO$5&lt;E$5)*AP209+(AU$5&lt;E$5)*AV209)))</f>
        <v/>
      </c>
      <c r="H209">
        <f>IF(F209-G209&lt;0.005,0,F209-G209)</f>
        <v/>
      </c>
      <c r="I209">
        <f>N208</f>
        <v/>
      </c>
      <c r="J209">
        <f>I209*Plan!D7/100/12</f>
        <v/>
      </c>
      <c r="K209">
        <f>MIN(Plan!E7,I209+J209)</f>
        <v/>
      </c>
      <c r="L209">
        <f>I209+J209-K209</f>
        <v/>
      </c>
      <c r="M209">
        <f>MIN(L209,MAX(0,$B209-((E$5&lt;K$5)*F209+(Q$5&lt;K$5)*R209+(W$5&lt;K$5)*X209+(AC$5&lt;K$5)*AD209+(AI$5&lt;K$5)*AJ209+(AO$5&lt;K$5)*AP209+(AU$5&lt;K$5)*AV209)))</f>
        <v/>
      </c>
      <c r="N209">
        <f>IF(L209-M209&lt;0.005,0,L209-M209)</f>
        <v/>
      </c>
      <c r="O209">
        <f>T208</f>
        <v/>
      </c>
      <c r="P209">
        <f>O209*Plan!D8/100/12</f>
        <v/>
      </c>
      <c r="Q209">
        <f>MIN(Plan!E8,O209+P209)</f>
        <v/>
      </c>
      <c r="R209">
        <f>O209+P209-Q209</f>
        <v/>
      </c>
      <c r="S209">
        <f>MIN(R209,MAX(0,$B209-((E$5&lt;Q$5)*F209+(K$5&lt;Q$5)*L209+(W$5&lt;Q$5)*X209+(AC$5&lt;Q$5)*AD209+(AI$5&lt;Q$5)*AJ209+(AO$5&lt;Q$5)*AP209+(AU$5&lt;Q$5)*AV209)))</f>
        <v/>
      </c>
      <c r="T209">
        <f>IF(R209-S209&lt;0.005,0,R209-S209)</f>
        <v/>
      </c>
      <c r="U209">
        <f>Z208</f>
        <v/>
      </c>
      <c r="V209">
        <f>U209*Plan!D9/100/12</f>
        <v/>
      </c>
      <c r="W209">
        <f>MIN(Plan!E9,U209+V209)</f>
        <v/>
      </c>
      <c r="X209">
        <f>U209+V209-W209</f>
        <v/>
      </c>
      <c r="Y209">
        <f>MIN(X209,MAX(0,$B209-((E$5&lt;W$5)*F209+(K$5&lt;W$5)*L209+(Q$5&lt;W$5)*R209+(AC$5&lt;W$5)*AD209+(AI$5&lt;W$5)*AJ209+(AO$5&lt;W$5)*AP209+(AU$5&lt;W$5)*AV209)))</f>
        <v/>
      </c>
      <c r="Z209">
        <f>IF(X209-Y209&lt;0.005,0,X209-Y209)</f>
        <v/>
      </c>
      <c r="AA209">
        <f>AF208</f>
        <v/>
      </c>
      <c r="AB209">
        <f>AA209*Plan!D10/100/12</f>
        <v/>
      </c>
      <c r="AC209">
        <f>MIN(Plan!E10,AA209+AB209)</f>
        <v/>
      </c>
      <c r="AD209">
        <f>AA209+AB209-AC209</f>
        <v/>
      </c>
      <c r="AE209">
        <f>MIN(AD209,MAX(0,$B209-((E$5&lt;AC$5)*F209+(K$5&lt;AC$5)*L209+(Q$5&lt;AC$5)*R209+(W$5&lt;AC$5)*X209+(AI$5&lt;AC$5)*AJ209+(AO$5&lt;AC$5)*AP209+(AU$5&lt;AC$5)*AV209)))</f>
        <v/>
      </c>
      <c r="AF209">
        <f>IF(AD209-AE209&lt;0.005,0,AD209-AE209)</f>
        <v/>
      </c>
      <c r="AG209">
        <f>AL208</f>
        <v/>
      </c>
      <c r="AH209">
        <f>AG209*Plan!D11/100/12</f>
        <v/>
      </c>
      <c r="AI209">
        <f>MIN(Plan!E11,AG209+AH209)</f>
        <v/>
      </c>
      <c r="AJ209">
        <f>AG209+AH209-AI209</f>
        <v/>
      </c>
      <c r="AK209">
        <f>MIN(AJ209,MAX(0,$B209-((E$5&lt;AI$5)*F209+(K$5&lt;AI$5)*L209+(Q$5&lt;AI$5)*R209+(W$5&lt;AI$5)*X209+(AC$5&lt;AI$5)*AD209+(AO$5&lt;AI$5)*AP209+(AU$5&lt;AI$5)*AV209)))</f>
        <v/>
      </c>
      <c r="AL209">
        <f>IF(AJ209-AK209&lt;0.005,0,AJ209-AK209)</f>
        <v/>
      </c>
      <c r="AM209">
        <f>AR208</f>
        <v/>
      </c>
      <c r="AN209">
        <f>AM209*Plan!D12/100/12</f>
        <v/>
      </c>
      <c r="AO209">
        <f>MIN(Plan!E12,AM209+AN209)</f>
        <v/>
      </c>
      <c r="AP209">
        <f>AM209+AN209-AO209</f>
        <v/>
      </c>
      <c r="AQ209">
        <f>MIN(AP209,MAX(0,$B209-((E$5&lt;AO$5)*F209+(K$5&lt;AO$5)*L209+(Q$5&lt;AO$5)*R209+(W$5&lt;AO$5)*X209+(AC$5&lt;AO$5)*AD209+(AI$5&lt;AO$5)*AJ209+(AU$5&lt;AO$5)*AV209)))</f>
        <v/>
      </c>
      <c r="AR209">
        <f>IF(AP209-AQ209&lt;0.005,0,AP209-AQ209)</f>
        <v/>
      </c>
      <c r="AS209">
        <f>AX208</f>
        <v/>
      </c>
      <c r="AT209">
        <f>AS209*Plan!D13/100/12</f>
        <v/>
      </c>
      <c r="AU209">
        <f>MIN(Plan!E13,AS209+AT209)</f>
        <v/>
      </c>
      <c r="AV209">
        <f>AS209+AT209-AU209</f>
        <v/>
      </c>
      <c r="AW209">
        <f>MIN(AV209,MAX(0,$B209-((E$5&lt;AU$5)*F209+(K$5&lt;AU$5)*L209+(Q$5&lt;AU$5)*R209+(W$5&lt;AU$5)*X209+(AC$5&lt;AU$5)*AD209+(AI$5&lt;AU$5)*AJ209+(AO$5&lt;AU$5)*AP209)))</f>
        <v/>
      </c>
      <c r="AX209">
        <f>IF(AV209-AW209&lt;0.005,0,AV209-AW209)</f>
        <v/>
      </c>
      <c r="BC209">
        <f>H209+N209+T209+Z209+AF209+AL209+AR209+AX209</f>
        <v/>
      </c>
    </row>
    <row r="210">
      <c r="A210" t="n">
        <v>204</v>
      </c>
      <c r="B210" s="19">
        <f>MAX(0,$B$3-(E210+K210+Q210+W210+AC210+AI210+AO210+AU210))</f>
        <v/>
      </c>
      <c r="C210">
        <f>H209</f>
        <v/>
      </c>
      <c r="D210">
        <f>C210*Plan!D6/100/12</f>
        <v/>
      </c>
      <c r="E210">
        <f>MIN(Plan!E6,C210+D210)</f>
        <v/>
      </c>
      <c r="F210">
        <f>C210+D210-E210</f>
        <v/>
      </c>
      <c r="G210">
        <f>MIN(F210,MAX(0,$B210-((K$5&lt;E$5)*L210+(Q$5&lt;E$5)*R210+(W$5&lt;E$5)*X210+(AC$5&lt;E$5)*AD210+(AI$5&lt;E$5)*AJ210+(AO$5&lt;E$5)*AP210+(AU$5&lt;E$5)*AV210)))</f>
        <v/>
      </c>
      <c r="H210">
        <f>IF(F210-G210&lt;0.005,0,F210-G210)</f>
        <v/>
      </c>
      <c r="I210">
        <f>N209</f>
        <v/>
      </c>
      <c r="J210">
        <f>I210*Plan!D7/100/12</f>
        <v/>
      </c>
      <c r="K210">
        <f>MIN(Plan!E7,I210+J210)</f>
        <v/>
      </c>
      <c r="L210">
        <f>I210+J210-K210</f>
        <v/>
      </c>
      <c r="M210">
        <f>MIN(L210,MAX(0,$B210-((E$5&lt;K$5)*F210+(Q$5&lt;K$5)*R210+(W$5&lt;K$5)*X210+(AC$5&lt;K$5)*AD210+(AI$5&lt;K$5)*AJ210+(AO$5&lt;K$5)*AP210+(AU$5&lt;K$5)*AV210)))</f>
        <v/>
      </c>
      <c r="N210">
        <f>IF(L210-M210&lt;0.005,0,L210-M210)</f>
        <v/>
      </c>
      <c r="O210">
        <f>T209</f>
        <v/>
      </c>
      <c r="P210">
        <f>O210*Plan!D8/100/12</f>
        <v/>
      </c>
      <c r="Q210">
        <f>MIN(Plan!E8,O210+P210)</f>
        <v/>
      </c>
      <c r="R210">
        <f>O210+P210-Q210</f>
        <v/>
      </c>
      <c r="S210">
        <f>MIN(R210,MAX(0,$B210-((E$5&lt;Q$5)*F210+(K$5&lt;Q$5)*L210+(W$5&lt;Q$5)*X210+(AC$5&lt;Q$5)*AD210+(AI$5&lt;Q$5)*AJ210+(AO$5&lt;Q$5)*AP210+(AU$5&lt;Q$5)*AV210)))</f>
        <v/>
      </c>
      <c r="T210">
        <f>IF(R210-S210&lt;0.005,0,R210-S210)</f>
        <v/>
      </c>
      <c r="U210">
        <f>Z209</f>
        <v/>
      </c>
      <c r="V210">
        <f>U210*Plan!D9/100/12</f>
        <v/>
      </c>
      <c r="W210">
        <f>MIN(Plan!E9,U210+V210)</f>
        <v/>
      </c>
      <c r="X210">
        <f>U210+V210-W210</f>
        <v/>
      </c>
      <c r="Y210">
        <f>MIN(X210,MAX(0,$B210-((E$5&lt;W$5)*F210+(K$5&lt;W$5)*L210+(Q$5&lt;W$5)*R210+(AC$5&lt;W$5)*AD210+(AI$5&lt;W$5)*AJ210+(AO$5&lt;W$5)*AP210+(AU$5&lt;W$5)*AV210)))</f>
        <v/>
      </c>
      <c r="Z210">
        <f>IF(X210-Y210&lt;0.005,0,X210-Y210)</f>
        <v/>
      </c>
      <c r="AA210">
        <f>AF209</f>
        <v/>
      </c>
      <c r="AB210">
        <f>AA210*Plan!D10/100/12</f>
        <v/>
      </c>
      <c r="AC210">
        <f>MIN(Plan!E10,AA210+AB210)</f>
        <v/>
      </c>
      <c r="AD210">
        <f>AA210+AB210-AC210</f>
        <v/>
      </c>
      <c r="AE210">
        <f>MIN(AD210,MAX(0,$B210-((E$5&lt;AC$5)*F210+(K$5&lt;AC$5)*L210+(Q$5&lt;AC$5)*R210+(W$5&lt;AC$5)*X210+(AI$5&lt;AC$5)*AJ210+(AO$5&lt;AC$5)*AP210+(AU$5&lt;AC$5)*AV210)))</f>
        <v/>
      </c>
      <c r="AF210">
        <f>IF(AD210-AE210&lt;0.005,0,AD210-AE210)</f>
        <v/>
      </c>
      <c r="AG210">
        <f>AL209</f>
        <v/>
      </c>
      <c r="AH210">
        <f>AG210*Plan!D11/100/12</f>
        <v/>
      </c>
      <c r="AI210">
        <f>MIN(Plan!E11,AG210+AH210)</f>
        <v/>
      </c>
      <c r="AJ210">
        <f>AG210+AH210-AI210</f>
        <v/>
      </c>
      <c r="AK210">
        <f>MIN(AJ210,MAX(0,$B210-((E$5&lt;AI$5)*F210+(K$5&lt;AI$5)*L210+(Q$5&lt;AI$5)*R210+(W$5&lt;AI$5)*X210+(AC$5&lt;AI$5)*AD210+(AO$5&lt;AI$5)*AP210+(AU$5&lt;AI$5)*AV210)))</f>
        <v/>
      </c>
      <c r="AL210">
        <f>IF(AJ210-AK210&lt;0.005,0,AJ210-AK210)</f>
        <v/>
      </c>
      <c r="AM210">
        <f>AR209</f>
        <v/>
      </c>
      <c r="AN210">
        <f>AM210*Plan!D12/100/12</f>
        <v/>
      </c>
      <c r="AO210">
        <f>MIN(Plan!E12,AM210+AN210)</f>
        <v/>
      </c>
      <c r="AP210">
        <f>AM210+AN210-AO210</f>
        <v/>
      </c>
      <c r="AQ210">
        <f>MIN(AP210,MAX(0,$B210-((E$5&lt;AO$5)*F210+(K$5&lt;AO$5)*L210+(Q$5&lt;AO$5)*R210+(W$5&lt;AO$5)*X210+(AC$5&lt;AO$5)*AD210+(AI$5&lt;AO$5)*AJ210+(AU$5&lt;AO$5)*AV210)))</f>
        <v/>
      </c>
      <c r="AR210">
        <f>IF(AP210-AQ210&lt;0.005,0,AP210-AQ210)</f>
        <v/>
      </c>
      <c r="AS210">
        <f>AX209</f>
        <v/>
      </c>
      <c r="AT210">
        <f>AS210*Plan!D13/100/12</f>
        <v/>
      </c>
      <c r="AU210">
        <f>MIN(Plan!E13,AS210+AT210)</f>
        <v/>
      </c>
      <c r="AV210">
        <f>AS210+AT210-AU210</f>
        <v/>
      </c>
      <c r="AW210">
        <f>MIN(AV210,MAX(0,$B210-((E$5&lt;AU$5)*F210+(K$5&lt;AU$5)*L210+(Q$5&lt;AU$5)*R210+(W$5&lt;AU$5)*X210+(AC$5&lt;AU$5)*AD210+(AI$5&lt;AU$5)*AJ210+(AO$5&lt;AU$5)*AP210)))</f>
        <v/>
      </c>
      <c r="AX210">
        <f>IF(AV210-AW210&lt;0.005,0,AV210-AW210)</f>
        <v/>
      </c>
      <c r="BC210">
        <f>H210+N210+T210+Z210+AF210+AL210+AR210+AX210</f>
        <v/>
      </c>
    </row>
    <row r="211">
      <c r="A211" t="n">
        <v>205</v>
      </c>
      <c r="B211" s="19">
        <f>MAX(0,$B$3-(E211+K211+Q211+W211+AC211+AI211+AO211+AU211))</f>
        <v/>
      </c>
      <c r="C211">
        <f>H210</f>
        <v/>
      </c>
      <c r="D211">
        <f>C211*Plan!D6/100/12</f>
        <v/>
      </c>
      <c r="E211">
        <f>MIN(Plan!E6,C211+D211)</f>
        <v/>
      </c>
      <c r="F211">
        <f>C211+D211-E211</f>
        <v/>
      </c>
      <c r="G211">
        <f>MIN(F211,MAX(0,$B211-((K$5&lt;E$5)*L211+(Q$5&lt;E$5)*R211+(W$5&lt;E$5)*X211+(AC$5&lt;E$5)*AD211+(AI$5&lt;E$5)*AJ211+(AO$5&lt;E$5)*AP211+(AU$5&lt;E$5)*AV211)))</f>
        <v/>
      </c>
      <c r="H211">
        <f>IF(F211-G211&lt;0.005,0,F211-G211)</f>
        <v/>
      </c>
      <c r="I211">
        <f>N210</f>
        <v/>
      </c>
      <c r="J211">
        <f>I211*Plan!D7/100/12</f>
        <v/>
      </c>
      <c r="K211">
        <f>MIN(Plan!E7,I211+J211)</f>
        <v/>
      </c>
      <c r="L211">
        <f>I211+J211-K211</f>
        <v/>
      </c>
      <c r="M211">
        <f>MIN(L211,MAX(0,$B211-((E$5&lt;K$5)*F211+(Q$5&lt;K$5)*R211+(W$5&lt;K$5)*X211+(AC$5&lt;K$5)*AD211+(AI$5&lt;K$5)*AJ211+(AO$5&lt;K$5)*AP211+(AU$5&lt;K$5)*AV211)))</f>
        <v/>
      </c>
      <c r="N211">
        <f>IF(L211-M211&lt;0.005,0,L211-M211)</f>
        <v/>
      </c>
      <c r="O211">
        <f>T210</f>
        <v/>
      </c>
      <c r="P211">
        <f>O211*Plan!D8/100/12</f>
        <v/>
      </c>
      <c r="Q211">
        <f>MIN(Plan!E8,O211+P211)</f>
        <v/>
      </c>
      <c r="R211">
        <f>O211+P211-Q211</f>
        <v/>
      </c>
      <c r="S211">
        <f>MIN(R211,MAX(0,$B211-((E$5&lt;Q$5)*F211+(K$5&lt;Q$5)*L211+(W$5&lt;Q$5)*X211+(AC$5&lt;Q$5)*AD211+(AI$5&lt;Q$5)*AJ211+(AO$5&lt;Q$5)*AP211+(AU$5&lt;Q$5)*AV211)))</f>
        <v/>
      </c>
      <c r="T211">
        <f>IF(R211-S211&lt;0.005,0,R211-S211)</f>
        <v/>
      </c>
      <c r="U211">
        <f>Z210</f>
        <v/>
      </c>
      <c r="V211">
        <f>U211*Plan!D9/100/12</f>
        <v/>
      </c>
      <c r="W211">
        <f>MIN(Plan!E9,U211+V211)</f>
        <v/>
      </c>
      <c r="X211">
        <f>U211+V211-W211</f>
        <v/>
      </c>
      <c r="Y211">
        <f>MIN(X211,MAX(0,$B211-((E$5&lt;W$5)*F211+(K$5&lt;W$5)*L211+(Q$5&lt;W$5)*R211+(AC$5&lt;W$5)*AD211+(AI$5&lt;W$5)*AJ211+(AO$5&lt;W$5)*AP211+(AU$5&lt;W$5)*AV211)))</f>
        <v/>
      </c>
      <c r="Z211">
        <f>IF(X211-Y211&lt;0.005,0,X211-Y211)</f>
        <v/>
      </c>
      <c r="AA211">
        <f>AF210</f>
        <v/>
      </c>
      <c r="AB211">
        <f>AA211*Plan!D10/100/12</f>
        <v/>
      </c>
      <c r="AC211">
        <f>MIN(Plan!E10,AA211+AB211)</f>
        <v/>
      </c>
      <c r="AD211">
        <f>AA211+AB211-AC211</f>
        <v/>
      </c>
      <c r="AE211">
        <f>MIN(AD211,MAX(0,$B211-((E$5&lt;AC$5)*F211+(K$5&lt;AC$5)*L211+(Q$5&lt;AC$5)*R211+(W$5&lt;AC$5)*X211+(AI$5&lt;AC$5)*AJ211+(AO$5&lt;AC$5)*AP211+(AU$5&lt;AC$5)*AV211)))</f>
        <v/>
      </c>
      <c r="AF211">
        <f>IF(AD211-AE211&lt;0.005,0,AD211-AE211)</f>
        <v/>
      </c>
      <c r="AG211">
        <f>AL210</f>
        <v/>
      </c>
      <c r="AH211">
        <f>AG211*Plan!D11/100/12</f>
        <v/>
      </c>
      <c r="AI211">
        <f>MIN(Plan!E11,AG211+AH211)</f>
        <v/>
      </c>
      <c r="AJ211">
        <f>AG211+AH211-AI211</f>
        <v/>
      </c>
      <c r="AK211">
        <f>MIN(AJ211,MAX(0,$B211-((E$5&lt;AI$5)*F211+(K$5&lt;AI$5)*L211+(Q$5&lt;AI$5)*R211+(W$5&lt;AI$5)*X211+(AC$5&lt;AI$5)*AD211+(AO$5&lt;AI$5)*AP211+(AU$5&lt;AI$5)*AV211)))</f>
        <v/>
      </c>
      <c r="AL211">
        <f>IF(AJ211-AK211&lt;0.005,0,AJ211-AK211)</f>
        <v/>
      </c>
      <c r="AM211">
        <f>AR210</f>
        <v/>
      </c>
      <c r="AN211">
        <f>AM211*Plan!D12/100/12</f>
        <v/>
      </c>
      <c r="AO211">
        <f>MIN(Plan!E12,AM211+AN211)</f>
        <v/>
      </c>
      <c r="AP211">
        <f>AM211+AN211-AO211</f>
        <v/>
      </c>
      <c r="AQ211">
        <f>MIN(AP211,MAX(0,$B211-((E$5&lt;AO$5)*F211+(K$5&lt;AO$5)*L211+(Q$5&lt;AO$5)*R211+(W$5&lt;AO$5)*X211+(AC$5&lt;AO$5)*AD211+(AI$5&lt;AO$5)*AJ211+(AU$5&lt;AO$5)*AV211)))</f>
        <v/>
      </c>
      <c r="AR211">
        <f>IF(AP211-AQ211&lt;0.005,0,AP211-AQ211)</f>
        <v/>
      </c>
      <c r="AS211">
        <f>AX210</f>
        <v/>
      </c>
      <c r="AT211">
        <f>AS211*Plan!D13/100/12</f>
        <v/>
      </c>
      <c r="AU211">
        <f>MIN(Plan!E13,AS211+AT211)</f>
        <v/>
      </c>
      <c r="AV211">
        <f>AS211+AT211-AU211</f>
        <v/>
      </c>
      <c r="AW211">
        <f>MIN(AV211,MAX(0,$B211-((E$5&lt;AU$5)*F211+(K$5&lt;AU$5)*L211+(Q$5&lt;AU$5)*R211+(W$5&lt;AU$5)*X211+(AC$5&lt;AU$5)*AD211+(AI$5&lt;AU$5)*AJ211+(AO$5&lt;AU$5)*AP211)))</f>
        <v/>
      </c>
      <c r="AX211">
        <f>IF(AV211-AW211&lt;0.005,0,AV211-AW211)</f>
        <v/>
      </c>
      <c r="BC211">
        <f>H211+N211+T211+Z211+AF211+AL211+AR211+AX211</f>
        <v/>
      </c>
    </row>
    <row r="212">
      <c r="A212" t="n">
        <v>206</v>
      </c>
      <c r="B212" s="19">
        <f>MAX(0,$B$3-(E212+K212+Q212+W212+AC212+AI212+AO212+AU212))</f>
        <v/>
      </c>
      <c r="C212">
        <f>H211</f>
        <v/>
      </c>
      <c r="D212">
        <f>C212*Plan!D6/100/12</f>
        <v/>
      </c>
      <c r="E212">
        <f>MIN(Plan!E6,C212+D212)</f>
        <v/>
      </c>
      <c r="F212">
        <f>C212+D212-E212</f>
        <v/>
      </c>
      <c r="G212">
        <f>MIN(F212,MAX(0,$B212-((K$5&lt;E$5)*L212+(Q$5&lt;E$5)*R212+(W$5&lt;E$5)*X212+(AC$5&lt;E$5)*AD212+(AI$5&lt;E$5)*AJ212+(AO$5&lt;E$5)*AP212+(AU$5&lt;E$5)*AV212)))</f>
        <v/>
      </c>
      <c r="H212">
        <f>IF(F212-G212&lt;0.005,0,F212-G212)</f>
        <v/>
      </c>
      <c r="I212">
        <f>N211</f>
        <v/>
      </c>
      <c r="J212">
        <f>I212*Plan!D7/100/12</f>
        <v/>
      </c>
      <c r="K212">
        <f>MIN(Plan!E7,I212+J212)</f>
        <v/>
      </c>
      <c r="L212">
        <f>I212+J212-K212</f>
        <v/>
      </c>
      <c r="M212">
        <f>MIN(L212,MAX(0,$B212-((E$5&lt;K$5)*F212+(Q$5&lt;K$5)*R212+(W$5&lt;K$5)*X212+(AC$5&lt;K$5)*AD212+(AI$5&lt;K$5)*AJ212+(AO$5&lt;K$5)*AP212+(AU$5&lt;K$5)*AV212)))</f>
        <v/>
      </c>
      <c r="N212">
        <f>IF(L212-M212&lt;0.005,0,L212-M212)</f>
        <v/>
      </c>
      <c r="O212">
        <f>T211</f>
        <v/>
      </c>
      <c r="P212">
        <f>O212*Plan!D8/100/12</f>
        <v/>
      </c>
      <c r="Q212">
        <f>MIN(Plan!E8,O212+P212)</f>
        <v/>
      </c>
      <c r="R212">
        <f>O212+P212-Q212</f>
        <v/>
      </c>
      <c r="S212">
        <f>MIN(R212,MAX(0,$B212-((E$5&lt;Q$5)*F212+(K$5&lt;Q$5)*L212+(W$5&lt;Q$5)*X212+(AC$5&lt;Q$5)*AD212+(AI$5&lt;Q$5)*AJ212+(AO$5&lt;Q$5)*AP212+(AU$5&lt;Q$5)*AV212)))</f>
        <v/>
      </c>
      <c r="T212">
        <f>IF(R212-S212&lt;0.005,0,R212-S212)</f>
        <v/>
      </c>
      <c r="U212">
        <f>Z211</f>
        <v/>
      </c>
      <c r="V212">
        <f>U212*Plan!D9/100/12</f>
        <v/>
      </c>
      <c r="W212">
        <f>MIN(Plan!E9,U212+V212)</f>
        <v/>
      </c>
      <c r="X212">
        <f>U212+V212-W212</f>
        <v/>
      </c>
      <c r="Y212">
        <f>MIN(X212,MAX(0,$B212-((E$5&lt;W$5)*F212+(K$5&lt;W$5)*L212+(Q$5&lt;W$5)*R212+(AC$5&lt;W$5)*AD212+(AI$5&lt;W$5)*AJ212+(AO$5&lt;W$5)*AP212+(AU$5&lt;W$5)*AV212)))</f>
        <v/>
      </c>
      <c r="Z212">
        <f>IF(X212-Y212&lt;0.005,0,X212-Y212)</f>
        <v/>
      </c>
      <c r="AA212">
        <f>AF211</f>
        <v/>
      </c>
      <c r="AB212">
        <f>AA212*Plan!D10/100/12</f>
        <v/>
      </c>
      <c r="AC212">
        <f>MIN(Plan!E10,AA212+AB212)</f>
        <v/>
      </c>
      <c r="AD212">
        <f>AA212+AB212-AC212</f>
        <v/>
      </c>
      <c r="AE212">
        <f>MIN(AD212,MAX(0,$B212-((E$5&lt;AC$5)*F212+(K$5&lt;AC$5)*L212+(Q$5&lt;AC$5)*R212+(W$5&lt;AC$5)*X212+(AI$5&lt;AC$5)*AJ212+(AO$5&lt;AC$5)*AP212+(AU$5&lt;AC$5)*AV212)))</f>
        <v/>
      </c>
      <c r="AF212">
        <f>IF(AD212-AE212&lt;0.005,0,AD212-AE212)</f>
        <v/>
      </c>
      <c r="AG212">
        <f>AL211</f>
        <v/>
      </c>
      <c r="AH212">
        <f>AG212*Plan!D11/100/12</f>
        <v/>
      </c>
      <c r="AI212">
        <f>MIN(Plan!E11,AG212+AH212)</f>
        <v/>
      </c>
      <c r="AJ212">
        <f>AG212+AH212-AI212</f>
        <v/>
      </c>
      <c r="AK212">
        <f>MIN(AJ212,MAX(0,$B212-((E$5&lt;AI$5)*F212+(K$5&lt;AI$5)*L212+(Q$5&lt;AI$5)*R212+(W$5&lt;AI$5)*X212+(AC$5&lt;AI$5)*AD212+(AO$5&lt;AI$5)*AP212+(AU$5&lt;AI$5)*AV212)))</f>
        <v/>
      </c>
      <c r="AL212">
        <f>IF(AJ212-AK212&lt;0.005,0,AJ212-AK212)</f>
        <v/>
      </c>
      <c r="AM212">
        <f>AR211</f>
        <v/>
      </c>
      <c r="AN212">
        <f>AM212*Plan!D12/100/12</f>
        <v/>
      </c>
      <c r="AO212">
        <f>MIN(Plan!E12,AM212+AN212)</f>
        <v/>
      </c>
      <c r="AP212">
        <f>AM212+AN212-AO212</f>
        <v/>
      </c>
      <c r="AQ212">
        <f>MIN(AP212,MAX(0,$B212-((E$5&lt;AO$5)*F212+(K$5&lt;AO$5)*L212+(Q$5&lt;AO$5)*R212+(W$5&lt;AO$5)*X212+(AC$5&lt;AO$5)*AD212+(AI$5&lt;AO$5)*AJ212+(AU$5&lt;AO$5)*AV212)))</f>
        <v/>
      </c>
      <c r="AR212">
        <f>IF(AP212-AQ212&lt;0.005,0,AP212-AQ212)</f>
        <v/>
      </c>
      <c r="AS212">
        <f>AX211</f>
        <v/>
      </c>
      <c r="AT212">
        <f>AS212*Plan!D13/100/12</f>
        <v/>
      </c>
      <c r="AU212">
        <f>MIN(Plan!E13,AS212+AT212)</f>
        <v/>
      </c>
      <c r="AV212">
        <f>AS212+AT212-AU212</f>
        <v/>
      </c>
      <c r="AW212">
        <f>MIN(AV212,MAX(0,$B212-((E$5&lt;AU$5)*F212+(K$5&lt;AU$5)*L212+(Q$5&lt;AU$5)*R212+(W$5&lt;AU$5)*X212+(AC$5&lt;AU$5)*AD212+(AI$5&lt;AU$5)*AJ212+(AO$5&lt;AU$5)*AP212)))</f>
        <v/>
      </c>
      <c r="AX212">
        <f>IF(AV212-AW212&lt;0.005,0,AV212-AW212)</f>
        <v/>
      </c>
      <c r="BC212">
        <f>H212+N212+T212+Z212+AF212+AL212+AR212+AX212</f>
        <v/>
      </c>
    </row>
    <row r="213">
      <c r="A213" t="n">
        <v>207</v>
      </c>
      <c r="B213" s="19">
        <f>MAX(0,$B$3-(E213+K213+Q213+W213+AC213+AI213+AO213+AU213))</f>
        <v/>
      </c>
      <c r="C213">
        <f>H212</f>
        <v/>
      </c>
      <c r="D213">
        <f>C213*Plan!D6/100/12</f>
        <v/>
      </c>
      <c r="E213">
        <f>MIN(Plan!E6,C213+D213)</f>
        <v/>
      </c>
      <c r="F213">
        <f>C213+D213-E213</f>
        <v/>
      </c>
      <c r="G213">
        <f>MIN(F213,MAX(0,$B213-((K$5&lt;E$5)*L213+(Q$5&lt;E$5)*R213+(W$5&lt;E$5)*X213+(AC$5&lt;E$5)*AD213+(AI$5&lt;E$5)*AJ213+(AO$5&lt;E$5)*AP213+(AU$5&lt;E$5)*AV213)))</f>
        <v/>
      </c>
      <c r="H213">
        <f>IF(F213-G213&lt;0.005,0,F213-G213)</f>
        <v/>
      </c>
      <c r="I213">
        <f>N212</f>
        <v/>
      </c>
      <c r="J213">
        <f>I213*Plan!D7/100/12</f>
        <v/>
      </c>
      <c r="K213">
        <f>MIN(Plan!E7,I213+J213)</f>
        <v/>
      </c>
      <c r="L213">
        <f>I213+J213-K213</f>
        <v/>
      </c>
      <c r="M213">
        <f>MIN(L213,MAX(0,$B213-((E$5&lt;K$5)*F213+(Q$5&lt;K$5)*R213+(W$5&lt;K$5)*X213+(AC$5&lt;K$5)*AD213+(AI$5&lt;K$5)*AJ213+(AO$5&lt;K$5)*AP213+(AU$5&lt;K$5)*AV213)))</f>
        <v/>
      </c>
      <c r="N213">
        <f>IF(L213-M213&lt;0.005,0,L213-M213)</f>
        <v/>
      </c>
      <c r="O213">
        <f>T212</f>
        <v/>
      </c>
      <c r="P213">
        <f>O213*Plan!D8/100/12</f>
        <v/>
      </c>
      <c r="Q213">
        <f>MIN(Plan!E8,O213+P213)</f>
        <v/>
      </c>
      <c r="R213">
        <f>O213+P213-Q213</f>
        <v/>
      </c>
      <c r="S213">
        <f>MIN(R213,MAX(0,$B213-((E$5&lt;Q$5)*F213+(K$5&lt;Q$5)*L213+(W$5&lt;Q$5)*X213+(AC$5&lt;Q$5)*AD213+(AI$5&lt;Q$5)*AJ213+(AO$5&lt;Q$5)*AP213+(AU$5&lt;Q$5)*AV213)))</f>
        <v/>
      </c>
      <c r="T213">
        <f>IF(R213-S213&lt;0.005,0,R213-S213)</f>
        <v/>
      </c>
      <c r="U213">
        <f>Z212</f>
        <v/>
      </c>
      <c r="V213">
        <f>U213*Plan!D9/100/12</f>
        <v/>
      </c>
      <c r="W213">
        <f>MIN(Plan!E9,U213+V213)</f>
        <v/>
      </c>
      <c r="X213">
        <f>U213+V213-W213</f>
        <v/>
      </c>
      <c r="Y213">
        <f>MIN(X213,MAX(0,$B213-((E$5&lt;W$5)*F213+(K$5&lt;W$5)*L213+(Q$5&lt;W$5)*R213+(AC$5&lt;W$5)*AD213+(AI$5&lt;W$5)*AJ213+(AO$5&lt;W$5)*AP213+(AU$5&lt;W$5)*AV213)))</f>
        <v/>
      </c>
      <c r="Z213">
        <f>IF(X213-Y213&lt;0.005,0,X213-Y213)</f>
        <v/>
      </c>
      <c r="AA213">
        <f>AF212</f>
        <v/>
      </c>
      <c r="AB213">
        <f>AA213*Plan!D10/100/12</f>
        <v/>
      </c>
      <c r="AC213">
        <f>MIN(Plan!E10,AA213+AB213)</f>
        <v/>
      </c>
      <c r="AD213">
        <f>AA213+AB213-AC213</f>
        <v/>
      </c>
      <c r="AE213">
        <f>MIN(AD213,MAX(0,$B213-((E$5&lt;AC$5)*F213+(K$5&lt;AC$5)*L213+(Q$5&lt;AC$5)*R213+(W$5&lt;AC$5)*X213+(AI$5&lt;AC$5)*AJ213+(AO$5&lt;AC$5)*AP213+(AU$5&lt;AC$5)*AV213)))</f>
        <v/>
      </c>
      <c r="AF213">
        <f>IF(AD213-AE213&lt;0.005,0,AD213-AE213)</f>
        <v/>
      </c>
      <c r="AG213">
        <f>AL212</f>
        <v/>
      </c>
      <c r="AH213">
        <f>AG213*Plan!D11/100/12</f>
        <v/>
      </c>
      <c r="AI213">
        <f>MIN(Plan!E11,AG213+AH213)</f>
        <v/>
      </c>
      <c r="AJ213">
        <f>AG213+AH213-AI213</f>
        <v/>
      </c>
      <c r="AK213">
        <f>MIN(AJ213,MAX(0,$B213-((E$5&lt;AI$5)*F213+(K$5&lt;AI$5)*L213+(Q$5&lt;AI$5)*R213+(W$5&lt;AI$5)*X213+(AC$5&lt;AI$5)*AD213+(AO$5&lt;AI$5)*AP213+(AU$5&lt;AI$5)*AV213)))</f>
        <v/>
      </c>
      <c r="AL213">
        <f>IF(AJ213-AK213&lt;0.005,0,AJ213-AK213)</f>
        <v/>
      </c>
      <c r="AM213">
        <f>AR212</f>
        <v/>
      </c>
      <c r="AN213">
        <f>AM213*Plan!D12/100/12</f>
        <v/>
      </c>
      <c r="AO213">
        <f>MIN(Plan!E12,AM213+AN213)</f>
        <v/>
      </c>
      <c r="AP213">
        <f>AM213+AN213-AO213</f>
        <v/>
      </c>
      <c r="AQ213">
        <f>MIN(AP213,MAX(0,$B213-((E$5&lt;AO$5)*F213+(K$5&lt;AO$5)*L213+(Q$5&lt;AO$5)*R213+(W$5&lt;AO$5)*X213+(AC$5&lt;AO$5)*AD213+(AI$5&lt;AO$5)*AJ213+(AU$5&lt;AO$5)*AV213)))</f>
        <v/>
      </c>
      <c r="AR213">
        <f>IF(AP213-AQ213&lt;0.005,0,AP213-AQ213)</f>
        <v/>
      </c>
      <c r="AS213">
        <f>AX212</f>
        <v/>
      </c>
      <c r="AT213">
        <f>AS213*Plan!D13/100/12</f>
        <v/>
      </c>
      <c r="AU213">
        <f>MIN(Plan!E13,AS213+AT213)</f>
        <v/>
      </c>
      <c r="AV213">
        <f>AS213+AT213-AU213</f>
        <v/>
      </c>
      <c r="AW213">
        <f>MIN(AV213,MAX(0,$B213-((E$5&lt;AU$5)*F213+(K$5&lt;AU$5)*L213+(Q$5&lt;AU$5)*R213+(W$5&lt;AU$5)*X213+(AC$5&lt;AU$5)*AD213+(AI$5&lt;AU$5)*AJ213+(AO$5&lt;AU$5)*AP213)))</f>
        <v/>
      </c>
      <c r="AX213">
        <f>IF(AV213-AW213&lt;0.005,0,AV213-AW213)</f>
        <v/>
      </c>
      <c r="BC213">
        <f>H213+N213+T213+Z213+AF213+AL213+AR213+AX213</f>
        <v/>
      </c>
    </row>
    <row r="214">
      <c r="A214" t="n">
        <v>208</v>
      </c>
      <c r="B214" s="19">
        <f>MAX(0,$B$3-(E214+K214+Q214+W214+AC214+AI214+AO214+AU214))</f>
        <v/>
      </c>
      <c r="C214">
        <f>H213</f>
        <v/>
      </c>
      <c r="D214">
        <f>C214*Plan!D6/100/12</f>
        <v/>
      </c>
      <c r="E214">
        <f>MIN(Plan!E6,C214+D214)</f>
        <v/>
      </c>
      <c r="F214">
        <f>C214+D214-E214</f>
        <v/>
      </c>
      <c r="G214">
        <f>MIN(F214,MAX(0,$B214-((K$5&lt;E$5)*L214+(Q$5&lt;E$5)*R214+(W$5&lt;E$5)*X214+(AC$5&lt;E$5)*AD214+(AI$5&lt;E$5)*AJ214+(AO$5&lt;E$5)*AP214+(AU$5&lt;E$5)*AV214)))</f>
        <v/>
      </c>
      <c r="H214">
        <f>IF(F214-G214&lt;0.005,0,F214-G214)</f>
        <v/>
      </c>
      <c r="I214">
        <f>N213</f>
        <v/>
      </c>
      <c r="J214">
        <f>I214*Plan!D7/100/12</f>
        <v/>
      </c>
      <c r="K214">
        <f>MIN(Plan!E7,I214+J214)</f>
        <v/>
      </c>
      <c r="L214">
        <f>I214+J214-K214</f>
        <v/>
      </c>
      <c r="M214">
        <f>MIN(L214,MAX(0,$B214-((E$5&lt;K$5)*F214+(Q$5&lt;K$5)*R214+(W$5&lt;K$5)*X214+(AC$5&lt;K$5)*AD214+(AI$5&lt;K$5)*AJ214+(AO$5&lt;K$5)*AP214+(AU$5&lt;K$5)*AV214)))</f>
        <v/>
      </c>
      <c r="N214">
        <f>IF(L214-M214&lt;0.005,0,L214-M214)</f>
        <v/>
      </c>
      <c r="O214">
        <f>T213</f>
        <v/>
      </c>
      <c r="P214">
        <f>O214*Plan!D8/100/12</f>
        <v/>
      </c>
      <c r="Q214">
        <f>MIN(Plan!E8,O214+P214)</f>
        <v/>
      </c>
      <c r="R214">
        <f>O214+P214-Q214</f>
        <v/>
      </c>
      <c r="S214">
        <f>MIN(R214,MAX(0,$B214-((E$5&lt;Q$5)*F214+(K$5&lt;Q$5)*L214+(W$5&lt;Q$5)*X214+(AC$5&lt;Q$5)*AD214+(AI$5&lt;Q$5)*AJ214+(AO$5&lt;Q$5)*AP214+(AU$5&lt;Q$5)*AV214)))</f>
        <v/>
      </c>
      <c r="T214">
        <f>IF(R214-S214&lt;0.005,0,R214-S214)</f>
        <v/>
      </c>
      <c r="U214">
        <f>Z213</f>
        <v/>
      </c>
      <c r="V214">
        <f>U214*Plan!D9/100/12</f>
        <v/>
      </c>
      <c r="W214">
        <f>MIN(Plan!E9,U214+V214)</f>
        <v/>
      </c>
      <c r="X214">
        <f>U214+V214-W214</f>
        <v/>
      </c>
      <c r="Y214">
        <f>MIN(X214,MAX(0,$B214-((E$5&lt;W$5)*F214+(K$5&lt;W$5)*L214+(Q$5&lt;W$5)*R214+(AC$5&lt;W$5)*AD214+(AI$5&lt;W$5)*AJ214+(AO$5&lt;W$5)*AP214+(AU$5&lt;W$5)*AV214)))</f>
        <v/>
      </c>
      <c r="Z214">
        <f>IF(X214-Y214&lt;0.005,0,X214-Y214)</f>
        <v/>
      </c>
      <c r="AA214">
        <f>AF213</f>
        <v/>
      </c>
      <c r="AB214">
        <f>AA214*Plan!D10/100/12</f>
        <v/>
      </c>
      <c r="AC214">
        <f>MIN(Plan!E10,AA214+AB214)</f>
        <v/>
      </c>
      <c r="AD214">
        <f>AA214+AB214-AC214</f>
        <v/>
      </c>
      <c r="AE214">
        <f>MIN(AD214,MAX(0,$B214-((E$5&lt;AC$5)*F214+(K$5&lt;AC$5)*L214+(Q$5&lt;AC$5)*R214+(W$5&lt;AC$5)*X214+(AI$5&lt;AC$5)*AJ214+(AO$5&lt;AC$5)*AP214+(AU$5&lt;AC$5)*AV214)))</f>
        <v/>
      </c>
      <c r="AF214">
        <f>IF(AD214-AE214&lt;0.005,0,AD214-AE214)</f>
        <v/>
      </c>
      <c r="AG214">
        <f>AL213</f>
        <v/>
      </c>
      <c r="AH214">
        <f>AG214*Plan!D11/100/12</f>
        <v/>
      </c>
      <c r="AI214">
        <f>MIN(Plan!E11,AG214+AH214)</f>
        <v/>
      </c>
      <c r="AJ214">
        <f>AG214+AH214-AI214</f>
        <v/>
      </c>
      <c r="AK214">
        <f>MIN(AJ214,MAX(0,$B214-((E$5&lt;AI$5)*F214+(K$5&lt;AI$5)*L214+(Q$5&lt;AI$5)*R214+(W$5&lt;AI$5)*X214+(AC$5&lt;AI$5)*AD214+(AO$5&lt;AI$5)*AP214+(AU$5&lt;AI$5)*AV214)))</f>
        <v/>
      </c>
      <c r="AL214">
        <f>IF(AJ214-AK214&lt;0.005,0,AJ214-AK214)</f>
        <v/>
      </c>
      <c r="AM214">
        <f>AR213</f>
        <v/>
      </c>
      <c r="AN214">
        <f>AM214*Plan!D12/100/12</f>
        <v/>
      </c>
      <c r="AO214">
        <f>MIN(Plan!E12,AM214+AN214)</f>
        <v/>
      </c>
      <c r="AP214">
        <f>AM214+AN214-AO214</f>
        <v/>
      </c>
      <c r="AQ214">
        <f>MIN(AP214,MAX(0,$B214-((E$5&lt;AO$5)*F214+(K$5&lt;AO$5)*L214+(Q$5&lt;AO$5)*R214+(W$5&lt;AO$5)*X214+(AC$5&lt;AO$5)*AD214+(AI$5&lt;AO$5)*AJ214+(AU$5&lt;AO$5)*AV214)))</f>
        <v/>
      </c>
      <c r="AR214">
        <f>IF(AP214-AQ214&lt;0.005,0,AP214-AQ214)</f>
        <v/>
      </c>
      <c r="AS214">
        <f>AX213</f>
        <v/>
      </c>
      <c r="AT214">
        <f>AS214*Plan!D13/100/12</f>
        <v/>
      </c>
      <c r="AU214">
        <f>MIN(Plan!E13,AS214+AT214)</f>
        <v/>
      </c>
      <c r="AV214">
        <f>AS214+AT214-AU214</f>
        <v/>
      </c>
      <c r="AW214">
        <f>MIN(AV214,MAX(0,$B214-((E$5&lt;AU$5)*F214+(K$5&lt;AU$5)*L214+(Q$5&lt;AU$5)*R214+(W$5&lt;AU$5)*X214+(AC$5&lt;AU$5)*AD214+(AI$5&lt;AU$5)*AJ214+(AO$5&lt;AU$5)*AP214)))</f>
        <v/>
      </c>
      <c r="AX214">
        <f>IF(AV214-AW214&lt;0.005,0,AV214-AW214)</f>
        <v/>
      </c>
      <c r="BC214">
        <f>H214+N214+T214+Z214+AF214+AL214+AR214+AX214</f>
        <v/>
      </c>
    </row>
    <row r="215">
      <c r="A215" t="n">
        <v>209</v>
      </c>
      <c r="B215" s="19">
        <f>MAX(0,$B$3-(E215+K215+Q215+W215+AC215+AI215+AO215+AU215))</f>
        <v/>
      </c>
      <c r="C215">
        <f>H214</f>
        <v/>
      </c>
      <c r="D215">
        <f>C215*Plan!D6/100/12</f>
        <v/>
      </c>
      <c r="E215">
        <f>MIN(Plan!E6,C215+D215)</f>
        <v/>
      </c>
      <c r="F215">
        <f>C215+D215-E215</f>
        <v/>
      </c>
      <c r="G215">
        <f>MIN(F215,MAX(0,$B215-((K$5&lt;E$5)*L215+(Q$5&lt;E$5)*R215+(W$5&lt;E$5)*X215+(AC$5&lt;E$5)*AD215+(AI$5&lt;E$5)*AJ215+(AO$5&lt;E$5)*AP215+(AU$5&lt;E$5)*AV215)))</f>
        <v/>
      </c>
      <c r="H215">
        <f>IF(F215-G215&lt;0.005,0,F215-G215)</f>
        <v/>
      </c>
      <c r="I215">
        <f>N214</f>
        <v/>
      </c>
      <c r="J215">
        <f>I215*Plan!D7/100/12</f>
        <v/>
      </c>
      <c r="K215">
        <f>MIN(Plan!E7,I215+J215)</f>
        <v/>
      </c>
      <c r="L215">
        <f>I215+J215-K215</f>
        <v/>
      </c>
      <c r="M215">
        <f>MIN(L215,MAX(0,$B215-((E$5&lt;K$5)*F215+(Q$5&lt;K$5)*R215+(W$5&lt;K$5)*X215+(AC$5&lt;K$5)*AD215+(AI$5&lt;K$5)*AJ215+(AO$5&lt;K$5)*AP215+(AU$5&lt;K$5)*AV215)))</f>
        <v/>
      </c>
      <c r="N215">
        <f>IF(L215-M215&lt;0.005,0,L215-M215)</f>
        <v/>
      </c>
      <c r="O215">
        <f>T214</f>
        <v/>
      </c>
      <c r="P215">
        <f>O215*Plan!D8/100/12</f>
        <v/>
      </c>
      <c r="Q215">
        <f>MIN(Plan!E8,O215+P215)</f>
        <v/>
      </c>
      <c r="R215">
        <f>O215+P215-Q215</f>
        <v/>
      </c>
      <c r="S215">
        <f>MIN(R215,MAX(0,$B215-((E$5&lt;Q$5)*F215+(K$5&lt;Q$5)*L215+(W$5&lt;Q$5)*X215+(AC$5&lt;Q$5)*AD215+(AI$5&lt;Q$5)*AJ215+(AO$5&lt;Q$5)*AP215+(AU$5&lt;Q$5)*AV215)))</f>
        <v/>
      </c>
      <c r="T215">
        <f>IF(R215-S215&lt;0.005,0,R215-S215)</f>
        <v/>
      </c>
      <c r="U215">
        <f>Z214</f>
        <v/>
      </c>
      <c r="V215">
        <f>U215*Plan!D9/100/12</f>
        <v/>
      </c>
      <c r="W215">
        <f>MIN(Plan!E9,U215+V215)</f>
        <v/>
      </c>
      <c r="X215">
        <f>U215+V215-W215</f>
        <v/>
      </c>
      <c r="Y215">
        <f>MIN(X215,MAX(0,$B215-((E$5&lt;W$5)*F215+(K$5&lt;W$5)*L215+(Q$5&lt;W$5)*R215+(AC$5&lt;W$5)*AD215+(AI$5&lt;W$5)*AJ215+(AO$5&lt;W$5)*AP215+(AU$5&lt;W$5)*AV215)))</f>
        <v/>
      </c>
      <c r="Z215">
        <f>IF(X215-Y215&lt;0.005,0,X215-Y215)</f>
        <v/>
      </c>
      <c r="AA215">
        <f>AF214</f>
        <v/>
      </c>
      <c r="AB215">
        <f>AA215*Plan!D10/100/12</f>
        <v/>
      </c>
      <c r="AC215">
        <f>MIN(Plan!E10,AA215+AB215)</f>
        <v/>
      </c>
      <c r="AD215">
        <f>AA215+AB215-AC215</f>
        <v/>
      </c>
      <c r="AE215">
        <f>MIN(AD215,MAX(0,$B215-((E$5&lt;AC$5)*F215+(K$5&lt;AC$5)*L215+(Q$5&lt;AC$5)*R215+(W$5&lt;AC$5)*X215+(AI$5&lt;AC$5)*AJ215+(AO$5&lt;AC$5)*AP215+(AU$5&lt;AC$5)*AV215)))</f>
        <v/>
      </c>
      <c r="AF215">
        <f>IF(AD215-AE215&lt;0.005,0,AD215-AE215)</f>
        <v/>
      </c>
      <c r="AG215">
        <f>AL214</f>
        <v/>
      </c>
      <c r="AH215">
        <f>AG215*Plan!D11/100/12</f>
        <v/>
      </c>
      <c r="AI215">
        <f>MIN(Plan!E11,AG215+AH215)</f>
        <v/>
      </c>
      <c r="AJ215">
        <f>AG215+AH215-AI215</f>
        <v/>
      </c>
      <c r="AK215">
        <f>MIN(AJ215,MAX(0,$B215-((E$5&lt;AI$5)*F215+(K$5&lt;AI$5)*L215+(Q$5&lt;AI$5)*R215+(W$5&lt;AI$5)*X215+(AC$5&lt;AI$5)*AD215+(AO$5&lt;AI$5)*AP215+(AU$5&lt;AI$5)*AV215)))</f>
        <v/>
      </c>
      <c r="AL215">
        <f>IF(AJ215-AK215&lt;0.005,0,AJ215-AK215)</f>
        <v/>
      </c>
      <c r="AM215">
        <f>AR214</f>
        <v/>
      </c>
      <c r="AN215">
        <f>AM215*Plan!D12/100/12</f>
        <v/>
      </c>
      <c r="AO215">
        <f>MIN(Plan!E12,AM215+AN215)</f>
        <v/>
      </c>
      <c r="AP215">
        <f>AM215+AN215-AO215</f>
        <v/>
      </c>
      <c r="AQ215">
        <f>MIN(AP215,MAX(0,$B215-((E$5&lt;AO$5)*F215+(K$5&lt;AO$5)*L215+(Q$5&lt;AO$5)*R215+(W$5&lt;AO$5)*X215+(AC$5&lt;AO$5)*AD215+(AI$5&lt;AO$5)*AJ215+(AU$5&lt;AO$5)*AV215)))</f>
        <v/>
      </c>
      <c r="AR215">
        <f>IF(AP215-AQ215&lt;0.005,0,AP215-AQ215)</f>
        <v/>
      </c>
      <c r="AS215">
        <f>AX214</f>
        <v/>
      </c>
      <c r="AT215">
        <f>AS215*Plan!D13/100/12</f>
        <v/>
      </c>
      <c r="AU215">
        <f>MIN(Plan!E13,AS215+AT215)</f>
        <v/>
      </c>
      <c r="AV215">
        <f>AS215+AT215-AU215</f>
        <v/>
      </c>
      <c r="AW215">
        <f>MIN(AV215,MAX(0,$B215-((E$5&lt;AU$5)*F215+(K$5&lt;AU$5)*L215+(Q$5&lt;AU$5)*R215+(W$5&lt;AU$5)*X215+(AC$5&lt;AU$5)*AD215+(AI$5&lt;AU$5)*AJ215+(AO$5&lt;AU$5)*AP215)))</f>
        <v/>
      </c>
      <c r="AX215">
        <f>IF(AV215-AW215&lt;0.005,0,AV215-AW215)</f>
        <v/>
      </c>
      <c r="BC215">
        <f>H215+N215+T215+Z215+AF215+AL215+AR215+AX215</f>
        <v/>
      </c>
    </row>
    <row r="216">
      <c r="A216" t="n">
        <v>210</v>
      </c>
      <c r="B216" s="19">
        <f>MAX(0,$B$3-(E216+K216+Q216+W216+AC216+AI216+AO216+AU216))</f>
        <v/>
      </c>
      <c r="C216">
        <f>H215</f>
        <v/>
      </c>
      <c r="D216">
        <f>C216*Plan!D6/100/12</f>
        <v/>
      </c>
      <c r="E216">
        <f>MIN(Plan!E6,C216+D216)</f>
        <v/>
      </c>
      <c r="F216">
        <f>C216+D216-E216</f>
        <v/>
      </c>
      <c r="G216">
        <f>MIN(F216,MAX(0,$B216-((K$5&lt;E$5)*L216+(Q$5&lt;E$5)*R216+(W$5&lt;E$5)*X216+(AC$5&lt;E$5)*AD216+(AI$5&lt;E$5)*AJ216+(AO$5&lt;E$5)*AP216+(AU$5&lt;E$5)*AV216)))</f>
        <v/>
      </c>
      <c r="H216">
        <f>IF(F216-G216&lt;0.005,0,F216-G216)</f>
        <v/>
      </c>
      <c r="I216">
        <f>N215</f>
        <v/>
      </c>
      <c r="J216">
        <f>I216*Plan!D7/100/12</f>
        <v/>
      </c>
      <c r="K216">
        <f>MIN(Plan!E7,I216+J216)</f>
        <v/>
      </c>
      <c r="L216">
        <f>I216+J216-K216</f>
        <v/>
      </c>
      <c r="M216">
        <f>MIN(L216,MAX(0,$B216-((E$5&lt;K$5)*F216+(Q$5&lt;K$5)*R216+(W$5&lt;K$5)*X216+(AC$5&lt;K$5)*AD216+(AI$5&lt;K$5)*AJ216+(AO$5&lt;K$5)*AP216+(AU$5&lt;K$5)*AV216)))</f>
        <v/>
      </c>
      <c r="N216">
        <f>IF(L216-M216&lt;0.005,0,L216-M216)</f>
        <v/>
      </c>
      <c r="O216">
        <f>T215</f>
        <v/>
      </c>
      <c r="P216">
        <f>O216*Plan!D8/100/12</f>
        <v/>
      </c>
      <c r="Q216">
        <f>MIN(Plan!E8,O216+P216)</f>
        <v/>
      </c>
      <c r="R216">
        <f>O216+P216-Q216</f>
        <v/>
      </c>
      <c r="S216">
        <f>MIN(R216,MAX(0,$B216-((E$5&lt;Q$5)*F216+(K$5&lt;Q$5)*L216+(W$5&lt;Q$5)*X216+(AC$5&lt;Q$5)*AD216+(AI$5&lt;Q$5)*AJ216+(AO$5&lt;Q$5)*AP216+(AU$5&lt;Q$5)*AV216)))</f>
        <v/>
      </c>
      <c r="T216">
        <f>IF(R216-S216&lt;0.005,0,R216-S216)</f>
        <v/>
      </c>
      <c r="U216">
        <f>Z215</f>
        <v/>
      </c>
      <c r="V216">
        <f>U216*Plan!D9/100/12</f>
        <v/>
      </c>
      <c r="W216">
        <f>MIN(Plan!E9,U216+V216)</f>
        <v/>
      </c>
      <c r="X216">
        <f>U216+V216-W216</f>
        <v/>
      </c>
      <c r="Y216">
        <f>MIN(X216,MAX(0,$B216-((E$5&lt;W$5)*F216+(K$5&lt;W$5)*L216+(Q$5&lt;W$5)*R216+(AC$5&lt;W$5)*AD216+(AI$5&lt;W$5)*AJ216+(AO$5&lt;W$5)*AP216+(AU$5&lt;W$5)*AV216)))</f>
        <v/>
      </c>
      <c r="Z216">
        <f>IF(X216-Y216&lt;0.005,0,X216-Y216)</f>
        <v/>
      </c>
      <c r="AA216">
        <f>AF215</f>
        <v/>
      </c>
      <c r="AB216">
        <f>AA216*Plan!D10/100/12</f>
        <v/>
      </c>
      <c r="AC216">
        <f>MIN(Plan!E10,AA216+AB216)</f>
        <v/>
      </c>
      <c r="AD216">
        <f>AA216+AB216-AC216</f>
        <v/>
      </c>
      <c r="AE216">
        <f>MIN(AD216,MAX(0,$B216-((E$5&lt;AC$5)*F216+(K$5&lt;AC$5)*L216+(Q$5&lt;AC$5)*R216+(W$5&lt;AC$5)*X216+(AI$5&lt;AC$5)*AJ216+(AO$5&lt;AC$5)*AP216+(AU$5&lt;AC$5)*AV216)))</f>
        <v/>
      </c>
      <c r="AF216">
        <f>IF(AD216-AE216&lt;0.005,0,AD216-AE216)</f>
        <v/>
      </c>
      <c r="AG216">
        <f>AL215</f>
        <v/>
      </c>
      <c r="AH216">
        <f>AG216*Plan!D11/100/12</f>
        <v/>
      </c>
      <c r="AI216">
        <f>MIN(Plan!E11,AG216+AH216)</f>
        <v/>
      </c>
      <c r="AJ216">
        <f>AG216+AH216-AI216</f>
        <v/>
      </c>
      <c r="AK216">
        <f>MIN(AJ216,MAX(0,$B216-((E$5&lt;AI$5)*F216+(K$5&lt;AI$5)*L216+(Q$5&lt;AI$5)*R216+(W$5&lt;AI$5)*X216+(AC$5&lt;AI$5)*AD216+(AO$5&lt;AI$5)*AP216+(AU$5&lt;AI$5)*AV216)))</f>
        <v/>
      </c>
      <c r="AL216">
        <f>IF(AJ216-AK216&lt;0.005,0,AJ216-AK216)</f>
        <v/>
      </c>
      <c r="AM216">
        <f>AR215</f>
        <v/>
      </c>
      <c r="AN216">
        <f>AM216*Plan!D12/100/12</f>
        <v/>
      </c>
      <c r="AO216">
        <f>MIN(Plan!E12,AM216+AN216)</f>
        <v/>
      </c>
      <c r="AP216">
        <f>AM216+AN216-AO216</f>
        <v/>
      </c>
      <c r="AQ216">
        <f>MIN(AP216,MAX(0,$B216-((E$5&lt;AO$5)*F216+(K$5&lt;AO$5)*L216+(Q$5&lt;AO$5)*R216+(W$5&lt;AO$5)*X216+(AC$5&lt;AO$5)*AD216+(AI$5&lt;AO$5)*AJ216+(AU$5&lt;AO$5)*AV216)))</f>
        <v/>
      </c>
      <c r="AR216">
        <f>IF(AP216-AQ216&lt;0.005,0,AP216-AQ216)</f>
        <v/>
      </c>
      <c r="AS216">
        <f>AX215</f>
        <v/>
      </c>
      <c r="AT216">
        <f>AS216*Plan!D13/100/12</f>
        <v/>
      </c>
      <c r="AU216">
        <f>MIN(Plan!E13,AS216+AT216)</f>
        <v/>
      </c>
      <c r="AV216">
        <f>AS216+AT216-AU216</f>
        <v/>
      </c>
      <c r="AW216">
        <f>MIN(AV216,MAX(0,$B216-((E$5&lt;AU$5)*F216+(K$5&lt;AU$5)*L216+(Q$5&lt;AU$5)*R216+(W$5&lt;AU$5)*X216+(AC$5&lt;AU$5)*AD216+(AI$5&lt;AU$5)*AJ216+(AO$5&lt;AU$5)*AP216)))</f>
        <v/>
      </c>
      <c r="AX216">
        <f>IF(AV216-AW216&lt;0.005,0,AV216-AW216)</f>
        <v/>
      </c>
      <c r="BC216">
        <f>H216+N216+T216+Z216+AF216+AL216+AR216+AX216</f>
        <v/>
      </c>
    </row>
    <row r="217">
      <c r="A217" t="n">
        <v>211</v>
      </c>
      <c r="B217" s="19">
        <f>MAX(0,$B$3-(E217+K217+Q217+W217+AC217+AI217+AO217+AU217))</f>
        <v/>
      </c>
      <c r="C217">
        <f>H216</f>
        <v/>
      </c>
      <c r="D217">
        <f>C217*Plan!D6/100/12</f>
        <v/>
      </c>
      <c r="E217">
        <f>MIN(Plan!E6,C217+D217)</f>
        <v/>
      </c>
      <c r="F217">
        <f>C217+D217-E217</f>
        <v/>
      </c>
      <c r="G217">
        <f>MIN(F217,MAX(0,$B217-((K$5&lt;E$5)*L217+(Q$5&lt;E$5)*R217+(W$5&lt;E$5)*X217+(AC$5&lt;E$5)*AD217+(AI$5&lt;E$5)*AJ217+(AO$5&lt;E$5)*AP217+(AU$5&lt;E$5)*AV217)))</f>
        <v/>
      </c>
      <c r="H217">
        <f>IF(F217-G217&lt;0.005,0,F217-G217)</f>
        <v/>
      </c>
      <c r="I217">
        <f>N216</f>
        <v/>
      </c>
      <c r="J217">
        <f>I217*Plan!D7/100/12</f>
        <v/>
      </c>
      <c r="K217">
        <f>MIN(Plan!E7,I217+J217)</f>
        <v/>
      </c>
      <c r="L217">
        <f>I217+J217-K217</f>
        <v/>
      </c>
      <c r="M217">
        <f>MIN(L217,MAX(0,$B217-((E$5&lt;K$5)*F217+(Q$5&lt;K$5)*R217+(W$5&lt;K$5)*X217+(AC$5&lt;K$5)*AD217+(AI$5&lt;K$5)*AJ217+(AO$5&lt;K$5)*AP217+(AU$5&lt;K$5)*AV217)))</f>
        <v/>
      </c>
      <c r="N217">
        <f>IF(L217-M217&lt;0.005,0,L217-M217)</f>
        <v/>
      </c>
      <c r="O217">
        <f>T216</f>
        <v/>
      </c>
      <c r="P217">
        <f>O217*Plan!D8/100/12</f>
        <v/>
      </c>
      <c r="Q217">
        <f>MIN(Plan!E8,O217+P217)</f>
        <v/>
      </c>
      <c r="R217">
        <f>O217+P217-Q217</f>
        <v/>
      </c>
      <c r="S217">
        <f>MIN(R217,MAX(0,$B217-((E$5&lt;Q$5)*F217+(K$5&lt;Q$5)*L217+(W$5&lt;Q$5)*X217+(AC$5&lt;Q$5)*AD217+(AI$5&lt;Q$5)*AJ217+(AO$5&lt;Q$5)*AP217+(AU$5&lt;Q$5)*AV217)))</f>
        <v/>
      </c>
      <c r="T217">
        <f>IF(R217-S217&lt;0.005,0,R217-S217)</f>
        <v/>
      </c>
      <c r="U217">
        <f>Z216</f>
        <v/>
      </c>
      <c r="V217">
        <f>U217*Plan!D9/100/12</f>
        <v/>
      </c>
      <c r="W217">
        <f>MIN(Plan!E9,U217+V217)</f>
        <v/>
      </c>
      <c r="X217">
        <f>U217+V217-W217</f>
        <v/>
      </c>
      <c r="Y217">
        <f>MIN(X217,MAX(0,$B217-((E$5&lt;W$5)*F217+(K$5&lt;W$5)*L217+(Q$5&lt;W$5)*R217+(AC$5&lt;W$5)*AD217+(AI$5&lt;W$5)*AJ217+(AO$5&lt;W$5)*AP217+(AU$5&lt;W$5)*AV217)))</f>
        <v/>
      </c>
      <c r="Z217">
        <f>IF(X217-Y217&lt;0.005,0,X217-Y217)</f>
        <v/>
      </c>
      <c r="AA217">
        <f>AF216</f>
        <v/>
      </c>
      <c r="AB217">
        <f>AA217*Plan!D10/100/12</f>
        <v/>
      </c>
      <c r="AC217">
        <f>MIN(Plan!E10,AA217+AB217)</f>
        <v/>
      </c>
      <c r="AD217">
        <f>AA217+AB217-AC217</f>
        <v/>
      </c>
      <c r="AE217">
        <f>MIN(AD217,MAX(0,$B217-((E$5&lt;AC$5)*F217+(K$5&lt;AC$5)*L217+(Q$5&lt;AC$5)*R217+(W$5&lt;AC$5)*X217+(AI$5&lt;AC$5)*AJ217+(AO$5&lt;AC$5)*AP217+(AU$5&lt;AC$5)*AV217)))</f>
        <v/>
      </c>
      <c r="AF217">
        <f>IF(AD217-AE217&lt;0.005,0,AD217-AE217)</f>
        <v/>
      </c>
      <c r="AG217">
        <f>AL216</f>
        <v/>
      </c>
      <c r="AH217">
        <f>AG217*Plan!D11/100/12</f>
        <v/>
      </c>
      <c r="AI217">
        <f>MIN(Plan!E11,AG217+AH217)</f>
        <v/>
      </c>
      <c r="AJ217">
        <f>AG217+AH217-AI217</f>
        <v/>
      </c>
      <c r="AK217">
        <f>MIN(AJ217,MAX(0,$B217-((E$5&lt;AI$5)*F217+(K$5&lt;AI$5)*L217+(Q$5&lt;AI$5)*R217+(W$5&lt;AI$5)*X217+(AC$5&lt;AI$5)*AD217+(AO$5&lt;AI$5)*AP217+(AU$5&lt;AI$5)*AV217)))</f>
        <v/>
      </c>
      <c r="AL217">
        <f>IF(AJ217-AK217&lt;0.005,0,AJ217-AK217)</f>
        <v/>
      </c>
      <c r="AM217">
        <f>AR216</f>
        <v/>
      </c>
      <c r="AN217">
        <f>AM217*Plan!D12/100/12</f>
        <v/>
      </c>
      <c r="AO217">
        <f>MIN(Plan!E12,AM217+AN217)</f>
        <v/>
      </c>
      <c r="AP217">
        <f>AM217+AN217-AO217</f>
        <v/>
      </c>
      <c r="AQ217">
        <f>MIN(AP217,MAX(0,$B217-((E$5&lt;AO$5)*F217+(K$5&lt;AO$5)*L217+(Q$5&lt;AO$5)*R217+(W$5&lt;AO$5)*X217+(AC$5&lt;AO$5)*AD217+(AI$5&lt;AO$5)*AJ217+(AU$5&lt;AO$5)*AV217)))</f>
        <v/>
      </c>
      <c r="AR217">
        <f>IF(AP217-AQ217&lt;0.005,0,AP217-AQ217)</f>
        <v/>
      </c>
      <c r="AS217">
        <f>AX216</f>
        <v/>
      </c>
      <c r="AT217">
        <f>AS217*Plan!D13/100/12</f>
        <v/>
      </c>
      <c r="AU217">
        <f>MIN(Plan!E13,AS217+AT217)</f>
        <v/>
      </c>
      <c r="AV217">
        <f>AS217+AT217-AU217</f>
        <v/>
      </c>
      <c r="AW217">
        <f>MIN(AV217,MAX(0,$B217-((E$5&lt;AU$5)*F217+(K$5&lt;AU$5)*L217+(Q$5&lt;AU$5)*R217+(W$5&lt;AU$5)*X217+(AC$5&lt;AU$5)*AD217+(AI$5&lt;AU$5)*AJ217+(AO$5&lt;AU$5)*AP217)))</f>
        <v/>
      </c>
      <c r="AX217">
        <f>IF(AV217-AW217&lt;0.005,0,AV217-AW217)</f>
        <v/>
      </c>
      <c r="BC217">
        <f>H217+N217+T217+Z217+AF217+AL217+AR217+AX217</f>
        <v/>
      </c>
    </row>
    <row r="218">
      <c r="A218" t="n">
        <v>212</v>
      </c>
      <c r="B218" s="19">
        <f>MAX(0,$B$3-(E218+K218+Q218+W218+AC218+AI218+AO218+AU218))</f>
        <v/>
      </c>
      <c r="C218">
        <f>H217</f>
        <v/>
      </c>
      <c r="D218">
        <f>C218*Plan!D6/100/12</f>
        <v/>
      </c>
      <c r="E218">
        <f>MIN(Plan!E6,C218+D218)</f>
        <v/>
      </c>
      <c r="F218">
        <f>C218+D218-E218</f>
        <v/>
      </c>
      <c r="G218">
        <f>MIN(F218,MAX(0,$B218-((K$5&lt;E$5)*L218+(Q$5&lt;E$5)*R218+(W$5&lt;E$5)*X218+(AC$5&lt;E$5)*AD218+(AI$5&lt;E$5)*AJ218+(AO$5&lt;E$5)*AP218+(AU$5&lt;E$5)*AV218)))</f>
        <v/>
      </c>
      <c r="H218">
        <f>IF(F218-G218&lt;0.005,0,F218-G218)</f>
        <v/>
      </c>
      <c r="I218">
        <f>N217</f>
        <v/>
      </c>
      <c r="J218">
        <f>I218*Plan!D7/100/12</f>
        <v/>
      </c>
      <c r="K218">
        <f>MIN(Plan!E7,I218+J218)</f>
        <v/>
      </c>
      <c r="L218">
        <f>I218+J218-K218</f>
        <v/>
      </c>
      <c r="M218">
        <f>MIN(L218,MAX(0,$B218-((E$5&lt;K$5)*F218+(Q$5&lt;K$5)*R218+(W$5&lt;K$5)*X218+(AC$5&lt;K$5)*AD218+(AI$5&lt;K$5)*AJ218+(AO$5&lt;K$5)*AP218+(AU$5&lt;K$5)*AV218)))</f>
        <v/>
      </c>
      <c r="N218">
        <f>IF(L218-M218&lt;0.005,0,L218-M218)</f>
        <v/>
      </c>
      <c r="O218">
        <f>T217</f>
        <v/>
      </c>
      <c r="P218">
        <f>O218*Plan!D8/100/12</f>
        <v/>
      </c>
      <c r="Q218">
        <f>MIN(Plan!E8,O218+P218)</f>
        <v/>
      </c>
      <c r="R218">
        <f>O218+P218-Q218</f>
        <v/>
      </c>
      <c r="S218">
        <f>MIN(R218,MAX(0,$B218-((E$5&lt;Q$5)*F218+(K$5&lt;Q$5)*L218+(W$5&lt;Q$5)*X218+(AC$5&lt;Q$5)*AD218+(AI$5&lt;Q$5)*AJ218+(AO$5&lt;Q$5)*AP218+(AU$5&lt;Q$5)*AV218)))</f>
        <v/>
      </c>
      <c r="T218">
        <f>IF(R218-S218&lt;0.005,0,R218-S218)</f>
        <v/>
      </c>
      <c r="U218">
        <f>Z217</f>
        <v/>
      </c>
      <c r="V218">
        <f>U218*Plan!D9/100/12</f>
        <v/>
      </c>
      <c r="W218">
        <f>MIN(Plan!E9,U218+V218)</f>
        <v/>
      </c>
      <c r="X218">
        <f>U218+V218-W218</f>
        <v/>
      </c>
      <c r="Y218">
        <f>MIN(X218,MAX(0,$B218-((E$5&lt;W$5)*F218+(K$5&lt;W$5)*L218+(Q$5&lt;W$5)*R218+(AC$5&lt;W$5)*AD218+(AI$5&lt;W$5)*AJ218+(AO$5&lt;W$5)*AP218+(AU$5&lt;W$5)*AV218)))</f>
        <v/>
      </c>
      <c r="Z218">
        <f>IF(X218-Y218&lt;0.005,0,X218-Y218)</f>
        <v/>
      </c>
      <c r="AA218">
        <f>AF217</f>
        <v/>
      </c>
      <c r="AB218">
        <f>AA218*Plan!D10/100/12</f>
        <v/>
      </c>
      <c r="AC218">
        <f>MIN(Plan!E10,AA218+AB218)</f>
        <v/>
      </c>
      <c r="AD218">
        <f>AA218+AB218-AC218</f>
        <v/>
      </c>
      <c r="AE218">
        <f>MIN(AD218,MAX(0,$B218-((E$5&lt;AC$5)*F218+(K$5&lt;AC$5)*L218+(Q$5&lt;AC$5)*R218+(W$5&lt;AC$5)*X218+(AI$5&lt;AC$5)*AJ218+(AO$5&lt;AC$5)*AP218+(AU$5&lt;AC$5)*AV218)))</f>
        <v/>
      </c>
      <c r="AF218">
        <f>IF(AD218-AE218&lt;0.005,0,AD218-AE218)</f>
        <v/>
      </c>
      <c r="AG218">
        <f>AL217</f>
        <v/>
      </c>
      <c r="AH218">
        <f>AG218*Plan!D11/100/12</f>
        <v/>
      </c>
      <c r="AI218">
        <f>MIN(Plan!E11,AG218+AH218)</f>
        <v/>
      </c>
      <c r="AJ218">
        <f>AG218+AH218-AI218</f>
        <v/>
      </c>
      <c r="AK218">
        <f>MIN(AJ218,MAX(0,$B218-((E$5&lt;AI$5)*F218+(K$5&lt;AI$5)*L218+(Q$5&lt;AI$5)*R218+(W$5&lt;AI$5)*X218+(AC$5&lt;AI$5)*AD218+(AO$5&lt;AI$5)*AP218+(AU$5&lt;AI$5)*AV218)))</f>
        <v/>
      </c>
      <c r="AL218">
        <f>IF(AJ218-AK218&lt;0.005,0,AJ218-AK218)</f>
        <v/>
      </c>
      <c r="AM218">
        <f>AR217</f>
        <v/>
      </c>
      <c r="AN218">
        <f>AM218*Plan!D12/100/12</f>
        <v/>
      </c>
      <c r="AO218">
        <f>MIN(Plan!E12,AM218+AN218)</f>
        <v/>
      </c>
      <c r="AP218">
        <f>AM218+AN218-AO218</f>
        <v/>
      </c>
      <c r="AQ218">
        <f>MIN(AP218,MAX(0,$B218-((E$5&lt;AO$5)*F218+(K$5&lt;AO$5)*L218+(Q$5&lt;AO$5)*R218+(W$5&lt;AO$5)*X218+(AC$5&lt;AO$5)*AD218+(AI$5&lt;AO$5)*AJ218+(AU$5&lt;AO$5)*AV218)))</f>
        <v/>
      </c>
      <c r="AR218">
        <f>IF(AP218-AQ218&lt;0.005,0,AP218-AQ218)</f>
        <v/>
      </c>
      <c r="AS218">
        <f>AX217</f>
        <v/>
      </c>
      <c r="AT218">
        <f>AS218*Plan!D13/100/12</f>
        <v/>
      </c>
      <c r="AU218">
        <f>MIN(Plan!E13,AS218+AT218)</f>
        <v/>
      </c>
      <c r="AV218">
        <f>AS218+AT218-AU218</f>
        <v/>
      </c>
      <c r="AW218">
        <f>MIN(AV218,MAX(0,$B218-((E$5&lt;AU$5)*F218+(K$5&lt;AU$5)*L218+(Q$5&lt;AU$5)*R218+(W$5&lt;AU$5)*X218+(AC$5&lt;AU$5)*AD218+(AI$5&lt;AU$5)*AJ218+(AO$5&lt;AU$5)*AP218)))</f>
        <v/>
      </c>
      <c r="AX218">
        <f>IF(AV218-AW218&lt;0.005,0,AV218-AW218)</f>
        <v/>
      </c>
      <c r="BC218">
        <f>H218+N218+T218+Z218+AF218+AL218+AR218+AX218</f>
        <v/>
      </c>
    </row>
    <row r="219">
      <c r="A219" t="n">
        <v>213</v>
      </c>
      <c r="B219" s="19">
        <f>MAX(0,$B$3-(E219+K219+Q219+W219+AC219+AI219+AO219+AU219))</f>
        <v/>
      </c>
      <c r="C219">
        <f>H218</f>
        <v/>
      </c>
      <c r="D219">
        <f>C219*Plan!D6/100/12</f>
        <v/>
      </c>
      <c r="E219">
        <f>MIN(Plan!E6,C219+D219)</f>
        <v/>
      </c>
      <c r="F219">
        <f>C219+D219-E219</f>
        <v/>
      </c>
      <c r="G219">
        <f>MIN(F219,MAX(0,$B219-((K$5&lt;E$5)*L219+(Q$5&lt;E$5)*R219+(W$5&lt;E$5)*X219+(AC$5&lt;E$5)*AD219+(AI$5&lt;E$5)*AJ219+(AO$5&lt;E$5)*AP219+(AU$5&lt;E$5)*AV219)))</f>
        <v/>
      </c>
      <c r="H219">
        <f>IF(F219-G219&lt;0.005,0,F219-G219)</f>
        <v/>
      </c>
      <c r="I219">
        <f>N218</f>
        <v/>
      </c>
      <c r="J219">
        <f>I219*Plan!D7/100/12</f>
        <v/>
      </c>
      <c r="K219">
        <f>MIN(Plan!E7,I219+J219)</f>
        <v/>
      </c>
      <c r="L219">
        <f>I219+J219-K219</f>
        <v/>
      </c>
      <c r="M219">
        <f>MIN(L219,MAX(0,$B219-((E$5&lt;K$5)*F219+(Q$5&lt;K$5)*R219+(W$5&lt;K$5)*X219+(AC$5&lt;K$5)*AD219+(AI$5&lt;K$5)*AJ219+(AO$5&lt;K$5)*AP219+(AU$5&lt;K$5)*AV219)))</f>
        <v/>
      </c>
      <c r="N219">
        <f>IF(L219-M219&lt;0.005,0,L219-M219)</f>
        <v/>
      </c>
      <c r="O219">
        <f>T218</f>
        <v/>
      </c>
      <c r="P219">
        <f>O219*Plan!D8/100/12</f>
        <v/>
      </c>
      <c r="Q219">
        <f>MIN(Plan!E8,O219+P219)</f>
        <v/>
      </c>
      <c r="R219">
        <f>O219+P219-Q219</f>
        <v/>
      </c>
      <c r="S219">
        <f>MIN(R219,MAX(0,$B219-((E$5&lt;Q$5)*F219+(K$5&lt;Q$5)*L219+(W$5&lt;Q$5)*X219+(AC$5&lt;Q$5)*AD219+(AI$5&lt;Q$5)*AJ219+(AO$5&lt;Q$5)*AP219+(AU$5&lt;Q$5)*AV219)))</f>
        <v/>
      </c>
      <c r="T219">
        <f>IF(R219-S219&lt;0.005,0,R219-S219)</f>
        <v/>
      </c>
      <c r="U219">
        <f>Z218</f>
        <v/>
      </c>
      <c r="V219">
        <f>U219*Plan!D9/100/12</f>
        <v/>
      </c>
      <c r="W219">
        <f>MIN(Plan!E9,U219+V219)</f>
        <v/>
      </c>
      <c r="X219">
        <f>U219+V219-W219</f>
        <v/>
      </c>
      <c r="Y219">
        <f>MIN(X219,MAX(0,$B219-((E$5&lt;W$5)*F219+(K$5&lt;W$5)*L219+(Q$5&lt;W$5)*R219+(AC$5&lt;W$5)*AD219+(AI$5&lt;W$5)*AJ219+(AO$5&lt;W$5)*AP219+(AU$5&lt;W$5)*AV219)))</f>
        <v/>
      </c>
      <c r="Z219">
        <f>IF(X219-Y219&lt;0.005,0,X219-Y219)</f>
        <v/>
      </c>
      <c r="AA219">
        <f>AF218</f>
        <v/>
      </c>
      <c r="AB219">
        <f>AA219*Plan!D10/100/12</f>
        <v/>
      </c>
      <c r="AC219">
        <f>MIN(Plan!E10,AA219+AB219)</f>
        <v/>
      </c>
      <c r="AD219">
        <f>AA219+AB219-AC219</f>
        <v/>
      </c>
      <c r="AE219">
        <f>MIN(AD219,MAX(0,$B219-((E$5&lt;AC$5)*F219+(K$5&lt;AC$5)*L219+(Q$5&lt;AC$5)*R219+(W$5&lt;AC$5)*X219+(AI$5&lt;AC$5)*AJ219+(AO$5&lt;AC$5)*AP219+(AU$5&lt;AC$5)*AV219)))</f>
        <v/>
      </c>
      <c r="AF219">
        <f>IF(AD219-AE219&lt;0.005,0,AD219-AE219)</f>
        <v/>
      </c>
      <c r="AG219">
        <f>AL218</f>
        <v/>
      </c>
      <c r="AH219">
        <f>AG219*Plan!D11/100/12</f>
        <v/>
      </c>
      <c r="AI219">
        <f>MIN(Plan!E11,AG219+AH219)</f>
        <v/>
      </c>
      <c r="AJ219">
        <f>AG219+AH219-AI219</f>
        <v/>
      </c>
      <c r="AK219">
        <f>MIN(AJ219,MAX(0,$B219-((E$5&lt;AI$5)*F219+(K$5&lt;AI$5)*L219+(Q$5&lt;AI$5)*R219+(W$5&lt;AI$5)*X219+(AC$5&lt;AI$5)*AD219+(AO$5&lt;AI$5)*AP219+(AU$5&lt;AI$5)*AV219)))</f>
        <v/>
      </c>
      <c r="AL219">
        <f>IF(AJ219-AK219&lt;0.005,0,AJ219-AK219)</f>
        <v/>
      </c>
      <c r="AM219">
        <f>AR218</f>
        <v/>
      </c>
      <c r="AN219">
        <f>AM219*Plan!D12/100/12</f>
        <v/>
      </c>
      <c r="AO219">
        <f>MIN(Plan!E12,AM219+AN219)</f>
        <v/>
      </c>
      <c r="AP219">
        <f>AM219+AN219-AO219</f>
        <v/>
      </c>
      <c r="AQ219">
        <f>MIN(AP219,MAX(0,$B219-((E$5&lt;AO$5)*F219+(K$5&lt;AO$5)*L219+(Q$5&lt;AO$5)*R219+(W$5&lt;AO$5)*X219+(AC$5&lt;AO$5)*AD219+(AI$5&lt;AO$5)*AJ219+(AU$5&lt;AO$5)*AV219)))</f>
        <v/>
      </c>
      <c r="AR219">
        <f>IF(AP219-AQ219&lt;0.005,0,AP219-AQ219)</f>
        <v/>
      </c>
      <c r="AS219">
        <f>AX218</f>
        <v/>
      </c>
      <c r="AT219">
        <f>AS219*Plan!D13/100/12</f>
        <v/>
      </c>
      <c r="AU219">
        <f>MIN(Plan!E13,AS219+AT219)</f>
        <v/>
      </c>
      <c r="AV219">
        <f>AS219+AT219-AU219</f>
        <v/>
      </c>
      <c r="AW219">
        <f>MIN(AV219,MAX(0,$B219-((E$5&lt;AU$5)*F219+(K$5&lt;AU$5)*L219+(Q$5&lt;AU$5)*R219+(W$5&lt;AU$5)*X219+(AC$5&lt;AU$5)*AD219+(AI$5&lt;AU$5)*AJ219+(AO$5&lt;AU$5)*AP219)))</f>
        <v/>
      </c>
      <c r="AX219">
        <f>IF(AV219-AW219&lt;0.005,0,AV219-AW219)</f>
        <v/>
      </c>
      <c r="BC219">
        <f>H219+N219+T219+Z219+AF219+AL219+AR219+AX219</f>
        <v/>
      </c>
    </row>
    <row r="220">
      <c r="A220" t="n">
        <v>214</v>
      </c>
      <c r="B220" s="19">
        <f>MAX(0,$B$3-(E220+K220+Q220+W220+AC220+AI220+AO220+AU220))</f>
        <v/>
      </c>
      <c r="C220">
        <f>H219</f>
        <v/>
      </c>
      <c r="D220">
        <f>C220*Plan!D6/100/12</f>
        <v/>
      </c>
      <c r="E220">
        <f>MIN(Plan!E6,C220+D220)</f>
        <v/>
      </c>
      <c r="F220">
        <f>C220+D220-E220</f>
        <v/>
      </c>
      <c r="G220">
        <f>MIN(F220,MAX(0,$B220-((K$5&lt;E$5)*L220+(Q$5&lt;E$5)*R220+(W$5&lt;E$5)*X220+(AC$5&lt;E$5)*AD220+(AI$5&lt;E$5)*AJ220+(AO$5&lt;E$5)*AP220+(AU$5&lt;E$5)*AV220)))</f>
        <v/>
      </c>
      <c r="H220">
        <f>IF(F220-G220&lt;0.005,0,F220-G220)</f>
        <v/>
      </c>
      <c r="I220">
        <f>N219</f>
        <v/>
      </c>
      <c r="J220">
        <f>I220*Plan!D7/100/12</f>
        <v/>
      </c>
      <c r="K220">
        <f>MIN(Plan!E7,I220+J220)</f>
        <v/>
      </c>
      <c r="L220">
        <f>I220+J220-K220</f>
        <v/>
      </c>
      <c r="M220">
        <f>MIN(L220,MAX(0,$B220-((E$5&lt;K$5)*F220+(Q$5&lt;K$5)*R220+(W$5&lt;K$5)*X220+(AC$5&lt;K$5)*AD220+(AI$5&lt;K$5)*AJ220+(AO$5&lt;K$5)*AP220+(AU$5&lt;K$5)*AV220)))</f>
        <v/>
      </c>
      <c r="N220">
        <f>IF(L220-M220&lt;0.005,0,L220-M220)</f>
        <v/>
      </c>
      <c r="O220">
        <f>T219</f>
        <v/>
      </c>
      <c r="P220">
        <f>O220*Plan!D8/100/12</f>
        <v/>
      </c>
      <c r="Q220">
        <f>MIN(Plan!E8,O220+P220)</f>
        <v/>
      </c>
      <c r="R220">
        <f>O220+P220-Q220</f>
        <v/>
      </c>
      <c r="S220">
        <f>MIN(R220,MAX(0,$B220-((E$5&lt;Q$5)*F220+(K$5&lt;Q$5)*L220+(W$5&lt;Q$5)*X220+(AC$5&lt;Q$5)*AD220+(AI$5&lt;Q$5)*AJ220+(AO$5&lt;Q$5)*AP220+(AU$5&lt;Q$5)*AV220)))</f>
        <v/>
      </c>
      <c r="T220">
        <f>IF(R220-S220&lt;0.005,0,R220-S220)</f>
        <v/>
      </c>
      <c r="U220">
        <f>Z219</f>
        <v/>
      </c>
      <c r="V220">
        <f>U220*Plan!D9/100/12</f>
        <v/>
      </c>
      <c r="W220">
        <f>MIN(Plan!E9,U220+V220)</f>
        <v/>
      </c>
      <c r="X220">
        <f>U220+V220-W220</f>
        <v/>
      </c>
      <c r="Y220">
        <f>MIN(X220,MAX(0,$B220-((E$5&lt;W$5)*F220+(K$5&lt;W$5)*L220+(Q$5&lt;W$5)*R220+(AC$5&lt;W$5)*AD220+(AI$5&lt;W$5)*AJ220+(AO$5&lt;W$5)*AP220+(AU$5&lt;W$5)*AV220)))</f>
        <v/>
      </c>
      <c r="Z220">
        <f>IF(X220-Y220&lt;0.005,0,X220-Y220)</f>
        <v/>
      </c>
      <c r="AA220">
        <f>AF219</f>
        <v/>
      </c>
      <c r="AB220">
        <f>AA220*Plan!D10/100/12</f>
        <v/>
      </c>
      <c r="AC220">
        <f>MIN(Plan!E10,AA220+AB220)</f>
        <v/>
      </c>
      <c r="AD220">
        <f>AA220+AB220-AC220</f>
        <v/>
      </c>
      <c r="AE220">
        <f>MIN(AD220,MAX(0,$B220-((E$5&lt;AC$5)*F220+(K$5&lt;AC$5)*L220+(Q$5&lt;AC$5)*R220+(W$5&lt;AC$5)*X220+(AI$5&lt;AC$5)*AJ220+(AO$5&lt;AC$5)*AP220+(AU$5&lt;AC$5)*AV220)))</f>
        <v/>
      </c>
      <c r="AF220">
        <f>IF(AD220-AE220&lt;0.005,0,AD220-AE220)</f>
        <v/>
      </c>
      <c r="AG220">
        <f>AL219</f>
        <v/>
      </c>
      <c r="AH220">
        <f>AG220*Plan!D11/100/12</f>
        <v/>
      </c>
      <c r="AI220">
        <f>MIN(Plan!E11,AG220+AH220)</f>
        <v/>
      </c>
      <c r="AJ220">
        <f>AG220+AH220-AI220</f>
        <v/>
      </c>
      <c r="AK220">
        <f>MIN(AJ220,MAX(0,$B220-((E$5&lt;AI$5)*F220+(K$5&lt;AI$5)*L220+(Q$5&lt;AI$5)*R220+(W$5&lt;AI$5)*X220+(AC$5&lt;AI$5)*AD220+(AO$5&lt;AI$5)*AP220+(AU$5&lt;AI$5)*AV220)))</f>
        <v/>
      </c>
      <c r="AL220">
        <f>IF(AJ220-AK220&lt;0.005,0,AJ220-AK220)</f>
        <v/>
      </c>
      <c r="AM220">
        <f>AR219</f>
        <v/>
      </c>
      <c r="AN220">
        <f>AM220*Plan!D12/100/12</f>
        <v/>
      </c>
      <c r="AO220">
        <f>MIN(Plan!E12,AM220+AN220)</f>
        <v/>
      </c>
      <c r="AP220">
        <f>AM220+AN220-AO220</f>
        <v/>
      </c>
      <c r="AQ220">
        <f>MIN(AP220,MAX(0,$B220-((E$5&lt;AO$5)*F220+(K$5&lt;AO$5)*L220+(Q$5&lt;AO$5)*R220+(W$5&lt;AO$5)*X220+(AC$5&lt;AO$5)*AD220+(AI$5&lt;AO$5)*AJ220+(AU$5&lt;AO$5)*AV220)))</f>
        <v/>
      </c>
      <c r="AR220">
        <f>IF(AP220-AQ220&lt;0.005,0,AP220-AQ220)</f>
        <v/>
      </c>
      <c r="AS220">
        <f>AX219</f>
        <v/>
      </c>
      <c r="AT220">
        <f>AS220*Plan!D13/100/12</f>
        <v/>
      </c>
      <c r="AU220">
        <f>MIN(Plan!E13,AS220+AT220)</f>
        <v/>
      </c>
      <c r="AV220">
        <f>AS220+AT220-AU220</f>
        <v/>
      </c>
      <c r="AW220">
        <f>MIN(AV220,MAX(0,$B220-((E$5&lt;AU$5)*F220+(K$5&lt;AU$5)*L220+(Q$5&lt;AU$5)*R220+(W$5&lt;AU$5)*X220+(AC$5&lt;AU$5)*AD220+(AI$5&lt;AU$5)*AJ220+(AO$5&lt;AU$5)*AP220)))</f>
        <v/>
      </c>
      <c r="AX220">
        <f>IF(AV220-AW220&lt;0.005,0,AV220-AW220)</f>
        <v/>
      </c>
      <c r="BC220">
        <f>H220+N220+T220+Z220+AF220+AL220+AR220+AX220</f>
        <v/>
      </c>
    </row>
    <row r="221">
      <c r="A221" t="n">
        <v>215</v>
      </c>
      <c r="B221" s="19">
        <f>MAX(0,$B$3-(E221+K221+Q221+W221+AC221+AI221+AO221+AU221))</f>
        <v/>
      </c>
      <c r="C221">
        <f>H220</f>
        <v/>
      </c>
      <c r="D221">
        <f>C221*Plan!D6/100/12</f>
        <v/>
      </c>
      <c r="E221">
        <f>MIN(Plan!E6,C221+D221)</f>
        <v/>
      </c>
      <c r="F221">
        <f>C221+D221-E221</f>
        <v/>
      </c>
      <c r="G221">
        <f>MIN(F221,MAX(0,$B221-((K$5&lt;E$5)*L221+(Q$5&lt;E$5)*R221+(W$5&lt;E$5)*X221+(AC$5&lt;E$5)*AD221+(AI$5&lt;E$5)*AJ221+(AO$5&lt;E$5)*AP221+(AU$5&lt;E$5)*AV221)))</f>
        <v/>
      </c>
      <c r="H221">
        <f>IF(F221-G221&lt;0.005,0,F221-G221)</f>
        <v/>
      </c>
      <c r="I221">
        <f>N220</f>
        <v/>
      </c>
      <c r="J221">
        <f>I221*Plan!D7/100/12</f>
        <v/>
      </c>
      <c r="K221">
        <f>MIN(Plan!E7,I221+J221)</f>
        <v/>
      </c>
      <c r="L221">
        <f>I221+J221-K221</f>
        <v/>
      </c>
      <c r="M221">
        <f>MIN(L221,MAX(0,$B221-((E$5&lt;K$5)*F221+(Q$5&lt;K$5)*R221+(W$5&lt;K$5)*X221+(AC$5&lt;K$5)*AD221+(AI$5&lt;K$5)*AJ221+(AO$5&lt;K$5)*AP221+(AU$5&lt;K$5)*AV221)))</f>
        <v/>
      </c>
      <c r="N221">
        <f>IF(L221-M221&lt;0.005,0,L221-M221)</f>
        <v/>
      </c>
      <c r="O221">
        <f>T220</f>
        <v/>
      </c>
      <c r="P221">
        <f>O221*Plan!D8/100/12</f>
        <v/>
      </c>
      <c r="Q221">
        <f>MIN(Plan!E8,O221+P221)</f>
        <v/>
      </c>
      <c r="R221">
        <f>O221+P221-Q221</f>
        <v/>
      </c>
      <c r="S221">
        <f>MIN(R221,MAX(0,$B221-((E$5&lt;Q$5)*F221+(K$5&lt;Q$5)*L221+(W$5&lt;Q$5)*X221+(AC$5&lt;Q$5)*AD221+(AI$5&lt;Q$5)*AJ221+(AO$5&lt;Q$5)*AP221+(AU$5&lt;Q$5)*AV221)))</f>
        <v/>
      </c>
      <c r="T221">
        <f>IF(R221-S221&lt;0.005,0,R221-S221)</f>
        <v/>
      </c>
      <c r="U221">
        <f>Z220</f>
        <v/>
      </c>
      <c r="V221">
        <f>U221*Plan!D9/100/12</f>
        <v/>
      </c>
      <c r="W221">
        <f>MIN(Plan!E9,U221+V221)</f>
        <v/>
      </c>
      <c r="X221">
        <f>U221+V221-W221</f>
        <v/>
      </c>
      <c r="Y221">
        <f>MIN(X221,MAX(0,$B221-((E$5&lt;W$5)*F221+(K$5&lt;W$5)*L221+(Q$5&lt;W$5)*R221+(AC$5&lt;W$5)*AD221+(AI$5&lt;W$5)*AJ221+(AO$5&lt;W$5)*AP221+(AU$5&lt;W$5)*AV221)))</f>
        <v/>
      </c>
      <c r="Z221">
        <f>IF(X221-Y221&lt;0.005,0,X221-Y221)</f>
        <v/>
      </c>
      <c r="AA221">
        <f>AF220</f>
        <v/>
      </c>
      <c r="AB221">
        <f>AA221*Plan!D10/100/12</f>
        <v/>
      </c>
      <c r="AC221">
        <f>MIN(Plan!E10,AA221+AB221)</f>
        <v/>
      </c>
      <c r="AD221">
        <f>AA221+AB221-AC221</f>
        <v/>
      </c>
      <c r="AE221">
        <f>MIN(AD221,MAX(0,$B221-((E$5&lt;AC$5)*F221+(K$5&lt;AC$5)*L221+(Q$5&lt;AC$5)*R221+(W$5&lt;AC$5)*X221+(AI$5&lt;AC$5)*AJ221+(AO$5&lt;AC$5)*AP221+(AU$5&lt;AC$5)*AV221)))</f>
        <v/>
      </c>
      <c r="AF221">
        <f>IF(AD221-AE221&lt;0.005,0,AD221-AE221)</f>
        <v/>
      </c>
      <c r="AG221">
        <f>AL220</f>
        <v/>
      </c>
      <c r="AH221">
        <f>AG221*Plan!D11/100/12</f>
        <v/>
      </c>
      <c r="AI221">
        <f>MIN(Plan!E11,AG221+AH221)</f>
        <v/>
      </c>
      <c r="AJ221">
        <f>AG221+AH221-AI221</f>
        <v/>
      </c>
      <c r="AK221">
        <f>MIN(AJ221,MAX(0,$B221-((E$5&lt;AI$5)*F221+(K$5&lt;AI$5)*L221+(Q$5&lt;AI$5)*R221+(W$5&lt;AI$5)*X221+(AC$5&lt;AI$5)*AD221+(AO$5&lt;AI$5)*AP221+(AU$5&lt;AI$5)*AV221)))</f>
        <v/>
      </c>
      <c r="AL221">
        <f>IF(AJ221-AK221&lt;0.005,0,AJ221-AK221)</f>
        <v/>
      </c>
      <c r="AM221">
        <f>AR220</f>
        <v/>
      </c>
      <c r="AN221">
        <f>AM221*Plan!D12/100/12</f>
        <v/>
      </c>
      <c r="AO221">
        <f>MIN(Plan!E12,AM221+AN221)</f>
        <v/>
      </c>
      <c r="AP221">
        <f>AM221+AN221-AO221</f>
        <v/>
      </c>
      <c r="AQ221">
        <f>MIN(AP221,MAX(0,$B221-((E$5&lt;AO$5)*F221+(K$5&lt;AO$5)*L221+(Q$5&lt;AO$5)*R221+(W$5&lt;AO$5)*X221+(AC$5&lt;AO$5)*AD221+(AI$5&lt;AO$5)*AJ221+(AU$5&lt;AO$5)*AV221)))</f>
        <v/>
      </c>
      <c r="AR221">
        <f>IF(AP221-AQ221&lt;0.005,0,AP221-AQ221)</f>
        <v/>
      </c>
      <c r="AS221">
        <f>AX220</f>
        <v/>
      </c>
      <c r="AT221">
        <f>AS221*Plan!D13/100/12</f>
        <v/>
      </c>
      <c r="AU221">
        <f>MIN(Plan!E13,AS221+AT221)</f>
        <v/>
      </c>
      <c r="AV221">
        <f>AS221+AT221-AU221</f>
        <v/>
      </c>
      <c r="AW221">
        <f>MIN(AV221,MAX(0,$B221-((E$5&lt;AU$5)*F221+(K$5&lt;AU$5)*L221+(Q$5&lt;AU$5)*R221+(W$5&lt;AU$5)*X221+(AC$5&lt;AU$5)*AD221+(AI$5&lt;AU$5)*AJ221+(AO$5&lt;AU$5)*AP221)))</f>
        <v/>
      </c>
      <c r="AX221">
        <f>IF(AV221-AW221&lt;0.005,0,AV221-AW221)</f>
        <v/>
      </c>
      <c r="BC221">
        <f>H221+N221+T221+Z221+AF221+AL221+AR221+AX221</f>
        <v/>
      </c>
    </row>
    <row r="222">
      <c r="A222" t="n">
        <v>216</v>
      </c>
      <c r="B222" s="19">
        <f>MAX(0,$B$3-(E222+K222+Q222+W222+AC222+AI222+AO222+AU222))</f>
        <v/>
      </c>
      <c r="C222">
        <f>H221</f>
        <v/>
      </c>
      <c r="D222">
        <f>C222*Plan!D6/100/12</f>
        <v/>
      </c>
      <c r="E222">
        <f>MIN(Plan!E6,C222+D222)</f>
        <v/>
      </c>
      <c r="F222">
        <f>C222+D222-E222</f>
        <v/>
      </c>
      <c r="G222">
        <f>MIN(F222,MAX(0,$B222-((K$5&lt;E$5)*L222+(Q$5&lt;E$5)*R222+(W$5&lt;E$5)*X222+(AC$5&lt;E$5)*AD222+(AI$5&lt;E$5)*AJ222+(AO$5&lt;E$5)*AP222+(AU$5&lt;E$5)*AV222)))</f>
        <v/>
      </c>
      <c r="H222">
        <f>IF(F222-G222&lt;0.005,0,F222-G222)</f>
        <v/>
      </c>
      <c r="I222">
        <f>N221</f>
        <v/>
      </c>
      <c r="J222">
        <f>I222*Plan!D7/100/12</f>
        <v/>
      </c>
      <c r="K222">
        <f>MIN(Plan!E7,I222+J222)</f>
        <v/>
      </c>
      <c r="L222">
        <f>I222+J222-K222</f>
        <v/>
      </c>
      <c r="M222">
        <f>MIN(L222,MAX(0,$B222-((E$5&lt;K$5)*F222+(Q$5&lt;K$5)*R222+(W$5&lt;K$5)*X222+(AC$5&lt;K$5)*AD222+(AI$5&lt;K$5)*AJ222+(AO$5&lt;K$5)*AP222+(AU$5&lt;K$5)*AV222)))</f>
        <v/>
      </c>
      <c r="N222">
        <f>IF(L222-M222&lt;0.005,0,L222-M222)</f>
        <v/>
      </c>
      <c r="O222">
        <f>T221</f>
        <v/>
      </c>
      <c r="P222">
        <f>O222*Plan!D8/100/12</f>
        <v/>
      </c>
      <c r="Q222">
        <f>MIN(Plan!E8,O222+P222)</f>
        <v/>
      </c>
      <c r="R222">
        <f>O222+P222-Q222</f>
        <v/>
      </c>
      <c r="S222">
        <f>MIN(R222,MAX(0,$B222-((E$5&lt;Q$5)*F222+(K$5&lt;Q$5)*L222+(W$5&lt;Q$5)*X222+(AC$5&lt;Q$5)*AD222+(AI$5&lt;Q$5)*AJ222+(AO$5&lt;Q$5)*AP222+(AU$5&lt;Q$5)*AV222)))</f>
        <v/>
      </c>
      <c r="T222">
        <f>IF(R222-S222&lt;0.005,0,R222-S222)</f>
        <v/>
      </c>
      <c r="U222">
        <f>Z221</f>
        <v/>
      </c>
      <c r="V222">
        <f>U222*Plan!D9/100/12</f>
        <v/>
      </c>
      <c r="W222">
        <f>MIN(Plan!E9,U222+V222)</f>
        <v/>
      </c>
      <c r="X222">
        <f>U222+V222-W222</f>
        <v/>
      </c>
      <c r="Y222">
        <f>MIN(X222,MAX(0,$B222-((E$5&lt;W$5)*F222+(K$5&lt;W$5)*L222+(Q$5&lt;W$5)*R222+(AC$5&lt;W$5)*AD222+(AI$5&lt;W$5)*AJ222+(AO$5&lt;W$5)*AP222+(AU$5&lt;W$5)*AV222)))</f>
        <v/>
      </c>
      <c r="Z222">
        <f>IF(X222-Y222&lt;0.005,0,X222-Y222)</f>
        <v/>
      </c>
      <c r="AA222">
        <f>AF221</f>
        <v/>
      </c>
      <c r="AB222">
        <f>AA222*Plan!D10/100/12</f>
        <v/>
      </c>
      <c r="AC222">
        <f>MIN(Plan!E10,AA222+AB222)</f>
        <v/>
      </c>
      <c r="AD222">
        <f>AA222+AB222-AC222</f>
        <v/>
      </c>
      <c r="AE222">
        <f>MIN(AD222,MAX(0,$B222-((E$5&lt;AC$5)*F222+(K$5&lt;AC$5)*L222+(Q$5&lt;AC$5)*R222+(W$5&lt;AC$5)*X222+(AI$5&lt;AC$5)*AJ222+(AO$5&lt;AC$5)*AP222+(AU$5&lt;AC$5)*AV222)))</f>
        <v/>
      </c>
      <c r="AF222">
        <f>IF(AD222-AE222&lt;0.005,0,AD222-AE222)</f>
        <v/>
      </c>
      <c r="AG222">
        <f>AL221</f>
        <v/>
      </c>
      <c r="AH222">
        <f>AG222*Plan!D11/100/12</f>
        <v/>
      </c>
      <c r="AI222">
        <f>MIN(Plan!E11,AG222+AH222)</f>
        <v/>
      </c>
      <c r="AJ222">
        <f>AG222+AH222-AI222</f>
        <v/>
      </c>
      <c r="AK222">
        <f>MIN(AJ222,MAX(0,$B222-((E$5&lt;AI$5)*F222+(K$5&lt;AI$5)*L222+(Q$5&lt;AI$5)*R222+(W$5&lt;AI$5)*X222+(AC$5&lt;AI$5)*AD222+(AO$5&lt;AI$5)*AP222+(AU$5&lt;AI$5)*AV222)))</f>
        <v/>
      </c>
      <c r="AL222">
        <f>IF(AJ222-AK222&lt;0.005,0,AJ222-AK222)</f>
        <v/>
      </c>
      <c r="AM222">
        <f>AR221</f>
        <v/>
      </c>
      <c r="AN222">
        <f>AM222*Plan!D12/100/12</f>
        <v/>
      </c>
      <c r="AO222">
        <f>MIN(Plan!E12,AM222+AN222)</f>
        <v/>
      </c>
      <c r="AP222">
        <f>AM222+AN222-AO222</f>
        <v/>
      </c>
      <c r="AQ222">
        <f>MIN(AP222,MAX(0,$B222-((E$5&lt;AO$5)*F222+(K$5&lt;AO$5)*L222+(Q$5&lt;AO$5)*R222+(W$5&lt;AO$5)*X222+(AC$5&lt;AO$5)*AD222+(AI$5&lt;AO$5)*AJ222+(AU$5&lt;AO$5)*AV222)))</f>
        <v/>
      </c>
      <c r="AR222">
        <f>IF(AP222-AQ222&lt;0.005,0,AP222-AQ222)</f>
        <v/>
      </c>
      <c r="AS222">
        <f>AX221</f>
        <v/>
      </c>
      <c r="AT222">
        <f>AS222*Plan!D13/100/12</f>
        <v/>
      </c>
      <c r="AU222">
        <f>MIN(Plan!E13,AS222+AT222)</f>
        <v/>
      </c>
      <c r="AV222">
        <f>AS222+AT222-AU222</f>
        <v/>
      </c>
      <c r="AW222">
        <f>MIN(AV222,MAX(0,$B222-((E$5&lt;AU$5)*F222+(K$5&lt;AU$5)*L222+(Q$5&lt;AU$5)*R222+(W$5&lt;AU$5)*X222+(AC$5&lt;AU$5)*AD222+(AI$5&lt;AU$5)*AJ222+(AO$5&lt;AU$5)*AP222)))</f>
        <v/>
      </c>
      <c r="AX222">
        <f>IF(AV222-AW222&lt;0.005,0,AV222-AW222)</f>
        <v/>
      </c>
      <c r="BC222">
        <f>H222+N222+T222+Z222+AF222+AL222+AR222+AX222</f>
        <v/>
      </c>
    </row>
    <row r="223">
      <c r="A223" t="n">
        <v>217</v>
      </c>
      <c r="B223" s="19">
        <f>MAX(0,$B$3-(E223+K223+Q223+W223+AC223+AI223+AO223+AU223))</f>
        <v/>
      </c>
      <c r="C223">
        <f>H222</f>
        <v/>
      </c>
      <c r="D223">
        <f>C223*Plan!D6/100/12</f>
        <v/>
      </c>
      <c r="E223">
        <f>MIN(Plan!E6,C223+D223)</f>
        <v/>
      </c>
      <c r="F223">
        <f>C223+D223-E223</f>
        <v/>
      </c>
      <c r="G223">
        <f>MIN(F223,MAX(0,$B223-((K$5&lt;E$5)*L223+(Q$5&lt;E$5)*R223+(W$5&lt;E$5)*X223+(AC$5&lt;E$5)*AD223+(AI$5&lt;E$5)*AJ223+(AO$5&lt;E$5)*AP223+(AU$5&lt;E$5)*AV223)))</f>
        <v/>
      </c>
      <c r="H223">
        <f>IF(F223-G223&lt;0.005,0,F223-G223)</f>
        <v/>
      </c>
      <c r="I223">
        <f>N222</f>
        <v/>
      </c>
      <c r="J223">
        <f>I223*Plan!D7/100/12</f>
        <v/>
      </c>
      <c r="K223">
        <f>MIN(Plan!E7,I223+J223)</f>
        <v/>
      </c>
      <c r="L223">
        <f>I223+J223-K223</f>
        <v/>
      </c>
      <c r="M223">
        <f>MIN(L223,MAX(0,$B223-((E$5&lt;K$5)*F223+(Q$5&lt;K$5)*R223+(W$5&lt;K$5)*X223+(AC$5&lt;K$5)*AD223+(AI$5&lt;K$5)*AJ223+(AO$5&lt;K$5)*AP223+(AU$5&lt;K$5)*AV223)))</f>
        <v/>
      </c>
      <c r="N223">
        <f>IF(L223-M223&lt;0.005,0,L223-M223)</f>
        <v/>
      </c>
      <c r="O223">
        <f>T222</f>
        <v/>
      </c>
      <c r="P223">
        <f>O223*Plan!D8/100/12</f>
        <v/>
      </c>
      <c r="Q223">
        <f>MIN(Plan!E8,O223+P223)</f>
        <v/>
      </c>
      <c r="R223">
        <f>O223+P223-Q223</f>
        <v/>
      </c>
      <c r="S223">
        <f>MIN(R223,MAX(0,$B223-((E$5&lt;Q$5)*F223+(K$5&lt;Q$5)*L223+(W$5&lt;Q$5)*X223+(AC$5&lt;Q$5)*AD223+(AI$5&lt;Q$5)*AJ223+(AO$5&lt;Q$5)*AP223+(AU$5&lt;Q$5)*AV223)))</f>
        <v/>
      </c>
      <c r="T223">
        <f>IF(R223-S223&lt;0.005,0,R223-S223)</f>
        <v/>
      </c>
      <c r="U223">
        <f>Z222</f>
        <v/>
      </c>
      <c r="V223">
        <f>U223*Plan!D9/100/12</f>
        <v/>
      </c>
      <c r="W223">
        <f>MIN(Plan!E9,U223+V223)</f>
        <v/>
      </c>
      <c r="X223">
        <f>U223+V223-W223</f>
        <v/>
      </c>
      <c r="Y223">
        <f>MIN(X223,MAX(0,$B223-((E$5&lt;W$5)*F223+(K$5&lt;W$5)*L223+(Q$5&lt;W$5)*R223+(AC$5&lt;W$5)*AD223+(AI$5&lt;W$5)*AJ223+(AO$5&lt;W$5)*AP223+(AU$5&lt;W$5)*AV223)))</f>
        <v/>
      </c>
      <c r="Z223">
        <f>IF(X223-Y223&lt;0.005,0,X223-Y223)</f>
        <v/>
      </c>
      <c r="AA223">
        <f>AF222</f>
        <v/>
      </c>
      <c r="AB223">
        <f>AA223*Plan!D10/100/12</f>
        <v/>
      </c>
      <c r="AC223">
        <f>MIN(Plan!E10,AA223+AB223)</f>
        <v/>
      </c>
      <c r="AD223">
        <f>AA223+AB223-AC223</f>
        <v/>
      </c>
      <c r="AE223">
        <f>MIN(AD223,MAX(0,$B223-((E$5&lt;AC$5)*F223+(K$5&lt;AC$5)*L223+(Q$5&lt;AC$5)*R223+(W$5&lt;AC$5)*X223+(AI$5&lt;AC$5)*AJ223+(AO$5&lt;AC$5)*AP223+(AU$5&lt;AC$5)*AV223)))</f>
        <v/>
      </c>
      <c r="AF223">
        <f>IF(AD223-AE223&lt;0.005,0,AD223-AE223)</f>
        <v/>
      </c>
      <c r="AG223">
        <f>AL222</f>
        <v/>
      </c>
      <c r="AH223">
        <f>AG223*Plan!D11/100/12</f>
        <v/>
      </c>
      <c r="AI223">
        <f>MIN(Plan!E11,AG223+AH223)</f>
        <v/>
      </c>
      <c r="AJ223">
        <f>AG223+AH223-AI223</f>
        <v/>
      </c>
      <c r="AK223">
        <f>MIN(AJ223,MAX(0,$B223-((E$5&lt;AI$5)*F223+(K$5&lt;AI$5)*L223+(Q$5&lt;AI$5)*R223+(W$5&lt;AI$5)*X223+(AC$5&lt;AI$5)*AD223+(AO$5&lt;AI$5)*AP223+(AU$5&lt;AI$5)*AV223)))</f>
        <v/>
      </c>
      <c r="AL223">
        <f>IF(AJ223-AK223&lt;0.005,0,AJ223-AK223)</f>
        <v/>
      </c>
      <c r="AM223">
        <f>AR222</f>
        <v/>
      </c>
      <c r="AN223">
        <f>AM223*Plan!D12/100/12</f>
        <v/>
      </c>
      <c r="AO223">
        <f>MIN(Plan!E12,AM223+AN223)</f>
        <v/>
      </c>
      <c r="AP223">
        <f>AM223+AN223-AO223</f>
        <v/>
      </c>
      <c r="AQ223">
        <f>MIN(AP223,MAX(0,$B223-((E$5&lt;AO$5)*F223+(K$5&lt;AO$5)*L223+(Q$5&lt;AO$5)*R223+(W$5&lt;AO$5)*X223+(AC$5&lt;AO$5)*AD223+(AI$5&lt;AO$5)*AJ223+(AU$5&lt;AO$5)*AV223)))</f>
        <v/>
      </c>
      <c r="AR223">
        <f>IF(AP223-AQ223&lt;0.005,0,AP223-AQ223)</f>
        <v/>
      </c>
      <c r="AS223">
        <f>AX222</f>
        <v/>
      </c>
      <c r="AT223">
        <f>AS223*Plan!D13/100/12</f>
        <v/>
      </c>
      <c r="AU223">
        <f>MIN(Plan!E13,AS223+AT223)</f>
        <v/>
      </c>
      <c r="AV223">
        <f>AS223+AT223-AU223</f>
        <v/>
      </c>
      <c r="AW223">
        <f>MIN(AV223,MAX(0,$B223-((E$5&lt;AU$5)*F223+(K$5&lt;AU$5)*L223+(Q$5&lt;AU$5)*R223+(W$5&lt;AU$5)*X223+(AC$5&lt;AU$5)*AD223+(AI$5&lt;AU$5)*AJ223+(AO$5&lt;AU$5)*AP223)))</f>
        <v/>
      </c>
      <c r="AX223">
        <f>IF(AV223-AW223&lt;0.005,0,AV223-AW223)</f>
        <v/>
      </c>
      <c r="BC223">
        <f>H223+N223+T223+Z223+AF223+AL223+AR223+AX223</f>
        <v/>
      </c>
    </row>
    <row r="224">
      <c r="A224" t="n">
        <v>218</v>
      </c>
      <c r="B224" s="19">
        <f>MAX(0,$B$3-(E224+K224+Q224+W224+AC224+AI224+AO224+AU224))</f>
        <v/>
      </c>
      <c r="C224">
        <f>H223</f>
        <v/>
      </c>
      <c r="D224">
        <f>C224*Plan!D6/100/12</f>
        <v/>
      </c>
      <c r="E224">
        <f>MIN(Plan!E6,C224+D224)</f>
        <v/>
      </c>
      <c r="F224">
        <f>C224+D224-E224</f>
        <v/>
      </c>
      <c r="G224">
        <f>MIN(F224,MAX(0,$B224-((K$5&lt;E$5)*L224+(Q$5&lt;E$5)*R224+(W$5&lt;E$5)*X224+(AC$5&lt;E$5)*AD224+(AI$5&lt;E$5)*AJ224+(AO$5&lt;E$5)*AP224+(AU$5&lt;E$5)*AV224)))</f>
        <v/>
      </c>
      <c r="H224">
        <f>IF(F224-G224&lt;0.005,0,F224-G224)</f>
        <v/>
      </c>
      <c r="I224">
        <f>N223</f>
        <v/>
      </c>
      <c r="J224">
        <f>I224*Plan!D7/100/12</f>
        <v/>
      </c>
      <c r="K224">
        <f>MIN(Plan!E7,I224+J224)</f>
        <v/>
      </c>
      <c r="L224">
        <f>I224+J224-K224</f>
        <v/>
      </c>
      <c r="M224">
        <f>MIN(L224,MAX(0,$B224-((E$5&lt;K$5)*F224+(Q$5&lt;K$5)*R224+(W$5&lt;K$5)*X224+(AC$5&lt;K$5)*AD224+(AI$5&lt;K$5)*AJ224+(AO$5&lt;K$5)*AP224+(AU$5&lt;K$5)*AV224)))</f>
        <v/>
      </c>
      <c r="N224">
        <f>IF(L224-M224&lt;0.005,0,L224-M224)</f>
        <v/>
      </c>
      <c r="O224">
        <f>T223</f>
        <v/>
      </c>
      <c r="P224">
        <f>O224*Plan!D8/100/12</f>
        <v/>
      </c>
      <c r="Q224">
        <f>MIN(Plan!E8,O224+P224)</f>
        <v/>
      </c>
      <c r="R224">
        <f>O224+P224-Q224</f>
        <v/>
      </c>
      <c r="S224">
        <f>MIN(R224,MAX(0,$B224-((E$5&lt;Q$5)*F224+(K$5&lt;Q$5)*L224+(W$5&lt;Q$5)*X224+(AC$5&lt;Q$5)*AD224+(AI$5&lt;Q$5)*AJ224+(AO$5&lt;Q$5)*AP224+(AU$5&lt;Q$5)*AV224)))</f>
        <v/>
      </c>
      <c r="T224">
        <f>IF(R224-S224&lt;0.005,0,R224-S224)</f>
        <v/>
      </c>
      <c r="U224">
        <f>Z223</f>
        <v/>
      </c>
      <c r="V224">
        <f>U224*Plan!D9/100/12</f>
        <v/>
      </c>
      <c r="W224">
        <f>MIN(Plan!E9,U224+V224)</f>
        <v/>
      </c>
      <c r="X224">
        <f>U224+V224-W224</f>
        <v/>
      </c>
      <c r="Y224">
        <f>MIN(X224,MAX(0,$B224-((E$5&lt;W$5)*F224+(K$5&lt;W$5)*L224+(Q$5&lt;W$5)*R224+(AC$5&lt;W$5)*AD224+(AI$5&lt;W$5)*AJ224+(AO$5&lt;W$5)*AP224+(AU$5&lt;W$5)*AV224)))</f>
        <v/>
      </c>
      <c r="Z224">
        <f>IF(X224-Y224&lt;0.005,0,X224-Y224)</f>
        <v/>
      </c>
      <c r="AA224">
        <f>AF223</f>
        <v/>
      </c>
      <c r="AB224">
        <f>AA224*Plan!D10/100/12</f>
        <v/>
      </c>
      <c r="AC224">
        <f>MIN(Plan!E10,AA224+AB224)</f>
        <v/>
      </c>
      <c r="AD224">
        <f>AA224+AB224-AC224</f>
        <v/>
      </c>
      <c r="AE224">
        <f>MIN(AD224,MAX(0,$B224-((E$5&lt;AC$5)*F224+(K$5&lt;AC$5)*L224+(Q$5&lt;AC$5)*R224+(W$5&lt;AC$5)*X224+(AI$5&lt;AC$5)*AJ224+(AO$5&lt;AC$5)*AP224+(AU$5&lt;AC$5)*AV224)))</f>
        <v/>
      </c>
      <c r="AF224">
        <f>IF(AD224-AE224&lt;0.005,0,AD224-AE224)</f>
        <v/>
      </c>
      <c r="AG224">
        <f>AL223</f>
        <v/>
      </c>
      <c r="AH224">
        <f>AG224*Plan!D11/100/12</f>
        <v/>
      </c>
      <c r="AI224">
        <f>MIN(Plan!E11,AG224+AH224)</f>
        <v/>
      </c>
      <c r="AJ224">
        <f>AG224+AH224-AI224</f>
        <v/>
      </c>
      <c r="AK224">
        <f>MIN(AJ224,MAX(0,$B224-((E$5&lt;AI$5)*F224+(K$5&lt;AI$5)*L224+(Q$5&lt;AI$5)*R224+(W$5&lt;AI$5)*X224+(AC$5&lt;AI$5)*AD224+(AO$5&lt;AI$5)*AP224+(AU$5&lt;AI$5)*AV224)))</f>
        <v/>
      </c>
      <c r="AL224">
        <f>IF(AJ224-AK224&lt;0.005,0,AJ224-AK224)</f>
        <v/>
      </c>
      <c r="AM224">
        <f>AR223</f>
        <v/>
      </c>
      <c r="AN224">
        <f>AM224*Plan!D12/100/12</f>
        <v/>
      </c>
      <c r="AO224">
        <f>MIN(Plan!E12,AM224+AN224)</f>
        <v/>
      </c>
      <c r="AP224">
        <f>AM224+AN224-AO224</f>
        <v/>
      </c>
      <c r="AQ224">
        <f>MIN(AP224,MAX(0,$B224-((E$5&lt;AO$5)*F224+(K$5&lt;AO$5)*L224+(Q$5&lt;AO$5)*R224+(W$5&lt;AO$5)*X224+(AC$5&lt;AO$5)*AD224+(AI$5&lt;AO$5)*AJ224+(AU$5&lt;AO$5)*AV224)))</f>
        <v/>
      </c>
      <c r="AR224">
        <f>IF(AP224-AQ224&lt;0.005,0,AP224-AQ224)</f>
        <v/>
      </c>
      <c r="AS224">
        <f>AX223</f>
        <v/>
      </c>
      <c r="AT224">
        <f>AS224*Plan!D13/100/12</f>
        <v/>
      </c>
      <c r="AU224">
        <f>MIN(Plan!E13,AS224+AT224)</f>
        <v/>
      </c>
      <c r="AV224">
        <f>AS224+AT224-AU224</f>
        <v/>
      </c>
      <c r="AW224">
        <f>MIN(AV224,MAX(0,$B224-((E$5&lt;AU$5)*F224+(K$5&lt;AU$5)*L224+(Q$5&lt;AU$5)*R224+(W$5&lt;AU$5)*X224+(AC$5&lt;AU$5)*AD224+(AI$5&lt;AU$5)*AJ224+(AO$5&lt;AU$5)*AP224)))</f>
        <v/>
      </c>
      <c r="AX224">
        <f>IF(AV224-AW224&lt;0.005,0,AV224-AW224)</f>
        <v/>
      </c>
      <c r="BC224">
        <f>H224+N224+T224+Z224+AF224+AL224+AR224+AX224</f>
        <v/>
      </c>
    </row>
    <row r="225">
      <c r="A225" t="n">
        <v>219</v>
      </c>
      <c r="B225" s="19">
        <f>MAX(0,$B$3-(E225+K225+Q225+W225+AC225+AI225+AO225+AU225))</f>
        <v/>
      </c>
      <c r="C225">
        <f>H224</f>
        <v/>
      </c>
      <c r="D225">
        <f>C225*Plan!D6/100/12</f>
        <v/>
      </c>
      <c r="E225">
        <f>MIN(Plan!E6,C225+D225)</f>
        <v/>
      </c>
      <c r="F225">
        <f>C225+D225-E225</f>
        <v/>
      </c>
      <c r="G225">
        <f>MIN(F225,MAX(0,$B225-((K$5&lt;E$5)*L225+(Q$5&lt;E$5)*R225+(W$5&lt;E$5)*X225+(AC$5&lt;E$5)*AD225+(AI$5&lt;E$5)*AJ225+(AO$5&lt;E$5)*AP225+(AU$5&lt;E$5)*AV225)))</f>
        <v/>
      </c>
      <c r="H225">
        <f>IF(F225-G225&lt;0.005,0,F225-G225)</f>
        <v/>
      </c>
      <c r="I225">
        <f>N224</f>
        <v/>
      </c>
      <c r="J225">
        <f>I225*Plan!D7/100/12</f>
        <v/>
      </c>
      <c r="K225">
        <f>MIN(Plan!E7,I225+J225)</f>
        <v/>
      </c>
      <c r="L225">
        <f>I225+J225-K225</f>
        <v/>
      </c>
      <c r="M225">
        <f>MIN(L225,MAX(0,$B225-((E$5&lt;K$5)*F225+(Q$5&lt;K$5)*R225+(W$5&lt;K$5)*X225+(AC$5&lt;K$5)*AD225+(AI$5&lt;K$5)*AJ225+(AO$5&lt;K$5)*AP225+(AU$5&lt;K$5)*AV225)))</f>
        <v/>
      </c>
      <c r="N225">
        <f>IF(L225-M225&lt;0.005,0,L225-M225)</f>
        <v/>
      </c>
      <c r="O225">
        <f>T224</f>
        <v/>
      </c>
      <c r="P225">
        <f>O225*Plan!D8/100/12</f>
        <v/>
      </c>
      <c r="Q225">
        <f>MIN(Plan!E8,O225+P225)</f>
        <v/>
      </c>
      <c r="R225">
        <f>O225+P225-Q225</f>
        <v/>
      </c>
      <c r="S225">
        <f>MIN(R225,MAX(0,$B225-((E$5&lt;Q$5)*F225+(K$5&lt;Q$5)*L225+(W$5&lt;Q$5)*X225+(AC$5&lt;Q$5)*AD225+(AI$5&lt;Q$5)*AJ225+(AO$5&lt;Q$5)*AP225+(AU$5&lt;Q$5)*AV225)))</f>
        <v/>
      </c>
      <c r="T225">
        <f>IF(R225-S225&lt;0.005,0,R225-S225)</f>
        <v/>
      </c>
      <c r="U225">
        <f>Z224</f>
        <v/>
      </c>
      <c r="V225">
        <f>U225*Plan!D9/100/12</f>
        <v/>
      </c>
      <c r="W225">
        <f>MIN(Plan!E9,U225+V225)</f>
        <v/>
      </c>
      <c r="X225">
        <f>U225+V225-W225</f>
        <v/>
      </c>
      <c r="Y225">
        <f>MIN(X225,MAX(0,$B225-((E$5&lt;W$5)*F225+(K$5&lt;W$5)*L225+(Q$5&lt;W$5)*R225+(AC$5&lt;W$5)*AD225+(AI$5&lt;W$5)*AJ225+(AO$5&lt;W$5)*AP225+(AU$5&lt;W$5)*AV225)))</f>
        <v/>
      </c>
      <c r="Z225">
        <f>IF(X225-Y225&lt;0.005,0,X225-Y225)</f>
        <v/>
      </c>
      <c r="AA225">
        <f>AF224</f>
        <v/>
      </c>
      <c r="AB225">
        <f>AA225*Plan!D10/100/12</f>
        <v/>
      </c>
      <c r="AC225">
        <f>MIN(Plan!E10,AA225+AB225)</f>
        <v/>
      </c>
      <c r="AD225">
        <f>AA225+AB225-AC225</f>
        <v/>
      </c>
      <c r="AE225">
        <f>MIN(AD225,MAX(0,$B225-((E$5&lt;AC$5)*F225+(K$5&lt;AC$5)*L225+(Q$5&lt;AC$5)*R225+(W$5&lt;AC$5)*X225+(AI$5&lt;AC$5)*AJ225+(AO$5&lt;AC$5)*AP225+(AU$5&lt;AC$5)*AV225)))</f>
        <v/>
      </c>
      <c r="AF225">
        <f>IF(AD225-AE225&lt;0.005,0,AD225-AE225)</f>
        <v/>
      </c>
      <c r="AG225">
        <f>AL224</f>
        <v/>
      </c>
      <c r="AH225">
        <f>AG225*Plan!D11/100/12</f>
        <v/>
      </c>
      <c r="AI225">
        <f>MIN(Plan!E11,AG225+AH225)</f>
        <v/>
      </c>
      <c r="AJ225">
        <f>AG225+AH225-AI225</f>
        <v/>
      </c>
      <c r="AK225">
        <f>MIN(AJ225,MAX(0,$B225-((E$5&lt;AI$5)*F225+(K$5&lt;AI$5)*L225+(Q$5&lt;AI$5)*R225+(W$5&lt;AI$5)*X225+(AC$5&lt;AI$5)*AD225+(AO$5&lt;AI$5)*AP225+(AU$5&lt;AI$5)*AV225)))</f>
        <v/>
      </c>
      <c r="AL225">
        <f>IF(AJ225-AK225&lt;0.005,0,AJ225-AK225)</f>
        <v/>
      </c>
      <c r="AM225">
        <f>AR224</f>
        <v/>
      </c>
      <c r="AN225">
        <f>AM225*Plan!D12/100/12</f>
        <v/>
      </c>
      <c r="AO225">
        <f>MIN(Plan!E12,AM225+AN225)</f>
        <v/>
      </c>
      <c r="AP225">
        <f>AM225+AN225-AO225</f>
        <v/>
      </c>
      <c r="AQ225">
        <f>MIN(AP225,MAX(0,$B225-((E$5&lt;AO$5)*F225+(K$5&lt;AO$5)*L225+(Q$5&lt;AO$5)*R225+(W$5&lt;AO$5)*X225+(AC$5&lt;AO$5)*AD225+(AI$5&lt;AO$5)*AJ225+(AU$5&lt;AO$5)*AV225)))</f>
        <v/>
      </c>
      <c r="AR225">
        <f>IF(AP225-AQ225&lt;0.005,0,AP225-AQ225)</f>
        <v/>
      </c>
      <c r="AS225">
        <f>AX224</f>
        <v/>
      </c>
      <c r="AT225">
        <f>AS225*Plan!D13/100/12</f>
        <v/>
      </c>
      <c r="AU225">
        <f>MIN(Plan!E13,AS225+AT225)</f>
        <v/>
      </c>
      <c r="AV225">
        <f>AS225+AT225-AU225</f>
        <v/>
      </c>
      <c r="AW225">
        <f>MIN(AV225,MAX(0,$B225-((E$5&lt;AU$5)*F225+(K$5&lt;AU$5)*L225+(Q$5&lt;AU$5)*R225+(W$5&lt;AU$5)*X225+(AC$5&lt;AU$5)*AD225+(AI$5&lt;AU$5)*AJ225+(AO$5&lt;AU$5)*AP225)))</f>
        <v/>
      </c>
      <c r="AX225">
        <f>IF(AV225-AW225&lt;0.005,0,AV225-AW225)</f>
        <v/>
      </c>
      <c r="BC225">
        <f>H225+N225+T225+Z225+AF225+AL225+AR225+AX225</f>
        <v/>
      </c>
    </row>
    <row r="226">
      <c r="A226" t="n">
        <v>220</v>
      </c>
      <c r="B226" s="19">
        <f>MAX(0,$B$3-(E226+K226+Q226+W226+AC226+AI226+AO226+AU226))</f>
        <v/>
      </c>
      <c r="C226">
        <f>H225</f>
        <v/>
      </c>
      <c r="D226">
        <f>C226*Plan!D6/100/12</f>
        <v/>
      </c>
      <c r="E226">
        <f>MIN(Plan!E6,C226+D226)</f>
        <v/>
      </c>
      <c r="F226">
        <f>C226+D226-E226</f>
        <v/>
      </c>
      <c r="G226">
        <f>MIN(F226,MAX(0,$B226-((K$5&lt;E$5)*L226+(Q$5&lt;E$5)*R226+(W$5&lt;E$5)*X226+(AC$5&lt;E$5)*AD226+(AI$5&lt;E$5)*AJ226+(AO$5&lt;E$5)*AP226+(AU$5&lt;E$5)*AV226)))</f>
        <v/>
      </c>
      <c r="H226">
        <f>IF(F226-G226&lt;0.005,0,F226-G226)</f>
        <v/>
      </c>
      <c r="I226">
        <f>N225</f>
        <v/>
      </c>
      <c r="J226">
        <f>I226*Plan!D7/100/12</f>
        <v/>
      </c>
      <c r="K226">
        <f>MIN(Plan!E7,I226+J226)</f>
        <v/>
      </c>
      <c r="L226">
        <f>I226+J226-K226</f>
        <v/>
      </c>
      <c r="M226">
        <f>MIN(L226,MAX(0,$B226-((E$5&lt;K$5)*F226+(Q$5&lt;K$5)*R226+(W$5&lt;K$5)*X226+(AC$5&lt;K$5)*AD226+(AI$5&lt;K$5)*AJ226+(AO$5&lt;K$5)*AP226+(AU$5&lt;K$5)*AV226)))</f>
        <v/>
      </c>
      <c r="N226">
        <f>IF(L226-M226&lt;0.005,0,L226-M226)</f>
        <v/>
      </c>
      <c r="O226">
        <f>T225</f>
        <v/>
      </c>
      <c r="P226">
        <f>O226*Plan!D8/100/12</f>
        <v/>
      </c>
      <c r="Q226">
        <f>MIN(Plan!E8,O226+P226)</f>
        <v/>
      </c>
      <c r="R226">
        <f>O226+P226-Q226</f>
        <v/>
      </c>
      <c r="S226">
        <f>MIN(R226,MAX(0,$B226-((E$5&lt;Q$5)*F226+(K$5&lt;Q$5)*L226+(W$5&lt;Q$5)*X226+(AC$5&lt;Q$5)*AD226+(AI$5&lt;Q$5)*AJ226+(AO$5&lt;Q$5)*AP226+(AU$5&lt;Q$5)*AV226)))</f>
        <v/>
      </c>
      <c r="T226">
        <f>IF(R226-S226&lt;0.005,0,R226-S226)</f>
        <v/>
      </c>
      <c r="U226">
        <f>Z225</f>
        <v/>
      </c>
      <c r="V226">
        <f>U226*Plan!D9/100/12</f>
        <v/>
      </c>
      <c r="W226">
        <f>MIN(Plan!E9,U226+V226)</f>
        <v/>
      </c>
      <c r="X226">
        <f>U226+V226-W226</f>
        <v/>
      </c>
      <c r="Y226">
        <f>MIN(X226,MAX(0,$B226-((E$5&lt;W$5)*F226+(K$5&lt;W$5)*L226+(Q$5&lt;W$5)*R226+(AC$5&lt;W$5)*AD226+(AI$5&lt;W$5)*AJ226+(AO$5&lt;W$5)*AP226+(AU$5&lt;W$5)*AV226)))</f>
        <v/>
      </c>
      <c r="Z226">
        <f>IF(X226-Y226&lt;0.005,0,X226-Y226)</f>
        <v/>
      </c>
      <c r="AA226">
        <f>AF225</f>
        <v/>
      </c>
      <c r="AB226">
        <f>AA226*Plan!D10/100/12</f>
        <v/>
      </c>
      <c r="AC226">
        <f>MIN(Plan!E10,AA226+AB226)</f>
        <v/>
      </c>
      <c r="AD226">
        <f>AA226+AB226-AC226</f>
        <v/>
      </c>
      <c r="AE226">
        <f>MIN(AD226,MAX(0,$B226-((E$5&lt;AC$5)*F226+(K$5&lt;AC$5)*L226+(Q$5&lt;AC$5)*R226+(W$5&lt;AC$5)*X226+(AI$5&lt;AC$5)*AJ226+(AO$5&lt;AC$5)*AP226+(AU$5&lt;AC$5)*AV226)))</f>
        <v/>
      </c>
      <c r="AF226">
        <f>IF(AD226-AE226&lt;0.005,0,AD226-AE226)</f>
        <v/>
      </c>
      <c r="AG226">
        <f>AL225</f>
        <v/>
      </c>
      <c r="AH226">
        <f>AG226*Plan!D11/100/12</f>
        <v/>
      </c>
      <c r="AI226">
        <f>MIN(Plan!E11,AG226+AH226)</f>
        <v/>
      </c>
      <c r="AJ226">
        <f>AG226+AH226-AI226</f>
        <v/>
      </c>
      <c r="AK226">
        <f>MIN(AJ226,MAX(0,$B226-((E$5&lt;AI$5)*F226+(K$5&lt;AI$5)*L226+(Q$5&lt;AI$5)*R226+(W$5&lt;AI$5)*X226+(AC$5&lt;AI$5)*AD226+(AO$5&lt;AI$5)*AP226+(AU$5&lt;AI$5)*AV226)))</f>
        <v/>
      </c>
      <c r="AL226">
        <f>IF(AJ226-AK226&lt;0.005,0,AJ226-AK226)</f>
        <v/>
      </c>
      <c r="AM226">
        <f>AR225</f>
        <v/>
      </c>
      <c r="AN226">
        <f>AM226*Plan!D12/100/12</f>
        <v/>
      </c>
      <c r="AO226">
        <f>MIN(Plan!E12,AM226+AN226)</f>
        <v/>
      </c>
      <c r="AP226">
        <f>AM226+AN226-AO226</f>
        <v/>
      </c>
      <c r="AQ226">
        <f>MIN(AP226,MAX(0,$B226-((E$5&lt;AO$5)*F226+(K$5&lt;AO$5)*L226+(Q$5&lt;AO$5)*R226+(W$5&lt;AO$5)*X226+(AC$5&lt;AO$5)*AD226+(AI$5&lt;AO$5)*AJ226+(AU$5&lt;AO$5)*AV226)))</f>
        <v/>
      </c>
      <c r="AR226">
        <f>IF(AP226-AQ226&lt;0.005,0,AP226-AQ226)</f>
        <v/>
      </c>
      <c r="AS226">
        <f>AX225</f>
        <v/>
      </c>
      <c r="AT226">
        <f>AS226*Plan!D13/100/12</f>
        <v/>
      </c>
      <c r="AU226">
        <f>MIN(Plan!E13,AS226+AT226)</f>
        <v/>
      </c>
      <c r="AV226">
        <f>AS226+AT226-AU226</f>
        <v/>
      </c>
      <c r="AW226">
        <f>MIN(AV226,MAX(0,$B226-((E$5&lt;AU$5)*F226+(K$5&lt;AU$5)*L226+(Q$5&lt;AU$5)*R226+(W$5&lt;AU$5)*X226+(AC$5&lt;AU$5)*AD226+(AI$5&lt;AU$5)*AJ226+(AO$5&lt;AU$5)*AP226)))</f>
        <v/>
      </c>
      <c r="AX226">
        <f>IF(AV226-AW226&lt;0.005,0,AV226-AW226)</f>
        <v/>
      </c>
      <c r="BC226">
        <f>H226+N226+T226+Z226+AF226+AL226+AR226+AX226</f>
        <v/>
      </c>
    </row>
    <row r="227">
      <c r="A227" t="n">
        <v>221</v>
      </c>
      <c r="B227" s="19">
        <f>MAX(0,$B$3-(E227+K227+Q227+W227+AC227+AI227+AO227+AU227))</f>
        <v/>
      </c>
      <c r="C227">
        <f>H226</f>
        <v/>
      </c>
      <c r="D227">
        <f>C227*Plan!D6/100/12</f>
        <v/>
      </c>
      <c r="E227">
        <f>MIN(Plan!E6,C227+D227)</f>
        <v/>
      </c>
      <c r="F227">
        <f>C227+D227-E227</f>
        <v/>
      </c>
      <c r="G227">
        <f>MIN(F227,MAX(0,$B227-((K$5&lt;E$5)*L227+(Q$5&lt;E$5)*R227+(W$5&lt;E$5)*X227+(AC$5&lt;E$5)*AD227+(AI$5&lt;E$5)*AJ227+(AO$5&lt;E$5)*AP227+(AU$5&lt;E$5)*AV227)))</f>
        <v/>
      </c>
      <c r="H227">
        <f>IF(F227-G227&lt;0.005,0,F227-G227)</f>
        <v/>
      </c>
      <c r="I227">
        <f>N226</f>
        <v/>
      </c>
      <c r="J227">
        <f>I227*Plan!D7/100/12</f>
        <v/>
      </c>
      <c r="K227">
        <f>MIN(Plan!E7,I227+J227)</f>
        <v/>
      </c>
      <c r="L227">
        <f>I227+J227-K227</f>
        <v/>
      </c>
      <c r="M227">
        <f>MIN(L227,MAX(0,$B227-((E$5&lt;K$5)*F227+(Q$5&lt;K$5)*R227+(W$5&lt;K$5)*X227+(AC$5&lt;K$5)*AD227+(AI$5&lt;K$5)*AJ227+(AO$5&lt;K$5)*AP227+(AU$5&lt;K$5)*AV227)))</f>
        <v/>
      </c>
      <c r="N227">
        <f>IF(L227-M227&lt;0.005,0,L227-M227)</f>
        <v/>
      </c>
      <c r="O227">
        <f>T226</f>
        <v/>
      </c>
      <c r="P227">
        <f>O227*Plan!D8/100/12</f>
        <v/>
      </c>
      <c r="Q227">
        <f>MIN(Plan!E8,O227+P227)</f>
        <v/>
      </c>
      <c r="R227">
        <f>O227+P227-Q227</f>
        <v/>
      </c>
      <c r="S227">
        <f>MIN(R227,MAX(0,$B227-((E$5&lt;Q$5)*F227+(K$5&lt;Q$5)*L227+(W$5&lt;Q$5)*X227+(AC$5&lt;Q$5)*AD227+(AI$5&lt;Q$5)*AJ227+(AO$5&lt;Q$5)*AP227+(AU$5&lt;Q$5)*AV227)))</f>
        <v/>
      </c>
      <c r="T227">
        <f>IF(R227-S227&lt;0.005,0,R227-S227)</f>
        <v/>
      </c>
      <c r="U227">
        <f>Z226</f>
        <v/>
      </c>
      <c r="V227">
        <f>U227*Plan!D9/100/12</f>
        <v/>
      </c>
      <c r="W227">
        <f>MIN(Plan!E9,U227+V227)</f>
        <v/>
      </c>
      <c r="X227">
        <f>U227+V227-W227</f>
        <v/>
      </c>
      <c r="Y227">
        <f>MIN(X227,MAX(0,$B227-((E$5&lt;W$5)*F227+(K$5&lt;W$5)*L227+(Q$5&lt;W$5)*R227+(AC$5&lt;W$5)*AD227+(AI$5&lt;W$5)*AJ227+(AO$5&lt;W$5)*AP227+(AU$5&lt;W$5)*AV227)))</f>
        <v/>
      </c>
      <c r="Z227">
        <f>IF(X227-Y227&lt;0.005,0,X227-Y227)</f>
        <v/>
      </c>
      <c r="AA227">
        <f>AF226</f>
        <v/>
      </c>
      <c r="AB227">
        <f>AA227*Plan!D10/100/12</f>
        <v/>
      </c>
      <c r="AC227">
        <f>MIN(Plan!E10,AA227+AB227)</f>
        <v/>
      </c>
      <c r="AD227">
        <f>AA227+AB227-AC227</f>
        <v/>
      </c>
      <c r="AE227">
        <f>MIN(AD227,MAX(0,$B227-((E$5&lt;AC$5)*F227+(K$5&lt;AC$5)*L227+(Q$5&lt;AC$5)*R227+(W$5&lt;AC$5)*X227+(AI$5&lt;AC$5)*AJ227+(AO$5&lt;AC$5)*AP227+(AU$5&lt;AC$5)*AV227)))</f>
        <v/>
      </c>
      <c r="AF227">
        <f>IF(AD227-AE227&lt;0.005,0,AD227-AE227)</f>
        <v/>
      </c>
      <c r="AG227">
        <f>AL226</f>
        <v/>
      </c>
      <c r="AH227">
        <f>AG227*Plan!D11/100/12</f>
        <v/>
      </c>
      <c r="AI227">
        <f>MIN(Plan!E11,AG227+AH227)</f>
        <v/>
      </c>
      <c r="AJ227">
        <f>AG227+AH227-AI227</f>
        <v/>
      </c>
      <c r="AK227">
        <f>MIN(AJ227,MAX(0,$B227-((E$5&lt;AI$5)*F227+(K$5&lt;AI$5)*L227+(Q$5&lt;AI$5)*R227+(W$5&lt;AI$5)*X227+(AC$5&lt;AI$5)*AD227+(AO$5&lt;AI$5)*AP227+(AU$5&lt;AI$5)*AV227)))</f>
        <v/>
      </c>
      <c r="AL227">
        <f>IF(AJ227-AK227&lt;0.005,0,AJ227-AK227)</f>
        <v/>
      </c>
      <c r="AM227">
        <f>AR226</f>
        <v/>
      </c>
      <c r="AN227">
        <f>AM227*Plan!D12/100/12</f>
        <v/>
      </c>
      <c r="AO227">
        <f>MIN(Plan!E12,AM227+AN227)</f>
        <v/>
      </c>
      <c r="AP227">
        <f>AM227+AN227-AO227</f>
        <v/>
      </c>
      <c r="AQ227">
        <f>MIN(AP227,MAX(0,$B227-((E$5&lt;AO$5)*F227+(K$5&lt;AO$5)*L227+(Q$5&lt;AO$5)*R227+(W$5&lt;AO$5)*X227+(AC$5&lt;AO$5)*AD227+(AI$5&lt;AO$5)*AJ227+(AU$5&lt;AO$5)*AV227)))</f>
        <v/>
      </c>
      <c r="AR227">
        <f>IF(AP227-AQ227&lt;0.005,0,AP227-AQ227)</f>
        <v/>
      </c>
      <c r="AS227">
        <f>AX226</f>
        <v/>
      </c>
      <c r="AT227">
        <f>AS227*Plan!D13/100/12</f>
        <v/>
      </c>
      <c r="AU227">
        <f>MIN(Plan!E13,AS227+AT227)</f>
        <v/>
      </c>
      <c r="AV227">
        <f>AS227+AT227-AU227</f>
        <v/>
      </c>
      <c r="AW227">
        <f>MIN(AV227,MAX(0,$B227-((E$5&lt;AU$5)*F227+(K$5&lt;AU$5)*L227+(Q$5&lt;AU$5)*R227+(W$5&lt;AU$5)*X227+(AC$5&lt;AU$5)*AD227+(AI$5&lt;AU$5)*AJ227+(AO$5&lt;AU$5)*AP227)))</f>
        <v/>
      </c>
      <c r="AX227">
        <f>IF(AV227-AW227&lt;0.005,0,AV227-AW227)</f>
        <v/>
      </c>
      <c r="BC227">
        <f>H227+N227+T227+Z227+AF227+AL227+AR227+AX227</f>
        <v/>
      </c>
    </row>
    <row r="228">
      <c r="A228" t="n">
        <v>222</v>
      </c>
      <c r="B228" s="19">
        <f>MAX(0,$B$3-(E228+K228+Q228+W228+AC228+AI228+AO228+AU228))</f>
        <v/>
      </c>
      <c r="C228">
        <f>H227</f>
        <v/>
      </c>
      <c r="D228">
        <f>C228*Plan!D6/100/12</f>
        <v/>
      </c>
      <c r="E228">
        <f>MIN(Plan!E6,C228+D228)</f>
        <v/>
      </c>
      <c r="F228">
        <f>C228+D228-E228</f>
        <v/>
      </c>
      <c r="G228">
        <f>MIN(F228,MAX(0,$B228-((K$5&lt;E$5)*L228+(Q$5&lt;E$5)*R228+(W$5&lt;E$5)*X228+(AC$5&lt;E$5)*AD228+(AI$5&lt;E$5)*AJ228+(AO$5&lt;E$5)*AP228+(AU$5&lt;E$5)*AV228)))</f>
        <v/>
      </c>
      <c r="H228">
        <f>IF(F228-G228&lt;0.005,0,F228-G228)</f>
        <v/>
      </c>
      <c r="I228">
        <f>N227</f>
        <v/>
      </c>
      <c r="J228">
        <f>I228*Plan!D7/100/12</f>
        <v/>
      </c>
      <c r="K228">
        <f>MIN(Plan!E7,I228+J228)</f>
        <v/>
      </c>
      <c r="L228">
        <f>I228+J228-K228</f>
        <v/>
      </c>
      <c r="M228">
        <f>MIN(L228,MAX(0,$B228-((E$5&lt;K$5)*F228+(Q$5&lt;K$5)*R228+(W$5&lt;K$5)*X228+(AC$5&lt;K$5)*AD228+(AI$5&lt;K$5)*AJ228+(AO$5&lt;K$5)*AP228+(AU$5&lt;K$5)*AV228)))</f>
        <v/>
      </c>
      <c r="N228">
        <f>IF(L228-M228&lt;0.005,0,L228-M228)</f>
        <v/>
      </c>
      <c r="O228">
        <f>T227</f>
        <v/>
      </c>
      <c r="P228">
        <f>O228*Plan!D8/100/12</f>
        <v/>
      </c>
      <c r="Q228">
        <f>MIN(Plan!E8,O228+P228)</f>
        <v/>
      </c>
      <c r="R228">
        <f>O228+P228-Q228</f>
        <v/>
      </c>
      <c r="S228">
        <f>MIN(R228,MAX(0,$B228-((E$5&lt;Q$5)*F228+(K$5&lt;Q$5)*L228+(W$5&lt;Q$5)*X228+(AC$5&lt;Q$5)*AD228+(AI$5&lt;Q$5)*AJ228+(AO$5&lt;Q$5)*AP228+(AU$5&lt;Q$5)*AV228)))</f>
        <v/>
      </c>
      <c r="T228">
        <f>IF(R228-S228&lt;0.005,0,R228-S228)</f>
        <v/>
      </c>
      <c r="U228">
        <f>Z227</f>
        <v/>
      </c>
      <c r="V228">
        <f>U228*Plan!D9/100/12</f>
        <v/>
      </c>
      <c r="W228">
        <f>MIN(Plan!E9,U228+V228)</f>
        <v/>
      </c>
      <c r="X228">
        <f>U228+V228-W228</f>
        <v/>
      </c>
      <c r="Y228">
        <f>MIN(X228,MAX(0,$B228-((E$5&lt;W$5)*F228+(K$5&lt;W$5)*L228+(Q$5&lt;W$5)*R228+(AC$5&lt;W$5)*AD228+(AI$5&lt;W$5)*AJ228+(AO$5&lt;W$5)*AP228+(AU$5&lt;W$5)*AV228)))</f>
        <v/>
      </c>
      <c r="Z228">
        <f>IF(X228-Y228&lt;0.005,0,X228-Y228)</f>
        <v/>
      </c>
      <c r="AA228">
        <f>AF227</f>
        <v/>
      </c>
      <c r="AB228">
        <f>AA228*Plan!D10/100/12</f>
        <v/>
      </c>
      <c r="AC228">
        <f>MIN(Plan!E10,AA228+AB228)</f>
        <v/>
      </c>
      <c r="AD228">
        <f>AA228+AB228-AC228</f>
        <v/>
      </c>
      <c r="AE228">
        <f>MIN(AD228,MAX(0,$B228-((E$5&lt;AC$5)*F228+(K$5&lt;AC$5)*L228+(Q$5&lt;AC$5)*R228+(W$5&lt;AC$5)*X228+(AI$5&lt;AC$5)*AJ228+(AO$5&lt;AC$5)*AP228+(AU$5&lt;AC$5)*AV228)))</f>
        <v/>
      </c>
      <c r="AF228">
        <f>IF(AD228-AE228&lt;0.005,0,AD228-AE228)</f>
        <v/>
      </c>
      <c r="AG228">
        <f>AL227</f>
        <v/>
      </c>
      <c r="AH228">
        <f>AG228*Plan!D11/100/12</f>
        <v/>
      </c>
      <c r="AI228">
        <f>MIN(Plan!E11,AG228+AH228)</f>
        <v/>
      </c>
      <c r="AJ228">
        <f>AG228+AH228-AI228</f>
        <v/>
      </c>
      <c r="AK228">
        <f>MIN(AJ228,MAX(0,$B228-((E$5&lt;AI$5)*F228+(K$5&lt;AI$5)*L228+(Q$5&lt;AI$5)*R228+(W$5&lt;AI$5)*X228+(AC$5&lt;AI$5)*AD228+(AO$5&lt;AI$5)*AP228+(AU$5&lt;AI$5)*AV228)))</f>
        <v/>
      </c>
      <c r="AL228">
        <f>IF(AJ228-AK228&lt;0.005,0,AJ228-AK228)</f>
        <v/>
      </c>
      <c r="AM228">
        <f>AR227</f>
        <v/>
      </c>
      <c r="AN228">
        <f>AM228*Plan!D12/100/12</f>
        <v/>
      </c>
      <c r="AO228">
        <f>MIN(Plan!E12,AM228+AN228)</f>
        <v/>
      </c>
      <c r="AP228">
        <f>AM228+AN228-AO228</f>
        <v/>
      </c>
      <c r="AQ228">
        <f>MIN(AP228,MAX(0,$B228-((E$5&lt;AO$5)*F228+(K$5&lt;AO$5)*L228+(Q$5&lt;AO$5)*R228+(W$5&lt;AO$5)*X228+(AC$5&lt;AO$5)*AD228+(AI$5&lt;AO$5)*AJ228+(AU$5&lt;AO$5)*AV228)))</f>
        <v/>
      </c>
      <c r="AR228">
        <f>IF(AP228-AQ228&lt;0.005,0,AP228-AQ228)</f>
        <v/>
      </c>
      <c r="AS228">
        <f>AX227</f>
        <v/>
      </c>
      <c r="AT228">
        <f>AS228*Plan!D13/100/12</f>
        <v/>
      </c>
      <c r="AU228">
        <f>MIN(Plan!E13,AS228+AT228)</f>
        <v/>
      </c>
      <c r="AV228">
        <f>AS228+AT228-AU228</f>
        <v/>
      </c>
      <c r="AW228">
        <f>MIN(AV228,MAX(0,$B228-((E$5&lt;AU$5)*F228+(K$5&lt;AU$5)*L228+(Q$5&lt;AU$5)*R228+(W$5&lt;AU$5)*X228+(AC$5&lt;AU$5)*AD228+(AI$5&lt;AU$5)*AJ228+(AO$5&lt;AU$5)*AP228)))</f>
        <v/>
      </c>
      <c r="AX228">
        <f>IF(AV228-AW228&lt;0.005,0,AV228-AW228)</f>
        <v/>
      </c>
      <c r="BC228">
        <f>H228+N228+T228+Z228+AF228+AL228+AR228+AX228</f>
        <v/>
      </c>
    </row>
    <row r="229">
      <c r="A229" t="n">
        <v>223</v>
      </c>
      <c r="B229" s="19">
        <f>MAX(0,$B$3-(E229+K229+Q229+W229+AC229+AI229+AO229+AU229))</f>
        <v/>
      </c>
      <c r="C229">
        <f>H228</f>
        <v/>
      </c>
      <c r="D229">
        <f>C229*Plan!D6/100/12</f>
        <v/>
      </c>
      <c r="E229">
        <f>MIN(Plan!E6,C229+D229)</f>
        <v/>
      </c>
      <c r="F229">
        <f>C229+D229-E229</f>
        <v/>
      </c>
      <c r="G229">
        <f>MIN(F229,MAX(0,$B229-((K$5&lt;E$5)*L229+(Q$5&lt;E$5)*R229+(W$5&lt;E$5)*X229+(AC$5&lt;E$5)*AD229+(AI$5&lt;E$5)*AJ229+(AO$5&lt;E$5)*AP229+(AU$5&lt;E$5)*AV229)))</f>
        <v/>
      </c>
      <c r="H229">
        <f>IF(F229-G229&lt;0.005,0,F229-G229)</f>
        <v/>
      </c>
      <c r="I229">
        <f>N228</f>
        <v/>
      </c>
      <c r="J229">
        <f>I229*Plan!D7/100/12</f>
        <v/>
      </c>
      <c r="K229">
        <f>MIN(Plan!E7,I229+J229)</f>
        <v/>
      </c>
      <c r="L229">
        <f>I229+J229-K229</f>
        <v/>
      </c>
      <c r="M229">
        <f>MIN(L229,MAX(0,$B229-((E$5&lt;K$5)*F229+(Q$5&lt;K$5)*R229+(W$5&lt;K$5)*X229+(AC$5&lt;K$5)*AD229+(AI$5&lt;K$5)*AJ229+(AO$5&lt;K$5)*AP229+(AU$5&lt;K$5)*AV229)))</f>
        <v/>
      </c>
      <c r="N229">
        <f>IF(L229-M229&lt;0.005,0,L229-M229)</f>
        <v/>
      </c>
      <c r="O229">
        <f>T228</f>
        <v/>
      </c>
      <c r="P229">
        <f>O229*Plan!D8/100/12</f>
        <v/>
      </c>
      <c r="Q229">
        <f>MIN(Plan!E8,O229+P229)</f>
        <v/>
      </c>
      <c r="R229">
        <f>O229+P229-Q229</f>
        <v/>
      </c>
      <c r="S229">
        <f>MIN(R229,MAX(0,$B229-((E$5&lt;Q$5)*F229+(K$5&lt;Q$5)*L229+(W$5&lt;Q$5)*X229+(AC$5&lt;Q$5)*AD229+(AI$5&lt;Q$5)*AJ229+(AO$5&lt;Q$5)*AP229+(AU$5&lt;Q$5)*AV229)))</f>
        <v/>
      </c>
      <c r="T229">
        <f>IF(R229-S229&lt;0.005,0,R229-S229)</f>
        <v/>
      </c>
      <c r="U229">
        <f>Z228</f>
        <v/>
      </c>
      <c r="V229">
        <f>U229*Plan!D9/100/12</f>
        <v/>
      </c>
      <c r="W229">
        <f>MIN(Plan!E9,U229+V229)</f>
        <v/>
      </c>
      <c r="X229">
        <f>U229+V229-W229</f>
        <v/>
      </c>
      <c r="Y229">
        <f>MIN(X229,MAX(0,$B229-((E$5&lt;W$5)*F229+(K$5&lt;W$5)*L229+(Q$5&lt;W$5)*R229+(AC$5&lt;W$5)*AD229+(AI$5&lt;W$5)*AJ229+(AO$5&lt;W$5)*AP229+(AU$5&lt;W$5)*AV229)))</f>
        <v/>
      </c>
      <c r="Z229">
        <f>IF(X229-Y229&lt;0.005,0,X229-Y229)</f>
        <v/>
      </c>
      <c r="AA229">
        <f>AF228</f>
        <v/>
      </c>
      <c r="AB229">
        <f>AA229*Plan!D10/100/12</f>
        <v/>
      </c>
      <c r="AC229">
        <f>MIN(Plan!E10,AA229+AB229)</f>
        <v/>
      </c>
      <c r="AD229">
        <f>AA229+AB229-AC229</f>
        <v/>
      </c>
      <c r="AE229">
        <f>MIN(AD229,MAX(0,$B229-((E$5&lt;AC$5)*F229+(K$5&lt;AC$5)*L229+(Q$5&lt;AC$5)*R229+(W$5&lt;AC$5)*X229+(AI$5&lt;AC$5)*AJ229+(AO$5&lt;AC$5)*AP229+(AU$5&lt;AC$5)*AV229)))</f>
        <v/>
      </c>
      <c r="AF229">
        <f>IF(AD229-AE229&lt;0.005,0,AD229-AE229)</f>
        <v/>
      </c>
      <c r="AG229">
        <f>AL228</f>
        <v/>
      </c>
      <c r="AH229">
        <f>AG229*Plan!D11/100/12</f>
        <v/>
      </c>
      <c r="AI229">
        <f>MIN(Plan!E11,AG229+AH229)</f>
        <v/>
      </c>
      <c r="AJ229">
        <f>AG229+AH229-AI229</f>
        <v/>
      </c>
      <c r="AK229">
        <f>MIN(AJ229,MAX(0,$B229-((E$5&lt;AI$5)*F229+(K$5&lt;AI$5)*L229+(Q$5&lt;AI$5)*R229+(W$5&lt;AI$5)*X229+(AC$5&lt;AI$5)*AD229+(AO$5&lt;AI$5)*AP229+(AU$5&lt;AI$5)*AV229)))</f>
        <v/>
      </c>
      <c r="AL229">
        <f>IF(AJ229-AK229&lt;0.005,0,AJ229-AK229)</f>
        <v/>
      </c>
      <c r="AM229">
        <f>AR228</f>
        <v/>
      </c>
      <c r="AN229">
        <f>AM229*Plan!D12/100/12</f>
        <v/>
      </c>
      <c r="AO229">
        <f>MIN(Plan!E12,AM229+AN229)</f>
        <v/>
      </c>
      <c r="AP229">
        <f>AM229+AN229-AO229</f>
        <v/>
      </c>
      <c r="AQ229">
        <f>MIN(AP229,MAX(0,$B229-((E$5&lt;AO$5)*F229+(K$5&lt;AO$5)*L229+(Q$5&lt;AO$5)*R229+(W$5&lt;AO$5)*X229+(AC$5&lt;AO$5)*AD229+(AI$5&lt;AO$5)*AJ229+(AU$5&lt;AO$5)*AV229)))</f>
        <v/>
      </c>
      <c r="AR229">
        <f>IF(AP229-AQ229&lt;0.005,0,AP229-AQ229)</f>
        <v/>
      </c>
      <c r="AS229">
        <f>AX228</f>
        <v/>
      </c>
      <c r="AT229">
        <f>AS229*Plan!D13/100/12</f>
        <v/>
      </c>
      <c r="AU229">
        <f>MIN(Plan!E13,AS229+AT229)</f>
        <v/>
      </c>
      <c r="AV229">
        <f>AS229+AT229-AU229</f>
        <v/>
      </c>
      <c r="AW229">
        <f>MIN(AV229,MAX(0,$B229-((E$5&lt;AU$5)*F229+(K$5&lt;AU$5)*L229+(Q$5&lt;AU$5)*R229+(W$5&lt;AU$5)*X229+(AC$5&lt;AU$5)*AD229+(AI$5&lt;AU$5)*AJ229+(AO$5&lt;AU$5)*AP229)))</f>
        <v/>
      </c>
      <c r="AX229">
        <f>IF(AV229-AW229&lt;0.005,0,AV229-AW229)</f>
        <v/>
      </c>
      <c r="BC229">
        <f>H229+N229+T229+Z229+AF229+AL229+AR229+AX229</f>
        <v/>
      </c>
    </row>
    <row r="230">
      <c r="A230" t="n">
        <v>224</v>
      </c>
      <c r="B230" s="19">
        <f>MAX(0,$B$3-(E230+K230+Q230+W230+AC230+AI230+AO230+AU230))</f>
        <v/>
      </c>
      <c r="C230">
        <f>H229</f>
        <v/>
      </c>
      <c r="D230">
        <f>C230*Plan!D6/100/12</f>
        <v/>
      </c>
      <c r="E230">
        <f>MIN(Plan!E6,C230+D230)</f>
        <v/>
      </c>
      <c r="F230">
        <f>C230+D230-E230</f>
        <v/>
      </c>
      <c r="G230">
        <f>MIN(F230,MAX(0,$B230-((K$5&lt;E$5)*L230+(Q$5&lt;E$5)*R230+(W$5&lt;E$5)*X230+(AC$5&lt;E$5)*AD230+(AI$5&lt;E$5)*AJ230+(AO$5&lt;E$5)*AP230+(AU$5&lt;E$5)*AV230)))</f>
        <v/>
      </c>
      <c r="H230">
        <f>IF(F230-G230&lt;0.005,0,F230-G230)</f>
        <v/>
      </c>
      <c r="I230">
        <f>N229</f>
        <v/>
      </c>
      <c r="J230">
        <f>I230*Plan!D7/100/12</f>
        <v/>
      </c>
      <c r="K230">
        <f>MIN(Plan!E7,I230+J230)</f>
        <v/>
      </c>
      <c r="L230">
        <f>I230+J230-K230</f>
        <v/>
      </c>
      <c r="M230">
        <f>MIN(L230,MAX(0,$B230-((E$5&lt;K$5)*F230+(Q$5&lt;K$5)*R230+(W$5&lt;K$5)*X230+(AC$5&lt;K$5)*AD230+(AI$5&lt;K$5)*AJ230+(AO$5&lt;K$5)*AP230+(AU$5&lt;K$5)*AV230)))</f>
        <v/>
      </c>
      <c r="N230">
        <f>IF(L230-M230&lt;0.005,0,L230-M230)</f>
        <v/>
      </c>
      <c r="O230">
        <f>T229</f>
        <v/>
      </c>
      <c r="P230">
        <f>O230*Plan!D8/100/12</f>
        <v/>
      </c>
      <c r="Q230">
        <f>MIN(Plan!E8,O230+P230)</f>
        <v/>
      </c>
      <c r="R230">
        <f>O230+P230-Q230</f>
        <v/>
      </c>
      <c r="S230">
        <f>MIN(R230,MAX(0,$B230-((E$5&lt;Q$5)*F230+(K$5&lt;Q$5)*L230+(W$5&lt;Q$5)*X230+(AC$5&lt;Q$5)*AD230+(AI$5&lt;Q$5)*AJ230+(AO$5&lt;Q$5)*AP230+(AU$5&lt;Q$5)*AV230)))</f>
        <v/>
      </c>
      <c r="T230">
        <f>IF(R230-S230&lt;0.005,0,R230-S230)</f>
        <v/>
      </c>
      <c r="U230">
        <f>Z229</f>
        <v/>
      </c>
      <c r="V230">
        <f>U230*Plan!D9/100/12</f>
        <v/>
      </c>
      <c r="W230">
        <f>MIN(Plan!E9,U230+V230)</f>
        <v/>
      </c>
      <c r="X230">
        <f>U230+V230-W230</f>
        <v/>
      </c>
      <c r="Y230">
        <f>MIN(X230,MAX(0,$B230-((E$5&lt;W$5)*F230+(K$5&lt;W$5)*L230+(Q$5&lt;W$5)*R230+(AC$5&lt;W$5)*AD230+(AI$5&lt;W$5)*AJ230+(AO$5&lt;W$5)*AP230+(AU$5&lt;W$5)*AV230)))</f>
        <v/>
      </c>
      <c r="Z230">
        <f>IF(X230-Y230&lt;0.005,0,X230-Y230)</f>
        <v/>
      </c>
      <c r="AA230">
        <f>AF229</f>
        <v/>
      </c>
      <c r="AB230">
        <f>AA230*Plan!D10/100/12</f>
        <v/>
      </c>
      <c r="AC230">
        <f>MIN(Plan!E10,AA230+AB230)</f>
        <v/>
      </c>
      <c r="AD230">
        <f>AA230+AB230-AC230</f>
        <v/>
      </c>
      <c r="AE230">
        <f>MIN(AD230,MAX(0,$B230-((E$5&lt;AC$5)*F230+(K$5&lt;AC$5)*L230+(Q$5&lt;AC$5)*R230+(W$5&lt;AC$5)*X230+(AI$5&lt;AC$5)*AJ230+(AO$5&lt;AC$5)*AP230+(AU$5&lt;AC$5)*AV230)))</f>
        <v/>
      </c>
      <c r="AF230">
        <f>IF(AD230-AE230&lt;0.005,0,AD230-AE230)</f>
        <v/>
      </c>
      <c r="AG230">
        <f>AL229</f>
        <v/>
      </c>
      <c r="AH230">
        <f>AG230*Plan!D11/100/12</f>
        <v/>
      </c>
      <c r="AI230">
        <f>MIN(Plan!E11,AG230+AH230)</f>
        <v/>
      </c>
      <c r="AJ230">
        <f>AG230+AH230-AI230</f>
        <v/>
      </c>
      <c r="AK230">
        <f>MIN(AJ230,MAX(0,$B230-((E$5&lt;AI$5)*F230+(K$5&lt;AI$5)*L230+(Q$5&lt;AI$5)*R230+(W$5&lt;AI$5)*X230+(AC$5&lt;AI$5)*AD230+(AO$5&lt;AI$5)*AP230+(AU$5&lt;AI$5)*AV230)))</f>
        <v/>
      </c>
      <c r="AL230">
        <f>IF(AJ230-AK230&lt;0.005,0,AJ230-AK230)</f>
        <v/>
      </c>
      <c r="AM230">
        <f>AR229</f>
        <v/>
      </c>
      <c r="AN230">
        <f>AM230*Plan!D12/100/12</f>
        <v/>
      </c>
      <c r="AO230">
        <f>MIN(Plan!E12,AM230+AN230)</f>
        <v/>
      </c>
      <c r="AP230">
        <f>AM230+AN230-AO230</f>
        <v/>
      </c>
      <c r="AQ230">
        <f>MIN(AP230,MAX(0,$B230-((E$5&lt;AO$5)*F230+(K$5&lt;AO$5)*L230+(Q$5&lt;AO$5)*R230+(W$5&lt;AO$5)*X230+(AC$5&lt;AO$5)*AD230+(AI$5&lt;AO$5)*AJ230+(AU$5&lt;AO$5)*AV230)))</f>
        <v/>
      </c>
      <c r="AR230">
        <f>IF(AP230-AQ230&lt;0.005,0,AP230-AQ230)</f>
        <v/>
      </c>
      <c r="AS230">
        <f>AX229</f>
        <v/>
      </c>
      <c r="AT230">
        <f>AS230*Plan!D13/100/12</f>
        <v/>
      </c>
      <c r="AU230">
        <f>MIN(Plan!E13,AS230+AT230)</f>
        <v/>
      </c>
      <c r="AV230">
        <f>AS230+AT230-AU230</f>
        <v/>
      </c>
      <c r="AW230">
        <f>MIN(AV230,MAX(0,$B230-((E$5&lt;AU$5)*F230+(K$5&lt;AU$5)*L230+(Q$5&lt;AU$5)*R230+(W$5&lt;AU$5)*X230+(AC$5&lt;AU$5)*AD230+(AI$5&lt;AU$5)*AJ230+(AO$5&lt;AU$5)*AP230)))</f>
        <v/>
      </c>
      <c r="AX230">
        <f>IF(AV230-AW230&lt;0.005,0,AV230-AW230)</f>
        <v/>
      </c>
      <c r="BC230">
        <f>H230+N230+T230+Z230+AF230+AL230+AR230+AX230</f>
        <v/>
      </c>
    </row>
    <row r="231">
      <c r="A231" t="n">
        <v>225</v>
      </c>
      <c r="B231" s="19">
        <f>MAX(0,$B$3-(E231+K231+Q231+W231+AC231+AI231+AO231+AU231))</f>
        <v/>
      </c>
      <c r="C231">
        <f>H230</f>
        <v/>
      </c>
      <c r="D231">
        <f>C231*Plan!D6/100/12</f>
        <v/>
      </c>
      <c r="E231">
        <f>MIN(Plan!E6,C231+D231)</f>
        <v/>
      </c>
      <c r="F231">
        <f>C231+D231-E231</f>
        <v/>
      </c>
      <c r="G231">
        <f>MIN(F231,MAX(0,$B231-((K$5&lt;E$5)*L231+(Q$5&lt;E$5)*R231+(W$5&lt;E$5)*X231+(AC$5&lt;E$5)*AD231+(AI$5&lt;E$5)*AJ231+(AO$5&lt;E$5)*AP231+(AU$5&lt;E$5)*AV231)))</f>
        <v/>
      </c>
      <c r="H231">
        <f>IF(F231-G231&lt;0.005,0,F231-G231)</f>
        <v/>
      </c>
      <c r="I231">
        <f>N230</f>
        <v/>
      </c>
      <c r="J231">
        <f>I231*Plan!D7/100/12</f>
        <v/>
      </c>
      <c r="K231">
        <f>MIN(Plan!E7,I231+J231)</f>
        <v/>
      </c>
      <c r="L231">
        <f>I231+J231-K231</f>
        <v/>
      </c>
      <c r="M231">
        <f>MIN(L231,MAX(0,$B231-((E$5&lt;K$5)*F231+(Q$5&lt;K$5)*R231+(W$5&lt;K$5)*X231+(AC$5&lt;K$5)*AD231+(AI$5&lt;K$5)*AJ231+(AO$5&lt;K$5)*AP231+(AU$5&lt;K$5)*AV231)))</f>
        <v/>
      </c>
      <c r="N231">
        <f>IF(L231-M231&lt;0.005,0,L231-M231)</f>
        <v/>
      </c>
      <c r="O231">
        <f>T230</f>
        <v/>
      </c>
      <c r="P231">
        <f>O231*Plan!D8/100/12</f>
        <v/>
      </c>
      <c r="Q231">
        <f>MIN(Plan!E8,O231+P231)</f>
        <v/>
      </c>
      <c r="R231">
        <f>O231+P231-Q231</f>
        <v/>
      </c>
      <c r="S231">
        <f>MIN(R231,MAX(0,$B231-((E$5&lt;Q$5)*F231+(K$5&lt;Q$5)*L231+(W$5&lt;Q$5)*X231+(AC$5&lt;Q$5)*AD231+(AI$5&lt;Q$5)*AJ231+(AO$5&lt;Q$5)*AP231+(AU$5&lt;Q$5)*AV231)))</f>
        <v/>
      </c>
      <c r="T231">
        <f>IF(R231-S231&lt;0.005,0,R231-S231)</f>
        <v/>
      </c>
      <c r="U231">
        <f>Z230</f>
        <v/>
      </c>
      <c r="V231">
        <f>U231*Plan!D9/100/12</f>
        <v/>
      </c>
      <c r="W231">
        <f>MIN(Plan!E9,U231+V231)</f>
        <v/>
      </c>
      <c r="X231">
        <f>U231+V231-W231</f>
        <v/>
      </c>
      <c r="Y231">
        <f>MIN(X231,MAX(0,$B231-((E$5&lt;W$5)*F231+(K$5&lt;W$5)*L231+(Q$5&lt;W$5)*R231+(AC$5&lt;W$5)*AD231+(AI$5&lt;W$5)*AJ231+(AO$5&lt;W$5)*AP231+(AU$5&lt;W$5)*AV231)))</f>
        <v/>
      </c>
      <c r="Z231">
        <f>IF(X231-Y231&lt;0.005,0,X231-Y231)</f>
        <v/>
      </c>
      <c r="AA231">
        <f>AF230</f>
        <v/>
      </c>
      <c r="AB231">
        <f>AA231*Plan!D10/100/12</f>
        <v/>
      </c>
      <c r="AC231">
        <f>MIN(Plan!E10,AA231+AB231)</f>
        <v/>
      </c>
      <c r="AD231">
        <f>AA231+AB231-AC231</f>
        <v/>
      </c>
      <c r="AE231">
        <f>MIN(AD231,MAX(0,$B231-((E$5&lt;AC$5)*F231+(K$5&lt;AC$5)*L231+(Q$5&lt;AC$5)*R231+(W$5&lt;AC$5)*X231+(AI$5&lt;AC$5)*AJ231+(AO$5&lt;AC$5)*AP231+(AU$5&lt;AC$5)*AV231)))</f>
        <v/>
      </c>
      <c r="AF231">
        <f>IF(AD231-AE231&lt;0.005,0,AD231-AE231)</f>
        <v/>
      </c>
      <c r="AG231">
        <f>AL230</f>
        <v/>
      </c>
      <c r="AH231">
        <f>AG231*Plan!D11/100/12</f>
        <v/>
      </c>
      <c r="AI231">
        <f>MIN(Plan!E11,AG231+AH231)</f>
        <v/>
      </c>
      <c r="AJ231">
        <f>AG231+AH231-AI231</f>
        <v/>
      </c>
      <c r="AK231">
        <f>MIN(AJ231,MAX(0,$B231-((E$5&lt;AI$5)*F231+(K$5&lt;AI$5)*L231+(Q$5&lt;AI$5)*R231+(W$5&lt;AI$5)*X231+(AC$5&lt;AI$5)*AD231+(AO$5&lt;AI$5)*AP231+(AU$5&lt;AI$5)*AV231)))</f>
        <v/>
      </c>
      <c r="AL231">
        <f>IF(AJ231-AK231&lt;0.005,0,AJ231-AK231)</f>
        <v/>
      </c>
      <c r="AM231">
        <f>AR230</f>
        <v/>
      </c>
      <c r="AN231">
        <f>AM231*Plan!D12/100/12</f>
        <v/>
      </c>
      <c r="AO231">
        <f>MIN(Plan!E12,AM231+AN231)</f>
        <v/>
      </c>
      <c r="AP231">
        <f>AM231+AN231-AO231</f>
        <v/>
      </c>
      <c r="AQ231">
        <f>MIN(AP231,MAX(0,$B231-((E$5&lt;AO$5)*F231+(K$5&lt;AO$5)*L231+(Q$5&lt;AO$5)*R231+(W$5&lt;AO$5)*X231+(AC$5&lt;AO$5)*AD231+(AI$5&lt;AO$5)*AJ231+(AU$5&lt;AO$5)*AV231)))</f>
        <v/>
      </c>
      <c r="AR231">
        <f>IF(AP231-AQ231&lt;0.005,0,AP231-AQ231)</f>
        <v/>
      </c>
      <c r="AS231">
        <f>AX230</f>
        <v/>
      </c>
      <c r="AT231">
        <f>AS231*Plan!D13/100/12</f>
        <v/>
      </c>
      <c r="AU231">
        <f>MIN(Plan!E13,AS231+AT231)</f>
        <v/>
      </c>
      <c r="AV231">
        <f>AS231+AT231-AU231</f>
        <v/>
      </c>
      <c r="AW231">
        <f>MIN(AV231,MAX(0,$B231-((E$5&lt;AU$5)*F231+(K$5&lt;AU$5)*L231+(Q$5&lt;AU$5)*R231+(W$5&lt;AU$5)*X231+(AC$5&lt;AU$5)*AD231+(AI$5&lt;AU$5)*AJ231+(AO$5&lt;AU$5)*AP231)))</f>
        <v/>
      </c>
      <c r="AX231">
        <f>IF(AV231-AW231&lt;0.005,0,AV231-AW231)</f>
        <v/>
      </c>
      <c r="BC231">
        <f>H231+N231+T231+Z231+AF231+AL231+AR231+AX231</f>
        <v/>
      </c>
    </row>
    <row r="232">
      <c r="A232" t="n">
        <v>226</v>
      </c>
      <c r="B232" s="19">
        <f>MAX(0,$B$3-(E232+K232+Q232+W232+AC232+AI232+AO232+AU232))</f>
        <v/>
      </c>
      <c r="C232">
        <f>H231</f>
        <v/>
      </c>
      <c r="D232">
        <f>C232*Plan!D6/100/12</f>
        <v/>
      </c>
      <c r="E232">
        <f>MIN(Plan!E6,C232+D232)</f>
        <v/>
      </c>
      <c r="F232">
        <f>C232+D232-E232</f>
        <v/>
      </c>
      <c r="G232">
        <f>MIN(F232,MAX(0,$B232-((K$5&lt;E$5)*L232+(Q$5&lt;E$5)*R232+(W$5&lt;E$5)*X232+(AC$5&lt;E$5)*AD232+(AI$5&lt;E$5)*AJ232+(AO$5&lt;E$5)*AP232+(AU$5&lt;E$5)*AV232)))</f>
        <v/>
      </c>
      <c r="H232">
        <f>IF(F232-G232&lt;0.005,0,F232-G232)</f>
        <v/>
      </c>
      <c r="I232">
        <f>N231</f>
        <v/>
      </c>
      <c r="J232">
        <f>I232*Plan!D7/100/12</f>
        <v/>
      </c>
      <c r="K232">
        <f>MIN(Plan!E7,I232+J232)</f>
        <v/>
      </c>
      <c r="L232">
        <f>I232+J232-K232</f>
        <v/>
      </c>
      <c r="M232">
        <f>MIN(L232,MAX(0,$B232-((E$5&lt;K$5)*F232+(Q$5&lt;K$5)*R232+(W$5&lt;K$5)*X232+(AC$5&lt;K$5)*AD232+(AI$5&lt;K$5)*AJ232+(AO$5&lt;K$5)*AP232+(AU$5&lt;K$5)*AV232)))</f>
        <v/>
      </c>
      <c r="N232">
        <f>IF(L232-M232&lt;0.005,0,L232-M232)</f>
        <v/>
      </c>
      <c r="O232">
        <f>T231</f>
        <v/>
      </c>
      <c r="P232">
        <f>O232*Plan!D8/100/12</f>
        <v/>
      </c>
      <c r="Q232">
        <f>MIN(Plan!E8,O232+P232)</f>
        <v/>
      </c>
      <c r="R232">
        <f>O232+P232-Q232</f>
        <v/>
      </c>
      <c r="S232">
        <f>MIN(R232,MAX(0,$B232-((E$5&lt;Q$5)*F232+(K$5&lt;Q$5)*L232+(W$5&lt;Q$5)*X232+(AC$5&lt;Q$5)*AD232+(AI$5&lt;Q$5)*AJ232+(AO$5&lt;Q$5)*AP232+(AU$5&lt;Q$5)*AV232)))</f>
        <v/>
      </c>
      <c r="T232">
        <f>IF(R232-S232&lt;0.005,0,R232-S232)</f>
        <v/>
      </c>
      <c r="U232">
        <f>Z231</f>
        <v/>
      </c>
      <c r="V232">
        <f>U232*Plan!D9/100/12</f>
        <v/>
      </c>
      <c r="W232">
        <f>MIN(Plan!E9,U232+V232)</f>
        <v/>
      </c>
      <c r="X232">
        <f>U232+V232-W232</f>
        <v/>
      </c>
      <c r="Y232">
        <f>MIN(X232,MAX(0,$B232-((E$5&lt;W$5)*F232+(K$5&lt;W$5)*L232+(Q$5&lt;W$5)*R232+(AC$5&lt;W$5)*AD232+(AI$5&lt;W$5)*AJ232+(AO$5&lt;W$5)*AP232+(AU$5&lt;W$5)*AV232)))</f>
        <v/>
      </c>
      <c r="Z232">
        <f>IF(X232-Y232&lt;0.005,0,X232-Y232)</f>
        <v/>
      </c>
      <c r="AA232">
        <f>AF231</f>
        <v/>
      </c>
      <c r="AB232">
        <f>AA232*Plan!D10/100/12</f>
        <v/>
      </c>
      <c r="AC232">
        <f>MIN(Plan!E10,AA232+AB232)</f>
        <v/>
      </c>
      <c r="AD232">
        <f>AA232+AB232-AC232</f>
        <v/>
      </c>
      <c r="AE232">
        <f>MIN(AD232,MAX(0,$B232-((E$5&lt;AC$5)*F232+(K$5&lt;AC$5)*L232+(Q$5&lt;AC$5)*R232+(W$5&lt;AC$5)*X232+(AI$5&lt;AC$5)*AJ232+(AO$5&lt;AC$5)*AP232+(AU$5&lt;AC$5)*AV232)))</f>
        <v/>
      </c>
      <c r="AF232">
        <f>IF(AD232-AE232&lt;0.005,0,AD232-AE232)</f>
        <v/>
      </c>
      <c r="AG232">
        <f>AL231</f>
        <v/>
      </c>
      <c r="AH232">
        <f>AG232*Plan!D11/100/12</f>
        <v/>
      </c>
      <c r="AI232">
        <f>MIN(Plan!E11,AG232+AH232)</f>
        <v/>
      </c>
      <c r="AJ232">
        <f>AG232+AH232-AI232</f>
        <v/>
      </c>
      <c r="AK232">
        <f>MIN(AJ232,MAX(0,$B232-((E$5&lt;AI$5)*F232+(K$5&lt;AI$5)*L232+(Q$5&lt;AI$5)*R232+(W$5&lt;AI$5)*X232+(AC$5&lt;AI$5)*AD232+(AO$5&lt;AI$5)*AP232+(AU$5&lt;AI$5)*AV232)))</f>
        <v/>
      </c>
      <c r="AL232">
        <f>IF(AJ232-AK232&lt;0.005,0,AJ232-AK232)</f>
        <v/>
      </c>
      <c r="AM232">
        <f>AR231</f>
        <v/>
      </c>
      <c r="AN232">
        <f>AM232*Plan!D12/100/12</f>
        <v/>
      </c>
      <c r="AO232">
        <f>MIN(Plan!E12,AM232+AN232)</f>
        <v/>
      </c>
      <c r="AP232">
        <f>AM232+AN232-AO232</f>
        <v/>
      </c>
      <c r="AQ232">
        <f>MIN(AP232,MAX(0,$B232-((E$5&lt;AO$5)*F232+(K$5&lt;AO$5)*L232+(Q$5&lt;AO$5)*R232+(W$5&lt;AO$5)*X232+(AC$5&lt;AO$5)*AD232+(AI$5&lt;AO$5)*AJ232+(AU$5&lt;AO$5)*AV232)))</f>
        <v/>
      </c>
      <c r="AR232">
        <f>IF(AP232-AQ232&lt;0.005,0,AP232-AQ232)</f>
        <v/>
      </c>
      <c r="AS232">
        <f>AX231</f>
        <v/>
      </c>
      <c r="AT232">
        <f>AS232*Plan!D13/100/12</f>
        <v/>
      </c>
      <c r="AU232">
        <f>MIN(Plan!E13,AS232+AT232)</f>
        <v/>
      </c>
      <c r="AV232">
        <f>AS232+AT232-AU232</f>
        <v/>
      </c>
      <c r="AW232">
        <f>MIN(AV232,MAX(0,$B232-((E$5&lt;AU$5)*F232+(K$5&lt;AU$5)*L232+(Q$5&lt;AU$5)*R232+(W$5&lt;AU$5)*X232+(AC$5&lt;AU$5)*AD232+(AI$5&lt;AU$5)*AJ232+(AO$5&lt;AU$5)*AP232)))</f>
        <v/>
      </c>
      <c r="AX232">
        <f>IF(AV232-AW232&lt;0.005,0,AV232-AW232)</f>
        <v/>
      </c>
      <c r="BC232">
        <f>H232+N232+T232+Z232+AF232+AL232+AR232+AX232</f>
        <v/>
      </c>
    </row>
    <row r="233">
      <c r="A233" t="n">
        <v>227</v>
      </c>
      <c r="B233" s="19">
        <f>MAX(0,$B$3-(E233+K233+Q233+W233+AC233+AI233+AO233+AU233))</f>
        <v/>
      </c>
      <c r="C233">
        <f>H232</f>
        <v/>
      </c>
      <c r="D233">
        <f>C233*Plan!D6/100/12</f>
        <v/>
      </c>
      <c r="E233">
        <f>MIN(Plan!E6,C233+D233)</f>
        <v/>
      </c>
      <c r="F233">
        <f>C233+D233-E233</f>
        <v/>
      </c>
      <c r="G233">
        <f>MIN(F233,MAX(0,$B233-((K$5&lt;E$5)*L233+(Q$5&lt;E$5)*R233+(W$5&lt;E$5)*X233+(AC$5&lt;E$5)*AD233+(AI$5&lt;E$5)*AJ233+(AO$5&lt;E$5)*AP233+(AU$5&lt;E$5)*AV233)))</f>
        <v/>
      </c>
      <c r="H233">
        <f>IF(F233-G233&lt;0.005,0,F233-G233)</f>
        <v/>
      </c>
      <c r="I233">
        <f>N232</f>
        <v/>
      </c>
      <c r="J233">
        <f>I233*Plan!D7/100/12</f>
        <v/>
      </c>
      <c r="K233">
        <f>MIN(Plan!E7,I233+J233)</f>
        <v/>
      </c>
      <c r="L233">
        <f>I233+J233-K233</f>
        <v/>
      </c>
      <c r="M233">
        <f>MIN(L233,MAX(0,$B233-((E$5&lt;K$5)*F233+(Q$5&lt;K$5)*R233+(W$5&lt;K$5)*X233+(AC$5&lt;K$5)*AD233+(AI$5&lt;K$5)*AJ233+(AO$5&lt;K$5)*AP233+(AU$5&lt;K$5)*AV233)))</f>
        <v/>
      </c>
      <c r="N233">
        <f>IF(L233-M233&lt;0.005,0,L233-M233)</f>
        <v/>
      </c>
      <c r="O233">
        <f>T232</f>
        <v/>
      </c>
      <c r="P233">
        <f>O233*Plan!D8/100/12</f>
        <v/>
      </c>
      <c r="Q233">
        <f>MIN(Plan!E8,O233+P233)</f>
        <v/>
      </c>
      <c r="R233">
        <f>O233+P233-Q233</f>
        <v/>
      </c>
      <c r="S233">
        <f>MIN(R233,MAX(0,$B233-((E$5&lt;Q$5)*F233+(K$5&lt;Q$5)*L233+(W$5&lt;Q$5)*X233+(AC$5&lt;Q$5)*AD233+(AI$5&lt;Q$5)*AJ233+(AO$5&lt;Q$5)*AP233+(AU$5&lt;Q$5)*AV233)))</f>
        <v/>
      </c>
      <c r="T233">
        <f>IF(R233-S233&lt;0.005,0,R233-S233)</f>
        <v/>
      </c>
      <c r="U233">
        <f>Z232</f>
        <v/>
      </c>
      <c r="V233">
        <f>U233*Plan!D9/100/12</f>
        <v/>
      </c>
      <c r="W233">
        <f>MIN(Plan!E9,U233+V233)</f>
        <v/>
      </c>
      <c r="X233">
        <f>U233+V233-W233</f>
        <v/>
      </c>
      <c r="Y233">
        <f>MIN(X233,MAX(0,$B233-((E$5&lt;W$5)*F233+(K$5&lt;W$5)*L233+(Q$5&lt;W$5)*R233+(AC$5&lt;W$5)*AD233+(AI$5&lt;W$5)*AJ233+(AO$5&lt;W$5)*AP233+(AU$5&lt;W$5)*AV233)))</f>
        <v/>
      </c>
      <c r="Z233">
        <f>IF(X233-Y233&lt;0.005,0,X233-Y233)</f>
        <v/>
      </c>
      <c r="AA233">
        <f>AF232</f>
        <v/>
      </c>
      <c r="AB233">
        <f>AA233*Plan!D10/100/12</f>
        <v/>
      </c>
      <c r="AC233">
        <f>MIN(Plan!E10,AA233+AB233)</f>
        <v/>
      </c>
      <c r="AD233">
        <f>AA233+AB233-AC233</f>
        <v/>
      </c>
      <c r="AE233">
        <f>MIN(AD233,MAX(0,$B233-((E$5&lt;AC$5)*F233+(K$5&lt;AC$5)*L233+(Q$5&lt;AC$5)*R233+(W$5&lt;AC$5)*X233+(AI$5&lt;AC$5)*AJ233+(AO$5&lt;AC$5)*AP233+(AU$5&lt;AC$5)*AV233)))</f>
        <v/>
      </c>
      <c r="AF233">
        <f>IF(AD233-AE233&lt;0.005,0,AD233-AE233)</f>
        <v/>
      </c>
      <c r="AG233">
        <f>AL232</f>
        <v/>
      </c>
      <c r="AH233">
        <f>AG233*Plan!D11/100/12</f>
        <v/>
      </c>
      <c r="AI233">
        <f>MIN(Plan!E11,AG233+AH233)</f>
        <v/>
      </c>
      <c r="AJ233">
        <f>AG233+AH233-AI233</f>
        <v/>
      </c>
      <c r="AK233">
        <f>MIN(AJ233,MAX(0,$B233-((E$5&lt;AI$5)*F233+(K$5&lt;AI$5)*L233+(Q$5&lt;AI$5)*R233+(W$5&lt;AI$5)*X233+(AC$5&lt;AI$5)*AD233+(AO$5&lt;AI$5)*AP233+(AU$5&lt;AI$5)*AV233)))</f>
        <v/>
      </c>
      <c r="AL233">
        <f>IF(AJ233-AK233&lt;0.005,0,AJ233-AK233)</f>
        <v/>
      </c>
      <c r="AM233">
        <f>AR232</f>
        <v/>
      </c>
      <c r="AN233">
        <f>AM233*Plan!D12/100/12</f>
        <v/>
      </c>
      <c r="AO233">
        <f>MIN(Plan!E12,AM233+AN233)</f>
        <v/>
      </c>
      <c r="AP233">
        <f>AM233+AN233-AO233</f>
        <v/>
      </c>
      <c r="AQ233">
        <f>MIN(AP233,MAX(0,$B233-((E$5&lt;AO$5)*F233+(K$5&lt;AO$5)*L233+(Q$5&lt;AO$5)*R233+(W$5&lt;AO$5)*X233+(AC$5&lt;AO$5)*AD233+(AI$5&lt;AO$5)*AJ233+(AU$5&lt;AO$5)*AV233)))</f>
        <v/>
      </c>
      <c r="AR233">
        <f>IF(AP233-AQ233&lt;0.005,0,AP233-AQ233)</f>
        <v/>
      </c>
      <c r="AS233">
        <f>AX232</f>
        <v/>
      </c>
      <c r="AT233">
        <f>AS233*Plan!D13/100/12</f>
        <v/>
      </c>
      <c r="AU233">
        <f>MIN(Plan!E13,AS233+AT233)</f>
        <v/>
      </c>
      <c r="AV233">
        <f>AS233+AT233-AU233</f>
        <v/>
      </c>
      <c r="AW233">
        <f>MIN(AV233,MAX(0,$B233-((E$5&lt;AU$5)*F233+(K$5&lt;AU$5)*L233+(Q$5&lt;AU$5)*R233+(W$5&lt;AU$5)*X233+(AC$5&lt;AU$5)*AD233+(AI$5&lt;AU$5)*AJ233+(AO$5&lt;AU$5)*AP233)))</f>
        <v/>
      </c>
      <c r="AX233">
        <f>IF(AV233-AW233&lt;0.005,0,AV233-AW233)</f>
        <v/>
      </c>
      <c r="BC233">
        <f>H233+N233+T233+Z233+AF233+AL233+AR233+AX233</f>
        <v/>
      </c>
    </row>
    <row r="234">
      <c r="A234" t="n">
        <v>228</v>
      </c>
      <c r="B234" s="19">
        <f>MAX(0,$B$3-(E234+K234+Q234+W234+AC234+AI234+AO234+AU234))</f>
        <v/>
      </c>
      <c r="C234">
        <f>H233</f>
        <v/>
      </c>
      <c r="D234">
        <f>C234*Plan!D6/100/12</f>
        <v/>
      </c>
      <c r="E234">
        <f>MIN(Plan!E6,C234+D234)</f>
        <v/>
      </c>
      <c r="F234">
        <f>C234+D234-E234</f>
        <v/>
      </c>
      <c r="G234">
        <f>MIN(F234,MAX(0,$B234-((K$5&lt;E$5)*L234+(Q$5&lt;E$5)*R234+(W$5&lt;E$5)*X234+(AC$5&lt;E$5)*AD234+(AI$5&lt;E$5)*AJ234+(AO$5&lt;E$5)*AP234+(AU$5&lt;E$5)*AV234)))</f>
        <v/>
      </c>
      <c r="H234">
        <f>IF(F234-G234&lt;0.005,0,F234-G234)</f>
        <v/>
      </c>
      <c r="I234">
        <f>N233</f>
        <v/>
      </c>
      <c r="J234">
        <f>I234*Plan!D7/100/12</f>
        <v/>
      </c>
      <c r="K234">
        <f>MIN(Plan!E7,I234+J234)</f>
        <v/>
      </c>
      <c r="L234">
        <f>I234+J234-K234</f>
        <v/>
      </c>
      <c r="M234">
        <f>MIN(L234,MAX(0,$B234-((E$5&lt;K$5)*F234+(Q$5&lt;K$5)*R234+(W$5&lt;K$5)*X234+(AC$5&lt;K$5)*AD234+(AI$5&lt;K$5)*AJ234+(AO$5&lt;K$5)*AP234+(AU$5&lt;K$5)*AV234)))</f>
        <v/>
      </c>
      <c r="N234">
        <f>IF(L234-M234&lt;0.005,0,L234-M234)</f>
        <v/>
      </c>
      <c r="O234">
        <f>T233</f>
        <v/>
      </c>
      <c r="P234">
        <f>O234*Plan!D8/100/12</f>
        <v/>
      </c>
      <c r="Q234">
        <f>MIN(Plan!E8,O234+P234)</f>
        <v/>
      </c>
      <c r="R234">
        <f>O234+P234-Q234</f>
        <v/>
      </c>
      <c r="S234">
        <f>MIN(R234,MAX(0,$B234-((E$5&lt;Q$5)*F234+(K$5&lt;Q$5)*L234+(W$5&lt;Q$5)*X234+(AC$5&lt;Q$5)*AD234+(AI$5&lt;Q$5)*AJ234+(AO$5&lt;Q$5)*AP234+(AU$5&lt;Q$5)*AV234)))</f>
        <v/>
      </c>
      <c r="T234">
        <f>IF(R234-S234&lt;0.005,0,R234-S234)</f>
        <v/>
      </c>
      <c r="U234">
        <f>Z233</f>
        <v/>
      </c>
      <c r="V234">
        <f>U234*Plan!D9/100/12</f>
        <v/>
      </c>
      <c r="W234">
        <f>MIN(Plan!E9,U234+V234)</f>
        <v/>
      </c>
      <c r="X234">
        <f>U234+V234-W234</f>
        <v/>
      </c>
      <c r="Y234">
        <f>MIN(X234,MAX(0,$B234-((E$5&lt;W$5)*F234+(K$5&lt;W$5)*L234+(Q$5&lt;W$5)*R234+(AC$5&lt;W$5)*AD234+(AI$5&lt;W$5)*AJ234+(AO$5&lt;W$5)*AP234+(AU$5&lt;W$5)*AV234)))</f>
        <v/>
      </c>
      <c r="Z234">
        <f>IF(X234-Y234&lt;0.005,0,X234-Y234)</f>
        <v/>
      </c>
      <c r="AA234">
        <f>AF233</f>
        <v/>
      </c>
      <c r="AB234">
        <f>AA234*Plan!D10/100/12</f>
        <v/>
      </c>
      <c r="AC234">
        <f>MIN(Plan!E10,AA234+AB234)</f>
        <v/>
      </c>
      <c r="AD234">
        <f>AA234+AB234-AC234</f>
        <v/>
      </c>
      <c r="AE234">
        <f>MIN(AD234,MAX(0,$B234-((E$5&lt;AC$5)*F234+(K$5&lt;AC$5)*L234+(Q$5&lt;AC$5)*R234+(W$5&lt;AC$5)*X234+(AI$5&lt;AC$5)*AJ234+(AO$5&lt;AC$5)*AP234+(AU$5&lt;AC$5)*AV234)))</f>
        <v/>
      </c>
      <c r="AF234">
        <f>IF(AD234-AE234&lt;0.005,0,AD234-AE234)</f>
        <v/>
      </c>
      <c r="AG234">
        <f>AL233</f>
        <v/>
      </c>
      <c r="AH234">
        <f>AG234*Plan!D11/100/12</f>
        <v/>
      </c>
      <c r="AI234">
        <f>MIN(Plan!E11,AG234+AH234)</f>
        <v/>
      </c>
      <c r="AJ234">
        <f>AG234+AH234-AI234</f>
        <v/>
      </c>
      <c r="AK234">
        <f>MIN(AJ234,MAX(0,$B234-((E$5&lt;AI$5)*F234+(K$5&lt;AI$5)*L234+(Q$5&lt;AI$5)*R234+(W$5&lt;AI$5)*X234+(AC$5&lt;AI$5)*AD234+(AO$5&lt;AI$5)*AP234+(AU$5&lt;AI$5)*AV234)))</f>
        <v/>
      </c>
      <c r="AL234">
        <f>IF(AJ234-AK234&lt;0.005,0,AJ234-AK234)</f>
        <v/>
      </c>
      <c r="AM234">
        <f>AR233</f>
        <v/>
      </c>
      <c r="AN234">
        <f>AM234*Plan!D12/100/12</f>
        <v/>
      </c>
      <c r="AO234">
        <f>MIN(Plan!E12,AM234+AN234)</f>
        <v/>
      </c>
      <c r="AP234">
        <f>AM234+AN234-AO234</f>
        <v/>
      </c>
      <c r="AQ234">
        <f>MIN(AP234,MAX(0,$B234-((E$5&lt;AO$5)*F234+(K$5&lt;AO$5)*L234+(Q$5&lt;AO$5)*R234+(W$5&lt;AO$5)*X234+(AC$5&lt;AO$5)*AD234+(AI$5&lt;AO$5)*AJ234+(AU$5&lt;AO$5)*AV234)))</f>
        <v/>
      </c>
      <c r="AR234">
        <f>IF(AP234-AQ234&lt;0.005,0,AP234-AQ234)</f>
        <v/>
      </c>
      <c r="AS234">
        <f>AX233</f>
        <v/>
      </c>
      <c r="AT234">
        <f>AS234*Plan!D13/100/12</f>
        <v/>
      </c>
      <c r="AU234">
        <f>MIN(Plan!E13,AS234+AT234)</f>
        <v/>
      </c>
      <c r="AV234">
        <f>AS234+AT234-AU234</f>
        <v/>
      </c>
      <c r="AW234">
        <f>MIN(AV234,MAX(0,$B234-((E$5&lt;AU$5)*F234+(K$5&lt;AU$5)*L234+(Q$5&lt;AU$5)*R234+(W$5&lt;AU$5)*X234+(AC$5&lt;AU$5)*AD234+(AI$5&lt;AU$5)*AJ234+(AO$5&lt;AU$5)*AP234)))</f>
        <v/>
      </c>
      <c r="AX234">
        <f>IF(AV234-AW234&lt;0.005,0,AV234-AW234)</f>
        <v/>
      </c>
      <c r="BC234">
        <f>H234+N234+T234+Z234+AF234+AL234+AR234+AX234</f>
        <v/>
      </c>
    </row>
    <row r="235">
      <c r="A235" t="n">
        <v>229</v>
      </c>
      <c r="B235" s="19">
        <f>MAX(0,$B$3-(E235+K235+Q235+W235+AC235+AI235+AO235+AU235))</f>
        <v/>
      </c>
      <c r="C235">
        <f>H234</f>
        <v/>
      </c>
      <c r="D235">
        <f>C235*Plan!D6/100/12</f>
        <v/>
      </c>
      <c r="E235">
        <f>MIN(Plan!E6,C235+D235)</f>
        <v/>
      </c>
      <c r="F235">
        <f>C235+D235-E235</f>
        <v/>
      </c>
      <c r="G235">
        <f>MIN(F235,MAX(0,$B235-((K$5&lt;E$5)*L235+(Q$5&lt;E$5)*R235+(W$5&lt;E$5)*X235+(AC$5&lt;E$5)*AD235+(AI$5&lt;E$5)*AJ235+(AO$5&lt;E$5)*AP235+(AU$5&lt;E$5)*AV235)))</f>
        <v/>
      </c>
      <c r="H235">
        <f>IF(F235-G235&lt;0.005,0,F235-G235)</f>
        <v/>
      </c>
      <c r="I235">
        <f>N234</f>
        <v/>
      </c>
      <c r="J235">
        <f>I235*Plan!D7/100/12</f>
        <v/>
      </c>
      <c r="K235">
        <f>MIN(Plan!E7,I235+J235)</f>
        <v/>
      </c>
      <c r="L235">
        <f>I235+J235-K235</f>
        <v/>
      </c>
      <c r="M235">
        <f>MIN(L235,MAX(0,$B235-((E$5&lt;K$5)*F235+(Q$5&lt;K$5)*R235+(W$5&lt;K$5)*X235+(AC$5&lt;K$5)*AD235+(AI$5&lt;K$5)*AJ235+(AO$5&lt;K$5)*AP235+(AU$5&lt;K$5)*AV235)))</f>
        <v/>
      </c>
      <c r="N235">
        <f>IF(L235-M235&lt;0.005,0,L235-M235)</f>
        <v/>
      </c>
      <c r="O235">
        <f>T234</f>
        <v/>
      </c>
      <c r="P235">
        <f>O235*Plan!D8/100/12</f>
        <v/>
      </c>
      <c r="Q235">
        <f>MIN(Plan!E8,O235+P235)</f>
        <v/>
      </c>
      <c r="R235">
        <f>O235+P235-Q235</f>
        <v/>
      </c>
      <c r="S235">
        <f>MIN(R235,MAX(0,$B235-((E$5&lt;Q$5)*F235+(K$5&lt;Q$5)*L235+(W$5&lt;Q$5)*X235+(AC$5&lt;Q$5)*AD235+(AI$5&lt;Q$5)*AJ235+(AO$5&lt;Q$5)*AP235+(AU$5&lt;Q$5)*AV235)))</f>
        <v/>
      </c>
      <c r="T235">
        <f>IF(R235-S235&lt;0.005,0,R235-S235)</f>
        <v/>
      </c>
      <c r="U235">
        <f>Z234</f>
        <v/>
      </c>
      <c r="V235">
        <f>U235*Plan!D9/100/12</f>
        <v/>
      </c>
      <c r="W235">
        <f>MIN(Plan!E9,U235+V235)</f>
        <v/>
      </c>
      <c r="X235">
        <f>U235+V235-W235</f>
        <v/>
      </c>
      <c r="Y235">
        <f>MIN(X235,MAX(0,$B235-((E$5&lt;W$5)*F235+(K$5&lt;W$5)*L235+(Q$5&lt;W$5)*R235+(AC$5&lt;W$5)*AD235+(AI$5&lt;W$5)*AJ235+(AO$5&lt;W$5)*AP235+(AU$5&lt;W$5)*AV235)))</f>
        <v/>
      </c>
      <c r="Z235">
        <f>IF(X235-Y235&lt;0.005,0,X235-Y235)</f>
        <v/>
      </c>
      <c r="AA235">
        <f>AF234</f>
        <v/>
      </c>
      <c r="AB235">
        <f>AA235*Plan!D10/100/12</f>
        <v/>
      </c>
      <c r="AC235">
        <f>MIN(Plan!E10,AA235+AB235)</f>
        <v/>
      </c>
      <c r="AD235">
        <f>AA235+AB235-AC235</f>
        <v/>
      </c>
      <c r="AE235">
        <f>MIN(AD235,MAX(0,$B235-((E$5&lt;AC$5)*F235+(K$5&lt;AC$5)*L235+(Q$5&lt;AC$5)*R235+(W$5&lt;AC$5)*X235+(AI$5&lt;AC$5)*AJ235+(AO$5&lt;AC$5)*AP235+(AU$5&lt;AC$5)*AV235)))</f>
        <v/>
      </c>
      <c r="AF235">
        <f>IF(AD235-AE235&lt;0.005,0,AD235-AE235)</f>
        <v/>
      </c>
      <c r="AG235">
        <f>AL234</f>
        <v/>
      </c>
      <c r="AH235">
        <f>AG235*Plan!D11/100/12</f>
        <v/>
      </c>
      <c r="AI235">
        <f>MIN(Plan!E11,AG235+AH235)</f>
        <v/>
      </c>
      <c r="AJ235">
        <f>AG235+AH235-AI235</f>
        <v/>
      </c>
      <c r="AK235">
        <f>MIN(AJ235,MAX(0,$B235-((E$5&lt;AI$5)*F235+(K$5&lt;AI$5)*L235+(Q$5&lt;AI$5)*R235+(W$5&lt;AI$5)*X235+(AC$5&lt;AI$5)*AD235+(AO$5&lt;AI$5)*AP235+(AU$5&lt;AI$5)*AV235)))</f>
        <v/>
      </c>
      <c r="AL235">
        <f>IF(AJ235-AK235&lt;0.005,0,AJ235-AK235)</f>
        <v/>
      </c>
      <c r="AM235">
        <f>AR234</f>
        <v/>
      </c>
      <c r="AN235">
        <f>AM235*Plan!D12/100/12</f>
        <v/>
      </c>
      <c r="AO235">
        <f>MIN(Plan!E12,AM235+AN235)</f>
        <v/>
      </c>
      <c r="AP235">
        <f>AM235+AN235-AO235</f>
        <v/>
      </c>
      <c r="AQ235">
        <f>MIN(AP235,MAX(0,$B235-((E$5&lt;AO$5)*F235+(K$5&lt;AO$5)*L235+(Q$5&lt;AO$5)*R235+(W$5&lt;AO$5)*X235+(AC$5&lt;AO$5)*AD235+(AI$5&lt;AO$5)*AJ235+(AU$5&lt;AO$5)*AV235)))</f>
        <v/>
      </c>
      <c r="AR235">
        <f>IF(AP235-AQ235&lt;0.005,0,AP235-AQ235)</f>
        <v/>
      </c>
      <c r="AS235">
        <f>AX234</f>
        <v/>
      </c>
      <c r="AT235">
        <f>AS235*Plan!D13/100/12</f>
        <v/>
      </c>
      <c r="AU235">
        <f>MIN(Plan!E13,AS235+AT235)</f>
        <v/>
      </c>
      <c r="AV235">
        <f>AS235+AT235-AU235</f>
        <v/>
      </c>
      <c r="AW235">
        <f>MIN(AV235,MAX(0,$B235-((E$5&lt;AU$5)*F235+(K$5&lt;AU$5)*L235+(Q$5&lt;AU$5)*R235+(W$5&lt;AU$5)*X235+(AC$5&lt;AU$5)*AD235+(AI$5&lt;AU$5)*AJ235+(AO$5&lt;AU$5)*AP235)))</f>
        <v/>
      </c>
      <c r="AX235">
        <f>IF(AV235-AW235&lt;0.005,0,AV235-AW235)</f>
        <v/>
      </c>
      <c r="BC235">
        <f>H235+N235+T235+Z235+AF235+AL235+AR235+AX235</f>
        <v/>
      </c>
    </row>
    <row r="236">
      <c r="A236" t="n">
        <v>230</v>
      </c>
      <c r="B236" s="19">
        <f>MAX(0,$B$3-(E236+K236+Q236+W236+AC236+AI236+AO236+AU236))</f>
        <v/>
      </c>
      <c r="C236">
        <f>H235</f>
        <v/>
      </c>
      <c r="D236">
        <f>C236*Plan!D6/100/12</f>
        <v/>
      </c>
      <c r="E236">
        <f>MIN(Plan!E6,C236+D236)</f>
        <v/>
      </c>
      <c r="F236">
        <f>C236+D236-E236</f>
        <v/>
      </c>
      <c r="G236">
        <f>MIN(F236,MAX(0,$B236-((K$5&lt;E$5)*L236+(Q$5&lt;E$5)*R236+(W$5&lt;E$5)*X236+(AC$5&lt;E$5)*AD236+(AI$5&lt;E$5)*AJ236+(AO$5&lt;E$5)*AP236+(AU$5&lt;E$5)*AV236)))</f>
        <v/>
      </c>
      <c r="H236">
        <f>IF(F236-G236&lt;0.005,0,F236-G236)</f>
        <v/>
      </c>
      <c r="I236">
        <f>N235</f>
        <v/>
      </c>
      <c r="J236">
        <f>I236*Plan!D7/100/12</f>
        <v/>
      </c>
      <c r="K236">
        <f>MIN(Plan!E7,I236+J236)</f>
        <v/>
      </c>
      <c r="L236">
        <f>I236+J236-K236</f>
        <v/>
      </c>
      <c r="M236">
        <f>MIN(L236,MAX(0,$B236-((E$5&lt;K$5)*F236+(Q$5&lt;K$5)*R236+(W$5&lt;K$5)*X236+(AC$5&lt;K$5)*AD236+(AI$5&lt;K$5)*AJ236+(AO$5&lt;K$5)*AP236+(AU$5&lt;K$5)*AV236)))</f>
        <v/>
      </c>
      <c r="N236">
        <f>IF(L236-M236&lt;0.005,0,L236-M236)</f>
        <v/>
      </c>
      <c r="O236">
        <f>T235</f>
        <v/>
      </c>
      <c r="P236">
        <f>O236*Plan!D8/100/12</f>
        <v/>
      </c>
      <c r="Q236">
        <f>MIN(Plan!E8,O236+P236)</f>
        <v/>
      </c>
      <c r="R236">
        <f>O236+P236-Q236</f>
        <v/>
      </c>
      <c r="S236">
        <f>MIN(R236,MAX(0,$B236-((E$5&lt;Q$5)*F236+(K$5&lt;Q$5)*L236+(W$5&lt;Q$5)*X236+(AC$5&lt;Q$5)*AD236+(AI$5&lt;Q$5)*AJ236+(AO$5&lt;Q$5)*AP236+(AU$5&lt;Q$5)*AV236)))</f>
        <v/>
      </c>
      <c r="T236">
        <f>IF(R236-S236&lt;0.005,0,R236-S236)</f>
        <v/>
      </c>
      <c r="U236">
        <f>Z235</f>
        <v/>
      </c>
      <c r="V236">
        <f>U236*Plan!D9/100/12</f>
        <v/>
      </c>
      <c r="W236">
        <f>MIN(Plan!E9,U236+V236)</f>
        <v/>
      </c>
      <c r="X236">
        <f>U236+V236-W236</f>
        <v/>
      </c>
      <c r="Y236">
        <f>MIN(X236,MAX(0,$B236-((E$5&lt;W$5)*F236+(K$5&lt;W$5)*L236+(Q$5&lt;W$5)*R236+(AC$5&lt;W$5)*AD236+(AI$5&lt;W$5)*AJ236+(AO$5&lt;W$5)*AP236+(AU$5&lt;W$5)*AV236)))</f>
        <v/>
      </c>
      <c r="Z236">
        <f>IF(X236-Y236&lt;0.005,0,X236-Y236)</f>
        <v/>
      </c>
      <c r="AA236">
        <f>AF235</f>
        <v/>
      </c>
      <c r="AB236">
        <f>AA236*Plan!D10/100/12</f>
        <v/>
      </c>
      <c r="AC236">
        <f>MIN(Plan!E10,AA236+AB236)</f>
        <v/>
      </c>
      <c r="AD236">
        <f>AA236+AB236-AC236</f>
        <v/>
      </c>
      <c r="AE236">
        <f>MIN(AD236,MAX(0,$B236-((E$5&lt;AC$5)*F236+(K$5&lt;AC$5)*L236+(Q$5&lt;AC$5)*R236+(W$5&lt;AC$5)*X236+(AI$5&lt;AC$5)*AJ236+(AO$5&lt;AC$5)*AP236+(AU$5&lt;AC$5)*AV236)))</f>
        <v/>
      </c>
      <c r="AF236">
        <f>IF(AD236-AE236&lt;0.005,0,AD236-AE236)</f>
        <v/>
      </c>
      <c r="AG236">
        <f>AL235</f>
        <v/>
      </c>
      <c r="AH236">
        <f>AG236*Plan!D11/100/12</f>
        <v/>
      </c>
      <c r="AI236">
        <f>MIN(Plan!E11,AG236+AH236)</f>
        <v/>
      </c>
      <c r="AJ236">
        <f>AG236+AH236-AI236</f>
        <v/>
      </c>
      <c r="AK236">
        <f>MIN(AJ236,MAX(0,$B236-((E$5&lt;AI$5)*F236+(K$5&lt;AI$5)*L236+(Q$5&lt;AI$5)*R236+(W$5&lt;AI$5)*X236+(AC$5&lt;AI$5)*AD236+(AO$5&lt;AI$5)*AP236+(AU$5&lt;AI$5)*AV236)))</f>
        <v/>
      </c>
      <c r="AL236">
        <f>IF(AJ236-AK236&lt;0.005,0,AJ236-AK236)</f>
        <v/>
      </c>
      <c r="AM236">
        <f>AR235</f>
        <v/>
      </c>
      <c r="AN236">
        <f>AM236*Plan!D12/100/12</f>
        <v/>
      </c>
      <c r="AO236">
        <f>MIN(Plan!E12,AM236+AN236)</f>
        <v/>
      </c>
      <c r="AP236">
        <f>AM236+AN236-AO236</f>
        <v/>
      </c>
      <c r="AQ236">
        <f>MIN(AP236,MAX(0,$B236-((E$5&lt;AO$5)*F236+(K$5&lt;AO$5)*L236+(Q$5&lt;AO$5)*R236+(W$5&lt;AO$5)*X236+(AC$5&lt;AO$5)*AD236+(AI$5&lt;AO$5)*AJ236+(AU$5&lt;AO$5)*AV236)))</f>
        <v/>
      </c>
      <c r="AR236">
        <f>IF(AP236-AQ236&lt;0.005,0,AP236-AQ236)</f>
        <v/>
      </c>
      <c r="AS236">
        <f>AX235</f>
        <v/>
      </c>
      <c r="AT236">
        <f>AS236*Plan!D13/100/12</f>
        <v/>
      </c>
      <c r="AU236">
        <f>MIN(Plan!E13,AS236+AT236)</f>
        <v/>
      </c>
      <c r="AV236">
        <f>AS236+AT236-AU236</f>
        <v/>
      </c>
      <c r="AW236">
        <f>MIN(AV236,MAX(0,$B236-((E$5&lt;AU$5)*F236+(K$5&lt;AU$5)*L236+(Q$5&lt;AU$5)*R236+(W$5&lt;AU$5)*X236+(AC$5&lt;AU$5)*AD236+(AI$5&lt;AU$5)*AJ236+(AO$5&lt;AU$5)*AP236)))</f>
        <v/>
      </c>
      <c r="AX236">
        <f>IF(AV236-AW236&lt;0.005,0,AV236-AW236)</f>
        <v/>
      </c>
      <c r="BC236">
        <f>H236+N236+T236+Z236+AF236+AL236+AR236+AX236</f>
        <v/>
      </c>
    </row>
    <row r="237">
      <c r="A237" t="n">
        <v>231</v>
      </c>
      <c r="B237" s="19">
        <f>MAX(0,$B$3-(E237+K237+Q237+W237+AC237+AI237+AO237+AU237))</f>
        <v/>
      </c>
      <c r="C237">
        <f>H236</f>
        <v/>
      </c>
      <c r="D237">
        <f>C237*Plan!D6/100/12</f>
        <v/>
      </c>
      <c r="E237">
        <f>MIN(Plan!E6,C237+D237)</f>
        <v/>
      </c>
      <c r="F237">
        <f>C237+D237-E237</f>
        <v/>
      </c>
      <c r="G237">
        <f>MIN(F237,MAX(0,$B237-((K$5&lt;E$5)*L237+(Q$5&lt;E$5)*R237+(W$5&lt;E$5)*X237+(AC$5&lt;E$5)*AD237+(AI$5&lt;E$5)*AJ237+(AO$5&lt;E$5)*AP237+(AU$5&lt;E$5)*AV237)))</f>
        <v/>
      </c>
      <c r="H237">
        <f>IF(F237-G237&lt;0.005,0,F237-G237)</f>
        <v/>
      </c>
      <c r="I237">
        <f>N236</f>
        <v/>
      </c>
      <c r="J237">
        <f>I237*Plan!D7/100/12</f>
        <v/>
      </c>
      <c r="K237">
        <f>MIN(Plan!E7,I237+J237)</f>
        <v/>
      </c>
      <c r="L237">
        <f>I237+J237-K237</f>
        <v/>
      </c>
      <c r="M237">
        <f>MIN(L237,MAX(0,$B237-((E$5&lt;K$5)*F237+(Q$5&lt;K$5)*R237+(W$5&lt;K$5)*X237+(AC$5&lt;K$5)*AD237+(AI$5&lt;K$5)*AJ237+(AO$5&lt;K$5)*AP237+(AU$5&lt;K$5)*AV237)))</f>
        <v/>
      </c>
      <c r="N237">
        <f>IF(L237-M237&lt;0.005,0,L237-M237)</f>
        <v/>
      </c>
      <c r="O237">
        <f>T236</f>
        <v/>
      </c>
      <c r="P237">
        <f>O237*Plan!D8/100/12</f>
        <v/>
      </c>
      <c r="Q237">
        <f>MIN(Plan!E8,O237+P237)</f>
        <v/>
      </c>
      <c r="R237">
        <f>O237+P237-Q237</f>
        <v/>
      </c>
      <c r="S237">
        <f>MIN(R237,MAX(0,$B237-((E$5&lt;Q$5)*F237+(K$5&lt;Q$5)*L237+(W$5&lt;Q$5)*X237+(AC$5&lt;Q$5)*AD237+(AI$5&lt;Q$5)*AJ237+(AO$5&lt;Q$5)*AP237+(AU$5&lt;Q$5)*AV237)))</f>
        <v/>
      </c>
      <c r="T237">
        <f>IF(R237-S237&lt;0.005,0,R237-S237)</f>
        <v/>
      </c>
      <c r="U237">
        <f>Z236</f>
        <v/>
      </c>
      <c r="V237">
        <f>U237*Plan!D9/100/12</f>
        <v/>
      </c>
      <c r="W237">
        <f>MIN(Plan!E9,U237+V237)</f>
        <v/>
      </c>
      <c r="X237">
        <f>U237+V237-W237</f>
        <v/>
      </c>
      <c r="Y237">
        <f>MIN(X237,MAX(0,$B237-((E$5&lt;W$5)*F237+(K$5&lt;W$5)*L237+(Q$5&lt;W$5)*R237+(AC$5&lt;W$5)*AD237+(AI$5&lt;W$5)*AJ237+(AO$5&lt;W$5)*AP237+(AU$5&lt;W$5)*AV237)))</f>
        <v/>
      </c>
      <c r="Z237">
        <f>IF(X237-Y237&lt;0.005,0,X237-Y237)</f>
        <v/>
      </c>
      <c r="AA237">
        <f>AF236</f>
        <v/>
      </c>
      <c r="AB237">
        <f>AA237*Plan!D10/100/12</f>
        <v/>
      </c>
      <c r="AC237">
        <f>MIN(Plan!E10,AA237+AB237)</f>
        <v/>
      </c>
      <c r="AD237">
        <f>AA237+AB237-AC237</f>
        <v/>
      </c>
      <c r="AE237">
        <f>MIN(AD237,MAX(0,$B237-((E$5&lt;AC$5)*F237+(K$5&lt;AC$5)*L237+(Q$5&lt;AC$5)*R237+(W$5&lt;AC$5)*X237+(AI$5&lt;AC$5)*AJ237+(AO$5&lt;AC$5)*AP237+(AU$5&lt;AC$5)*AV237)))</f>
        <v/>
      </c>
      <c r="AF237">
        <f>IF(AD237-AE237&lt;0.005,0,AD237-AE237)</f>
        <v/>
      </c>
      <c r="AG237">
        <f>AL236</f>
        <v/>
      </c>
      <c r="AH237">
        <f>AG237*Plan!D11/100/12</f>
        <v/>
      </c>
      <c r="AI237">
        <f>MIN(Plan!E11,AG237+AH237)</f>
        <v/>
      </c>
      <c r="AJ237">
        <f>AG237+AH237-AI237</f>
        <v/>
      </c>
      <c r="AK237">
        <f>MIN(AJ237,MAX(0,$B237-((E$5&lt;AI$5)*F237+(K$5&lt;AI$5)*L237+(Q$5&lt;AI$5)*R237+(W$5&lt;AI$5)*X237+(AC$5&lt;AI$5)*AD237+(AO$5&lt;AI$5)*AP237+(AU$5&lt;AI$5)*AV237)))</f>
        <v/>
      </c>
      <c r="AL237">
        <f>IF(AJ237-AK237&lt;0.005,0,AJ237-AK237)</f>
        <v/>
      </c>
      <c r="AM237">
        <f>AR236</f>
        <v/>
      </c>
      <c r="AN237">
        <f>AM237*Plan!D12/100/12</f>
        <v/>
      </c>
      <c r="AO237">
        <f>MIN(Plan!E12,AM237+AN237)</f>
        <v/>
      </c>
      <c r="AP237">
        <f>AM237+AN237-AO237</f>
        <v/>
      </c>
      <c r="AQ237">
        <f>MIN(AP237,MAX(0,$B237-((E$5&lt;AO$5)*F237+(K$5&lt;AO$5)*L237+(Q$5&lt;AO$5)*R237+(W$5&lt;AO$5)*X237+(AC$5&lt;AO$5)*AD237+(AI$5&lt;AO$5)*AJ237+(AU$5&lt;AO$5)*AV237)))</f>
        <v/>
      </c>
      <c r="AR237">
        <f>IF(AP237-AQ237&lt;0.005,0,AP237-AQ237)</f>
        <v/>
      </c>
      <c r="AS237">
        <f>AX236</f>
        <v/>
      </c>
      <c r="AT237">
        <f>AS237*Plan!D13/100/12</f>
        <v/>
      </c>
      <c r="AU237">
        <f>MIN(Plan!E13,AS237+AT237)</f>
        <v/>
      </c>
      <c r="AV237">
        <f>AS237+AT237-AU237</f>
        <v/>
      </c>
      <c r="AW237">
        <f>MIN(AV237,MAX(0,$B237-((E$5&lt;AU$5)*F237+(K$5&lt;AU$5)*L237+(Q$5&lt;AU$5)*R237+(W$5&lt;AU$5)*X237+(AC$5&lt;AU$5)*AD237+(AI$5&lt;AU$5)*AJ237+(AO$5&lt;AU$5)*AP237)))</f>
        <v/>
      </c>
      <c r="AX237">
        <f>IF(AV237-AW237&lt;0.005,0,AV237-AW237)</f>
        <v/>
      </c>
      <c r="BC237">
        <f>H237+N237+T237+Z237+AF237+AL237+AR237+AX237</f>
        <v/>
      </c>
    </row>
    <row r="238">
      <c r="A238" t="n">
        <v>232</v>
      </c>
      <c r="B238" s="19">
        <f>MAX(0,$B$3-(E238+K238+Q238+W238+AC238+AI238+AO238+AU238))</f>
        <v/>
      </c>
      <c r="C238">
        <f>H237</f>
        <v/>
      </c>
      <c r="D238">
        <f>C238*Plan!D6/100/12</f>
        <v/>
      </c>
      <c r="E238">
        <f>MIN(Plan!E6,C238+D238)</f>
        <v/>
      </c>
      <c r="F238">
        <f>C238+D238-E238</f>
        <v/>
      </c>
      <c r="G238">
        <f>MIN(F238,MAX(0,$B238-((K$5&lt;E$5)*L238+(Q$5&lt;E$5)*R238+(W$5&lt;E$5)*X238+(AC$5&lt;E$5)*AD238+(AI$5&lt;E$5)*AJ238+(AO$5&lt;E$5)*AP238+(AU$5&lt;E$5)*AV238)))</f>
        <v/>
      </c>
      <c r="H238">
        <f>IF(F238-G238&lt;0.005,0,F238-G238)</f>
        <v/>
      </c>
      <c r="I238">
        <f>N237</f>
        <v/>
      </c>
      <c r="J238">
        <f>I238*Plan!D7/100/12</f>
        <v/>
      </c>
      <c r="K238">
        <f>MIN(Plan!E7,I238+J238)</f>
        <v/>
      </c>
      <c r="L238">
        <f>I238+J238-K238</f>
        <v/>
      </c>
      <c r="M238">
        <f>MIN(L238,MAX(0,$B238-((E$5&lt;K$5)*F238+(Q$5&lt;K$5)*R238+(W$5&lt;K$5)*X238+(AC$5&lt;K$5)*AD238+(AI$5&lt;K$5)*AJ238+(AO$5&lt;K$5)*AP238+(AU$5&lt;K$5)*AV238)))</f>
        <v/>
      </c>
      <c r="N238">
        <f>IF(L238-M238&lt;0.005,0,L238-M238)</f>
        <v/>
      </c>
      <c r="O238">
        <f>T237</f>
        <v/>
      </c>
      <c r="P238">
        <f>O238*Plan!D8/100/12</f>
        <v/>
      </c>
      <c r="Q238">
        <f>MIN(Plan!E8,O238+P238)</f>
        <v/>
      </c>
      <c r="R238">
        <f>O238+P238-Q238</f>
        <v/>
      </c>
      <c r="S238">
        <f>MIN(R238,MAX(0,$B238-((E$5&lt;Q$5)*F238+(K$5&lt;Q$5)*L238+(W$5&lt;Q$5)*X238+(AC$5&lt;Q$5)*AD238+(AI$5&lt;Q$5)*AJ238+(AO$5&lt;Q$5)*AP238+(AU$5&lt;Q$5)*AV238)))</f>
        <v/>
      </c>
      <c r="T238">
        <f>IF(R238-S238&lt;0.005,0,R238-S238)</f>
        <v/>
      </c>
      <c r="U238">
        <f>Z237</f>
        <v/>
      </c>
      <c r="V238">
        <f>U238*Plan!D9/100/12</f>
        <v/>
      </c>
      <c r="W238">
        <f>MIN(Plan!E9,U238+V238)</f>
        <v/>
      </c>
      <c r="X238">
        <f>U238+V238-W238</f>
        <v/>
      </c>
      <c r="Y238">
        <f>MIN(X238,MAX(0,$B238-((E$5&lt;W$5)*F238+(K$5&lt;W$5)*L238+(Q$5&lt;W$5)*R238+(AC$5&lt;W$5)*AD238+(AI$5&lt;W$5)*AJ238+(AO$5&lt;W$5)*AP238+(AU$5&lt;W$5)*AV238)))</f>
        <v/>
      </c>
      <c r="Z238">
        <f>IF(X238-Y238&lt;0.005,0,X238-Y238)</f>
        <v/>
      </c>
      <c r="AA238">
        <f>AF237</f>
        <v/>
      </c>
      <c r="AB238">
        <f>AA238*Plan!D10/100/12</f>
        <v/>
      </c>
      <c r="AC238">
        <f>MIN(Plan!E10,AA238+AB238)</f>
        <v/>
      </c>
      <c r="AD238">
        <f>AA238+AB238-AC238</f>
        <v/>
      </c>
      <c r="AE238">
        <f>MIN(AD238,MAX(0,$B238-((E$5&lt;AC$5)*F238+(K$5&lt;AC$5)*L238+(Q$5&lt;AC$5)*R238+(W$5&lt;AC$5)*X238+(AI$5&lt;AC$5)*AJ238+(AO$5&lt;AC$5)*AP238+(AU$5&lt;AC$5)*AV238)))</f>
        <v/>
      </c>
      <c r="AF238">
        <f>IF(AD238-AE238&lt;0.005,0,AD238-AE238)</f>
        <v/>
      </c>
      <c r="AG238">
        <f>AL237</f>
        <v/>
      </c>
      <c r="AH238">
        <f>AG238*Plan!D11/100/12</f>
        <v/>
      </c>
      <c r="AI238">
        <f>MIN(Plan!E11,AG238+AH238)</f>
        <v/>
      </c>
      <c r="AJ238">
        <f>AG238+AH238-AI238</f>
        <v/>
      </c>
      <c r="AK238">
        <f>MIN(AJ238,MAX(0,$B238-((E$5&lt;AI$5)*F238+(K$5&lt;AI$5)*L238+(Q$5&lt;AI$5)*R238+(W$5&lt;AI$5)*X238+(AC$5&lt;AI$5)*AD238+(AO$5&lt;AI$5)*AP238+(AU$5&lt;AI$5)*AV238)))</f>
        <v/>
      </c>
      <c r="AL238">
        <f>IF(AJ238-AK238&lt;0.005,0,AJ238-AK238)</f>
        <v/>
      </c>
      <c r="AM238">
        <f>AR237</f>
        <v/>
      </c>
      <c r="AN238">
        <f>AM238*Plan!D12/100/12</f>
        <v/>
      </c>
      <c r="AO238">
        <f>MIN(Plan!E12,AM238+AN238)</f>
        <v/>
      </c>
      <c r="AP238">
        <f>AM238+AN238-AO238</f>
        <v/>
      </c>
      <c r="AQ238">
        <f>MIN(AP238,MAX(0,$B238-((E$5&lt;AO$5)*F238+(K$5&lt;AO$5)*L238+(Q$5&lt;AO$5)*R238+(W$5&lt;AO$5)*X238+(AC$5&lt;AO$5)*AD238+(AI$5&lt;AO$5)*AJ238+(AU$5&lt;AO$5)*AV238)))</f>
        <v/>
      </c>
      <c r="AR238">
        <f>IF(AP238-AQ238&lt;0.005,0,AP238-AQ238)</f>
        <v/>
      </c>
      <c r="AS238">
        <f>AX237</f>
        <v/>
      </c>
      <c r="AT238">
        <f>AS238*Plan!D13/100/12</f>
        <v/>
      </c>
      <c r="AU238">
        <f>MIN(Plan!E13,AS238+AT238)</f>
        <v/>
      </c>
      <c r="AV238">
        <f>AS238+AT238-AU238</f>
        <v/>
      </c>
      <c r="AW238">
        <f>MIN(AV238,MAX(0,$B238-((E$5&lt;AU$5)*F238+(K$5&lt;AU$5)*L238+(Q$5&lt;AU$5)*R238+(W$5&lt;AU$5)*X238+(AC$5&lt;AU$5)*AD238+(AI$5&lt;AU$5)*AJ238+(AO$5&lt;AU$5)*AP238)))</f>
        <v/>
      </c>
      <c r="AX238">
        <f>IF(AV238-AW238&lt;0.005,0,AV238-AW238)</f>
        <v/>
      </c>
      <c r="BC238">
        <f>H238+N238+T238+Z238+AF238+AL238+AR238+AX238</f>
        <v/>
      </c>
    </row>
    <row r="239">
      <c r="A239" t="n">
        <v>233</v>
      </c>
      <c r="B239" s="19">
        <f>MAX(0,$B$3-(E239+K239+Q239+W239+AC239+AI239+AO239+AU239))</f>
        <v/>
      </c>
      <c r="C239">
        <f>H238</f>
        <v/>
      </c>
      <c r="D239">
        <f>C239*Plan!D6/100/12</f>
        <v/>
      </c>
      <c r="E239">
        <f>MIN(Plan!E6,C239+D239)</f>
        <v/>
      </c>
      <c r="F239">
        <f>C239+D239-E239</f>
        <v/>
      </c>
      <c r="G239">
        <f>MIN(F239,MAX(0,$B239-((K$5&lt;E$5)*L239+(Q$5&lt;E$5)*R239+(W$5&lt;E$5)*X239+(AC$5&lt;E$5)*AD239+(AI$5&lt;E$5)*AJ239+(AO$5&lt;E$5)*AP239+(AU$5&lt;E$5)*AV239)))</f>
        <v/>
      </c>
      <c r="H239">
        <f>IF(F239-G239&lt;0.005,0,F239-G239)</f>
        <v/>
      </c>
      <c r="I239">
        <f>N238</f>
        <v/>
      </c>
      <c r="J239">
        <f>I239*Plan!D7/100/12</f>
        <v/>
      </c>
      <c r="K239">
        <f>MIN(Plan!E7,I239+J239)</f>
        <v/>
      </c>
      <c r="L239">
        <f>I239+J239-K239</f>
        <v/>
      </c>
      <c r="M239">
        <f>MIN(L239,MAX(0,$B239-((E$5&lt;K$5)*F239+(Q$5&lt;K$5)*R239+(W$5&lt;K$5)*X239+(AC$5&lt;K$5)*AD239+(AI$5&lt;K$5)*AJ239+(AO$5&lt;K$5)*AP239+(AU$5&lt;K$5)*AV239)))</f>
        <v/>
      </c>
      <c r="N239">
        <f>IF(L239-M239&lt;0.005,0,L239-M239)</f>
        <v/>
      </c>
      <c r="O239">
        <f>T238</f>
        <v/>
      </c>
      <c r="P239">
        <f>O239*Plan!D8/100/12</f>
        <v/>
      </c>
      <c r="Q239">
        <f>MIN(Plan!E8,O239+P239)</f>
        <v/>
      </c>
      <c r="R239">
        <f>O239+P239-Q239</f>
        <v/>
      </c>
      <c r="S239">
        <f>MIN(R239,MAX(0,$B239-((E$5&lt;Q$5)*F239+(K$5&lt;Q$5)*L239+(W$5&lt;Q$5)*X239+(AC$5&lt;Q$5)*AD239+(AI$5&lt;Q$5)*AJ239+(AO$5&lt;Q$5)*AP239+(AU$5&lt;Q$5)*AV239)))</f>
        <v/>
      </c>
      <c r="T239">
        <f>IF(R239-S239&lt;0.005,0,R239-S239)</f>
        <v/>
      </c>
      <c r="U239">
        <f>Z238</f>
        <v/>
      </c>
      <c r="V239">
        <f>U239*Plan!D9/100/12</f>
        <v/>
      </c>
      <c r="W239">
        <f>MIN(Plan!E9,U239+V239)</f>
        <v/>
      </c>
      <c r="X239">
        <f>U239+V239-W239</f>
        <v/>
      </c>
      <c r="Y239">
        <f>MIN(X239,MAX(0,$B239-((E$5&lt;W$5)*F239+(K$5&lt;W$5)*L239+(Q$5&lt;W$5)*R239+(AC$5&lt;W$5)*AD239+(AI$5&lt;W$5)*AJ239+(AO$5&lt;W$5)*AP239+(AU$5&lt;W$5)*AV239)))</f>
        <v/>
      </c>
      <c r="Z239">
        <f>IF(X239-Y239&lt;0.005,0,X239-Y239)</f>
        <v/>
      </c>
      <c r="AA239">
        <f>AF238</f>
        <v/>
      </c>
      <c r="AB239">
        <f>AA239*Plan!D10/100/12</f>
        <v/>
      </c>
      <c r="AC239">
        <f>MIN(Plan!E10,AA239+AB239)</f>
        <v/>
      </c>
      <c r="AD239">
        <f>AA239+AB239-AC239</f>
        <v/>
      </c>
      <c r="AE239">
        <f>MIN(AD239,MAX(0,$B239-((E$5&lt;AC$5)*F239+(K$5&lt;AC$5)*L239+(Q$5&lt;AC$5)*R239+(W$5&lt;AC$5)*X239+(AI$5&lt;AC$5)*AJ239+(AO$5&lt;AC$5)*AP239+(AU$5&lt;AC$5)*AV239)))</f>
        <v/>
      </c>
      <c r="AF239">
        <f>IF(AD239-AE239&lt;0.005,0,AD239-AE239)</f>
        <v/>
      </c>
      <c r="AG239">
        <f>AL238</f>
        <v/>
      </c>
      <c r="AH239">
        <f>AG239*Plan!D11/100/12</f>
        <v/>
      </c>
      <c r="AI239">
        <f>MIN(Plan!E11,AG239+AH239)</f>
        <v/>
      </c>
      <c r="AJ239">
        <f>AG239+AH239-AI239</f>
        <v/>
      </c>
      <c r="AK239">
        <f>MIN(AJ239,MAX(0,$B239-((E$5&lt;AI$5)*F239+(K$5&lt;AI$5)*L239+(Q$5&lt;AI$5)*R239+(W$5&lt;AI$5)*X239+(AC$5&lt;AI$5)*AD239+(AO$5&lt;AI$5)*AP239+(AU$5&lt;AI$5)*AV239)))</f>
        <v/>
      </c>
      <c r="AL239">
        <f>IF(AJ239-AK239&lt;0.005,0,AJ239-AK239)</f>
        <v/>
      </c>
      <c r="AM239">
        <f>AR238</f>
        <v/>
      </c>
      <c r="AN239">
        <f>AM239*Plan!D12/100/12</f>
        <v/>
      </c>
      <c r="AO239">
        <f>MIN(Plan!E12,AM239+AN239)</f>
        <v/>
      </c>
      <c r="AP239">
        <f>AM239+AN239-AO239</f>
        <v/>
      </c>
      <c r="AQ239">
        <f>MIN(AP239,MAX(0,$B239-((E$5&lt;AO$5)*F239+(K$5&lt;AO$5)*L239+(Q$5&lt;AO$5)*R239+(W$5&lt;AO$5)*X239+(AC$5&lt;AO$5)*AD239+(AI$5&lt;AO$5)*AJ239+(AU$5&lt;AO$5)*AV239)))</f>
        <v/>
      </c>
      <c r="AR239">
        <f>IF(AP239-AQ239&lt;0.005,0,AP239-AQ239)</f>
        <v/>
      </c>
      <c r="AS239">
        <f>AX238</f>
        <v/>
      </c>
      <c r="AT239">
        <f>AS239*Plan!D13/100/12</f>
        <v/>
      </c>
      <c r="AU239">
        <f>MIN(Plan!E13,AS239+AT239)</f>
        <v/>
      </c>
      <c r="AV239">
        <f>AS239+AT239-AU239</f>
        <v/>
      </c>
      <c r="AW239">
        <f>MIN(AV239,MAX(0,$B239-((E$5&lt;AU$5)*F239+(K$5&lt;AU$5)*L239+(Q$5&lt;AU$5)*R239+(W$5&lt;AU$5)*X239+(AC$5&lt;AU$5)*AD239+(AI$5&lt;AU$5)*AJ239+(AO$5&lt;AU$5)*AP239)))</f>
        <v/>
      </c>
      <c r="AX239">
        <f>IF(AV239-AW239&lt;0.005,0,AV239-AW239)</f>
        <v/>
      </c>
      <c r="BC239">
        <f>H239+N239+T239+Z239+AF239+AL239+AR239+AX239</f>
        <v/>
      </c>
    </row>
    <row r="240">
      <c r="A240" t="n">
        <v>234</v>
      </c>
      <c r="B240" s="19">
        <f>MAX(0,$B$3-(E240+K240+Q240+W240+AC240+AI240+AO240+AU240))</f>
        <v/>
      </c>
      <c r="C240">
        <f>H239</f>
        <v/>
      </c>
      <c r="D240">
        <f>C240*Plan!D6/100/12</f>
        <v/>
      </c>
      <c r="E240">
        <f>MIN(Plan!E6,C240+D240)</f>
        <v/>
      </c>
      <c r="F240">
        <f>C240+D240-E240</f>
        <v/>
      </c>
      <c r="G240">
        <f>MIN(F240,MAX(0,$B240-((K$5&lt;E$5)*L240+(Q$5&lt;E$5)*R240+(W$5&lt;E$5)*X240+(AC$5&lt;E$5)*AD240+(AI$5&lt;E$5)*AJ240+(AO$5&lt;E$5)*AP240+(AU$5&lt;E$5)*AV240)))</f>
        <v/>
      </c>
      <c r="H240">
        <f>IF(F240-G240&lt;0.005,0,F240-G240)</f>
        <v/>
      </c>
      <c r="I240">
        <f>N239</f>
        <v/>
      </c>
      <c r="J240">
        <f>I240*Plan!D7/100/12</f>
        <v/>
      </c>
      <c r="K240">
        <f>MIN(Plan!E7,I240+J240)</f>
        <v/>
      </c>
      <c r="L240">
        <f>I240+J240-K240</f>
        <v/>
      </c>
      <c r="M240">
        <f>MIN(L240,MAX(0,$B240-((E$5&lt;K$5)*F240+(Q$5&lt;K$5)*R240+(W$5&lt;K$5)*X240+(AC$5&lt;K$5)*AD240+(AI$5&lt;K$5)*AJ240+(AO$5&lt;K$5)*AP240+(AU$5&lt;K$5)*AV240)))</f>
        <v/>
      </c>
      <c r="N240">
        <f>IF(L240-M240&lt;0.005,0,L240-M240)</f>
        <v/>
      </c>
      <c r="O240">
        <f>T239</f>
        <v/>
      </c>
      <c r="P240">
        <f>O240*Plan!D8/100/12</f>
        <v/>
      </c>
      <c r="Q240">
        <f>MIN(Plan!E8,O240+P240)</f>
        <v/>
      </c>
      <c r="R240">
        <f>O240+P240-Q240</f>
        <v/>
      </c>
      <c r="S240">
        <f>MIN(R240,MAX(0,$B240-((E$5&lt;Q$5)*F240+(K$5&lt;Q$5)*L240+(W$5&lt;Q$5)*X240+(AC$5&lt;Q$5)*AD240+(AI$5&lt;Q$5)*AJ240+(AO$5&lt;Q$5)*AP240+(AU$5&lt;Q$5)*AV240)))</f>
        <v/>
      </c>
      <c r="T240">
        <f>IF(R240-S240&lt;0.005,0,R240-S240)</f>
        <v/>
      </c>
      <c r="U240">
        <f>Z239</f>
        <v/>
      </c>
      <c r="V240">
        <f>U240*Plan!D9/100/12</f>
        <v/>
      </c>
      <c r="W240">
        <f>MIN(Plan!E9,U240+V240)</f>
        <v/>
      </c>
      <c r="X240">
        <f>U240+V240-W240</f>
        <v/>
      </c>
      <c r="Y240">
        <f>MIN(X240,MAX(0,$B240-((E$5&lt;W$5)*F240+(K$5&lt;W$5)*L240+(Q$5&lt;W$5)*R240+(AC$5&lt;W$5)*AD240+(AI$5&lt;W$5)*AJ240+(AO$5&lt;W$5)*AP240+(AU$5&lt;W$5)*AV240)))</f>
        <v/>
      </c>
      <c r="Z240">
        <f>IF(X240-Y240&lt;0.005,0,X240-Y240)</f>
        <v/>
      </c>
      <c r="AA240">
        <f>AF239</f>
        <v/>
      </c>
      <c r="AB240">
        <f>AA240*Plan!D10/100/12</f>
        <v/>
      </c>
      <c r="AC240">
        <f>MIN(Plan!E10,AA240+AB240)</f>
        <v/>
      </c>
      <c r="AD240">
        <f>AA240+AB240-AC240</f>
        <v/>
      </c>
      <c r="AE240">
        <f>MIN(AD240,MAX(0,$B240-((E$5&lt;AC$5)*F240+(K$5&lt;AC$5)*L240+(Q$5&lt;AC$5)*R240+(W$5&lt;AC$5)*X240+(AI$5&lt;AC$5)*AJ240+(AO$5&lt;AC$5)*AP240+(AU$5&lt;AC$5)*AV240)))</f>
        <v/>
      </c>
      <c r="AF240">
        <f>IF(AD240-AE240&lt;0.005,0,AD240-AE240)</f>
        <v/>
      </c>
      <c r="AG240">
        <f>AL239</f>
        <v/>
      </c>
      <c r="AH240">
        <f>AG240*Plan!D11/100/12</f>
        <v/>
      </c>
      <c r="AI240">
        <f>MIN(Plan!E11,AG240+AH240)</f>
        <v/>
      </c>
      <c r="AJ240">
        <f>AG240+AH240-AI240</f>
        <v/>
      </c>
      <c r="AK240">
        <f>MIN(AJ240,MAX(0,$B240-((E$5&lt;AI$5)*F240+(K$5&lt;AI$5)*L240+(Q$5&lt;AI$5)*R240+(W$5&lt;AI$5)*X240+(AC$5&lt;AI$5)*AD240+(AO$5&lt;AI$5)*AP240+(AU$5&lt;AI$5)*AV240)))</f>
        <v/>
      </c>
      <c r="AL240">
        <f>IF(AJ240-AK240&lt;0.005,0,AJ240-AK240)</f>
        <v/>
      </c>
      <c r="AM240">
        <f>AR239</f>
        <v/>
      </c>
      <c r="AN240">
        <f>AM240*Plan!D12/100/12</f>
        <v/>
      </c>
      <c r="AO240">
        <f>MIN(Plan!E12,AM240+AN240)</f>
        <v/>
      </c>
      <c r="AP240">
        <f>AM240+AN240-AO240</f>
        <v/>
      </c>
      <c r="AQ240">
        <f>MIN(AP240,MAX(0,$B240-((E$5&lt;AO$5)*F240+(K$5&lt;AO$5)*L240+(Q$5&lt;AO$5)*R240+(W$5&lt;AO$5)*X240+(AC$5&lt;AO$5)*AD240+(AI$5&lt;AO$5)*AJ240+(AU$5&lt;AO$5)*AV240)))</f>
        <v/>
      </c>
      <c r="AR240">
        <f>IF(AP240-AQ240&lt;0.005,0,AP240-AQ240)</f>
        <v/>
      </c>
      <c r="AS240">
        <f>AX239</f>
        <v/>
      </c>
      <c r="AT240">
        <f>AS240*Plan!D13/100/12</f>
        <v/>
      </c>
      <c r="AU240">
        <f>MIN(Plan!E13,AS240+AT240)</f>
        <v/>
      </c>
      <c r="AV240">
        <f>AS240+AT240-AU240</f>
        <v/>
      </c>
      <c r="AW240">
        <f>MIN(AV240,MAX(0,$B240-((E$5&lt;AU$5)*F240+(K$5&lt;AU$5)*L240+(Q$5&lt;AU$5)*R240+(W$5&lt;AU$5)*X240+(AC$5&lt;AU$5)*AD240+(AI$5&lt;AU$5)*AJ240+(AO$5&lt;AU$5)*AP240)))</f>
        <v/>
      </c>
      <c r="AX240">
        <f>IF(AV240-AW240&lt;0.005,0,AV240-AW240)</f>
        <v/>
      </c>
      <c r="BC240">
        <f>H240+N240+T240+Z240+AF240+AL240+AR240+AX240</f>
        <v/>
      </c>
    </row>
    <row r="241">
      <c r="A241" t="n">
        <v>235</v>
      </c>
      <c r="B241" s="19">
        <f>MAX(0,$B$3-(E241+K241+Q241+W241+AC241+AI241+AO241+AU241))</f>
        <v/>
      </c>
      <c r="C241">
        <f>H240</f>
        <v/>
      </c>
      <c r="D241">
        <f>C241*Plan!D6/100/12</f>
        <v/>
      </c>
      <c r="E241">
        <f>MIN(Plan!E6,C241+D241)</f>
        <v/>
      </c>
      <c r="F241">
        <f>C241+D241-E241</f>
        <v/>
      </c>
      <c r="G241">
        <f>MIN(F241,MAX(0,$B241-((K$5&lt;E$5)*L241+(Q$5&lt;E$5)*R241+(W$5&lt;E$5)*X241+(AC$5&lt;E$5)*AD241+(AI$5&lt;E$5)*AJ241+(AO$5&lt;E$5)*AP241+(AU$5&lt;E$5)*AV241)))</f>
        <v/>
      </c>
      <c r="H241">
        <f>IF(F241-G241&lt;0.005,0,F241-G241)</f>
        <v/>
      </c>
      <c r="I241">
        <f>N240</f>
        <v/>
      </c>
      <c r="J241">
        <f>I241*Plan!D7/100/12</f>
        <v/>
      </c>
      <c r="K241">
        <f>MIN(Plan!E7,I241+J241)</f>
        <v/>
      </c>
      <c r="L241">
        <f>I241+J241-K241</f>
        <v/>
      </c>
      <c r="M241">
        <f>MIN(L241,MAX(0,$B241-((E$5&lt;K$5)*F241+(Q$5&lt;K$5)*R241+(W$5&lt;K$5)*X241+(AC$5&lt;K$5)*AD241+(AI$5&lt;K$5)*AJ241+(AO$5&lt;K$5)*AP241+(AU$5&lt;K$5)*AV241)))</f>
        <v/>
      </c>
      <c r="N241">
        <f>IF(L241-M241&lt;0.005,0,L241-M241)</f>
        <v/>
      </c>
      <c r="O241">
        <f>T240</f>
        <v/>
      </c>
      <c r="P241">
        <f>O241*Plan!D8/100/12</f>
        <v/>
      </c>
      <c r="Q241">
        <f>MIN(Plan!E8,O241+P241)</f>
        <v/>
      </c>
      <c r="R241">
        <f>O241+P241-Q241</f>
        <v/>
      </c>
      <c r="S241">
        <f>MIN(R241,MAX(0,$B241-((E$5&lt;Q$5)*F241+(K$5&lt;Q$5)*L241+(W$5&lt;Q$5)*X241+(AC$5&lt;Q$5)*AD241+(AI$5&lt;Q$5)*AJ241+(AO$5&lt;Q$5)*AP241+(AU$5&lt;Q$5)*AV241)))</f>
        <v/>
      </c>
      <c r="T241">
        <f>IF(R241-S241&lt;0.005,0,R241-S241)</f>
        <v/>
      </c>
      <c r="U241">
        <f>Z240</f>
        <v/>
      </c>
      <c r="V241">
        <f>U241*Plan!D9/100/12</f>
        <v/>
      </c>
      <c r="W241">
        <f>MIN(Plan!E9,U241+V241)</f>
        <v/>
      </c>
      <c r="X241">
        <f>U241+V241-W241</f>
        <v/>
      </c>
      <c r="Y241">
        <f>MIN(X241,MAX(0,$B241-((E$5&lt;W$5)*F241+(K$5&lt;W$5)*L241+(Q$5&lt;W$5)*R241+(AC$5&lt;W$5)*AD241+(AI$5&lt;W$5)*AJ241+(AO$5&lt;W$5)*AP241+(AU$5&lt;W$5)*AV241)))</f>
        <v/>
      </c>
      <c r="Z241">
        <f>IF(X241-Y241&lt;0.005,0,X241-Y241)</f>
        <v/>
      </c>
      <c r="AA241">
        <f>AF240</f>
        <v/>
      </c>
      <c r="AB241">
        <f>AA241*Plan!D10/100/12</f>
        <v/>
      </c>
      <c r="AC241">
        <f>MIN(Plan!E10,AA241+AB241)</f>
        <v/>
      </c>
      <c r="AD241">
        <f>AA241+AB241-AC241</f>
        <v/>
      </c>
      <c r="AE241">
        <f>MIN(AD241,MAX(0,$B241-((E$5&lt;AC$5)*F241+(K$5&lt;AC$5)*L241+(Q$5&lt;AC$5)*R241+(W$5&lt;AC$5)*X241+(AI$5&lt;AC$5)*AJ241+(AO$5&lt;AC$5)*AP241+(AU$5&lt;AC$5)*AV241)))</f>
        <v/>
      </c>
      <c r="AF241">
        <f>IF(AD241-AE241&lt;0.005,0,AD241-AE241)</f>
        <v/>
      </c>
      <c r="AG241">
        <f>AL240</f>
        <v/>
      </c>
      <c r="AH241">
        <f>AG241*Plan!D11/100/12</f>
        <v/>
      </c>
      <c r="AI241">
        <f>MIN(Plan!E11,AG241+AH241)</f>
        <v/>
      </c>
      <c r="AJ241">
        <f>AG241+AH241-AI241</f>
        <v/>
      </c>
      <c r="AK241">
        <f>MIN(AJ241,MAX(0,$B241-((E$5&lt;AI$5)*F241+(K$5&lt;AI$5)*L241+(Q$5&lt;AI$5)*R241+(W$5&lt;AI$5)*X241+(AC$5&lt;AI$5)*AD241+(AO$5&lt;AI$5)*AP241+(AU$5&lt;AI$5)*AV241)))</f>
        <v/>
      </c>
      <c r="AL241">
        <f>IF(AJ241-AK241&lt;0.005,0,AJ241-AK241)</f>
        <v/>
      </c>
      <c r="AM241">
        <f>AR240</f>
        <v/>
      </c>
      <c r="AN241">
        <f>AM241*Plan!D12/100/12</f>
        <v/>
      </c>
      <c r="AO241">
        <f>MIN(Plan!E12,AM241+AN241)</f>
        <v/>
      </c>
      <c r="AP241">
        <f>AM241+AN241-AO241</f>
        <v/>
      </c>
      <c r="AQ241">
        <f>MIN(AP241,MAX(0,$B241-((E$5&lt;AO$5)*F241+(K$5&lt;AO$5)*L241+(Q$5&lt;AO$5)*R241+(W$5&lt;AO$5)*X241+(AC$5&lt;AO$5)*AD241+(AI$5&lt;AO$5)*AJ241+(AU$5&lt;AO$5)*AV241)))</f>
        <v/>
      </c>
      <c r="AR241">
        <f>IF(AP241-AQ241&lt;0.005,0,AP241-AQ241)</f>
        <v/>
      </c>
      <c r="AS241">
        <f>AX240</f>
        <v/>
      </c>
      <c r="AT241">
        <f>AS241*Plan!D13/100/12</f>
        <v/>
      </c>
      <c r="AU241">
        <f>MIN(Plan!E13,AS241+AT241)</f>
        <v/>
      </c>
      <c r="AV241">
        <f>AS241+AT241-AU241</f>
        <v/>
      </c>
      <c r="AW241">
        <f>MIN(AV241,MAX(0,$B241-((E$5&lt;AU$5)*F241+(K$5&lt;AU$5)*L241+(Q$5&lt;AU$5)*R241+(W$5&lt;AU$5)*X241+(AC$5&lt;AU$5)*AD241+(AI$5&lt;AU$5)*AJ241+(AO$5&lt;AU$5)*AP241)))</f>
        <v/>
      </c>
      <c r="AX241">
        <f>IF(AV241-AW241&lt;0.005,0,AV241-AW241)</f>
        <v/>
      </c>
      <c r="BC241">
        <f>H241+N241+T241+Z241+AF241+AL241+AR241+AX241</f>
        <v/>
      </c>
    </row>
    <row r="242">
      <c r="A242" t="n">
        <v>236</v>
      </c>
      <c r="B242" s="19">
        <f>MAX(0,$B$3-(E242+K242+Q242+W242+AC242+AI242+AO242+AU242))</f>
        <v/>
      </c>
      <c r="C242">
        <f>H241</f>
        <v/>
      </c>
      <c r="D242">
        <f>C242*Plan!D6/100/12</f>
        <v/>
      </c>
      <c r="E242">
        <f>MIN(Plan!E6,C242+D242)</f>
        <v/>
      </c>
      <c r="F242">
        <f>C242+D242-E242</f>
        <v/>
      </c>
      <c r="G242">
        <f>MIN(F242,MAX(0,$B242-((K$5&lt;E$5)*L242+(Q$5&lt;E$5)*R242+(W$5&lt;E$5)*X242+(AC$5&lt;E$5)*AD242+(AI$5&lt;E$5)*AJ242+(AO$5&lt;E$5)*AP242+(AU$5&lt;E$5)*AV242)))</f>
        <v/>
      </c>
      <c r="H242">
        <f>IF(F242-G242&lt;0.005,0,F242-G242)</f>
        <v/>
      </c>
      <c r="I242">
        <f>N241</f>
        <v/>
      </c>
      <c r="J242">
        <f>I242*Plan!D7/100/12</f>
        <v/>
      </c>
      <c r="K242">
        <f>MIN(Plan!E7,I242+J242)</f>
        <v/>
      </c>
      <c r="L242">
        <f>I242+J242-K242</f>
        <v/>
      </c>
      <c r="M242">
        <f>MIN(L242,MAX(0,$B242-((E$5&lt;K$5)*F242+(Q$5&lt;K$5)*R242+(W$5&lt;K$5)*X242+(AC$5&lt;K$5)*AD242+(AI$5&lt;K$5)*AJ242+(AO$5&lt;K$5)*AP242+(AU$5&lt;K$5)*AV242)))</f>
        <v/>
      </c>
      <c r="N242">
        <f>IF(L242-M242&lt;0.005,0,L242-M242)</f>
        <v/>
      </c>
      <c r="O242">
        <f>T241</f>
        <v/>
      </c>
      <c r="P242">
        <f>O242*Plan!D8/100/12</f>
        <v/>
      </c>
      <c r="Q242">
        <f>MIN(Plan!E8,O242+P242)</f>
        <v/>
      </c>
      <c r="R242">
        <f>O242+P242-Q242</f>
        <v/>
      </c>
      <c r="S242">
        <f>MIN(R242,MAX(0,$B242-((E$5&lt;Q$5)*F242+(K$5&lt;Q$5)*L242+(W$5&lt;Q$5)*X242+(AC$5&lt;Q$5)*AD242+(AI$5&lt;Q$5)*AJ242+(AO$5&lt;Q$5)*AP242+(AU$5&lt;Q$5)*AV242)))</f>
        <v/>
      </c>
      <c r="T242">
        <f>IF(R242-S242&lt;0.005,0,R242-S242)</f>
        <v/>
      </c>
      <c r="U242">
        <f>Z241</f>
        <v/>
      </c>
      <c r="V242">
        <f>U242*Plan!D9/100/12</f>
        <v/>
      </c>
      <c r="W242">
        <f>MIN(Plan!E9,U242+V242)</f>
        <v/>
      </c>
      <c r="X242">
        <f>U242+V242-W242</f>
        <v/>
      </c>
      <c r="Y242">
        <f>MIN(X242,MAX(0,$B242-((E$5&lt;W$5)*F242+(K$5&lt;W$5)*L242+(Q$5&lt;W$5)*R242+(AC$5&lt;W$5)*AD242+(AI$5&lt;W$5)*AJ242+(AO$5&lt;W$5)*AP242+(AU$5&lt;W$5)*AV242)))</f>
        <v/>
      </c>
      <c r="Z242">
        <f>IF(X242-Y242&lt;0.005,0,X242-Y242)</f>
        <v/>
      </c>
      <c r="AA242">
        <f>AF241</f>
        <v/>
      </c>
      <c r="AB242">
        <f>AA242*Plan!D10/100/12</f>
        <v/>
      </c>
      <c r="AC242">
        <f>MIN(Plan!E10,AA242+AB242)</f>
        <v/>
      </c>
      <c r="AD242">
        <f>AA242+AB242-AC242</f>
        <v/>
      </c>
      <c r="AE242">
        <f>MIN(AD242,MAX(0,$B242-((E$5&lt;AC$5)*F242+(K$5&lt;AC$5)*L242+(Q$5&lt;AC$5)*R242+(W$5&lt;AC$5)*X242+(AI$5&lt;AC$5)*AJ242+(AO$5&lt;AC$5)*AP242+(AU$5&lt;AC$5)*AV242)))</f>
        <v/>
      </c>
      <c r="AF242">
        <f>IF(AD242-AE242&lt;0.005,0,AD242-AE242)</f>
        <v/>
      </c>
      <c r="AG242">
        <f>AL241</f>
        <v/>
      </c>
      <c r="AH242">
        <f>AG242*Plan!D11/100/12</f>
        <v/>
      </c>
      <c r="AI242">
        <f>MIN(Plan!E11,AG242+AH242)</f>
        <v/>
      </c>
      <c r="AJ242">
        <f>AG242+AH242-AI242</f>
        <v/>
      </c>
      <c r="AK242">
        <f>MIN(AJ242,MAX(0,$B242-((E$5&lt;AI$5)*F242+(K$5&lt;AI$5)*L242+(Q$5&lt;AI$5)*R242+(W$5&lt;AI$5)*X242+(AC$5&lt;AI$5)*AD242+(AO$5&lt;AI$5)*AP242+(AU$5&lt;AI$5)*AV242)))</f>
        <v/>
      </c>
      <c r="AL242">
        <f>IF(AJ242-AK242&lt;0.005,0,AJ242-AK242)</f>
        <v/>
      </c>
      <c r="AM242">
        <f>AR241</f>
        <v/>
      </c>
      <c r="AN242">
        <f>AM242*Plan!D12/100/12</f>
        <v/>
      </c>
      <c r="AO242">
        <f>MIN(Plan!E12,AM242+AN242)</f>
        <v/>
      </c>
      <c r="AP242">
        <f>AM242+AN242-AO242</f>
        <v/>
      </c>
      <c r="AQ242">
        <f>MIN(AP242,MAX(0,$B242-((E$5&lt;AO$5)*F242+(K$5&lt;AO$5)*L242+(Q$5&lt;AO$5)*R242+(W$5&lt;AO$5)*X242+(AC$5&lt;AO$5)*AD242+(AI$5&lt;AO$5)*AJ242+(AU$5&lt;AO$5)*AV242)))</f>
        <v/>
      </c>
      <c r="AR242">
        <f>IF(AP242-AQ242&lt;0.005,0,AP242-AQ242)</f>
        <v/>
      </c>
      <c r="AS242">
        <f>AX241</f>
        <v/>
      </c>
      <c r="AT242">
        <f>AS242*Plan!D13/100/12</f>
        <v/>
      </c>
      <c r="AU242">
        <f>MIN(Plan!E13,AS242+AT242)</f>
        <v/>
      </c>
      <c r="AV242">
        <f>AS242+AT242-AU242</f>
        <v/>
      </c>
      <c r="AW242">
        <f>MIN(AV242,MAX(0,$B242-((E$5&lt;AU$5)*F242+(K$5&lt;AU$5)*L242+(Q$5&lt;AU$5)*R242+(W$5&lt;AU$5)*X242+(AC$5&lt;AU$5)*AD242+(AI$5&lt;AU$5)*AJ242+(AO$5&lt;AU$5)*AP242)))</f>
        <v/>
      </c>
      <c r="AX242">
        <f>IF(AV242-AW242&lt;0.005,0,AV242-AW242)</f>
        <v/>
      </c>
      <c r="BC242">
        <f>H242+N242+T242+Z242+AF242+AL242+AR242+AX242</f>
        <v/>
      </c>
    </row>
    <row r="243">
      <c r="A243" t="n">
        <v>237</v>
      </c>
      <c r="B243" s="19">
        <f>MAX(0,$B$3-(E243+K243+Q243+W243+AC243+AI243+AO243+AU243))</f>
        <v/>
      </c>
      <c r="C243">
        <f>H242</f>
        <v/>
      </c>
      <c r="D243">
        <f>C243*Plan!D6/100/12</f>
        <v/>
      </c>
      <c r="E243">
        <f>MIN(Plan!E6,C243+D243)</f>
        <v/>
      </c>
      <c r="F243">
        <f>C243+D243-E243</f>
        <v/>
      </c>
      <c r="G243">
        <f>MIN(F243,MAX(0,$B243-((K$5&lt;E$5)*L243+(Q$5&lt;E$5)*R243+(W$5&lt;E$5)*X243+(AC$5&lt;E$5)*AD243+(AI$5&lt;E$5)*AJ243+(AO$5&lt;E$5)*AP243+(AU$5&lt;E$5)*AV243)))</f>
        <v/>
      </c>
      <c r="H243">
        <f>IF(F243-G243&lt;0.005,0,F243-G243)</f>
        <v/>
      </c>
      <c r="I243">
        <f>N242</f>
        <v/>
      </c>
      <c r="J243">
        <f>I243*Plan!D7/100/12</f>
        <v/>
      </c>
      <c r="K243">
        <f>MIN(Plan!E7,I243+J243)</f>
        <v/>
      </c>
      <c r="L243">
        <f>I243+J243-K243</f>
        <v/>
      </c>
      <c r="M243">
        <f>MIN(L243,MAX(0,$B243-((E$5&lt;K$5)*F243+(Q$5&lt;K$5)*R243+(W$5&lt;K$5)*X243+(AC$5&lt;K$5)*AD243+(AI$5&lt;K$5)*AJ243+(AO$5&lt;K$5)*AP243+(AU$5&lt;K$5)*AV243)))</f>
        <v/>
      </c>
      <c r="N243">
        <f>IF(L243-M243&lt;0.005,0,L243-M243)</f>
        <v/>
      </c>
      <c r="O243">
        <f>T242</f>
        <v/>
      </c>
      <c r="P243">
        <f>O243*Plan!D8/100/12</f>
        <v/>
      </c>
      <c r="Q243">
        <f>MIN(Plan!E8,O243+P243)</f>
        <v/>
      </c>
      <c r="R243">
        <f>O243+P243-Q243</f>
        <v/>
      </c>
      <c r="S243">
        <f>MIN(R243,MAX(0,$B243-((E$5&lt;Q$5)*F243+(K$5&lt;Q$5)*L243+(W$5&lt;Q$5)*X243+(AC$5&lt;Q$5)*AD243+(AI$5&lt;Q$5)*AJ243+(AO$5&lt;Q$5)*AP243+(AU$5&lt;Q$5)*AV243)))</f>
        <v/>
      </c>
      <c r="T243">
        <f>IF(R243-S243&lt;0.005,0,R243-S243)</f>
        <v/>
      </c>
      <c r="U243">
        <f>Z242</f>
        <v/>
      </c>
      <c r="V243">
        <f>U243*Plan!D9/100/12</f>
        <v/>
      </c>
      <c r="W243">
        <f>MIN(Plan!E9,U243+V243)</f>
        <v/>
      </c>
      <c r="X243">
        <f>U243+V243-W243</f>
        <v/>
      </c>
      <c r="Y243">
        <f>MIN(X243,MAX(0,$B243-((E$5&lt;W$5)*F243+(K$5&lt;W$5)*L243+(Q$5&lt;W$5)*R243+(AC$5&lt;W$5)*AD243+(AI$5&lt;W$5)*AJ243+(AO$5&lt;W$5)*AP243+(AU$5&lt;W$5)*AV243)))</f>
        <v/>
      </c>
      <c r="Z243">
        <f>IF(X243-Y243&lt;0.005,0,X243-Y243)</f>
        <v/>
      </c>
      <c r="AA243">
        <f>AF242</f>
        <v/>
      </c>
      <c r="AB243">
        <f>AA243*Plan!D10/100/12</f>
        <v/>
      </c>
      <c r="AC243">
        <f>MIN(Plan!E10,AA243+AB243)</f>
        <v/>
      </c>
      <c r="AD243">
        <f>AA243+AB243-AC243</f>
        <v/>
      </c>
      <c r="AE243">
        <f>MIN(AD243,MAX(0,$B243-((E$5&lt;AC$5)*F243+(K$5&lt;AC$5)*L243+(Q$5&lt;AC$5)*R243+(W$5&lt;AC$5)*X243+(AI$5&lt;AC$5)*AJ243+(AO$5&lt;AC$5)*AP243+(AU$5&lt;AC$5)*AV243)))</f>
        <v/>
      </c>
      <c r="AF243">
        <f>IF(AD243-AE243&lt;0.005,0,AD243-AE243)</f>
        <v/>
      </c>
      <c r="AG243">
        <f>AL242</f>
        <v/>
      </c>
      <c r="AH243">
        <f>AG243*Plan!D11/100/12</f>
        <v/>
      </c>
      <c r="AI243">
        <f>MIN(Plan!E11,AG243+AH243)</f>
        <v/>
      </c>
      <c r="AJ243">
        <f>AG243+AH243-AI243</f>
        <v/>
      </c>
      <c r="AK243">
        <f>MIN(AJ243,MAX(0,$B243-((E$5&lt;AI$5)*F243+(K$5&lt;AI$5)*L243+(Q$5&lt;AI$5)*R243+(W$5&lt;AI$5)*X243+(AC$5&lt;AI$5)*AD243+(AO$5&lt;AI$5)*AP243+(AU$5&lt;AI$5)*AV243)))</f>
        <v/>
      </c>
      <c r="AL243">
        <f>IF(AJ243-AK243&lt;0.005,0,AJ243-AK243)</f>
        <v/>
      </c>
      <c r="AM243">
        <f>AR242</f>
        <v/>
      </c>
      <c r="AN243">
        <f>AM243*Plan!D12/100/12</f>
        <v/>
      </c>
      <c r="AO243">
        <f>MIN(Plan!E12,AM243+AN243)</f>
        <v/>
      </c>
      <c r="AP243">
        <f>AM243+AN243-AO243</f>
        <v/>
      </c>
      <c r="AQ243">
        <f>MIN(AP243,MAX(0,$B243-((E$5&lt;AO$5)*F243+(K$5&lt;AO$5)*L243+(Q$5&lt;AO$5)*R243+(W$5&lt;AO$5)*X243+(AC$5&lt;AO$5)*AD243+(AI$5&lt;AO$5)*AJ243+(AU$5&lt;AO$5)*AV243)))</f>
        <v/>
      </c>
      <c r="AR243">
        <f>IF(AP243-AQ243&lt;0.005,0,AP243-AQ243)</f>
        <v/>
      </c>
      <c r="AS243">
        <f>AX242</f>
        <v/>
      </c>
      <c r="AT243">
        <f>AS243*Plan!D13/100/12</f>
        <v/>
      </c>
      <c r="AU243">
        <f>MIN(Plan!E13,AS243+AT243)</f>
        <v/>
      </c>
      <c r="AV243">
        <f>AS243+AT243-AU243</f>
        <v/>
      </c>
      <c r="AW243">
        <f>MIN(AV243,MAX(0,$B243-((E$5&lt;AU$5)*F243+(K$5&lt;AU$5)*L243+(Q$5&lt;AU$5)*R243+(W$5&lt;AU$5)*X243+(AC$5&lt;AU$5)*AD243+(AI$5&lt;AU$5)*AJ243+(AO$5&lt;AU$5)*AP243)))</f>
        <v/>
      </c>
      <c r="AX243">
        <f>IF(AV243-AW243&lt;0.005,0,AV243-AW243)</f>
        <v/>
      </c>
      <c r="BC243">
        <f>H243+N243+T243+Z243+AF243+AL243+AR243+AX243</f>
        <v/>
      </c>
    </row>
    <row r="244">
      <c r="A244" t="n">
        <v>238</v>
      </c>
      <c r="B244" s="19">
        <f>MAX(0,$B$3-(E244+K244+Q244+W244+AC244+AI244+AO244+AU244))</f>
        <v/>
      </c>
      <c r="C244">
        <f>H243</f>
        <v/>
      </c>
      <c r="D244">
        <f>C244*Plan!D6/100/12</f>
        <v/>
      </c>
      <c r="E244">
        <f>MIN(Plan!E6,C244+D244)</f>
        <v/>
      </c>
      <c r="F244">
        <f>C244+D244-E244</f>
        <v/>
      </c>
      <c r="G244">
        <f>MIN(F244,MAX(0,$B244-((K$5&lt;E$5)*L244+(Q$5&lt;E$5)*R244+(W$5&lt;E$5)*X244+(AC$5&lt;E$5)*AD244+(AI$5&lt;E$5)*AJ244+(AO$5&lt;E$5)*AP244+(AU$5&lt;E$5)*AV244)))</f>
        <v/>
      </c>
      <c r="H244">
        <f>IF(F244-G244&lt;0.005,0,F244-G244)</f>
        <v/>
      </c>
      <c r="I244">
        <f>N243</f>
        <v/>
      </c>
      <c r="J244">
        <f>I244*Plan!D7/100/12</f>
        <v/>
      </c>
      <c r="K244">
        <f>MIN(Plan!E7,I244+J244)</f>
        <v/>
      </c>
      <c r="L244">
        <f>I244+J244-K244</f>
        <v/>
      </c>
      <c r="M244">
        <f>MIN(L244,MAX(0,$B244-((E$5&lt;K$5)*F244+(Q$5&lt;K$5)*R244+(W$5&lt;K$5)*X244+(AC$5&lt;K$5)*AD244+(AI$5&lt;K$5)*AJ244+(AO$5&lt;K$5)*AP244+(AU$5&lt;K$5)*AV244)))</f>
        <v/>
      </c>
      <c r="N244">
        <f>IF(L244-M244&lt;0.005,0,L244-M244)</f>
        <v/>
      </c>
      <c r="O244">
        <f>T243</f>
        <v/>
      </c>
      <c r="P244">
        <f>O244*Plan!D8/100/12</f>
        <v/>
      </c>
      <c r="Q244">
        <f>MIN(Plan!E8,O244+P244)</f>
        <v/>
      </c>
      <c r="R244">
        <f>O244+P244-Q244</f>
        <v/>
      </c>
      <c r="S244">
        <f>MIN(R244,MAX(0,$B244-((E$5&lt;Q$5)*F244+(K$5&lt;Q$5)*L244+(W$5&lt;Q$5)*X244+(AC$5&lt;Q$5)*AD244+(AI$5&lt;Q$5)*AJ244+(AO$5&lt;Q$5)*AP244+(AU$5&lt;Q$5)*AV244)))</f>
        <v/>
      </c>
      <c r="T244">
        <f>IF(R244-S244&lt;0.005,0,R244-S244)</f>
        <v/>
      </c>
      <c r="U244">
        <f>Z243</f>
        <v/>
      </c>
      <c r="V244">
        <f>U244*Plan!D9/100/12</f>
        <v/>
      </c>
      <c r="W244">
        <f>MIN(Plan!E9,U244+V244)</f>
        <v/>
      </c>
      <c r="X244">
        <f>U244+V244-W244</f>
        <v/>
      </c>
      <c r="Y244">
        <f>MIN(X244,MAX(0,$B244-((E$5&lt;W$5)*F244+(K$5&lt;W$5)*L244+(Q$5&lt;W$5)*R244+(AC$5&lt;W$5)*AD244+(AI$5&lt;W$5)*AJ244+(AO$5&lt;W$5)*AP244+(AU$5&lt;W$5)*AV244)))</f>
        <v/>
      </c>
      <c r="Z244">
        <f>IF(X244-Y244&lt;0.005,0,X244-Y244)</f>
        <v/>
      </c>
      <c r="AA244">
        <f>AF243</f>
        <v/>
      </c>
      <c r="AB244">
        <f>AA244*Plan!D10/100/12</f>
        <v/>
      </c>
      <c r="AC244">
        <f>MIN(Plan!E10,AA244+AB244)</f>
        <v/>
      </c>
      <c r="AD244">
        <f>AA244+AB244-AC244</f>
        <v/>
      </c>
      <c r="AE244">
        <f>MIN(AD244,MAX(0,$B244-((E$5&lt;AC$5)*F244+(K$5&lt;AC$5)*L244+(Q$5&lt;AC$5)*R244+(W$5&lt;AC$5)*X244+(AI$5&lt;AC$5)*AJ244+(AO$5&lt;AC$5)*AP244+(AU$5&lt;AC$5)*AV244)))</f>
        <v/>
      </c>
      <c r="AF244">
        <f>IF(AD244-AE244&lt;0.005,0,AD244-AE244)</f>
        <v/>
      </c>
      <c r="AG244">
        <f>AL243</f>
        <v/>
      </c>
      <c r="AH244">
        <f>AG244*Plan!D11/100/12</f>
        <v/>
      </c>
      <c r="AI244">
        <f>MIN(Plan!E11,AG244+AH244)</f>
        <v/>
      </c>
      <c r="AJ244">
        <f>AG244+AH244-AI244</f>
        <v/>
      </c>
      <c r="AK244">
        <f>MIN(AJ244,MAX(0,$B244-((E$5&lt;AI$5)*F244+(K$5&lt;AI$5)*L244+(Q$5&lt;AI$5)*R244+(W$5&lt;AI$5)*X244+(AC$5&lt;AI$5)*AD244+(AO$5&lt;AI$5)*AP244+(AU$5&lt;AI$5)*AV244)))</f>
        <v/>
      </c>
      <c r="AL244">
        <f>IF(AJ244-AK244&lt;0.005,0,AJ244-AK244)</f>
        <v/>
      </c>
      <c r="AM244">
        <f>AR243</f>
        <v/>
      </c>
      <c r="AN244">
        <f>AM244*Plan!D12/100/12</f>
        <v/>
      </c>
      <c r="AO244">
        <f>MIN(Plan!E12,AM244+AN244)</f>
        <v/>
      </c>
      <c r="AP244">
        <f>AM244+AN244-AO244</f>
        <v/>
      </c>
      <c r="AQ244">
        <f>MIN(AP244,MAX(0,$B244-((E$5&lt;AO$5)*F244+(K$5&lt;AO$5)*L244+(Q$5&lt;AO$5)*R244+(W$5&lt;AO$5)*X244+(AC$5&lt;AO$5)*AD244+(AI$5&lt;AO$5)*AJ244+(AU$5&lt;AO$5)*AV244)))</f>
        <v/>
      </c>
      <c r="AR244">
        <f>IF(AP244-AQ244&lt;0.005,0,AP244-AQ244)</f>
        <v/>
      </c>
      <c r="AS244">
        <f>AX243</f>
        <v/>
      </c>
      <c r="AT244">
        <f>AS244*Plan!D13/100/12</f>
        <v/>
      </c>
      <c r="AU244">
        <f>MIN(Plan!E13,AS244+AT244)</f>
        <v/>
      </c>
      <c r="AV244">
        <f>AS244+AT244-AU244</f>
        <v/>
      </c>
      <c r="AW244">
        <f>MIN(AV244,MAX(0,$B244-((E$5&lt;AU$5)*F244+(K$5&lt;AU$5)*L244+(Q$5&lt;AU$5)*R244+(W$5&lt;AU$5)*X244+(AC$5&lt;AU$5)*AD244+(AI$5&lt;AU$5)*AJ244+(AO$5&lt;AU$5)*AP244)))</f>
        <v/>
      </c>
      <c r="AX244">
        <f>IF(AV244-AW244&lt;0.005,0,AV244-AW244)</f>
        <v/>
      </c>
      <c r="BC244">
        <f>H244+N244+T244+Z244+AF244+AL244+AR244+AX244</f>
        <v/>
      </c>
    </row>
    <row r="245">
      <c r="A245" t="n">
        <v>239</v>
      </c>
      <c r="B245" s="19">
        <f>MAX(0,$B$3-(E245+K245+Q245+W245+AC245+AI245+AO245+AU245))</f>
        <v/>
      </c>
      <c r="C245">
        <f>H244</f>
        <v/>
      </c>
      <c r="D245">
        <f>C245*Plan!D6/100/12</f>
        <v/>
      </c>
      <c r="E245">
        <f>MIN(Plan!E6,C245+D245)</f>
        <v/>
      </c>
      <c r="F245">
        <f>C245+D245-E245</f>
        <v/>
      </c>
      <c r="G245">
        <f>MIN(F245,MAX(0,$B245-((K$5&lt;E$5)*L245+(Q$5&lt;E$5)*R245+(W$5&lt;E$5)*X245+(AC$5&lt;E$5)*AD245+(AI$5&lt;E$5)*AJ245+(AO$5&lt;E$5)*AP245+(AU$5&lt;E$5)*AV245)))</f>
        <v/>
      </c>
      <c r="H245">
        <f>IF(F245-G245&lt;0.005,0,F245-G245)</f>
        <v/>
      </c>
      <c r="I245">
        <f>N244</f>
        <v/>
      </c>
      <c r="J245">
        <f>I245*Plan!D7/100/12</f>
        <v/>
      </c>
      <c r="K245">
        <f>MIN(Plan!E7,I245+J245)</f>
        <v/>
      </c>
      <c r="L245">
        <f>I245+J245-K245</f>
        <v/>
      </c>
      <c r="M245">
        <f>MIN(L245,MAX(0,$B245-((E$5&lt;K$5)*F245+(Q$5&lt;K$5)*R245+(W$5&lt;K$5)*X245+(AC$5&lt;K$5)*AD245+(AI$5&lt;K$5)*AJ245+(AO$5&lt;K$5)*AP245+(AU$5&lt;K$5)*AV245)))</f>
        <v/>
      </c>
      <c r="N245">
        <f>IF(L245-M245&lt;0.005,0,L245-M245)</f>
        <v/>
      </c>
      <c r="O245">
        <f>T244</f>
        <v/>
      </c>
      <c r="P245">
        <f>O245*Plan!D8/100/12</f>
        <v/>
      </c>
      <c r="Q245">
        <f>MIN(Plan!E8,O245+P245)</f>
        <v/>
      </c>
      <c r="R245">
        <f>O245+P245-Q245</f>
        <v/>
      </c>
      <c r="S245">
        <f>MIN(R245,MAX(0,$B245-((E$5&lt;Q$5)*F245+(K$5&lt;Q$5)*L245+(W$5&lt;Q$5)*X245+(AC$5&lt;Q$5)*AD245+(AI$5&lt;Q$5)*AJ245+(AO$5&lt;Q$5)*AP245+(AU$5&lt;Q$5)*AV245)))</f>
        <v/>
      </c>
      <c r="T245">
        <f>IF(R245-S245&lt;0.005,0,R245-S245)</f>
        <v/>
      </c>
      <c r="U245">
        <f>Z244</f>
        <v/>
      </c>
      <c r="V245">
        <f>U245*Plan!D9/100/12</f>
        <v/>
      </c>
      <c r="W245">
        <f>MIN(Plan!E9,U245+V245)</f>
        <v/>
      </c>
      <c r="X245">
        <f>U245+V245-W245</f>
        <v/>
      </c>
      <c r="Y245">
        <f>MIN(X245,MAX(0,$B245-((E$5&lt;W$5)*F245+(K$5&lt;W$5)*L245+(Q$5&lt;W$5)*R245+(AC$5&lt;W$5)*AD245+(AI$5&lt;W$5)*AJ245+(AO$5&lt;W$5)*AP245+(AU$5&lt;W$5)*AV245)))</f>
        <v/>
      </c>
      <c r="Z245">
        <f>IF(X245-Y245&lt;0.005,0,X245-Y245)</f>
        <v/>
      </c>
      <c r="AA245">
        <f>AF244</f>
        <v/>
      </c>
      <c r="AB245">
        <f>AA245*Plan!D10/100/12</f>
        <v/>
      </c>
      <c r="AC245">
        <f>MIN(Plan!E10,AA245+AB245)</f>
        <v/>
      </c>
      <c r="AD245">
        <f>AA245+AB245-AC245</f>
        <v/>
      </c>
      <c r="AE245">
        <f>MIN(AD245,MAX(0,$B245-((E$5&lt;AC$5)*F245+(K$5&lt;AC$5)*L245+(Q$5&lt;AC$5)*R245+(W$5&lt;AC$5)*X245+(AI$5&lt;AC$5)*AJ245+(AO$5&lt;AC$5)*AP245+(AU$5&lt;AC$5)*AV245)))</f>
        <v/>
      </c>
      <c r="AF245">
        <f>IF(AD245-AE245&lt;0.005,0,AD245-AE245)</f>
        <v/>
      </c>
      <c r="AG245">
        <f>AL244</f>
        <v/>
      </c>
      <c r="AH245">
        <f>AG245*Plan!D11/100/12</f>
        <v/>
      </c>
      <c r="AI245">
        <f>MIN(Plan!E11,AG245+AH245)</f>
        <v/>
      </c>
      <c r="AJ245">
        <f>AG245+AH245-AI245</f>
        <v/>
      </c>
      <c r="AK245">
        <f>MIN(AJ245,MAX(0,$B245-((E$5&lt;AI$5)*F245+(K$5&lt;AI$5)*L245+(Q$5&lt;AI$5)*R245+(W$5&lt;AI$5)*X245+(AC$5&lt;AI$5)*AD245+(AO$5&lt;AI$5)*AP245+(AU$5&lt;AI$5)*AV245)))</f>
        <v/>
      </c>
      <c r="AL245">
        <f>IF(AJ245-AK245&lt;0.005,0,AJ245-AK245)</f>
        <v/>
      </c>
      <c r="AM245">
        <f>AR244</f>
        <v/>
      </c>
      <c r="AN245">
        <f>AM245*Plan!D12/100/12</f>
        <v/>
      </c>
      <c r="AO245">
        <f>MIN(Plan!E12,AM245+AN245)</f>
        <v/>
      </c>
      <c r="AP245">
        <f>AM245+AN245-AO245</f>
        <v/>
      </c>
      <c r="AQ245">
        <f>MIN(AP245,MAX(0,$B245-((E$5&lt;AO$5)*F245+(K$5&lt;AO$5)*L245+(Q$5&lt;AO$5)*R245+(W$5&lt;AO$5)*X245+(AC$5&lt;AO$5)*AD245+(AI$5&lt;AO$5)*AJ245+(AU$5&lt;AO$5)*AV245)))</f>
        <v/>
      </c>
      <c r="AR245">
        <f>IF(AP245-AQ245&lt;0.005,0,AP245-AQ245)</f>
        <v/>
      </c>
      <c r="AS245">
        <f>AX244</f>
        <v/>
      </c>
      <c r="AT245">
        <f>AS245*Plan!D13/100/12</f>
        <v/>
      </c>
      <c r="AU245">
        <f>MIN(Plan!E13,AS245+AT245)</f>
        <v/>
      </c>
      <c r="AV245">
        <f>AS245+AT245-AU245</f>
        <v/>
      </c>
      <c r="AW245">
        <f>MIN(AV245,MAX(0,$B245-((E$5&lt;AU$5)*F245+(K$5&lt;AU$5)*L245+(Q$5&lt;AU$5)*R245+(W$5&lt;AU$5)*X245+(AC$5&lt;AU$5)*AD245+(AI$5&lt;AU$5)*AJ245+(AO$5&lt;AU$5)*AP245)))</f>
        <v/>
      </c>
      <c r="AX245">
        <f>IF(AV245-AW245&lt;0.005,0,AV245-AW245)</f>
        <v/>
      </c>
      <c r="BC245">
        <f>H245+N245+T245+Z245+AF245+AL245+AR245+AX245</f>
        <v/>
      </c>
    </row>
    <row r="246">
      <c r="A246" t="n">
        <v>240</v>
      </c>
      <c r="B246" s="19">
        <f>MAX(0,$B$3-(E246+K246+Q246+W246+AC246+AI246+AO246+AU246))</f>
        <v/>
      </c>
      <c r="C246">
        <f>H245</f>
        <v/>
      </c>
      <c r="D246">
        <f>C246*Plan!D6/100/12</f>
        <v/>
      </c>
      <c r="E246">
        <f>MIN(Plan!E6,C246+D246)</f>
        <v/>
      </c>
      <c r="F246">
        <f>C246+D246-E246</f>
        <v/>
      </c>
      <c r="G246">
        <f>MIN(F246,MAX(0,$B246-((K$5&lt;E$5)*L246+(Q$5&lt;E$5)*R246+(W$5&lt;E$5)*X246+(AC$5&lt;E$5)*AD246+(AI$5&lt;E$5)*AJ246+(AO$5&lt;E$5)*AP246+(AU$5&lt;E$5)*AV246)))</f>
        <v/>
      </c>
      <c r="H246">
        <f>IF(F246-G246&lt;0.005,0,F246-G246)</f>
        <v/>
      </c>
      <c r="I246">
        <f>N245</f>
        <v/>
      </c>
      <c r="J246">
        <f>I246*Plan!D7/100/12</f>
        <v/>
      </c>
      <c r="K246">
        <f>MIN(Plan!E7,I246+J246)</f>
        <v/>
      </c>
      <c r="L246">
        <f>I246+J246-K246</f>
        <v/>
      </c>
      <c r="M246">
        <f>MIN(L246,MAX(0,$B246-((E$5&lt;K$5)*F246+(Q$5&lt;K$5)*R246+(W$5&lt;K$5)*X246+(AC$5&lt;K$5)*AD246+(AI$5&lt;K$5)*AJ246+(AO$5&lt;K$5)*AP246+(AU$5&lt;K$5)*AV246)))</f>
        <v/>
      </c>
      <c r="N246">
        <f>IF(L246-M246&lt;0.005,0,L246-M246)</f>
        <v/>
      </c>
      <c r="O246">
        <f>T245</f>
        <v/>
      </c>
      <c r="P246">
        <f>O246*Plan!D8/100/12</f>
        <v/>
      </c>
      <c r="Q246">
        <f>MIN(Plan!E8,O246+P246)</f>
        <v/>
      </c>
      <c r="R246">
        <f>O246+P246-Q246</f>
        <v/>
      </c>
      <c r="S246">
        <f>MIN(R246,MAX(0,$B246-((E$5&lt;Q$5)*F246+(K$5&lt;Q$5)*L246+(W$5&lt;Q$5)*X246+(AC$5&lt;Q$5)*AD246+(AI$5&lt;Q$5)*AJ246+(AO$5&lt;Q$5)*AP246+(AU$5&lt;Q$5)*AV246)))</f>
        <v/>
      </c>
      <c r="T246">
        <f>IF(R246-S246&lt;0.005,0,R246-S246)</f>
        <v/>
      </c>
      <c r="U246">
        <f>Z245</f>
        <v/>
      </c>
      <c r="V246">
        <f>U246*Plan!D9/100/12</f>
        <v/>
      </c>
      <c r="W246">
        <f>MIN(Plan!E9,U246+V246)</f>
        <v/>
      </c>
      <c r="X246">
        <f>U246+V246-W246</f>
        <v/>
      </c>
      <c r="Y246">
        <f>MIN(X246,MAX(0,$B246-((E$5&lt;W$5)*F246+(K$5&lt;W$5)*L246+(Q$5&lt;W$5)*R246+(AC$5&lt;W$5)*AD246+(AI$5&lt;W$5)*AJ246+(AO$5&lt;W$5)*AP246+(AU$5&lt;W$5)*AV246)))</f>
        <v/>
      </c>
      <c r="Z246">
        <f>IF(X246-Y246&lt;0.005,0,X246-Y246)</f>
        <v/>
      </c>
      <c r="AA246">
        <f>AF245</f>
        <v/>
      </c>
      <c r="AB246">
        <f>AA246*Plan!D10/100/12</f>
        <v/>
      </c>
      <c r="AC246">
        <f>MIN(Plan!E10,AA246+AB246)</f>
        <v/>
      </c>
      <c r="AD246">
        <f>AA246+AB246-AC246</f>
        <v/>
      </c>
      <c r="AE246">
        <f>MIN(AD246,MAX(0,$B246-((E$5&lt;AC$5)*F246+(K$5&lt;AC$5)*L246+(Q$5&lt;AC$5)*R246+(W$5&lt;AC$5)*X246+(AI$5&lt;AC$5)*AJ246+(AO$5&lt;AC$5)*AP246+(AU$5&lt;AC$5)*AV246)))</f>
        <v/>
      </c>
      <c r="AF246">
        <f>IF(AD246-AE246&lt;0.005,0,AD246-AE246)</f>
        <v/>
      </c>
      <c r="AG246">
        <f>AL245</f>
        <v/>
      </c>
      <c r="AH246">
        <f>AG246*Plan!D11/100/12</f>
        <v/>
      </c>
      <c r="AI246">
        <f>MIN(Plan!E11,AG246+AH246)</f>
        <v/>
      </c>
      <c r="AJ246">
        <f>AG246+AH246-AI246</f>
        <v/>
      </c>
      <c r="AK246">
        <f>MIN(AJ246,MAX(0,$B246-((E$5&lt;AI$5)*F246+(K$5&lt;AI$5)*L246+(Q$5&lt;AI$5)*R246+(W$5&lt;AI$5)*X246+(AC$5&lt;AI$5)*AD246+(AO$5&lt;AI$5)*AP246+(AU$5&lt;AI$5)*AV246)))</f>
        <v/>
      </c>
      <c r="AL246">
        <f>IF(AJ246-AK246&lt;0.005,0,AJ246-AK246)</f>
        <v/>
      </c>
      <c r="AM246">
        <f>AR245</f>
        <v/>
      </c>
      <c r="AN246">
        <f>AM246*Plan!D12/100/12</f>
        <v/>
      </c>
      <c r="AO246">
        <f>MIN(Plan!E12,AM246+AN246)</f>
        <v/>
      </c>
      <c r="AP246">
        <f>AM246+AN246-AO246</f>
        <v/>
      </c>
      <c r="AQ246">
        <f>MIN(AP246,MAX(0,$B246-((E$5&lt;AO$5)*F246+(K$5&lt;AO$5)*L246+(Q$5&lt;AO$5)*R246+(W$5&lt;AO$5)*X246+(AC$5&lt;AO$5)*AD246+(AI$5&lt;AO$5)*AJ246+(AU$5&lt;AO$5)*AV246)))</f>
        <v/>
      </c>
      <c r="AR246">
        <f>IF(AP246-AQ246&lt;0.005,0,AP246-AQ246)</f>
        <v/>
      </c>
      <c r="AS246">
        <f>AX245</f>
        <v/>
      </c>
      <c r="AT246">
        <f>AS246*Plan!D13/100/12</f>
        <v/>
      </c>
      <c r="AU246">
        <f>MIN(Plan!E13,AS246+AT246)</f>
        <v/>
      </c>
      <c r="AV246">
        <f>AS246+AT246-AU246</f>
        <v/>
      </c>
      <c r="AW246">
        <f>MIN(AV246,MAX(0,$B246-((E$5&lt;AU$5)*F246+(K$5&lt;AU$5)*L246+(Q$5&lt;AU$5)*R246+(W$5&lt;AU$5)*X246+(AC$5&lt;AU$5)*AD246+(AI$5&lt;AU$5)*AJ246+(AO$5&lt;AU$5)*AP246)))</f>
        <v/>
      </c>
      <c r="AX246">
        <f>IF(AV246-AW246&lt;0.005,0,AV246-AW246)</f>
        <v/>
      </c>
      <c r="BC246">
        <f>H246+N246+T246+Z246+AF246+AL246+AR246+AX246</f>
        <v/>
      </c>
    </row>
    <row r="247">
      <c r="A247" t="n">
        <v>241</v>
      </c>
      <c r="B247" s="19">
        <f>MAX(0,$B$3-(E247+K247+Q247+W247+AC247+AI247+AO247+AU247))</f>
        <v/>
      </c>
      <c r="C247">
        <f>H246</f>
        <v/>
      </c>
      <c r="D247">
        <f>C247*Plan!D6/100/12</f>
        <v/>
      </c>
      <c r="E247">
        <f>MIN(Plan!E6,C247+D247)</f>
        <v/>
      </c>
      <c r="F247">
        <f>C247+D247-E247</f>
        <v/>
      </c>
      <c r="G247">
        <f>MIN(F247,MAX(0,$B247-((K$5&lt;E$5)*L247+(Q$5&lt;E$5)*R247+(W$5&lt;E$5)*X247+(AC$5&lt;E$5)*AD247+(AI$5&lt;E$5)*AJ247+(AO$5&lt;E$5)*AP247+(AU$5&lt;E$5)*AV247)))</f>
        <v/>
      </c>
      <c r="H247">
        <f>IF(F247-G247&lt;0.005,0,F247-G247)</f>
        <v/>
      </c>
      <c r="I247">
        <f>N246</f>
        <v/>
      </c>
      <c r="J247">
        <f>I247*Plan!D7/100/12</f>
        <v/>
      </c>
      <c r="K247">
        <f>MIN(Plan!E7,I247+J247)</f>
        <v/>
      </c>
      <c r="L247">
        <f>I247+J247-K247</f>
        <v/>
      </c>
      <c r="M247">
        <f>MIN(L247,MAX(0,$B247-((E$5&lt;K$5)*F247+(Q$5&lt;K$5)*R247+(W$5&lt;K$5)*X247+(AC$5&lt;K$5)*AD247+(AI$5&lt;K$5)*AJ247+(AO$5&lt;K$5)*AP247+(AU$5&lt;K$5)*AV247)))</f>
        <v/>
      </c>
      <c r="N247">
        <f>IF(L247-M247&lt;0.005,0,L247-M247)</f>
        <v/>
      </c>
      <c r="O247">
        <f>T246</f>
        <v/>
      </c>
      <c r="P247">
        <f>O247*Plan!D8/100/12</f>
        <v/>
      </c>
      <c r="Q247">
        <f>MIN(Plan!E8,O247+P247)</f>
        <v/>
      </c>
      <c r="R247">
        <f>O247+P247-Q247</f>
        <v/>
      </c>
      <c r="S247">
        <f>MIN(R247,MAX(0,$B247-((E$5&lt;Q$5)*F247+(K$5&lt;Q$5)*L247+(W$5&lt;Q$5)*X247+(AC$5&lt;Q$5)*AD247+(AI$5&lt;Q$5)*AJ247+(AO$5&lt;Q$5)*AP247+(AU$5&lt;Q$5)*AV247)))</f>
        <v/>
      </c>
      <c r="T247">
        <f>IF(R247-S247&lt;0.005,0,R247-S247)</f>
        <v/>
      </c>
      <c r="U247">
        <f>Z246</f>
        <v/>
      </c>
      <c r="V247">
        <f>U247*Plan!D9/100/12</f>
        <v/>
      </c>
      <c r="W247">
        <f>MIN(Plan!E9,U247+V247)</f>
        <v/>
      </c>
      <c r="X247">
        <f>U247+V247-W247</f>
        <v/>
      </c>
      <c r="Y247">
        <f>MIN(X247,MAX(0,$B247-((E$5&lt;W$5)*F247+(K$5&lt;W$5)*L247+(Q$5&lt;W$5)*R247+(AC$5&lt;W$5)*AD247+(AI$5&lt;W$5)*AJ247+(AO$5&lt;W$5)*AP247+(AU$5&lt;W$5)*AV247)))</f>
        <v/>
      </c>
      <c r="Z247">
        <f>IF(X247-Y247&lt;0.005,0,X247-Y247)</f>
        <v/>
      </c>
      <c r="AA247">
        <f>AF246</f>
        <v/>
      </c>
      <c r="AB247">
        <f>AA247*Plan!D10/100/12</f>
        <v/>
      </c>
      <c r="AC247">
        <f>MIN(Plan!E10,AA247+AB247)</f>
        <v/>
      </c>
      <c r="AD247">
        <f>AA247+AB247-AC247</f>
        <v/>
      </c>
      <c r="AE247">
        <f>MIN(AD247,MAX(0,$B247-((E$5&lt;AC$5)*F247+(K$5&lt;AC$5)*L247+(Q$5&lt;AC$5)*R247+(W$5&lt;AC$5)*X247+(AI$5&lt;AC$5)*AJ247+(AO$5&lt;AC$5)*AP247+(AU$5&lt;AC$5)*AV247)))</f>
        <v/>
      </c>
      <c r="AF247">
        <f>IF(AD247-AE247&lt;0.005,0,AD247-AE247)</f>
        <v/>
      </c>
      <c r="AG247">
        <f>AL246</f>
        <v/>
      </c>
      <c r="AH247">
        <f>AG247*Plan!D11/100/12</f>
        <v/>
      </c>
      <c r="AI247">
        <f>MIN(Plan!E11,AG247+AH247)</f>
        <v/>
      </c>
      <c r="AJ247">
        <f>AG247+AH247-AI247</f>
        <v/>
      </c>
      <c r="AK247">
        <f>MIN(AJ247,MAX(0,$B247-((E$5&lt;AI$5)*F247+(K$5&lt;AI$5)*L247+(Q$5&lt;AI$5)*R247+(W$5&lt;AI$5)*X247+(AC$5&lt;AI$5)*AD247+(AO$5&lt;AI$5)*AP247+(AU$5&lt;AI$5)*AV247)))</f>
        <v/>
      </c>
      <c r="AL247">
        <f>IF(AJ247-AK247&lt;0.005,0,AJ247-AK247)</f>
        <v/>
      </c>
      <c r="AM247">
        <f>AR246</f>
        <v/>
      </c>
      <c r="AN247">
        <f>AM247*Plan!D12/100/12</f>
        <v/>
      </c>
      <c r="AO247">
        <f>MIN(Plan!E12,AM247+AN247)</f>
        <v/>
      </c>
      <c r="AP247">
        <f>AM247+AN247-AO247</f>
        <v/>
      </c>
      <c r="AQ247">
        <f>MIN(AP247,MAX(0,$B247-((E$5&lt;AO$5)*F247+(K$5&lt;AO$5)*L247+(Q$5&lt;AO$5)*R247+(W$5&lt;AO$5)*X247+(AC$5&lt;AO$5)*AD247+(AI$5&lt;AO$5)*AJ247+(AU$5&lt;AO$5)*AV247)))</f>
        <v/>
      </c>
      <c r="AR247">
        <f>IF(AP247-AQ247&lt;0.005,0,AP247-AQ247)</f>
        <v/>
      </c>
      <c r="AS247">
        <f>AX246</f>
        <v/>
      </c>
      <c r="AT247">
        <f>AS247*Plan!D13/100/12</f>
        <v/>
      </c>
      <c r="AU247">
        <f>MIN(Plan!E13,AS247+AT247)</f>
        <v/>
      </c>
      <c r="AV247">
        <f>AS247+AT247-AU247</f>
        <v/>
      </c>
      <c r="AW247">
        <f>MIN(AV247,MAX(0,$B247-((E$5&lt;AU$5)*F247+(K$5&lt;AU$5)*L247+(Q$5&lt;AU$5)*R247+(W$5&lt;AU$5)*X247+(AC$5&lt;AU$5)*AD247+(AI$5&lt;AU$5)*AJ247+(AO$5&lt;AU$5)*AP247)))</f>
        <v/>
      </c>
      <c r="AX247">
        <f>IF(AV247-AW247&lt;0.005,0,AV247-AW247)</f>
        <v/>
      </c>
      <c r="BC247">
        <f>H247+N247+T247+Z247+AF247+AL247+AR247+AX247</f>
        <v/>
      </c>
    </row>
    <row r="248">
      <c r="A248" t="n">
        <v>242</v>
      </c>
      <c r="B248" s="19">
        <f>MAX(0,$B$3-(E248+K248+Q248+W248+AC248+AI248+AO248+AU248))</f>
        <v/>
      </c>
      <c r="C248">
        <f>H247</f>
        <v/>
      </c>
      <c r="D248">
        <f>C248*Plan!D6/100/12</f>
        <v/>
      </c>
      <c r="E248">
        <f>MIN(Plan!E6,C248+D248)</f>
        <v/>
      </c>
      <c r="F248">
        <f>C248+D248-E248</f>
        <v/>
      </c>
      <c r="G248">
        <f>MIN(F248,MAX(0,$B248-((K$5&lt;E$5)*L248+(Q$5&lt;E$5)*R248+(W$5&lt;E$5)*X248+(AC$5&lt;E$5)*AD248+(AI$5&lt;E$5)*AJ248+(AO$5&lt;E$5)*AP248+(AU$5&lt;E$5)*AV248)))</f>
        <v/>
      </c>
      <c r="H248">
        <f>IF(F248-G248&lt;0.005,0,F248-G248)</f>
        <v/>
      </c>
      <c r="I248">
        <f>N247</f>
        <v/>
      </c>
      <c r="J248">
        <f>I248*Plan!D7/100/12</f>
        <v/>
      </c>
      <c r="K248">
        <f>MIN(Plan!E7,I248+J248)</f>
        <v/>
      </c>
      <c r="L248">
        <f>I248+J248-K248</f>
        <v/>
      </c>
      <c r="M248">
        <f>MIN(L248,MAX(0,$B248-((E$5&lt;K$5)*F248+(Q$5&lt;K$5)*R248+(W$5&lt;K$5)*X248+(AC$5&lt;K$5)*AD248+(AI$5&lt;K$5)*AJ248+(AO$5&lt;K$5)*AP248+(AU$5&lt;K$5)*AV248)))</f>
        <v/>
      </c>
      <c r="N248">
        <f>IF(L248-M248&lt;0.005,0,L248-M248)</f>
        <v/>
      </c>
      <c r="O248">
        <f>T247</f>
        <v/>
      </c>
      <c r="P248">
        <f>O248*Plan!D8/100/12</f>
        <v/>
      </c>
      <c r="Q248">
        <f>MIN(Plan!E8,O248+P248)</f>
        <v/>
      </c>
      <c r="R248">
        <f>O248+P248-Q248</f>
        <v/>
      </c>
      <c r="S248">
        <f>MIN(R248,MAX(0,$B248-((E$5&lt;Q$5)*F248+(K$5&lt;Q$5)*L248+(W$5&lt;Q$5)*X248+(AC$5&lt;Q$5)*AD248+(AI$5&lt;Q$5)*AJ248+(AO$5&lt;Q$5)*AP248+(AU$5&lt;Q$5)*AV248)))</f>
        <v/>
      </c>
      <c r="T248">
        <f>IF(R248-S248&lt;0.005,0,R248-S248)</f>
        <v/>
      </c>
      <c r="U248">
        <f>Z247</f>
        <v/>
      </c>
      <c r="V248">
        <f>U248*Plan!D9/100/12</f>
        <v/>
      </c>
      <c r="W248">
        <f>MIN(Plan!E9,U248+V248)</f>
        <v/>
      </c>
      <c r="X248">
        <f>U248+V248-W248</f>
        <v/>
      </c>
      <c r="Y248">
        <f>MIN(X248,MAX(0,$B248-((E$5&lt;W$5)*F248+(K$5&lt;W$5)*L248+(Q$5&lt;W$5)*R248+(AC$5&lt;W$5)*AD248+(AI$5&lt;W$5)*AJ248+(AO$5&lt;W$5)*AP248+(AU$5&lt;W$5)*AV248)))</f>
        <v/>
      </c>
      <c r="Z248">
        <f>IF(X248-Y248&lt;0.005,0,X248-Y248)</f>
        <v/>
      </c>
      <c r="AA248">
        <f>AF247</f>
        <v/>
      </c>
      <c r="AB248">
        <f>AA248*Plan!D10/100/12</f>
        <v/>
      </c>
      <c r="AC248">
        <f>MIN(Plan!E10,AA248+AB248)</f>
        <v/>
      </c>
      <c r="AD248">
        <f>AA248+AB248-AC248</f>
        <v/>
      </c>
      <c r="AE248">
        <f>MIN(AD248,MAX(0,$B248-((E$5&lt;AC$5)*F248+(K$5&lt;AC$5)*L248+(Q$5&lt;AC$5)*R248+(W$5&lt;AC$5)*X248+(AI$5&lt;AC$5)*AJ248+(AO$5&lt;AC$5)*AP248+(AU$5&lt;AC$5)*AV248)))</f>
        <v/>
      </c>
      <c r="AF248">
        <f>IF(AD248-AE248&lt;0.005,0,AD248-AE248)</f>
        <v/>
      </c>
      <c r="AG248">
        <f>AL247</f>
        <v/>
      </c>
      <c r="AH248">
        <f>AG248*Plan!D11/100/12</f>
        <v/>
      </c>
      <c r="AI248">
        <f>MIN(Plan!E11,AG248+AH248)</f>
        <v/>
      </c>
      <c r="AJ248">
        <f>AG248+AH248-AI248</f>
        <v/>
      </c>
      <c r="AK248">
        <f>MIN(AJ248,MAX(0,$B248-((E$5&lt;AI$5)*F248+(K$5&lt;AI$5)*L248+(Q$5&lt;AI$5)*R248+(W$5&lt;AI$5)*X248+(AC$5&lt;AI$5)*AD248+(AO$5&lt;AI$5)*AP248+(AU$5&lt;AI$5)*AV248)))</f>
        <v/>
      </c>
      <c r="AL248">
        <f>IF(AJ248-AK248&lt;0.005,0,AJ248-AK248)</f>
        <v/>
      </c>
      <c r="AM248">
        <f>AR247</f>
        <v/>
      </c>
      <c r="AN248">
        <f>AM248*Plan!D12/100/12</f>
        <v/>
      </c>
      <c r="AO248">
        <f>MIN(Plan!E12,AM248+AN248)</f>
        <v/>
      </c>
      <c r="AP248">
        <f>AM248+AN248-AO248</f>
        <v/>
      </c>
      <c r="AQ248">
        <f>MIN(AP248,MAX(0,$B248-((E$5&lt;AO$5)*F248+(K$5&lt;AO$5)*L248+(Q$5&lt;AO$5)*R248+(W$5&lt;AO$5)*X248+(AC$5&lt;AO$5)*AD248+(AI$5&lt;AO$5)*AJ248+(AU$5&lt;AO$5)*AV248)))</f>
        <v/>
      </c>
      <c r="AR248">
        <f>IF(AP248-AQ248&lt;0.005,0,AP248-AQ248)</f>
        <v/>
      </c>
      <c r="AS248">
        <f>AX247</f>
        <v/>
      </c>
      <c r="AT248">
        <f>AS248*Plan!D13/100/12</f>
        <v/>
      </c>
      <c r="AU248">
        <f>MIN(Plan!E13,AS248+AT248)</f>
        <v/>
      </c>
      <c r="AV248">
        <f>AS248+AT248-AU248</f>
        <v/>
      </c>
      <c r="AW248">
        <f>MIN(AV248,MAX(0,$B248-((E$5&lt;AU$5)*F248+(K$5&lt;AU$5)*L248+(Q$5&lt;AU$5)*R248+(W$5&lt;AU$5)*X248+(AC$5&lt;AU$5)*AD248+(AI$5&lt;AU$5)*AJ248+(AO$5&lt;AU$5)*AP248)))</f>
        <v/>
      </c>
      <c r="AX248">
        <f>IF(AV248-AW248&lt;0.005,0,AV248-AW248)</f>
        <v/>
      </c>
      <c r="BC248">
        <f>H248+N248+T248+Z248+AF248+AL248+AR248+AX248</f>
        <v/>
      </c>
    </row>
    <row r="249">
      <c r="A249" t="n">
        <v>243</v>
      </c>
      <c r="B249" s="19">
        <f>MAX(0,$B$3-(E249+K249+Q249+W249+AC249+AI249+AO249+AU249))</f>
        <v/>
      </c>
      <c r="C249">
        <f>H248</f>
        <v/>
      </c>
      <c r="D249">
        <f>C249*Plan!D6/100/12</f>
        <v/>
      </c>
      <c r="E249">
        <f>MIN(Plan!E6,C249+D249)</f>
        <v/>
      </c>
      <c r="F249">
        <f>C249+D249-E249</f>
        <v/>
      </c>
      <c r="G249">
        <f>MIN(F249,MAX(0,$B249-((K$5&lt;E$5)*L249+(Q$5&lt;E$5)*R249+(W$5&lt;E$5)*X249+(AC$5&lt;E$5)*AD249+(AI$5&lt;E$5)*AJ249+(AO$5&lt;E$5)*AP249+(AU$5&lt;E$5)*AV249)))</f>
        <v/>
      </c>
      <c r="H249">
        <f>IF(F249-G249&lt;0.005,0,F249-G249)</f>
        <v/>
      </c>
      <c r="I249">
        <f>N248</f>
        <v/>
      </c>
      <c r="J249">
        <f>I249*Plan!D7/100/12</f>
        <v/>
      </c>
      <c r="K249">
        <f>MIN(Plan!E7,I249+J249)</f>
        <v/>
      </c>
      <c r="L249">
        <f>I249+J249-K249</f>
        <v/>
      </c>
      <c r="M249">
        <f>MIN(L249,MAX(0,$B249-((E$5&lt;K$5)*F249+(Q$5&lt;K$5)*R249+(W$5&lt;K$5)*X249+(AC$5&lt;K$5)*AD249+(AI$5&lt;K$5)*AJ249+(AO$5&lt;K$5)*AP249+(AU$5&lt;K$5)*AV249)))</f>
        <v/>
      </c>
      <c r="N249">
        <f>IF(L249-M249&lt;0.005,0,L249-M249)</f>
        <v/>
      </c>
      <c r="O249">
        <f>T248</f>
        <v/>
      </c>
      <c r="P249">
        <f>O249*Plan!D8/100/12</f>
        <v/>
      </c>
      <c r="Q249">
        <f>MIN(Plan!E8,O249+P249)</f>
        <v/>
      </c>
      <c r="R249">
        <f>O249+P249-Q249</f>
        <v/>
      </c>
      <c r="S249">
        <f>MIN(R249,MAX(0,$B249-((E$5&lt;Q$5)*F249+(K$5&lt;Q$5)*L249+(W$5&lt;Q$5)*X249+(AC$5&lt;Q$5)*AD249+(AI$5&lt;Q$5)*AJ249+(AO$5&lt;Q$5)*AP249+(AU$5&lt;Q$5)*AV249)))</f>
        <v/>
      </c>
      <c r="T249">
        <f>IF(R249-S249&lt;0.005,0,R249-S249)</f>
        <v/>
      </c>
      <c r="U249">
        <f>Z248</f>
        <v/>
      </c>
      <c r="V249">
        <f>U249*Plan!D9/100/12</f>
        <v/>
      </c>
      <c r="W249">
        <f>MIN(Plan!E9,U249+V249)</f>
        <v/>
      </c>
      <c r="X249">
        <f>U249+V249-W249</f>
        <v/>
      </c>
      <c r="Y249">
        <f>MIN(X249,MAX(0,$B249-((E$5&lt;W$5)*F249+(K$5&lt;W$5)*L249+(Q$5&lt;W$5)*R249+(AC$5&lt;W$5)*AD249+(AI$5&lt;W$5)*AJ249+(AO$5&lt;W$5)*AP249+(AU$5&lt;W$5)*AV249)))</f>
        <v/>
      </c>
      <c r="Z249">
        <f>IF(X249-Y249&lt;0.005,0,X249-Y249)</f>
        <v/>
      </c>
      <c r="AA249">
        <f>AF248</f>
        <v/>
      </c>
      <c r="AB249">
        <f>AA249*Plan!D10/100/12</f>
        <v/>
      </c>
      <c r="AC249">
        <f>MIN(Plan!E10,AA249+AB249)</f>
        <v/>
      </c>
      <c r="AD249">
        <f>AA249+AB249-AC249</f>
        <v/>
      </c>
      <c r="AE249">
        <f>MIN(AD249,MAX(0,$B249-((E$5&lt;AC$5)*F249+(K$5&lt;AC$5)*L249+(Q$5&lt;AC$5)*R249+(W$5&lt;AC$5)*X249+(AI$5&lt;AC$5)*AJ249+(AO$5&lt;AC$5)*AP249+(AU$5&lt;AC$5)*AV249)))</f>
        <v/>
      </c>
      <c r="AF249">
        <f>IF(AD249-AE249&lt;0.005,0,AD249-AE249)</f>
        <v/>
      </c>
      <c r="AG249">
        <f>AL248</f>
        <v/>
      </c>
      <c r="AH249">
        <f>AG249*Plan!D11/100/12</f>
        <v/>
      </c>
      <c r="AI249">
        <f>MIN(Plan!E11,AG249+AH249)</f>
        <v/>
      </c>
      <c r="AJ249">
        <f>AG249+AH249-AI249</f>
        <v/>
      </c>
      <c r="AK249">
        <f>MIN(AJ249,MAX(0,$B249-((E$5&lt;AI$5)*F249+(K$5&lt;AI$5)*L249+(Q$5&lt;AI$5)*R249+(W$5&lt;AI$5)*X249+(AC$5&lt;AI$5)*AD249+(AO$5&lt;AI$5)*AP249+(AU$5&lt;AI$5)*AV249)))</f>
        <v/>
      </c>
      <c r="AL249">
        <f>IF(AJ249-AK249&lt;0.005,0,AJ249-AK249)</f>
        <v/>
      </c>
      <c r="AM249">
        <f>AR248</f>
        <v/>
      </c>
      <c r="AN249">
        <f>AM249*Plan!D12/100/12</f>
        <v/>
      </c>
      <c r="AO249">
        <f>MIN(Plan!E12,AM249+AN249)</f>
        <v/>
      </c>
      <c r="AP249">
        <f>AM249+AN249-AO249</f>
        <v/>
      </c>
      <c r="AQ249">
        <f>MIN(AP249,MAX(0,$B249-((E$5&lt;AO$5)*F249+(K$5&lt;AO$5)*L249+(Q$5&lt;AO$5)*R249+(W$5&lt;AO$5)*X249+(AC$5&lt;AO$5)*AD249+(AI$5&lt;AO$5)*AJ249+(AU$5&lt;AO$5)*AV249)))</f>
        <v/>
      </c>
      <c r="AR249">
        <f>IF(AP249-AQ249&lt;0.005,0,AP249-AQ249)</f>
        <v/>
      </c>
      <c r="AS249">
        <f>AX248</f>
        <v/>
      </c>
      <c r="AT249">
        <f>AS249*Plan!D13/100/12</f>
        <v/>
      </c>
      <c r="AU249">
        <f>MIN(Plan!E13,AS249+AT249)</f>
        <v/>
      </c>
      <c r="AV249">
        <f>AS249+AT249-AU249</f>
        <v/>
      </c>
      <c r="AW249">
        <f>MIN(AV249,MAX(0,$B249-((E$5&lt;AU$5)*F249+(K$5&lt;AU$5)*L249+(Q$5&lt;AU$5)*R249+(W$5&lt;AU$5)*X249+(AC$5&lt;AU$5)*AD249+(AI$5&lt;AU$5)*AJ249+(AO$5&lt;AU$5)*AP249)))</f>
        <v/>
      </c>
      <c r="AX249">
        <f>IF(AV249-AW249&lt;0.005,0,AV249-AW249)</f>
        <v/>
      </c>
      <c r="BC249">
        <f>H249+N249+T249+Z249+AF249+AL249+AR249+AX249</f>
        <v/>
      </c>
    </row>
    <row r="250">
      <c r="A250" t="n">
        <v>244</v>
      </c>
      <c r="B250" s="19">
        <f>MAX(0,$B$3-(E250+K250+Q250+W250+AC250+AI250+AO250+AU250))</f>
        <v/>
      </c>
      <c r="C250">
        <f>H249</f>
        <v/>
      </c>
      <c r="D250">
        <f>C250*Plan!D6/100/12</f>
        <v/>
      </c>
      <c r="E250">
        <f>MIN(Plan!E6,C250+D250)</f>
        <v/>
      </c>
      <c r="F250">
        <f>C250+D250-E250</f>
        <v/>
      </c>
      <c r="G250">
        <f>MIN(F250,MAX(0,$B250-((K$5&lt;E$5)*L250+(Q$5&lt;E$5)*R250+(W$5&lt;E$5)*X250+(AC$5&lt;E$5)*AD250+(AI$5&lt;E$5)*AJ250+(AO$5&lt;E$5)*AP250+(AU$5&lt;E$5)*AV250)))</f>
        <v/>
      </c>
      <c r="H250">
        <f>IF(F250-G250&lt;0.005,0,F250-G250)</f>
        <v/>
      </c>
      <c r="I250">
        <f>N249</f>
        <v/>
      </c>
      <c r="J250">
        <f>I250*Plan!D7/100/12</f>
        <v/>
      </c>
      <c r="K250">
        <f>MIN(Plan!E7,I250+J250)</f>
        <v/>
      </c>
      <c r="L250">
        <f>I250+J250-K250</f>
        <v/>
      </c>
      <c r="M250">
        <f>MIN(L250,MAX(0,$B250-((E$5&lt;K$5)*F250+(Q$5&lt;K$5)*R250+(W$5&lt;K$5)*X250+(AC$5&lt;K$5)*AD250+(AI$5&lt;K$5)*AJ250+(AO$5&lt;K$5)*AP250+(AU$5&lt;K$5)*AV250)))</f>
        <v/>
      </c>
      <c r="N250">
        <f>IF(L250-M250&lt;0.005,0,L250-M250)</f>
        <v/>
      </c>
      <c r="O250">
        <f>T249</f>
        <v/>
      </c>
      <c r="P250">
        <f>O250*Plan!D8/100/12</f>
        <v/>
      </c>
      <c r="Q250">
        <f>MIN(Plan!E8,O250+P250)</f>
        <v/>
      </c>
      <c r="R250">
        <f>O250+P250-Q250</f>
        <v/>
      </c>
      <c r="S250">
        <f>MIN(R250,MAX(0,$B250-((E$5&lt;Q$5)*F250+(K$5&lt;Q$5)*L250+(W$5&lt;Q$5)*X250+(AC$5&lt;Q$5)*AD250+(AI$5&lt;Q$5)*AJ250+(AO$5&lt;Q$5)*AP250+(AU$5&lt;Q$5)*AV250)))</f>
        <v/>
      </c>
      <c r="T250">
        <f>IF(R250-S250&lt;0.005,0,R250-S250)</f>
        <v/>
      </c>
      <c r="U250">
        <f>Z249</f>
        <v/>
      </c>
      <c r="V250">
        <f>U250*Plan!D9/100/12</f>
        <v/>
      </c>
      <c r="W250">
        <f>MIN(Plan!E9,U250+V250)</f>
        <v/>
      </c>
      <c r="X250">
        <f>U250+V250-W250</f>
        <v/>
      </c>
      <c r="Y250">
        <f>MIN(X250,MAX(0,$B250-((E$5&lt;W$5)*F250+(K$5&lt;W$5)*L250+(Q$5&lt;W$5)*R250+(AC$5&lt;W$5)*AD250+(AI$5&lt;W$5)*AJ250+(AO$5&lt;W$5)*AP250+(AU$5&lt;W$5)*AV250)))</f>
        <v/>
      </c>
      <c r="Z250">
        <f>IF(X250-Y250&lt;0.005,0,X250-Y250)</f>
        <v/>
      </c>
      <c r="AA250">
        <f>AF249</f>
        <v/>
      </c>
      <c r="AB250">
        <f>AA250*Plan!D10/100/12</f>
        <v/>
      </c>
      <c r="AC250">
        <f>MIN(Plan!E10,AA250+AB250)</f>
        <v/>
      </c>
      <c r="AD250">
        <f>AA250+AB250-AC250</f>
        <v/>
      </c>
      <c r="AE250">
        <f>MIN(AD250,MAX(0,$B250-((E$5&lt;AC$5)*F250+(K$5&lt;AC$5)*L250+(Q$5&lt;AC$5)*R250+(W$5&lt;AC$5)*X250+(AI$5&lt;AC$5)*AJ250+(AO$5&lt;AC$5)*AP250+(AU$5&lt;AC$5)*AV250)))</f>
        <v/>
      </c>
      <c r="AF250">
        <f>IF(AD250-AE250&lt;0.005,0,AD250-AE250)</f>
        <v/>
      </c>
      <c r="AG250">
        <f>AL249</f>
        <v/>
      </c>
      <c r="AH250">
        <f>AG250*Plan!D11/100/12</f>
        <v/>
      </c>
      <c r="AI250">
        <f>MIN(Plan!E11,AG250+AH250)</f>
        <v/>
      </c>
      <c r="AJ250">
        <f>AG250+AH250-AI250</f>
        <v/>
      </c>
      <c r="AK250">
        <f>MIN(AJ250,MAX(0,$B250-((E$5&lt;AI$5)*F250+(K$5&lt;AI$5)*L250+(Q$5&lt;AI$5)*R250+(W$5&lt;AI$5)*X250+(AC$5&lt;AI$5)*AD250+(AO$5&lt;AI$5)*AP250+(AU$5&lt;AI$5)*AV250)))</f>
        <v/>
      </c>
      <c r="AL250">
        <f>IF(AJ250-AK250&lt;0.005,0,AJ250-AK250)</f>
        <v/>
      </c>
      <c r="AM250">
        <f>AR249</f>
        <v/>
      </c>
      <c r="AN250">
        <f>AM250*Plan!D12/100/12</f>
        <v/>
      </c>
      <c r="AO250">
        <f>MIN(Plan!E12,AM250+AN250)</f>
        <v/>
      </c>
      <c r="AP250">
        <f>AM250+AN250-AO250</f>
        <v/>
      </c>
      <c r="AQ250">
        <f>MIN(AP250,MAX(0,$B250-((E$5&lt;AO$5)*F250+(K$5&lt;AO$5)*L250+(Q$5&lt;AO$5)*R250+(W$5&lt;AO$5)*X250+(AC$5&lt;AO$5)*AD250+(AI$5&lt;AO$5)*AJ250+(AU$5&lt;AO$5)*AV250)))</f>
        <v/>
      </c>
      <c r="AR250">
        <f>IF(AP250-AQ250&lt;0.005,0,AP250-AQ250)</f>
        <v/>
      </c>
      <c r="AS250">
        <f>AX249</f>
        <v/>
      </c>
      <c r="AT250">
        <f>AS250*Plan!D13/100/12</f>
        <v/>
      </c>
      <c r="AU250">
        <f>MIN(Plan!E13,AS250+AT250)</f>
        <v/>
      </c>
      <c r="AV250">
        <f>AS250+AT250-AU250</f>
        <v/>
      </c>
      <c r="AW250">
        <f>MIN(AV250,MAX(0,$B250-((E$5&lt;AU$5)*F250+(K$5&lt;AU$5)*L250+(Q$5&lt;AU$5)*R250+(W$5&lt;AU$5)*X250+(AC$5&lt;AU$5)*AD250+(AI$5&lt;AU$5)*AJ250+(AO$5&lt;AU$5)*AP250)))</f>
        <v/>
      </c>
      <c r="AX250">
        <f>IF(AV250-AW250&lt;0.005,0,AV250-AW250)</f>
        <v/>
      </c>
      <c r="BC250">
        <f>H250+N250+T250+Z250+AF250+AL250+AR250+AX250</f>
        <v/>
      </c>
    </row>
    <row r="251">
      <c r="A251" t="n">
        <v>245</v>
      </c>
      <c r="B251" s="19">
        <f>MAX(0,$B$3-(E251+K251+Q251+W251+AC251+AI251+AO251+AU251))</f>
        <v/>
      </c>
      <c r="C251">
        <f>H250</f>
        <v/>
      </c>
      <c r="D251">
        <f>C251*Plan!D6/100/12</f>
        <v/>
      </c>
      <c r="E251">
        <f>MIN(Plan!E6,C251+D251)</f>
        <v/>
      </c>
      <c r="F251">
        <f>C251+D251-E251</f>
        <v/>
      </c>
      <c r="G251">
        <f>MIN(F251,MAX(0,$B251-((K$5&lt;E$5)*L251+(Q$5&lt;E$5)*R251+(W$5&lt;E$5)*X251+(AC$5&lt;E$5)*AD251+(AI$5&lt;E$5)*AJ251+(AO$5&lt;E$5)*AP251+(AU$5&lt;E$5)*AV251)))</f>
        <v/>
      </c>
      <c r="H251">
        <f>IF(F251-G251&lt;0.005,0,F251-G251)</f>
        <v/>
      </c>
      <c r="I251">
        <f>N250</f>
        <v/>
      </c>
      <c r="J251">
        <f>I251*Plan!D7/100/12</f>
        <v/>
      </c>
      <c r="K251">
        <f>MIN(Plan!E7,I251+J251)</f>
        <v/>
      </c>
      <c r="L251">
        <f>I251+J251-K251</f>
        <v/>
      </c>
      <c r="M251">
        <f>MIN(L251,MAX(0,$B251-((E$5&lt;K$5)*F251+(Q$5&lt;K$5)*R251+(W$5&lt;K$5)*X251+(AC$5&lt;K$5)*AD251+(AI$5&lt;K$5)*AJ251+(AO$5&lt;K$5)*AP251+(AU$5&lt;K$5)*AV251)))</f>
        <v/>
      </c>
      <c r="N251">
        <f>IF(L251-M251&lt;0.005,0,L251-M251)</f>
        <v/>
      </c>
      <c r="O251">
        <f>T250</f>
        <v/>
      </c>
      <c r="P251">
        <f>O251*Plan!D8/100/12</f>
        <v/>
      </c>
      <c r="Q251">
        <f>MIN(Plan!E8,O251+P251)</f>
        <v/>
      </c>
      <c r="R251">
        <f>O251+P251-Q251</f>
        <v/>
      </c>
      <c r="S251">
        <f>MIN(R251,MAX(0,$B251-((E$5&lt;Q$5)*F251+(K$5&lt;Q$5)*L251+(W$5&lt;Q$5)*X251+(AC$5&lt;Q$5)*AD251+(AI$5&lt;Q$5)*AJ251+(AO$5&lt;Q$5)*AP251+(AU$5&lt;Q$5)*AV251)))</f>
        <v/>
      </c>
      <c r="T251">
        <f>IF(R251-S251&lt;0.005,0,R251-S251)</f>
        <v/>
      </c>
      <c r="U251">
        <f>Z250</f>
        <v/>
      </c>
      <c r="V251">
        <f>U251*Plan!D9/100/12</f>
        <v/>
      </c>
      <c r="W251">
        <f>MIN(Plan!E9,U251+V251)</f>
        <v/>
      </c>
      <c r="X251">
        <f>U251+V251-W251</f>
        <v/>
      </c>
      <c r="Y251">
        <f>MIN(X251,MAX(0,$B251-((E$5&lt;W$5)*F251+(K$5&lt;W$5)*L251+(Q$5&lt;W$5)*R251+(AC$5&lt;W$5)*AD251+(AI$5&lt;W$5)*AJ251+(AO$5&lt;W$5)*AP251+(AU$5&lt;W$5)*AV251)))</f>
        <v/>
      </c>
      <c r="Z251">
        <f>IF(X251-Y251&lt;0.005,0,X251-Y251)</f>
        <v/>
      </c>
      <c r="AA251">
        <f>AF250</f>
        <v/>
      </c>
      <c r="AB251">
        <f>AA251*Plan!D10/100/12</f>
        <v/>
      </c>
      <c r="AC251">
        <f>MIN(Plan!E10,AA251+AB251)</f>
        <v/>
      </c>
      <c r="AD251">
        <f>AA251+AB251-AC251</f>
        <v/>
      </c>
      <c r="AE251">
        <f>MIN(AD251,MAX(0,$B251-((E$5&lt;AC$5)*F251+(K$5&lt;AC$5)*L251+(Q$5&lt;AC$5)*R251+(W$5&lt;AC$5)*X251+(AI$5&lt;AC$5)*AJ251+(AO$5&lt;AC$5)*AP251+(AU$5&lt;AC$5)*AV251)))</f>
        <v/>
      </c>
      <c r="AF251">
        <f>IF(AD251-AE251&lt;0.005,0,AD251-AE251)</f>
        <v/>
      </c>
      <c r="AG251">
        <f>AL250</f>
        <v/>
      </c>
      <c r="AH251">
        <f>AG251*Plan!D11/100/12</f>
        <v/>
      </c>
      <c r="AI251">
        <f>MIN(Plan!E11,AG251+AH251)</f>
        <v/>
      </c>
      <c r="AJ251">
        <f>AG251+AH251-AI251</f>
        <v/>
      </c>
      <c r="AK251">
        <f>MIN(AJ251,MAX(0,$B251-((E$5&lt;AI$5)*F251+(K$5&lt;AI$5)*L251+(Q$5&lt;AI$5)*R251+(W$5&lt;AI$5)*X251+(AC$5&lt;AI$5)*AD251+(AO$5&lt;AI$5)*AP251+(AU$5&lt;AI$5)*AV251)))</f>
        <v/>
      </c>
      <c r="AL251">
        <f>IF(AJ251-AK251&lt;0.005,0,AJ251-AK251)</f>
        <v/>
      </c>
      <c r="AM251">
        <f>AR250</f>
        <v/>
      </c>
      <c r="AN251">
        <f>AM251*Plan!D12/100/12</f>
        <v/>
      </c>
      <c r="AO251">
        <f>MIN(Plan!E12,AM251+AN251)</f>
        <v/>
      </c>
      <c r="AP251">
        <f>AM251+AN251-AO251</f>
        <v/>
      </c>
      <c r="AQ251">
        <f>MIN(AP251,MAX(0,$B251-((E$5&lt;AO$5)*F251+(K$5&lt;AO$5)*L251+(Q$5&lt;AO$5)*R251+(W$5&lt;AO$5)*X251+(AC$5&lt;AO$5)*AD251+(AI$5&lt;AO$5)*AJ251+(AU$5&lt;AO$5)*AV251)))</f>
        <v/>
      </c>
      <c r="AR251">
        <f>IF(AP251-AQ251&lt;0.005,0,AP251-AQ251)</f>
        <v/>
      </c>
      <c r="AS251">
        <f>AX250</f>
        <v/>
      </c>
      <c r="AT251">
        <f>AS251*Plan!D13/100/12</f>
        <v/>
      </c>
      <c r="AU251">
        <f>MIN(Plan!E13,AS251+AT251)</f>
        <v/>
      </c>
      <c r="AV251">
        <f>AS251+AT251-AU251</f>
        <v/>
      </c>
      <c r="AW251">
        <f>MIN(AV251,MAX(0,$B251-((E$5&lt;AU$5)*F251+(K$5&lt;AU$5)*L251+(Q$5&lt;AU$5)*R251+(W$5&lt;AU$5)*X251+(AC$5&lt;AU$5)*AD251+(AI$5&lt;AU$5)*AJ251+(AO$5&lt;AU$5)*AP251)))</f>
        <v/>
      </c>
      <c r="AX251">
        <f>IF(AV251-AW251&lt;0.005,0,AV251-AW251)</f>
        <v/>
      </c>
      <c r="BC251">
        <f>H251+N251+T251+Z251+AF251+AL251+AR251+AX251</f>
        <v/>
      </c>
    </row>
    <row r="252">
      <c r="A252" t="n">
        <v>246</v>
      </c>
      <c r="B252" s="19">
        <f>MAX(0,$B$3-(E252+K252+Q252+W252+AC252+AI252+AO252+AU252))</f>
        <v/>
      </c>
      <c r="C252">
        <f>H251</f>
        <v/>
      </c>
      <c r="D252">
        <f>C252*Plan!D6/100/12</f>
        <v/>
      </c>
      <c r="E252">
        <f>MIN(Plan!E6,C252+D252)</f>
        <v/>
      </c>
      <c r="F252">
        <f>C252+D252-E252</f>
        <v/>
      </c>
      <c r="G252">
        <f>MIN(F252,MAX(0,$B252-((K$5&lt;E$5)*L252+(Q$5&lt;E$5)*R252+(W$5&lt;E$5)*X252+(AC$5&lt;E$5)*AD252+(AI$5&lt;E$5)*AJ252+(AO$5&lt;E$5)*AP252+(AU$5&lt;E$5)*AV252)))</f>
        <v/>
      </c>
      <c r="H252">
        <f>IF(F252-G252&lt;0.005,0,F252-G252)</f>
        <v/>
      </c>
      <c r="I252">
        <f>N251</f>
        <v/>
      </c>
      <c r="J252">
        <f>I252*Plan!D7/100/12</f>
        <v/>
      </c>
      <c r="K252">
        <f>MIN(Plan!E7,I252+J252)</f>
        <v/>
      </c>
      <c r="L252">
        <f>I252+J252-K252</f>
        <v/>
      </c>
      <c r="M252">
        <f>MIN(L252,MAX(0,$B252-((E$5&lt;K$5)*F252+(Q$5&lt;K$5)*R252+(W$5&lt;K$5)*X252+(AC$5&lt;K$5)*AD252+(AI$5&lt;K$5)*AJ252+(AO$5&lt;K$5)*AP252+(AU$5&lt;K$5)*AV252)))</f>
        <v/>
      </c>
      <c r="N252">
        <f>IF(L252-M252&lt;0.005,0,L252-M252)</f>
        <v/>
      </c>
      <c r="O252">
        <f>T251</f>
        <v/>
      </c>
      <c r="P252">
        <f>O252*Plan!D8/100/12</f>
        <v/>
      </c>
      <c r="Q252">
        <f>MIN(Plan!E8,O252+P252)</f>
        <v/>
      </c>
      <c r="R252">
        <f>O252+P252-Q252</f>
        <v/>
      </c>
      <c r="S252">
        <f>MIN(R252,MAX(0,$B252-((E$5&lt;Q$5)*F252+(K$5&lt;Q$5)*L252+(W$5&lt;Q$5)*X252+(AC$5&lt;Q$5)*AD252+(AI$5&lt;Q$5)*AJ252+(AO$5&lt;Q$5)*AP252+(AU$5&lt;Q$5)*AV252)))</f>
        <v/>
      </c>
      <c r="T252">
        <f>IF(R252-S252&lt;0.005,0,R252-S252)</f>
        <v/>
      </c>
      <c r="U252">
        <f>Z251</f>
        <v/>
      </c>
      <c r="V252">
        <f>U252*Plan!D9/100/12</f>
        <v/>
      </c>
      <c r="W252">
        <f>MIN(Plan!E9,U252+V252)</f>
        <v/>
      </c>
      <c r="X252">
        <f>U252+V252-W252</f>
        <v/>
      </c>
      <c r="Y252">
        <f>MIN(X252,MAX(0,$B252-((E$5&lt;W$5)*F252+(K$5&lt;W$5)*L252+(Q$5&lt;W$5)*R252+(AC$5&lt;W$5)*AD252+(AI$5&lt;W$5)*AJ252+(AO$5&lt;W$5)*AP252+(AU$5&lt;W$5)*AV252)))</f>
        <v/>
      </c>
      <c r="Z252">
        <f>IF(X252-Y252&lt;0.005,0,X252-Y252)</f>
        <v/>
      </c>
      <c r="AA252">
        <f>AF251</f>
        <v/>
      </c>
      <c r="AB252">
        <f>AA252*Plan!D10/100/12</f>
        <v/>
      </c>
      <c r="AC252">
        <f>MIN(Plan!E10,AA252+AB252)</f>
        <v/>
      </c>
      <c r="AD252">
        <f>AA252+AB252-AC252</f>
        <v/>
      </c>
      <c r="AE252">
        <f>MIN(AD252,MAX(0,$B252-((E$5&lt;AC$5)*F252+(K$5&lt;AC$5)*L252+(Q$5&lt;AC$5)*R252+(W$5&lt;AC$5)*X252+(AI$5&lt;AC$5)*AJ252+(AO$5&lt;AC$5)*AP252+(AU$5&lt;AC$5)*AV252)))</f>
        <v/>
      </c>
      <c r="AF252">
        <f>IF(AD252-AE252&lt;0.005,0,AD252-AE252)</f>
        <v/>
      </c>
      <c r="AG252">
        <f>AL251</f>
        <v/>
      </c>
      <c r="AH252">
        <f>AG252*Plan!D11/100/12</f>
        <v/>
      </c>
      <c r="AI252">
        <f>MIN(Plan!E11,AG252+AH252)</f>
        <v/>
      </c>
      <c r="AJ252">
        <f>AG252+AH252-AI252</f>
        <v/>
      </c>
      <c r="AK252">
        <f>MIN(AJ252,MAX(0,$B252-((E$5&lt;AI$5)*F252+(K$5&lt;AI$5)*L252+(Q$5&lt;AI$5)*R252+(W$5&lt;AI$5)*X252+(AC$5&lt;AI$5)*AD252+(AO$5&lt;AI$5)*AP252+(AU$5&lt;AI$5)*AV252)))</f>
        <v/>
      </c>
      <c r="AL252">
        <f>IF(AJ252-AK252&lt;0.005,0,AJ252-AK252)</f>
        <v/>
      </c>
      <c r="AM252">
        <f>AR251</f>
        <v/>
      </c>
      <c r="AN252">
        <f>AM252*Plan!D12/100/12</f>
        <v/>
      </c>
      <c r="AO252">
        <f>MIN(Plan!E12,AM252+AN252)</f>
        <v/>
      </c>
      <c r="AP252">
        <f>AM252+AN252-AO252</f>
        <v/>
      </c>
      <c r="AQ252">
        <f>MIN(AP252,MAX(0,$B252-((E$5&lt;AO$5)*F252+(K$5&lt;AO$5)*L252+(Q$5&lt;AO$5)*R252+(W$5&lt;AO$5)*X252+(AC$5&lt;AO$5)*AD252+(AI$5&lt;AO$5)*AJ252+(AU$5&lt;AO$5)*AV252)))</f>
        <v/>
      </c>
      <c r="AR252">
        <f>IF(AP252-AQ252&lt;0.005,0,AP252-AQ252)</f>
        <v/>
      </c>
      <c r="AS252">
        <f>AX251</f>
        <v/>
      </c>
      <c r="AT252">
        <f>AS252*Plan!D13/100/12</f>
        <v/>
      </c>
      <c r="AU252">
        <f>MIN(Plan!E13,AS252+AT252)</f>
        <v/>
      </c>
      <c r="AV252">
        <f>AS252+AT252-AU252</f>
        <v/>
      </c>
      <c r="AW252">
        <f>MIN(AV252,MAX(0,$B252-((E$5&lt;AU$5)*F252+(K$5&lt;AU$5)*L252+(Q$5&lt;AU$5)*R252+(W$5&lt;AU$5)*X252+(AC$5&lt;AU$5)*AD252+(AI$5&lt;AU$5)*AJ252+(AO$5&lt;AU$5)*AP252)))</f>
        <v/>
      </c>
      <c r="AX252">
        <f>IF(AV252-AW252&lt;0.005,0,AV252-AW252)</f>
        <v/>
      </c>
      <c r="BC252">
        <f>H252+N252+T252+Z252+AF252+AL252+AR252+AX252</f>
        <v/>
      </c>
    </row>
    <row r="253">
      <c r="A253" t="n">
        <v>247</v>
      </c>
      <c r="B253" s="19">
        <f>MAX(0,$B$3-(E253+K253+Q253+W253+AC253+AI253+AO253+AU253))</f>
        <v/>
      </c>
      <c r="C253">
        <f>H252</f>
        <v/>
      </c>
      <c r="D253">
        <f>C253*Plan!D6/100/12</f>
        <v/>
      </c>
      <c r="E253">
        <f>MIN(Plan!E6,C253+D253)</f>
        <v/>
      </c>
      <c r="F253">
        <f>C253+D253-E253</f>
        <v/>
      </c>
      <c r="G253">
        <f>MIN(F253,MAX(0,$B253-((K$5&lt;E$5)*L253+(Q$5&lt;E$5)*R253+(W$5&lt;E$5)*X253+(AC$5&lt;E$5)*AD253+(AI$5&lt;E$5)*AJ253+(AO$5&lt;E$5)*AP253+(AU$5&lt;E$5)*AV253)))</f>
        <v/>
      </c>
      <c r="H253">
        <f>IF(F253-G253&lt;0.005,0,F253-G253)</f>
        <v/>
      </c>
      <c r="I253">
        <f>N252</f>
        <v/>
      </c>
      <c r="J253">
        <f>I253*Plan!D7/100/12</f>
        <v/>
      </c>
      <c r="K253">
        <f>MIN(Plan!E7,I253+J253)</f>
        <v/>
      </c>
      <c r="L253">
        <f>I253+J253-K253</f>
        <v/>
      </c>
      <c r="M253">
        <f>MIN(L253,MAX(0,$B253-((E$5&lt;K$5)*F253+(Q$5&lt;K$5)*R253+(W$5&lt;K$5)*X253+(AC$5&lt;K$5)*AD253+(AI$5&lt;K$5)*AJ253+(AO$5&lt;K$5)*AP253+(AU$5&lt;K$5)*AV253)))</f>
        <v/>
      </c>
      <c r="N253">
        <f>IF(L253-M253&lt;0.005,0,L253-M253)</f>
        <v/>
      </c>
      <c r="O253">
        <f>T252</f>
        <v/>
      </c>
      <c r="P253">
        <f>O253*Plan!D8/100/12</f>
        <v/>
      </c>
      <c r="Q253">
        <f>MIN(Plan!E8,O253+P253)</f>
        <v/>
      </c>
      <c r="R253">
        <f>O253+P253-Q253</f>
        <v/>
      </c>
      <c r="S253">
        <f>MIN(R253,MAX(0,$B253-((E$5&lt;Q$5)*F253+(K$5&lt;Q$5)*L253+(W$5&lt;Q$5)*X253+(AC$5&lt;Q$5)*AD253+(AI$5&lt;Q$5)*AJ253+(AO$5&lt;Q$5)*AP253+(AU$5&lt;Q$5)*AV253)))</f>
        <v/>
      </c>
      <c r="T253">
        <f>IF(R253-S253&lt;0.005,0,R253-S253)</f>
        <v/>
      </c>
      <c r="U253">
        <f>Z252</f>
        <v/>
      </c>
      <c r="V253">
        <f>U253*Plan!D9/100/12</f>
        <v/>
      </c>
      <c r="W253">
        <f>MIN(Plan!E9,U253+V253)</f>
        <v/>
      </c>
      <c r="X253">
        <f>U253+V253-W253</f>
        <v/>
      </c>
      <c r="Y253">
        <f>MIN(X253,MAX(0,$B253-((E$5&lt;W$5)*F253+(K$5&lt;W$5)*L253+(Q$5&lt;W$5)*R253+(AC$5&lt;W$5)*AD253+(AI$5&lt;W$5)*AJ253+(AO$5&lt;W$5)*AP253+(AU$5&lt;W$5)*AV253)))</f>
        <v/>
      </c>
      <c r="Z253">
        <f>IF(X253-Y253&lt;0.005,0,X253-Y253)</f>
        <v/>
      </c>
      <c r="AA253">
        <f>AF252</f>
        <v/>
      </c>
      <c r="AB253">
        <f>AA253*Plan!D10/100/12</f>
        <v/>
      </c>
      <c r="AC253">
        <f>MIN(Plan!E10,AA253+AB253)</f>
        <v/>
      </c>
      <c r="AD253">
        <f>AA253+AB253-AC253</f>
        <v/>
      </c>
      <c r="AE253">
        <f>MIN(AD253,MAX(0,$B253-((E$5&lt;AC$5)*F253+(K$5&lt;AC$5)*L253+(Q$5&lt;AC$5)*R253+(W$5&lt;AC$5)*X253+(AI$5&lt;AC$5)*AJ253+(AO$5&lt;AC$5)*AP253+(AU$5&lt;AC$5)*AV253)))</f>
        <v/>
      </c>
      <c r="AF253">
        <f>IF(AD253-AE253&lt;0.005,0,AD253-AE253)</f>
        <v/>
      </c>
      <c r="AG253">
        <f>AL252</f>
        <v/>
      </c>
      <c r="AH253">
        <f>AG253*Plan!D11/100/12</f>
        <v/>
      </c>
      <c r="AI253">
        <f>MIN(Plan!E11,AG253+AH253)</f>
        <v/>
      </c>
      <c r="AJ253">
        <f>AG253+AH253-AI253</f>
        <v/>
      </c>
      <c r="AK253">
        <f>MIN(AJ253,MAX(0,$B253-((E$5&lt;AI$5)*F253+(K$5&lt;AI$5)*L253+(Q$5&lt;AI$5)*R253+(W$5&lt;AI$5)*X253+(AC$5&lt;AI$5)*AD253+(AO$5&lt;AI$5)*AP253+(AU$5&lt;AI$5)*AV253)))</f>
        <v/>
      </c>
      <c r="AL253">
        <f>IF(AJ253-AK253&lt;0.005,0,AJ253-AK253)</f>
        <v/>
      </c>
      <c r="AM253">
        <f>AR252</f>
        <v/>
      </c>
      <c r="AN253">
        <f>AM253*Plan!D12/100/12</f>
        <v/>
      </c>
      <c r="AO253">
        <f>MIN(Plan!E12,AM253+AN253)</f>
        <v/>
      </c>
      <c r="AP253">
        <f>AM253+AN253-AO253</f>
        <v/>
      </c>
      <c r="AQ253">
        <f>MIN(AP253,MAX(0,$B253-((E$5&lt;AO$5)*F253+(K$5&lt;AO$5)*L253+(Q$5&lt;AO$5)*R253+(W$5&lt;AO$5)*X253+(AC$5&lt;AO$5)*AD253+(AI$5&lt;AO$5)*AJ253+(AU$5&lt;AO$5)*AV253)))</f>
        <v/>
      </c>
      <c r="AR253">
        <f>IF(AP253-AQ253&lt;0.005,0,AP253-AQ253)</f>
        <v/>
      </c>
      <c r="AS253">
        <f>AX252</f>
        <v/>
      </c>
      <c r="AT253">
        <f>AS253*Plan!D13/100/12</f>
        <v/>
      </c>
      <c r="AU253">
        <f>MIN(Plan!E13,AS253+AT253)</f>
        <v/>
      </c>
      <c r="AV253">
        <f>AS253+AT253-AU253</f>
        <v/>
      </c>
      <c r="AW253">
        <f>MIN(AV253,MAX(0,$B253-((E$5&lt;AU$5)*F253+(K$5&lt;AU$5)*L253+(Q$5&lt;AU$5)*R253+(W$5&lt;AU$5)*X253+(AC$5&lt;AU$5)*AD253+(AI$5&lt;AU$5)*AJ253+(AO$5&lt;AU$5)*AP253)))</f>
        <v/>
      </c>
      <c r="AX253">
        <f>IF(AV253-AW253&lt;0.005,0,AV253-AW253)</f>
        <v/>
      </c>
      <c r="BC253">
        <f>H253+N253+T253+Z253+AF253+AL253+AR253+AX253</f>
        <v/>
      </c>
    </row>
    <row r="254">
      <c r="A254" t="n">
        <v>248</v>
      </c>
      <c r="B254" s="19">
        <f>MAX(0,$B$3-(E254+K254+Q254+W254+AC254+AI254+AO254+AU254))</f>
        <v/>
      </c>
      <c r="C254">
        <f>H253</f>
        <v/>
      </c>
      <c r="D254">
        <f>C254*Plan!D6/100/12</f>
        <v/>
      </c>
      <c r="E254">
        <f>MIN(Plan!E6,C254+D254)</f>
        <v/>
      </c>
      <c r="F254">
        <f>C254+D254-E254</f>
        <v/>
      </c>
      <c r="G254">
        <f>MIN(F254,MAX(0,$B254-((K$5&lt;E$5)*L254+(Q$5&lt;E$5)*R254+(W$5&lt;E$5)*X254+(AC$5&lt;E$5)*AD254+(AI$5&lt;E$5)*AJ254+(AO$5&lt;E$5)*AP254+(AU$5&lt;E$5)*AV254)))</f>
        <v/>
      </c>
      <c r="H254">
        <f>IF(F254-G254&lt;0.005,0,F254-G254)</f>
        <v/>
      </c>
      <c r="I254">
        <f>N253</f>
        <v/>
      </c>
      <c r="J254">
        <f>I254*Plan!D7/100/12</f>
        <v/>
      </c>
      <c r="K254">
        <f>MIN(Plan!E7,I254+J254)</f>
        <v/>
      </c>
      <c r="L254">
        <f>I254+J254-K254</f>
        <v/>
      </c>
      <c r="M254">
        <f>MIN(L254,MAX(0,$B254-((E$5&lt;K$5)*F254+(Q$5&lt;K$5)*R254+(W$5&lt;K$5)*X254+(AC$5&lt;K$5)*AD254+(AI$5&lt;K$5)*AJ254+(AO$5&lt;K$5)*AP254+(AU$5&lt;K$5)*AV254)))</f>
        <v/>
      </c>
      <c r="N254">
        <f>IF(L254-M254&lt;0.005,0,L254-M254)</f>
        <v/>
      </c>
      <c r="O254">
        <f>T253</f>
        <v/>
      </c>
      <c r="P254">
        <f>O254*Plan!D8/100/12</f>
        <v/>
      </c>
      <c r="Q254">
        <f>MIN(Plan!E8,O254+P254)</f>
        <v/>
      </c>
      <c r="R254">
        <f>O254+P254-Q254</f>
        <v/>
      </c>
      <c r="S254">
        <f>MIN(R254,MAX(0,$B254-((E$5&lt;Q$5)*F254+(K$5&lt;Q$5)*L254+(W$5&lt;Q$5)*X254+(AC$5&lt;Q$5)*AD254+(AI$5&lt;Q$5)*AJ254+(AO$5&lt;Q$5)*AP254+(AU$5&lt;Q$5)*AV254)))</f>
        <v/>
      </c>
      <c r="T254">
        <f>IF(R254-S254&lt;0.005,0,R254-S254)</f>
        <v/>
      </c>
      <c r="U254">
        <f>Z253</f>
        <v/>
      </c>
      <c r="V254">
        <f>U254*Plan!D9/100/12</f>
        <v/>
      </c>
      <c r="W254">
        <f>MIN(Plan!E9,U254+V254)</f>
        <v/>
      </c>
      <c r="X254">
        <f>U254+V254-W254</f>
        <v/>
      </c>
      <c r="Y254">
        <f>MIN(X254,MAX(0,$B254-((E$5&lt;W$5)*F254+(K$5&lt;W$5)*L254+(Q$5&lt;W$5)*R254+(AC$5&lt;W$5)*AD254+(AI$5&lt;W$5)*AJ254+(AO$5&lt;W$5)*AP254+(AU$5&lt;W$5)*AV254)))</f>
        <v/>
      </c>
      <c r="Z254">
        <f>IF(X254-Y254&lt;0.005,0,X254-Y254)</f>
        <v/>
      </c>
      <c r="AA254">
        <f>AF253</f>
        <v/>
      </c>
      <c r="AB254">
        <f>AA254*Plan!D10/100/12</f>
        <v/>
      </c>
      <c r="AC254">
        <f>MIN(Plan!E10,AA254+AB254)</f>
        <v/>
      </c>
      <c r="AD254">
        <f>AA254+AB254-AC254</f>
        <v/>
      </c>
      <c r="AE254">
        <f>MIN(AD254,MAX(0,$B254-((E$5&lt;AC$5)*F254+(K$5&lt;AC$5)*L254+(Q$5&lt;AC$5)*R254+(W$5&lt;AC$5)*X254+(AI$5&lt;AC$5)*AJ254+(AO$5&lt;AC$5)*AP254+(AU$5&lt;AC$5)*AV254)))</f>
        <v/>
      </c>
      <c r="AF254">
        <f>IF(AD254-AE254&lt;0.005,0,AD254-AE254)</f>
        <v/>
      </c>
      <c r="AG254">
        <f>AL253</f>
        <v/>
      </c>
      <c r="AH254">
        <f>AG254*Plan!D11/100/12</f>
        <v/>
      </c>
      <c r="AI254">
        <f>MIN(Plan!E11,AG254+AH254)</f>
        <v/>
      </c>
      <c r="AJ254">
        <f>AG254+AH254-AI254</f>
        <v/>
      </c>
      <c r="AK254">
        <f>MIN(AJ254,MAX(0,$B254-((E$5&lt;AI$5)*F254+(K$5&lt;AI$5)*L254+(Q$5&lt;AI$5)*R254+(W$5&lt;AI$5)*X254+(AC$5&lt;AI$5)*AD254+(AO$5&lt;AI$5)*AP254+(AU$5&lt;AI$5)*AV254)))</f>
        <v/>
      </c>
      <c r="AL254">
        <f>IF(AJ254-AK254&lt;0.005,0,AJ254-AK254)</f>
        <v/>
      </c>
      <c r="AM254">
        <f>AR253</f>
        <v/>
      </c>
      <c r="AN254">
        <f>AM254*Plan!D12/100/12</f>
        <v/>
      </c>
      <c r="AO254">
        <f>MIN(Plan!E12,AM254+AN254)</f>
        <v/>
      </c>
      <c r="AP254">
        <f>AM254+AN254-AO254</f>
        <v/>
      </c>
      <c r="AQ254">
        <f>MIN(AP254,MAX(0,$B254-((E$5&lt;AO$5)*F254+(K$5&lt;AO$5)*L254+(Q$5&lt;AO$5)*R254+(W$5&lt;AO$5)*X254+(AC$5&lt;AO$5)*AD254+(AI$5&lt;AO$5)*AJ254+(AU$5&lt;AO$5)*AV254)))</f>
        <v/>
      </c>
      <c r="AR254">
        <f>IF(AP254-AQ254&lt;0.005,0,AP254-AQ254)</f>
        <v/>
      </c>
      <c r="AS254">
        <f>AX253</f>
        <v/>
      </c>
      <c r="AT254">
        <f>AS254*Plan!D13/100/12</f>
        <v/>
      </c>
      <c r="AU254">
        <f>MIN(Plan!E13,AS254+AT254)</f>
        <v/>
      </c>
      <c r="AV254">
        <f>AS254+AT254-AU254</f>
        <v/>
      </c>
      <c r="AW254">
        <f>MIN(AV254,MAX(0,$B254-((E$5&lt;AU$5)*F254+(K$5&lt;AU$5)*L254+(Q$5&lt;AU$5)*R254+(W$5&lt;AU$5)*X254+(AC$5&lt;AU$5)*AD254+(AI$5&lt;AU$5)*AJ254+(AO$5&lt;AU$5)*AP254)))</f>
        <v/>
      </c>
      <c r="AX254">
        <f>IF(AV254-AW254&lt;0.005,0,AV254-AW254)</f>
        <v/>
      </c>
      <c r="BC254">
        <f>H254+N254+T254+Z254+AF254+AL254+AR254+AX254</f>
        <v/>
      </c>
    </row>
    <row r="255">
      <c r="A255" t="n">
        <v>249</v>
      </c>
      <c r="B255" s="19">
        <f>MAX(0,$B$3-(E255+K255+Q255+W255+AC255+AI255+AO255+AU255))</f>
        <v/>
      </c>
      <c r="C255">
        <f>H254</f>
        <v/>
      </c>
      <c r="D255">
        <f>C255*Plan!D6/100/12</f>
        <v/>
      </c>
      <c r="E255">
        <f>MIN(Plan!E6,C255+D255)</f>
        <v/>
      </c>
      <c r="F255">
        <f>C255+D255-E255</f>
        <v/>
      </c>
      <c r="G255">
        <f>MIN(F255,MAX(0,$B255-((K$5&lt;E$5)*L255+(Q$5&lt;E$5)*R255+(W$5&lt;E$5)*X255+(AC$5&lt;E$5)*AD255+(AI$5&lt;E$5)*AJ255+(AO$5&lt;E$5)*AP255+(AU$5&lt;E$5)*AV255)))</f>
        <v/>
      </c>
      <c r="H255">
        <f>IF(F255-G255&lt;0.005,0,F255-G255)</f>
        <v/>
      </c>
      <c r="I255">
        <f>N254</f>
        <v/>
      </c>
      <c r="J255">
        <f>I255*Plan!D7/100/12</f>
        <v/>
      </c>
      <c r="K255">
        <f>MIN(Plan!E7,I255+J255)</f>
        <v/>
      </c>
      <c r="L255">
        <f>I255+J255-K255</f>
        <v/>
      </c>
      <c r="M255">
        <f>MIN(L255,MAX(0,$B255-((E$5&lt;K$5)*F255+(Q$5&lt;K$5)*R255+(W$5&lt;K$5)*X255+(AC$5&lt;K$5)*AD255+(AI$5&lt;K$5)*AJ255+(AO$5&lt;K$5)*AP255+(AU$5&lt;K$5)*AV255)))</f>
        <v/>
      </c>
      <c r="N255">
        <f>IF(L255-M255&lt;0.005,0,L255-M255)</f>
        <v/>
      </c>
      <c r="O255">
        <f>T254</f>
        <v/>
      </c>
      <c r="P255">
        <f>O255*Plan!D8/100/12</f>
        <v/>
      </c>
      <c r="Q255">
        <f>MIN(Plan!E8,O255+P255)</f>
        <v/>
      </c>
      <c r="R255">
        <f>O255+P255-Q255</f>
        <v/>
      </c>
      <c r="S255">
        <f>MIN(R255,MAX(0,$B255-((E$5&lt;Q$5)*F255+(K$5&lt;Q$5)*L255+(W$5&lt;Q$5)*X255+(AC$5&lt;Q$5)*AD255+(AI$5&lt;Q$5)*AJ255+(AO$5&lt;Q$5)*AP255+(AU$5&lt;Q$5)*AV255)))</f>
        <v/>
      </c>
      <c r="T255">
        <f>IF(R255-S255&lt;0.005,0,R255-S255)</f>
        <v/>
      </c>
      <c r="U255">
        <f>Z254</f>
        <v/>
      </c>
      <c r="V255">
        <f>U255*Plan!D9/100/12</f>
        <v/>
      </c>
      <c r="W255">
        <f>MIN(Plan!E9,U255+V255)</f>
        <v/>
      </c>
      <c r="X255">
        <f>U255+V255-W255</f>
        <v/>
      </c>
      <c r="Y255">
        <f>MIN(X255,MAX(0,$B255-((E$5&lt;W$5)*F255+(K$5&lt;W$5)*L255+(Q$5&lt;W$5)*R255+(AC$5&lt;W$5)*AD255+(AI$5&lt;W$5)*AJ255+(AO$5&lt;W$5)*AP255+(AU$5&lt;W$5)*AV255)))</f>
        <v/>
      </c>
      <c r="Z255">
        <f>IF(X255-Y255&lt;0.005,0,X255-Y255)</f>
        <v/>
      </c>
      <c r="AA255">
        <f>AF254</f>
        <v/>
      </c>
      <c r="AB255">
        <f>AA255*Plan!D10/100/12</f>
        <v/>
      </c>
      <c r="AC255">
        <f>MIN(Plan!E10,AA255+AB255)</f>
        <v/>
      </c>
      <c r="AD255">
        <f>AA255+AB255-AC255</f>
        <v/>
      </c>
      <c r="AE255">
        <f>MIN(AD255,MAX(0,$B255-((E$5&lt;AC$5)*F255+(K$5&lt;AC$5)*L255+(Q$5&lt;AC$5)*R255+(W$5&lt;AC$5)*X255+(AI$5&lt;AC$5)*AJ255+(AO$5&lt;AC$5)*AP255+(AU$5&lt;AC$5)*AV255)))</f>
        <v/>
      </c>
      <c r="AF255">
        <f>IF(AD255-AE255&lt;0.005,0,AD255-AE255)</f>
        <v/>
      </c>
      <c r="AG255">
        <f>AL254</f>
        <v/>
      </c>
      <c r="AH255">
        <f>AG255*Plan!D11/100/12</f>
        <v/>
      </c>
      <c r="AI255">
        <f>MIN(Plan!E11,AG255+AH255)</f>
        <v/>
      </c>
      <c r="AJ255">
        <f>AG255+AH255-AI255</f>
        <v/>
      </c>
      <c r="AK255">
        <f>MIN(AJ255,MAX(0,$B255-((E$5&lt;AI$5)*F255+(K$5&lt;AI$5)*L255+(Q$5&lt;AI$5)*R255+(W$5&lt;AI$5)*X255+(AC$5&lt;AI$5)*AD255+(AO$5&lt;AI$5)*AP255+(AU$5&lt;AI$5)*AV255)))</f>
        <v/>
      </c>
      <c r="AL255">
        <f>IF(AJ255-AK255&lt;0.005,0,AJ255-AK255)</f>
        <v/>
      </c>
      <c r="AM255">
        <f>AR254</f>
        <v/>
      </c>
      <c r="AN255">
        <f>AM255*Plan!D12/100/12</f>
        <v/>
      </c>
      <c r="AO255">
        <f>MIN(Plan!E12,AM255+AN255)</f>
        <v/>
      </c>
      <c r="AP255">
        <f>AM255+AN255-AO255</f>
        <v/>
      </c>
      <c r="AQ255">
        <f>MIN(AP255,MAX(0,$B255-((E$5&lt;AO$5)*F255+(K$5&lt;AO$5)*L255+(Q$5&lt;AO$5)*R255+(W$5&lt;AO$5)*X255+(AC$5&lt;AO$5)*AD255+(AI$5&lt;AO$5)*AJ255+(AU$5&lt;AO$5)*AV255)))</f>
        <v/>
      </c>
      <c r="AR255">
        <f>IF(AP255-AQ255&lt;0.005,0,AP255-AQ255)</f>
        <v/>
      </c>
      <c r="AS255">
        <f>AX254</f>
        <v/>
      </c>
      <c r="AT255">
        <f>AS255*Plan!D13/100/12</f>
        <v/>
      </c>
      <c r="AU255">
        <f>MIN(Plan!E13,AS255+AT255)</f>
        <v/>
      </c>
      <c r="AV255">
        <f>AS255+AT255-AU255</f>
        <v/>
      </c>
      <c r="AW255">
        <f>MIN(AV255,MAX(0,$B255-((E$5&lt;AU$5)*F255+(K$5&lt;AU$5)*L255+(Q$5&lt;AU$5)*R255+(W$5&lt;AU$5)*X255+(AC$5&lt;AU$5)*AD255+(AI$5&lt;AU$5)*AJ255+(AO$5&lt;AU$5)*AP255)))</f>
        <v/>
      </c>
      <c r="AX255">
        <f>IF(AV255-AW255&lt;0.005,0,AV255-AW255)</f>
        <v/>
      </c>
      <c r="BC255">
        <f>H255+N255+T255+Z255+AF255+AL255+AR255+AX255</f>
        <v/>
      </c>
    </row>
    <row r="256">
      <c r="A256" t="n">
        <v>250</v>
      </c>
      <c r="B256" s="19">
        <f>MAX(0,$B$3-(E256+K256+Q256+W256+AC256+AI256+AO256+AU256))</f>
        <v/>
      </c>
      <c r="C256">
        <f>H255</f>
        <v/>
      </c>
      <c r="D256">
        <f>C256*Plan!D6/100/12</f>
        <v/>
      </c>
      <c r="E256">
        <f>MIN(Plan!E6,C256+D256)</f>
        <v/>
      </c>
      <c r="F256">
        <f>C256+D256-E256</f>
        <v/>
      </c>
      <c r="G256">
        <f>MIN(F256,MAX(0,$B256-((K$5&lt;E$5)*L256+(Q$5&lt;E$5)*R256+(W$5&lt;E$5)*X256+(AC$5&lt;E$5)*AD256+(AI$5&lt;E$5)*AJ256+(AO$5&lt;E$5)*AP256+(AU$5&lt;E$5)*AV256)))</f>
        <v/>
      </c>
      <c r="H256">
        <f>IF(F256-G256&lt;0.005,0,F256-G256)</f>
        <v/>
      </c>
      <c r="I256">
        <f>N255</f>
        <v/>
      </c>
      <c r="J256">
        <f>I256*Plan!D7/100/12</f>
        <v/>
      </c>
      <c r="K256">
        <f>MIN(Plan!E7,I256+J256)</f>
        <v/>
      </c>
      <c r="L256">
        <f>I256+J256-K256</f>
        <v/>
      </c>
      <c r="M256">
        <f>MIN(L256,MAX(0,$B256-((E$5&lt;K$5)*F256+(Q$5&lt;K$5)*R256+(W$5&lt;K$5)*X256+(AC$5&lt;K$5)*AD256+(AI$5&lt;K$5)*AJ256+(AO$5&lt;K$5)*AP256+(AU$5&lt;K$5)*AV256)))</f>
        <v/>
      </c>
      <c r="N256">
        <f>IF(L256-M256&lt;0.005,0,L256-M256)</f>
        <v/>
      </c>
      <c r="O256">
        <f>T255</f>
        <v/>
      </c>
      <c r="P256">
        <f>O256*Plan!D8/100/12</f>
        <v/>
      </c>
      <c r="Q256">
        <f>MIN(Plan!E8,O256+P256)</f>
        <v/>
      </c>
      <c r="R256">
        <f>O256+P256-Q256</f>
        <v/>
      </c>
      <c r="S256">
        <f>MIN(R256,MAX(0,$B256-((E$5&lt;Q$5)*F256+(K$5&lt;Q$5)*L256+(W$5&lt;Q$5)*X256+(AC$5&lt;Q$5)*AD256+(AI$5&lt;Q$5)*AJ256+(AO$5&lt;Q$5)*AP256+(AU$5&lt;Q$5)*AV256)))</f>
        <v/>
      </c>
      <c r="T256">
        <f>IF(R256-S256&lt;0.005,0,R256-S256)</f>
        <v/>
      </c>
      <c r="U256">
        <f>Z255</f>
        <v/>
      </c>
      <c r="V256">
        <f>U256*Plan!D9/100/12</f>
        <v/>
      </c>
      <c r="W256">
        <f>MIN(Plan!E9,U256+V256)</f>
        <v/>
      </c>
      <c r="X256">
        <f>U256+V256-W256</f>
        <v/>
      </c>
      <c r="Y256">
        <f>MIN(X256,MAX(0,$B256-((E$5&lt;W$5)*F256+(K$5&lt;W$5)*L256+(Q$5&lt;W$5)*R256+(AC$5&lt;W$5)*AD256+(AI$5&lt;W$5)*AJ256+(AO$5&lt;W$5)*AP256+(AU$5&lt;W$5)*AV256)))</f>
        <v/>
      </c>
      <c r="Z256">
        <f>IF(X256-Y256&lt;0.005,0,X256-Y256)</f>
        <v/>
      </c>
      <c r="AA256">
        <f>AF255</f>
        <v/>
      </c>
      <c r="AB256">
        <f>AA256*Plan!D10/100/12</f>
        <v/>
      </c>
      <c r="AC256">
        <f>MIN(Plan!E10,AA256+AB256)</f>
        <v/>
      </c>
      <c r="AD256">
        <f>AA256+AB256-AC256</f>
        <v/>
      </c>
      <c r="AE256">
        <f>MIN(AD256,MAX(0,$B256-((E$5&lt;AC$5)*F256+(K$5&lt;AC$5)*L256+(Q$5&lt;AC$5)*R256+(W$5&lt;AC$5)*X256+(AI$5&lt;AC$5)*AJ256+(AO$5&lt;AC$5)*AP256+(AU$5&lt;AC$5)*AV256)))</f>
        <v/>
      </c>
      <c r="AF256">
        <f>IF(AD256-AE256&lt;0.005,0,AD256-AE256)</f>
        <v/>
      </c>
      <c r="AG256">
        <f>AL255</f>
        <v/>
      </c>
      <c r="AH256">
        <f>AG256*Plan!D11/100/12</f>
        <v/>
      </c>
      <c r="AI256">
        <f>MIN(Plan!E11,AG256+AH256)</f>
        <v/>
      </c>
      <c r="AJ256">
        <f>AG256+AH256-AI256</f>
        <v/>
      </c>
      <c r="AK256">
        <f>MIN(AJ256,MAX(0,$B256-((E$5&lt;AI$5)*F256+(K$5&lt;AI$5)*L256+(Q$5&lt;AI$5)*R256+(W$5&lt;AI$5)*X256+(AC$5&lt;AI$5)*AD256+(AO$5&lt;AI$5)*AP256+(AU$5&lt;AI$5)*AV256)))</f>
        <v/>
      </c>
      <c r="AL256">
        <f>IF(AJ256-AK256&lt;0.005,0,AJ256-AK256)</f>
        <v/>
      </c>
      <c r="AM256">
        <f>AR255</f>
        <v/>
      </c>
      <c r="AN256">
        <f>AM256*Plan!D12/100/12</f>
        <v/>
      </c>
      <c r="AO256">
        <f>MIN(Plan!E12,AM256+AN256)</f>
        <v/>
      </c>
      <c r="AP256">
        <f>AM256+AN256-AO256</f>
        <v/>
      </c>
      <c r="AQ256">
        <f>MIN(AP256,MAX(0,$B256-((E$5&lt;AO$5)*F256+(K$5&lt;AO$5)*L256+(Q$5&lt;AO$5)*R256+(W$5&lt;AO$5)*X256+(AC$5&lt;AO$5)*AD256+(AI$5&lt;AO$5)*AJ256+(AU$5&lt;AO$5)*AV256)))</f>
        <v/>
      </c>
      <c r="AR256">
        <f>IF(AP256-AQ256&lt;0.005,0,AP256-AQ256)</f>
        <v/>
      </c>
      <c r="AS256">
        <f>AX255</f>
        <v/>
      </c>
      <c r="AT256">
        <f>AS256*Plan!D13/100/12</f>
        <v/>
      </c>
      <c r="AU256">
        <f>MIN(Plan!E13,AS256+AT256)</f>
        <v/>
      </c>
      <c r="AV256">
        <f>AS256+AT256-AU256</f>
        <v/>
      </c>
      <c r="AW256">
        <f>MIN(AV256,MAX(0,$B256-((E$5&lt;AU$5)*F256+(K$5&lt;AU$5)*L256+(Q$5&lt;AU$5)*R256+(W$5&lt;AU$5)*X256+(AC$5&lt;AU$5)*AD256+(AI$5&lt;AU$5)*AJ256+(AO$5&lt;AU$5)*AP256)))</f>
        <v/>
      </c>
      <c r="AX256">
        <f>IF(AV256-AW256&lt;0.005,0,AV256-AW256)</f>
        <v/>
      </c>
      <c r="BC256">
        <f>H256+N256+T256+Z256+AF256+AL256+AR256+AX256</f>
        <v/>
      </c>
    </row>
    <row r="257">
      <c r="A257" t="n">
        <v>251</v>
      </c>
      <c r="B257" s="19">
        <f>MAX(0,$B$3-(E257+K257+Q257+W257+AC257+AI257+AO257+AU257))</f>
        <v/>
      </c>
      <c r="C257">
        <f>H256</f>
        <v/>
      </c>
      <c r="D257">
        <f>C257*Plan!D6/100/12</f>
        <v/>
      </c>
      <c r="E257">
        <f>MIN(Plan!E6,C257+D257)</f>
        <v/>
      </c>
      <c r="F257">
        <f>C257+D257-E257</f>
        <v/>
      </c>
      <c r="G257">
        <f>MIN(F257,MAX(0,$B257-((K$5&lt;E$5)*L257+(Q$5&lt;E$5)*R257+(W$5&lt;E$5)*X257+(AC$5&lt;E$5)*AD257+(AI$5&lt;E$5)*AJ257+(AO$5&lt;E$5)*AP257+(AU$5&lt;E$5)*AV257)))</f>
        <v/>
      </c>
      <c r="H257">
        <f>IF(F257-G257&lt;0.005,0,F257-G257)</f>
        <v/>
      </c>
      <c r="I257">
        <f>N256</f>
        <v/>
      </c>
      <c r="J257">
        <f>I257*Plan!D7/100/12</f>
        <v/>
      </c>
      <c r="K257">
        <f>MIN(Plan!E7,I257+J257)</f>
        <v/>
      </c>
      <c r="L257">
        <f>I257+J257-K257</f>
        <v/>
      </c>
      <c r="M257">
        <f>MIN(L257,MAX(0,$B257-((E$5&lt;K$5)*F257+(Q$5&lt;K$5)*R257+(W$5&lt;K$5)*X257+(AC$5&lt;K$5)*AD257+(AI$5&lt;K$5)*AJ257+(AO$5&lt;K$5)*AP257+(AU$5&lt;K$5)*AV257)))</f>
        <v/>
      </c>
      <c r="N257">
        <f>IF(L257-M257&lt;0.005,0,L257-M257)</f>
        <v/>
      </c>
      <c r="O257">
        <f>T256</f>
        <v/>
      </c>
      <c r="P257">
        <f>O257*Plan!D8/100/12</f>
        <v/>
      </c>
      <c r="Q257">
        <f>MIN(Plan!E8,O257+P257)</f>
        <v/>
      </c>
      <c r="R257">
        <f>O257+P257-Q257</f>
        <v/>
      </c>
      <c r="S257">
        <f>MIN(R257,MAX(0,$B257-((E$5&lt;Q$5)*F257+(K$5&lt;Q$5)*L257+(W$5&lt;Q$5)*X257+(AC$5&lt;Q$5)*AD257+(AI$5&lt;Q$5)*AJ257+(AO$5&lt;Q$5)*AP257+(AU$5&lt;Q$5)*AV257)))</f>
        <v/>
      </c>
      <c r="T257">
        <f>IF(R257-S257&lt;0.005,0,R257-S257)</f>
        <v/>
      </c>
      <c r="U257">
        <f>Z256</f>
        <v/>
      </c>
      <c r="V257">
        <f>U257*Plan!D9/100/12</f>
        <v/>
      </c>
      <c r="W257">
        <f>MIN(Plan!E9,U257+V257)</f>
        <v/>
      </c>
      <c r="X257">
        <f>U257+V257-W257</f>
        <v/>
      </c>
      <c r="Y257">
        <f>MIN(X257,MAX(0,$B257-((E$5&lt;W$5)*F257+(K$5&lt;W$5)*L257+(Q$5&lt;W$5)*R257+(AC$5&lt;W$5)*AD257+(AI$5&lt;W$5)*AJ257+(AO$5&lt;W$5)*AP257+(AU$5&lt;W$5)*AV257)))</f>
        <v/>
      </c>
      <c r="Z257">
        <f>IF(X257-Y257&lt;0.005,0,X257-Y257)</f>
        <v/>
      </c>
      <c r="AA257">
        <f>AF256</f>
        <v/>
      </c>
      <c r="AB257">
        <f>AA257*Plan!D10/100/12</f>
        <v/>
      </c>
      <c r="AC257">
        <f>MIN(Plan!E10,AA257+AB257)</f>
        <v/>
      </c>
      <c r="AD257">
        <f>AA257+AB257-AC257</f>
        <v/>
      </c>
      <c r="AE257">
        <f>MIN(AD257,MAX(0,$B257-((E$5&lt;AC$5)*F257+(K$5&lt;AC$5)*L257+(Q$5&lt;AC$5)*R257+(W$5&lt;AC$5)*X257+(AI$5&lt;AC$5)*AJ257+(AO$5&lt;AC$5)*AP257+(AU$5&lt;AC$5)*AV257)))</f>
        <v/>
      </c>
      <c r="AF257">
        <f>IF(AD257-AE257&lt;0.005,0,AD257-AE257)</f>
        <v/>
      </c>
      <c r="AG257">
        <f>AL256</f>
        <v/>
      </c>
      <c r="AH257">
        <f>AG257*Plan!D11/100/12</f>
        <v/>
      </c>
      <c r="AI257">
        <f>MIN(Plan!E11,AG257+AH257)</f>
        <v/>
      </c>
      <c r="AJ257">
        <f>AG257+AH257-AI257</f>
        <v/>
      </c>
      <c r="AK257">
        <f>MIN(AJ257,MAX(0,$B257-((E$5&lt;AI$5)*F257+(K$5&lt;AI$5)*L257+(Q$5&lt;AI$5)*R257+(W$5&lt;AI$5)*X257+(AC$5&lt;AI$5)*AD257+(AO$5&lt;AI$5)*AP257+(AU$5&lt;AI$5)*AV257)))</f>
        <v/>
      </c>
      <c r="AL257">
        <f>IF(AJ257-AK257&lt;0.005,0,AJ257-AK257)</f>
        <v/>
      </c>
      <c r="AM257">
        <f>AR256</f>
        <v/>
      </c>
      <c r="AN257">
        <f>AM257*Plan!D12/100/12</f>
        <v/>
      </c>
      <c r="AO257">
        <f>MIN(Plan!E12,AM257+AN257)</f>
        <v/>
      </c>
      <c r="AP257">
        <f>AM257+AN257-AO257</f>
        <v/>
      </c>
      <c r="AQ257">
        <f>MIN(AP257,MAX(0,$B257-((E$5&lt;AO$5)*F257+(K$5&lt;AO$5)*L257+(Q$5&lt;AO$5)*R257+(W$5&lt;AO$5)*X257+(AC$5&lt;AO$5)*AD257+(AI$5&lt;AO$5)*AJ257+(AU$5&lt;AO$5)*AV257)))</f>
        <v/>
      </c>
      <c r="AR257">
        <f>IF(AP257-AQ257&lt;0.005,0,AP257-AQ257)</f>
        <v/>
      </c>
      <c r="AS257">
        <f>AX256</f>
        <v/>
      </c>
      <c r="AT257">
        <f>AS257*Plan!D13/100/12</f>
        <v/>
      </c>
      <c r="AU257">
        <f>MIN(Plan!E13,AS257+AT257)</f>
        <v/>
      </c>
      <c r="AV257">
        <f>AS257+AT257-AU257</f>
        <v/>
      </c>
      <c r="AW257">
        <f>MIN(AV257,MAX(0,$B257-((E$5&lt;AU$5)*F257+(K$5&lt;AU$5)*L257+(Q$5&lt;AU$5)*R257+(W$5&lt;AU$5)*X257+(AC$5&lt;AU$5)*AD257+(AI$5&lt;AU$5)*AJ257+(AO$5&lt;AU$5)*AP257)))</f>
        <v/>
      </c>
      <c r="AX257">
        <f>IF(AV257-AW257&lt;0.005,0,AV257-AW257)</f>
        <v/>
      </c>
      <c r="BC257">
        <f>H257+N257+T257+Z257+AF257+AL257+AR257+AX257</f>
        <v/>
      </c>
    </row>
    <row r="258">
      <c r="A258" t="n">
        <v>252</v>
      </c>
      <c r="B258" s="19">
        <f>MAX(0,$B$3-(E258+K258+Q258+W258+AC258+AI258+AO258+AU258))</f>
        <v/>
      </c>
      <c r="C258">
        <f>H257</f>
        <v/>
      </c>
      <c r="D258">
        <f>C258*Plan!D6/100/12</f>
        <v/>
      </c>
      <c r="E258">
        <f>MIN(Plan!E6,C258+D258)</f>
        <v/>
      </c>
      <c r="F258">
        <f>C258+D258-E258</f>
        <v/>
      </c>
      <c r="G258">
        <f>MIN(F258,MAX(0,$B258-((K$5&lt;E$5)*L258+(Q$5&lt;E$5)*R258+(W$5&lt;E$5)*X258+(AC$5&lt;E$5)*AD258+(AI$5&lt;E$5)*AJ258+(AO$5&lt;E$5)*AP258+(AU$5&lt;E$5)*AV258)))</f>
        <v/>
      </c>
      <c r="H258">
        <f>IF(F258-G258&lt;0.005,0,F258-G258)</f>
        <v/>
      </c>
      <c r="I258">
        <f>N257</f>
        <v/>
      </c>
      <c r="J258">
        <f>I258*Plan!D7/100/12</f>
        <v/>
      </c>
      <c r="K258">
        <f>MIN(Plan!E7,I258+J258)</f>
        <v/>
      </c>
      <c r="L258">
        <f>I258+J258-K258</f>
        <v/>
      </c>
      <c r="M258">
        <f>MIN(L258,MAX(0,$B258-((E$5&lt;K$5)*F258+(Q$5&lt;K$5)*R258+(W$5&lt;K$5)*X258+(AC$5&lt;K$5)*AD258+(AI$5&lt;K$5)*AJ258+(AO$5&lt;K$5)*AP258+(AU$5&lt;K$5)*AV258)))</f>
        <v/>
      </c>
      <c r="N258">
        <f>IF(L258-M258&lt;0.005,0,L258-M258)</f>
        <v/>
      </c>
      <c r="O258">
        <f>T257</f>
        <v/>
      </c>
      <c r="P258">
        <f>O258*Plan!D8/100/12</f>
        <v/>
      </c>
      <c r="Q258">
        <f>MIN(Plan!E8,O258+P258)</f>
        <v/>
      </c>
      <c r="R258">
        <f>O258+P258-Q258</f>
        <v/>
      </c>
      <c r="S258">
        <f>MIN(R258,MAX(0,$B258-((E$5&lt;Q$5)*F258+(K$5&lt;Q$5)*L258+(W$5&lt;Q$5)*X258+(AC$5&lt;Q$5)*AD258+(AI$5&lt;Q$5)*AJ258+(AO$5&lt;Q$5)*AP258+(AU$5&lt;Q$5)*AV258)))</f>
        <v/>
      </c>
      <c r="T258">
        <f>IF(R258-S258&lt;0.005,0,R258-S258)</f>
        <v/>
      </c>
      <c r="U258">
        <f>Z257</f>
        <v/>
      </c>
      <c r="V258">
        <f>U258*Plan!D9/100/12</f>
        <v/>
      </c>
      <c r="W258">
        <f>MIN(Plan!E9,U258+V258)</f>
        <v/>
      </c>
      <c r="X258">
        <f>U258+V258-W258</f>
        <v/>
      </c>
      <c r="Y258">
        <f>MIN(X258,MAX(0,$B258-((E$5&lt;W$5)*F258+(K$5&lt;W$5)*L258+(Q$5&lt;W$5)*R258+(AC$5&lt;W$5)*AD258+(AI$5&lt;W$5)*AJ258+(AO$5&lt;W$5)*AP258+(AU$5&lt;W$5)*AV258)))</f>
        <v/>
      </c>
      <c r="Z258">
        <f>IF(X258-Y258&lt;0.005,0,X258-Y258)</f>
        <v/>
      </c>
      <c r="AA258">
        <f>AF257</f>
        <v/>
      </c>
      <c r="AB258">
        <f>AA258*Plan!D10/100/12</f>
        <v/>
      </c>
      <c r="AC258">
        <f>MIN(Plan!E10,AA258+AB258)</f>
        <v/>
      </c>
      <c r="AD258">
        <f>AA258+AB258-AC258</f>
        <v/>
      </c>
      <c r="AE258">
        <f>MIN(AD258,MAX(0,$B258-((E$5&lt;AC$5)*F258+(K$5&lt;AC$5)*L258+(Q$5&lt;AC$5)*R258+(W$5&lt;AC$5)*X258+(AI$5&lt;AC$5)*AJ258+(AO$5&lt;AC$5)*AP258+(AU$5&lt;AC$5)*AV258)))</f>
        <v/>
      </c>
      <c r="AF258">
        <f>IF(AD258-AE258&lt;0.005,0,AD258-AE258)</f>
        <v/>
      </c>
      <c r="AG258">
        <f>AL257</f>
        <v/>
      </c>
      <c r="AH258">
        <f>AG258*Plan!D11/100/12</f>
        <v/>
      </c>
      <c r="AI258">
        <f>MIN(Plan!E11,AG258+AH258)</f>
        <v/>
      </c>
      <c r="AJ258">
        <f>AG258+AH258-AI258</f>
        <v/>
      </c>
      <c r="AK258">
        <f>MIN(AJ258,MAX(0,$B258-((E$5&lt;AI$5)*F258+(K$5&lt;AI$5)*L258+(Q$5&lt;AI$5)*R258+(W$5&lt;AI$5)*X258+(AC$5&lt;AI$5)*AD258+(AO$5&lt;AI$5)*AP258+(AU$5&lt;AI$5)*AV258)))</f>
        <v/>
      </c>
      <c r="AL258">
        <f>IF(AJ258-AK258&lt;0.005,0,AJ258-AK258)</f>
        <v/>
      </c>
      <c r="AM258">
        <f>AR257</f>
        <v/>
      </c>
      <c r="AN258">
        <f>AM258*Plan!D12/100/12</f>
        <v/>
      </c>
      <c r="AO258">
        <f>MIN(Plan!E12,AM258+AN258)</f>
        <v/>
      </c>
      <c r="AP258">
        <f>AM258+AN258-AO258</f>
        <v/>
      </c>
      <c r="AQ258">
        <f>MIN(AP258,MAX(0,$B258-((E$5&lt;AO$5)*F258+(K$5&lt;AO$5)*L258+(Q$5&lt;AO$5)*R258+(W$5&lt;AO$5)*X258+(AC$5&lt;AO$5)*AD258+(AI$5&lt;AO$5)*AJ258+(AU$5&lt;AO$5)*AV258)))</f>
        <v/>
      </c>
      <c r="AR258">
        <f>IF(AP258-AQ258&lt;0.005,0,AP258-AQ258)</f>
        <v/>
      </c>
      <c r="AS258">
        <f>AX257</f>
        <v/>
      </c>
      <c r="AT258">
        <f>AS258*Plan!D13/100/12</f>
        <v/>
      </c>
      <c r="AU258">
        <f>MIN(Plan!E13,AS258+AT258)</f>
        <v/>
      </c>
      <c r="AV258">
        <f>AS258+AT258-AU258</f>
        <v/>
      </c>
      <c r="AW258">
        <f>MIN(AV258,MAX(0,$B258-((E$5&lt;AU$5)*F258+(K$5&lt;AU$5)*L258+(Q$5&lt;AU$5)*R258+(W$5&lt;AU$5)*X258+(AC$5&lt;AU$5)*AD258+(AI$5&lt;AU$5)*AJ258+(AO$5&lt;AU$5)*AP258)))</f>
        <v/>
      </c>
      <c r="AX258">
        <f>IF(AV258-AW258&lt;0.005,0,AV258-AW258)</f>
        <v/>
      </c>
      <c r="BC258">
        <f>H258+N258+T258+Z258+AF258+AL258+AR258+AX258</f>
        <v/>
      </c>
    </row>
    <row r="259">
      <c r="A259" t="n">
        <v>253</v>
      </c>
      <c r="B259" s="19">
        <f>MAX(0,$B$3-(E259+K259+Q259+W259+AC259+AI259+AO259+AU259))</f>
        <v/>
      </c>
      <c r="C259">
        <f>H258</f>
        <v/>
      </c>
      <c r="D259">
        <f>C259*Plan!D6/100/12</f>
        <v/>
      </c>
      <c r="E259">
        <f>MIN(Plan!E6,C259+D259)</f>
        <v/>
      </c>
      <c r="F259">
        <f>C259+D259-E259</f>
        <v/>
      </c>
      <c r="G259">
        <f>MIN(F259,MAX(0,$B259-((K$5&lt;E$5)*L259+(Q$5&lt;E$5)*R259+(W$5&lt;E$5)*X259+(AC$5&lt;E$5)*AD259+(AI$5&lt;E$5)*AJ259+(AO$5&lt;E$5)*AP259+(AU$5&lt;E$5)*AV259)))</f>
        <v/>
      </c>
      <c r="H259">
        <f>IF(F259-G259&lt;0.005,0,F259-G259)</f>
        <v/>
      </c>
      <c r="I259">
        <f>N258</f>
        <v/>
      </c>
      <c r="J259">
        <f>I259*Plan!D7/100/12</f>
        <v/>
      </c>
      <c r="K259">
        <f>MIN(Plan!E7,I259+J259)</f>
        <v/>
      </c>
      <c r="L259">
        <f>I259+J259-K259</f>
        <v/>
      </c>
      <c r="M259">
        <f>MIN(L259,MAX(0,$B259-((E$5&lt;K$5)*F259+(Q$5&lt;K$5)*R259+(W$5&lt;K$5)*X259+(AC$5&lt;K$5)*AD259+(AI$5&lt;K$5)*AJ259+(AO$5&lt;K$5)*AP259+(AU$5&lt;K$5)*AV259)))</f>
        <v/>
      </c>
      <c r="N259">
        <f>IF(L259-M259&lt;0.005,0,L259-M259)</f>
        <v/>
      </c>
      <c r="O259">
        <f>T258</f>
        <v/>
      </c>
      <c r="P259">
        <f>O259*Plan!D8/100/12</f>
        <v/>
      </c>
      <c r="Q259">
        <f>MIN(Plan!E8,O259+P259)</f>
        <v/>
      </c>
      <c r="R259">
        <f>O259+P259-Q259</f>
        <v/>
      </c>
      <c r="S259">
        <f>MIN(R259,MAX(0,$B259-((E$5&lt;Q$5)*F259+(K$5&lt;Q$5)*L259+(W$5&lt;Q$5)*X259+(AC$5&lt;Q$5)*AD259+(AI$5&lt;Q$5)*AJ259+(AO$5&lt;Q$5)*AP259+(AU$5&lt;Q$5)*AV259)))</f>
        <v/>
      </c>
      <c r="T259">
        <f>IF(R259-S259&lt;0.005,0,R259-S259)</f>
        <v/>
      </c>
      <c r="U259">
        <f>Z258</f>
        <v/>
      </c>
      <c r="V259">
        <f>U259*Plan!D9/100/12</f>
        <v/>
      </c>
      <c r="W259">
        <f>MIN(Plan!E9,U259+V259)</f>
        <v/>
      </c>
      <c r="X259">
        <f>U259+V259-W259</f>
        <v/>
      </c>
      <c r="Y259">
        <f>MIN(X259,MAX(0,$B259-((E$5&lt;W$5)*F259+(K$5&lt;W$5)*L259+(Q$5&lt;W$5)*R259+(AC$5&lt;W$5)*AD259+(AI$5&lt;W$5)*AJ259+(AO$5&lt;W$5)*AP259+(AU$5&lt;W$5)*AV259)))</f>
        <v/>
      </c>
      <c r="Z259">
        <f>IF(X259-Y259&lt;0.005,0,X259-Y259)</f>
        <v/>
      </c>
      <c r="AA259">
        <f>AF258</f>
        <v/>
      </c>
      <c r="AB259">
        <f>AA259*Plan!D10/100/12</f>
        <v/>
      </c>
      <c r="AC259">
        <f>MIN(Plan!E10,AA259+AB259)</f>
        <v/>
      </c>
      <c r="AD259">
        <f>AA259+AB259-AC259</f>
        <v/>
      </c>
      <c r="AE259">
        <f>MIN(AD259,MAX(0,$B259-((E$5&lt;AC$5)*F259+(K$5&lt;AC$5)*L259+(Q$5&lt;AC$5)*R259+(W$5&lt;AC$5)*X259+(AI$5&lt;AC$5)*AJ259+(AO$5&lt;AC$5)*AP259+(AU$5&lt;AC$5)*AV259)))</f>
        <v/>
      </c>
      <c r="AF259">
        <f>IF(AD259-AE259&lt;0.005,0,AD259-AE259)</f>
        <v/>
      </c>
      <c r="AG259">
        <f>AL258</f>
        <v/>
      </c>
      <c r="AH259">
        <f>AG259*Plan!D11/100/12</f>
        <v/>
      </c>
      <c r="AI259">
        <f>MIN(Plan!E11,AG259+AH259)</f>
        <v/>
      </c>
      <c r="AJ259">
        <f>AG259+AH259-AI259</f>
        <v/>
      </c>
      <c r="AK259">
        <f>MIN(AJ259,MAX(0,$B259-((E$5&lt;AI$5)*F259+(K$5&lt;AI$5)*L259+(Q$5&lt;AI$5)*R259+(W$5&lt;AI$5)*X259+(AC$5&lt;AI$5)*AD259+(AO$5&lt;AI$5)*AP259+(AU$5&lt;AI$5)*AV259)))</f>
        <v/>
      </c>
      <c r="AL259">
        <f>IF(AJ259-AK259&lt;0.005,0,AJ259-AK259)</f>
        <v/>
      </c>
      <c r="AM259">
        <f>AR258</f>
        <v/>
      </c>
      <c r="AN259">
        <f>AM259*Plan!D12/100/12</f>
        <v/>
      </c>
      <c r="AO259">
        <f>MIN(Plan!E12,AM259+AN259)</f>
        <v/>
      </c>
      <c r="AP259">
        <f>AM259+AN259-AO259</f>
        <v/>
      </c>
      <c r="AQ259">
        <f>MIN(AP259,MAX(0,$B259-((E$5&lt;AO$5)*F259+(K$5&lt;AO$5)*L259+(Q$5&lt;AO$5)*R259+(W$5&lt;AO$5)*X259+(AC$5&lt;AO$5)*AD259+(AI$5&lt;AO$5)*AJ259+(AU$5&lt;AO$5)*AV259)))</f>
        <v/>
      </c>
      <c r="AR259">
        <f>IF(AP259-AQ259&lt;0.005,0,AP259-AQ259)</f>
        <v/>
      </c>
      <c r="AS259">
        <f>AX258</f>
        <v/>
      </c>
      <c r="AT259">
        <f>AS259*Plan!D13/100/12</f>
        <v/>
      </c>
      <c r="AU259">
        <f>MIN(Plan!E13,AS259+AT259)</f>
        <v/>
      </c>
      <c r="AV259">
        <f>AS259+AT259-AU259</f>
        <v/>
      </c>
      <c r="AW259">
        <f>MIN(AV259,MAX(0,$B259-((E$5&lt;AU$5)*F259+(K$5&lt;AU$5)*L259+(Q$5&lt;AU$5)*R259+(W$5&lt;AU$5)*X259+(AC$5&lt;AU$5)*AD259+(AI$5&lt;AU$5)*AJ259+(AO$5&lt;AU$5)*AP259)))</f>
        <v/>
      </c>
      <c r="AX259">
        <f>IF(AV259-AW259&lt;0.005,0,AV259-AW259)</f>
        <v/>
      </c>
      <c r="BC259">
        <f>H259+N259+T259+Z259+AF259+AL259+AR259+AX259</f>
        <v/>
      </c>
    </row>
    <row r="260">
      <c r="A260" t="n">
        <v>254</v>
      </c>
      <c r="B260" s="19">
        <f>MAX(0,$B$3-(E260+K260+Q260+W260+AC260+AI260+AO260+AU260))</f>
        <v/>
      </c>
      <c r="C260">
        <f>H259</f>
        <v/>
      </c>
      <c r="D260">
        <f>C260*Plan!D6/100/12</f>
        <v/>
      </c>
      <c r="E260">
        <f>MIN(Plan!E6,C260+D260)</f>
        <v/>
      </c>
      <c r="F260">
        <f>C260+D260-E260</f>
        <v/>
      </c>
      <c r="G260">
        <f>MIN(F260,MAX(0,$B260-((K$5&lt;E$5)*L260+(Q$5&lt;E$5)*R260+(W$5&lt;E$5)*X260+(AC$5&lt;E$5)*AD260+(AI$5&lt;E$5)*AJ260+(AO$5&lt;E$5)*AP260+(AU$5&lt;E$5)*AV260)))</f>
        <v/>
      </c>
      <c r="H260">
        <f>IF(F260-G260&lt;0.005,0,F260-G260)</f>
        <v/>
      </c>
      <c r="I260">
        <f>N259</f>
        <v/>
      </c>
      <c r="J260">
        <f>I260*Plan!D7/100/12</f>
        <v/>
      </c>
      <c r="K260">
        <f>MIN(Plan!E7,I260+J260)</f>
        <v/>
      </c>
      <c r="L260">
        <f>I260+J260-K260</f>
        <v/>
      </c>
      <c r="M260">
        <f>MIN(L260,MAX(0,$B260-((E$5&lt;K$5)*F260+(Q$5&lt;K$5)*R260+(W$5&lt;K$5)*X260+(AC$5&lt;K$5)*AD260+(AI$5&lt;K$5)*AJ260+(AO$5&lt;K$5)*AP260+(AU$5&lt;K$5)*AV260)))</f>
        <v/>
      </c>
      <c r="N260">
        <f>IF(L260-M260&lt;0.005,0,L260-M260)</f>
        <v/>
      </c>
      <c r="O260">
        <f>T259</f>
        <v/>
      </c>
      <c r="P260">
        <f>O260*Plan!D8/100/12</f>
        <v/>
      </c>
      <c r="Q260">
        <f>MIN(Plan!E8,O260+P260)</f>
        <v/>
      </c>
      <c r="R260">
        <f>O260+P260-Q260</f>
        <v/>
      </c>
      <c r="S260">
        <f>MIN(R260,MAX(0,$B260-((E$5&lt;Q$5)*F260+(K$5&lt;Q$5)*L260+(W$5&lt;Q$5)*X260+(AC$5&lt;Q$5)*AD260+(AI$5&lt;Q$5)*AJ260+(AO$5&lt;Q$5)*AP260+(AU$5&lt;Q$5)*AV260)))</f>
        <v/>
      </c>
      <c r="T260">
        <f>IF(R260-S260&lt;0.005,0,R260-S260)</f>
        <v/>
      </c>
      <c r="U260">
        <f>Z259</f>
        <v/>
      </c>
      <c r="V260">
        <f>U260*Plan!D9/100/12</f>
        <v/>
      </c>
      <c r="W260">
        <f>MIN(Plan!E9,U260+V260)</f>
        <v/>
      </c>
      <c r="X260">
        <f>U260+V260-W260</f>
        <v/>
      </c>
      <c r="Y260">
        <f>MIN(X260,MAX(0,$B260-((E$5&lt;W$5)*F260+(K$5&lt;W$5)*L260+(Q$5&lt;W$5)*R260+(AC$5&lt;W$5)*AD260+(AI$5&lt;W$5)*AJ260+(AO$5&lt;W$5)*AP260+(AU$5&lt;W$5)*AV260)))</f>
        <v/>
      </c>
      <c r="Z260">
        <f>IF(X260-Y260&lt;0.005,0,X260-Y260)</f>
        <v/>
      </c>
      <c r="AA260">
        <f>AF259</f>
        <v/>
      </c>
      <c r="AB260">
        <f>AA260*Plan!D10/100/12</f>
        <v/>
      </c>
      <c r="AC260">
        <f>MIN(Plan!E10,AA260+AB260)</f>
        <v/>
      </c>
      <c r="AD260">
        <f>AA260+AB260-AC260</f>
        <v/>
      </c>
      <c r="AE260">
        <f>MIN(AD260,MAX(0,$B260-((E$5&lt;AC$5)*F260+(K$5&lt;AC$5)*L260+(Q$5&lt;AC$5)*R260+(W$5&lt;AC$5)*X260+(AI$5&lt;AC$5)*AJ260+(AO$5&lt;AC$5)*AP260+(AU$5&lt;AC$5)*AV260)))</f>
        <v/>
      </c>
      <c r="AF260">
        <f>IF(AD260-AE260&lt;0.005,0,AD260-AE260)</f>
        <v/>
      </c>
      <c r="AG260">
        <f>AL259</f>
        <v/>
      </c>
      <c r="AH260">
        <f>AG260*Plan!D11/100/12</f>
        <v/>
      </c>
      <c r="AI260">
        <f>MIN(Plan!E11,AG260+AH260)</f>
        <v/>
      </c>
      <c r="AJ260">
        <f>AG260+AH260-AI260</f>
        <v/>
      </c>
      <c r="AK260">
        <f>MIN(AJ260,MAX(0,$B260-((E$5&lt;AI$5)*F260+(K$5&lt;AI$5)*L260+(Q$5&lt;AI$5)*R260+(W$5&lt;AI$5)*X260+(AC$5&lt;AI$5)*AD260+(AO$5&lt;AI$5)*AP260+(AU$5&lt;AI$5)*AV260)))</f>
        <v/>
      </c>
      <c r="AL260">
        <f>IF(AJ260-AK260&lt;0.005,0,AJ260-AK260)</f>
        <v/>
      </c>
      <c r="AM260">
        <f>AR259</f>
        <v/>
      </c>
      <c r="AN260">
        <f>AM260*Plan!D12/100/12</f>
        <v/>
      </c>
      <c r="AO260">
        <f>MIN(Plan!E12,AM260+AN260)</f>
        <v/>
      </c>
      <c r="AP260">
        <f>AM260+AN260-AO260</f>
        <v/>
      </c>
      <c r="AQ260">
        <f>MIN(AP260,MAX(0,$B260-((E$5&lt;AO$5)*F260+(K$5&lt;AO$5)*L260+(Q$5&lt;AO$5)*R260+(W$5&lt;AO$5)*X260+(AC$5&lt;AO$5)*AD260+(AI$5&lt;AO$5)*AJ260+(AU$5&lt;AO$5)*AV260)))</f>
        <v/>
      </c>
      <c r="AR260">
        <f>IF(AP260-AQ260&lt;0.005,0,AP260-AQ260)</f>
        <v/>
      </c>
      <c r="AS260">
        <f>AX259</f>
        <v/>
      </c>
      <c r="AT260">
        <f>AS260*Plan!D13/100/12</f>
        <v/>
      </c>
      <c r="AU260">
        <f>MIN(Plan!E13,AS260+AT260)</f>
        <v/>
      </c>
      <c r="AV260">
        <f>AS260+AT260-AU260</f>
        <v/>
      </c>
      <c r="AW260">
        <f>MIN(AV260,MAX(0,$B260-((E$5&lt;AU$5)*F260+(K$5&lt;AU$5)*L260+(Q$5&lt;AU$5)*R260+(W$5&lt;AU$5)*X260+(AC$5&lt;AU$5)*AD260+(AI$5&lt;AU$5)*AJ260+(AO$5&lt;AU$5)*AP260)))</f>
        <v/>
      </c>
      <c r="AX260">
        <f>IF(AV260-AW260&lt;0.005,0,AV260-AW260)</f>
        <v/>
      </c>
      <c r="BC260">
        <f>H260+N260+T260+Z260+AF260+AL260+AR260+AX260</f>
        <v/>
      </c>
    </row>
    <row r="261">
      <c r="A261" t="n">
        <v>255</v>
      </c>
      <c r="B261" s="19">
        <f>MAX(0,$B$3-(E261+K261+Q261+W261+AC261+AI261+AO261+AU261))</f>
        <v/>
      </c>
      <c r="C261">
        <f>H260</f>
        <v/>
      </c>
      <c r="D261">
        <f>C261*Plan!D6/100/12</f>
        <v/>
      </c>
      <c r="E261">
        <f>MIN(Plan!E6,C261+D261)</f>
        <v/>
      </c>
      <c r="F261">
        <f>C261+D261-E261</f>
        <v/>
      </c>
      <c r="G261">
        <f>MIN(F261,MAX(0,$B261-((K$5&lt;E$5)*L261+(Q$5&lt;E$5)*R261+(W$5&lt;E$5)*X261+(AC$5&lt;E$5)*AD261+(AI$5&lt;E$5)*AJ261+(AO$5&lt;E$5)*AP261+(AU$5&lt;E$5)*AV261)))</f>
        <v/>
      </c>
      <c r="H261">
        <f>IF(F261-G261&lt;0.005,0,F261-G261)</f>
        <v/>
      </c>
      <c r="I261">
        <f>N260</f>
        <v/>
      </c>
      <c r="J261">
        <f>I261*Plan!D7/100/12</f>
        <v/>
      </c>
      <c r="K261">
        <f>MIN(Plan!E7,I261+J261)</f>
        <v/>
      </c>
      <c r="L261">
        <f>I261+J261-K261</f>
        <v/>
      </c>
      <c r="M261">
        <f>MIN(L261,MAX(0,$B261-((E$5&lt;K$5)*F261+(Q$5&lt;K$5)*R261+(W$5&lt;K$5)*X261+(AC$5&lt;K$5)*AD261+(AI$5&lt;K$5)*AJ261+(AO$5&lt;K$5)*AP261+(AU$5&lt;K$5)*AV261)))</f>
        <v/>
      </c>
      <c r="N261">
        <f>IF(L261-M261&lt;0.005,0,L261-M261)</f>
        <v/>
      </c>
      <c r="O261">
        <f>T260</f>
        <v/>
      </c>
      <c r="P261">
        <f>O261*Plan!D8/100/12</f>
        <v/>
      </c>
      <c r="Q261">
        <f>MIN(Plan!E8,O261+P261)</f>
        <v/>
      </c>
      <c r="R261">
        <f>O261+P261-Q261</f>
        <v/>
      </c>
      <c r="S261">
        <f>MIN(R261,MAX(0,$B261-((E$5&lt;Q$5)*F261+(K$5&lt;Q$5)*L261+(W$5&lt;Q$5)*X261+(AC$5&lt;Q$5)*AD261+(AI$5&lt;Q$5)*AJ261+(AO$5&lt;Q$5)*AP261+(AU$5&lt;Q$5)*AV261)))</f>
        <v/>
      </c>
      <c r="T261">
        <f>IF(R261-S261&lt;0.005,0,R261-S261)</f>
        <v/>
      </c>
      <c r="U261">
        <f>Z260</f>
        <v/>
      </c>
      <c r="V261">
        <f>U261*Plan!D9/100/12</f>
        <v/>
      </c>
      <c r="W261">
        <f>MIN(Plan!E9,U261+V261)</f>
        <v/>
      </c>
      <c r="X261">
        <f>U261+V261-W261</f>
        <v/>
      </c>
      <c r="Y261">
        <f>MIN(X261,MAX(0,$B261-((E$5&lt;W$5)*F261+(K$5&lt;W$5)*L261+(Q$5&lt;W$5)*R261+(AC$5&lt;W$5)*AD261+(AI$5&lt;W$5)*AJ261+(AO$5&lt;W$5)*AP261+(AU$5&lt;W$5)*AV261)))</f>
        <v/>
      </c>
      <c r="Z261">
        <f>IF(X261-Y261&lt;0.005,0,X261-Y261)</f>
        <v/>
      </c>
      <c r="AA261">
        <f>AF260</f>
        <v/>
      </c>
      <c r="AB261">
        <f>AA261*Plan!D10/100/12</f>
        <v/>
      </c>
      <c r="AC261">
        <f>MIN(Plan!E10,AA261+AB261)</f>
        <v/>
      </c>
      <c r="AD261">
        <f>AA261+AB261-AC261</f>
        <v/>
      </c>
      <c r="AE261">
        <f>MIN(AD261,MAX(0,$B261-((E$5&lt;AC$5)*F261+(K$5&lt;AC$5)*L261+(Q$5&lt;AC$5)*R261+(W$5&lt;AC$5)*X261+(AI$5&lt;AC$5)*AJ261+(AO$5&lt;AC$5)*AP261+(AU$5&lt;AC$5)*AV261)))</f>
        <v/>
      </c>
      <c r="AF261">
        <f>IF(AD261-AE261&lt;0.005,0,AD261-AE261)</f>
        <v/>
      </c>
      <c r="AG261">
        <f>AL260</f>
        <v/>
      </c>
      <c r="AH261">
        <f>AG261*Plan!D11/100/12</f>
        <v/>
      </c>
      <c r="AI261">
        <f>MIN(Plan!E11,AG261+AH261)</f>
        <v/>
      </c>
      <c r="AJ261">
        <f>AG261+AH261-AI261</f>
        <v/>
      </c>
      <c r="AK261">
        <f>MIN(AJ261,MAX(0,$B261-((E$5&lt;AI$5)*F261+(K$5&lt;AI$5)*L261+(Q$5&lt;AI$5)*R261+(W$5&lt;AI$5)*X261+(AC$5&lt;AI$5)*AD261+(AO$5&lt;AI$5)*AP261+(AU$5&lt;AI$5)*AV261)))</f>
        <v/>
      </c>
      <c r="AL261">
        <f>IF(AJ261-AK261&lt;0.005,0,AJ261-AK261)</f>
        <v/>
      </c>
      <c r="AM261">
        <f>AR260</f>
        <v/>
      </c>
      <c r="AN261">
        <f>AM261*Plan!D12/100/12</f>
        <v/>
      </c>
      <c r="AO261">
        <f>MIN(Plan!E12,AM261+AN261)</f>
        <v/>
      </c>
      <c r="AP261">
        <f>AM261+AN261-AO261</f>
        <v/>
      </c>
      <c r="AQ261">
        <f>MIN(AP261,MAX(0,$B261-((E$5&lt;AO$5)*F261+(K$5&lt;AO$5)*L261+(Q$5&lt;AO$5)*R261+(W$5&lt;AO$5)*X261+(AC$5&lt;AO$5)*AD261+(AI$5&lt;AO$5)*AJ261+(AU$5&lt;AO$5)*AV261)))</f>
        <v/>
      </c>
      <c r="AR261">
        <f>IF(AP261-AQ261&lt;0.005,0,AP261-AQ261)</f>
        <v/>
      </c>
      <c r="AS261">
        <f>AX260</f>
        <v/>
      </c>
      <c r="AT261">
        <f>AS261*Plan!D13/100/12</f>
        <v/>
      </c>
      <c r="AU261">
        <f>MIN(Plan!E13,AS261+AT261)</f>
        <v/>
      </c>
      <c r="AV261">
        <f>AS261+AT261-AU261</f>
        <v/>
      </c>
      <c r="AW261">
        <f>MIN(AV261,MAX(0,$B261-((E$5&lt;AU$5)*F261+(K$5&lt;AU$5)*L261+(Q$5&lt;AU$5)*R261+(W$5&lt;AU$5)*X261+(AC$5&lt;AU$5)*AD261+(AI$5&lt;AU$5)*AJ261+(AO$5&lt;AU$5)*AP261)))</f>
        <v/>
      </c>
      <c r="AX261">
        <f>IF(AV261-AW261&lt;0.005,0,AV261-AW261)</f>
        <v/>
      </c>
      <c r="BC261">
        <f>H261+N261+T261+Z261+AF261+AL261+AR261+AX261</f>
        <v/>
      </c>
    </row>
    <row r="262">
      <c r="A262" t="n">
        <v>256</v>
      </c>
      <c r="B262" s="19">
        <f>MAX(0,$B$3-(E262+K262+Q262+W262+AC262+AI262+AO262+AU262))</f>
        <v/>
      </c>
      <c r="C262">
        <f>H261</f>
        <v/>
      </c>
      <c r="D262">
        <f>C262*Plan!D6/100/12</f>
        <v/>
      </c>
      <c r="E262">
        <f>MIN(Plan!E6,C262+D262)</f>
        <v/>
      </c>
      <c r="F262">
        <f>C262+D262-E262</f>
        <v/>
      </c>
      <c r="G262">
        <f>MIN(F262,MAX(0,$B262-((K$5&lt;E$5)*L262+(Q$5&lt;E$5)*R262+(W$5&lt;E$5)*X262+(AC$5&lt;E$5)*AD262+(AI$5&lt;E$5)*AJ262+(AO$5&lt;E$5)*AP262+(AU$5&lt;E$5)*AV262)))</f>
        <v/>
      </c>
      <c r="H262">
        <f>IF(F262-G262&lt;0.005,0,F262-G262)</f>
        <v/>
      </c>
      <c r="I262">
        <f>N261</f>
        <v/>
      </c>
      <c r="J262">
        <f>I262*Plan!D7/100/12</f>
        <v/>
      </c>
      <c r="K262">
        <f>MIN(Plan!E7,I262+J262)</f>
        <v/>
      </c>
      <c r="L262">
        <f>I262+J262-K262</f>
        <v/>
      </c>
      <c r="M262">
        <f>MIN(L262,MAX(0,$B262-((E$5&lt;K$5)*F262+(Q$5&lt;K$5)*R262+(W$5&lt;K$5)*X262+(AC$5&lt;K$5)*AD262+(AI$5&lt;K$5)*AJ262+(AO$5&lt;K$5)*AP262+(AU$5&lt;K$5)*AV262)))</f>
        <v/>
      </c>
      <c r="N262">
        <f>IF(L262-M262&lt;0.005,0,L262-M262)</f>
        <v/>
      </c>
      <c r="O262">
        <f>T261</f>
        <v/>
      </c>
      <c r="P262">
        <f>O262*Plan!D8/100/12</f>
        <v/>
      </c>
      <c r="Q262">
        <f>MIN(Plan!E8,O262+P262)</f>
        <v/>
      </c>
      <c r="R262">
        <f>O262+P262-Q262</f>
        <v/>
      </c>
      <c r="S262">
        <f>MIN(R262,MAX(0,$B262-((E$5&lt;Q$5)*F262+(K$5&lt;Q$5)*L262+(W$5&lt;Q$5)*X262+(AC$5&lt;Q$5)*AD262+(AI$5&lt;Q$5)*AJ262+(AO$5&lt;Q$5)*AP262+(AU$5&lt;Q$5)*AV262)))</f>
        <v/>
      </c>
      <c r="T262">
        <f>IF(R262-S262&lt;0.005,0,R262-S262)</f>
        <v/>
      </c>
      <c r="U262">
        <f>Z261</f>
        <v/>
      </c>
      <c r="V262">
        <f>U262*Plan!D9/100/12</f>
        <v/>
      </c>
      <c r="W262">
        <f>MIN(Plan!E9,U262+V262)</f>
        <v/>
      </c>
      <c r="X262">
        <f>U262+V262-W262</f>
        <v/>
      </c>
      <c r="Y262">
        <f>MIN(X262,MAX(0,$B262-((E$5&lt;W$5)*F262+(K$5&lt;W$5)*L262+(Q$5&lt;W$5)*R262+(AC$5&lt;W$5)*AD262+(AI$5&lt;W$5)*AJ262+(AO$5&lt;W$5)*AP262+(AU$5&lt;W$5)*AV262)))</f>
        <v/>
      </c>
      <c r="Z262">
        <f>IF(X262-Y262&lt;0.005,0,X262-Y262)</f>
        <v/>
      </c>
      <c r="AA262">
        <f>AF261</f>
        <v/>
      </c>
      <c r="AB262">
        <f>AA262*Plan!D10/100/12</f>
        <v/>
      </c>
      <c r="AC262">
        <f>MIN(Plan!E10,AA262+AB262)</f>
        <v/>
      </c>
      <c r="AD262">
        <f>AA262+AB262-AC262</f>
        <v/>
      </c>
      <c r="AE262">
        <f>MIN(AD262,MAX(0,$B262-((E$5&lt;AC$5)*F262+(K$5&lt;AC$5)*L262+(Q$5&lt;AC$5)*R262+(W$5&lt;AC$5)*X262+(AI$5&lt;AC$5)*AJ262+(AO$5&lt;AC$5)*AP262+(AU$5&lt;AC$5)*AV262)))</f>
        <v/>
      </c>
      <c r="AF262">
        <f>IF(AD262-AE262&lt;0.005,0,AD262-AE262)</f>
        <v/>
      </c>
      <c r="AG262">
        <f>AL261</f>
        <v/>
      </c>
      <c r="AH262">
        <f>AG262*Plan!D11/100/12</f>
        <v/>
      </c>
      <c r="AI262">
        <f>MIN(Plan!E11,AG262+AH262)</f>
        <v/>
      </c>
      <c r="AJ262">
        <f>AG262+AH262-AI262</f>
        <v/>
      </c>
      <c r="AK262">
        <f>MIN(AJ262,MAX(0,$B262-((E$5&lt;AI$5)*F262+(K$5&lt;AI$5)*L262+(Q$5&lt;AI$5)*R262+(W$5&lt;AI$5)*X262+(AC$5&lt;AI$5)*AD262+(AO$5&lt;AI$5)*AP262+(AU$5&lt;AI$5)*AV262)))</f>
        <v/>
      </c>
      <c r="AL262">
        <f>IF(AJ262-AK262&lt;0.005,0,AJ262-AK262)</f>
        <v/>
      </c>
      <c r="AM262">
        <f>AR261</f>
        <v/>
      </c>
      <c r="AN262">
        <f>AM262*Plan!D12/100/12</f>
        <v/>
      </c>
      <c r="AO262">
        <f>MIN(Plan!E12,AM262+AN262)</f>
        <v/>
      </c>
      <c r="AP262">
        <f>AM262+AN262-AO262</f>
        <v/>
      </c>
      <c r="AQ262">
        <f>MIN(AP262,MAX(0,$B262-((E$5&lt;AO$5)*F262+(K$5&lt;AO$5)*L262+(Q$5&lt;AO$5)*R262+(W$5&lt;AO$5)*X262+(AC$5&lt;AO$5)*AD262+(AI$5&lt;AO$5)*AJ262+(AU$5&lt;AO$5)*AV262)))</f>
        <v/>
      </c>
      <c r="AR262">
        <f>IF(AP262-AQ262&lt;0.005,0,AP262-AQ262)</f>
        <v/>
      </c>
      <c r="AS262">
        <f>AX261</f>
        <v/>
      </c>
      <c r="AT262">
        <f>AS262*Plan!D13/100/12</f>
        <v/>
      </c>
      <c r="AU262">
        <f>MIN(Plan!E13,AS262+AT262)</f>
        <v/>
      </c>
      <c r="AV262">
        <f>AS262+AT262-AU262</f>
        <v/>
      </c>
      <c r="AW262">
        <f>MIN(AV262,MAX(0,$B262-((E$5&lt;AU$5)*F262+(K$5&lt;AU$5)*L262+(Q$5&lt;AU$5)*R262+(W$5&lt;AU$5)*X262+(AC$5&lt;AU$5)*AD262+(AI$5&lt;AU$5)*AJ262+(AO$5&lt;AU$5)*AP262)))</f>
        <v/>
      </c>
      <c r="AX262">
        <f>IF(AV262-AW262&lt;0.005,0,AV262-AW262)</f>
        <v/>
      </c>
      <c r="BC262">
        <f>H262+N262+T262+Z262+AF262+AL262+AR262+AX262</f>
        <v/>
      </c>
    </row>
    <row r="263">
      <c r="A263" t="n">
        <v>257</v>
      </c>
      <c r="B263" s="19">
        <f>MAX(0,$B$3-(E263+K263+Q263+W263+AC263+AI263+AO263+AU263))</f>
        <v/>
      </c>
      <c r="C263">
        <f>H262</f>
        <v/>
      </c>
      <c r="D263">
        <f>C263*Plan!D6/100/12</f>
        <v/>
      </c>
      <c r="E263">
        <f>MIN(Plan!E6,C263+D263)</f>
        <v/>
      </c>
      <c r="F263">
        <f>C263+D263-E263</f>
        <v/>
      </c>
      <c r="G263">
        <f>MIN(F263,MAX(0,$B263-((K$5&lt;E$5)*L263+(Q$5&lt;E$5)*R263+(W$5&lt;E$5)*X263+(AC$5&lt;E$5)*AD263+(AI$5&lt;E$5)*AJ263+(AO$5&lt;E$5)*AP263+(AU$5&lt;E$5)*AV263)))</f>
        <v/>
      </c>
      <c r="H263">
        <f>IF(F263-G263&lt;0.005,0,F263-G263)</f>
        <v/>
      </c>
      <c r="I263">
        <f>N262</f>
        <v/>
      </c>
      <c r="J263">
        <f>I263*Plan!D7/100/12</f>
        <v/>
      </c>
      <c r="K263">
        <f>MIN(Plan!E7,I263+J263)</f>
        <v/>
      </c>
      <c r="L263">
        <f>I263+J263-K263</f>
        <v/>
      </c>
      <c r="M263">
        <f>MIN(L263,MAX(0,$B263-((E$5&lt;K$5)*F263+(Q$5&lt;K$5)*R263+(W$5&lt;K$5)*X263+(AC$5&lt;K$5)*AD263+(AI$5&lt;K$5)*AJ263+(AO$5&lt;K$5)*AP263+(AU$5&lt;K$5)*AV263)))</f>
        <v/>
      </c>
      <c r="N263">
        <f>IF(L263-M263&lt;0.005,0,L263-M263)</f>
        <v/>
      </c>
      <c r="O263">
        <f>T262</f>
        <v/>
      </c>
      <c r="P263">
        <f>O263*Plan!D8/100/12</f>
        <v/>
      </c>
      <c r="Q263">
        <f>MIN(Plan!E8,O263+P263)</f>
        <v/>
      </c>
      <c r="R263">
        <f>O263+P263-Q263</f>
        <v/>
      </c>
      <c r="S263">
        <f>MIN(R263,MAX(0,$B263-((E$5&lt;Q$5)*F263+(K$5&lt;Q$5)*L263+(W$5&lt;Q$5)*X263+(AC$5&lt;Q$5)*AD263+(AI$5&lt;Q$5)*AJ263+(AO$5&lt;Q$5)*AP263+(AU$5&lt;Q$5)*AV263)))</f>
        <v/>
      </c>
      <c r="T263">
        <f>IF(R263-S263&lt;0.005,0,R263-S263)</f>
        <v/>
      </c>
      <c r="U263">
        <f>Z262</f>
        <v/>
      </c>
      <c r="V263">
        <f>U263*Plan!D9/100/12</f>
        <v/>
      </c>
      <c r="W263">
        <f>MIN(Plan!E9,U263+V263)</f>
        <v/>
      </c>
      <c r="X263">
        <f>U263+V263-W263</f>
        <v/>
      </c>
      <c r="Y263">
        <f>MIN(X263,MAX(0,$B263-((E$5&lt;W$5)*F263+(K$5&lt;W$5)*L263+(Q$5&lt;W$5)*R263+(AC$5&lt;W$5)*AD263+(AI$5&lt;W$5)*AJ263+(AO$5&lt;W$5)*AP263+(AU$5&lt;W$5)*AV263)))</f>
        <v/>
      </c>
      <c r="Z263">
        <f>IF(X263-Y263&lt;0.005,0,X263-Y263)</f>
        <v/>
      </c>
      <c r="AA263">
        <f>AF262</f>
        <v/>
      </c>
      <c r="AB263">
        <f>AA263*Plan!D10/100/12</f>
        <v/>
      </c>
      <c r="AC263">
        <f>MIN(Plan!E10,AA263+AB263)</f>
        <v/>
      </c>
      <c r="AD263">
        <f>AA263+AB263-AC263</f>
        <v/>
      </c>
      <c r="AE263">
        <f>MIN(AD263,MAX(0,$B263-((E$5&lt;AC$5)*F263+(K$5&lt;AC$5)*L263+(Q$5&lt;AC$5)*R263+(W$5&lt;AC$5)*X263+(AI$5&lt;AC$5)*AJ263+(AO$5&lt;AC$5)*AP263+(AU$5&lt;AC$5)*AV263)))</f>
        <v/>
      </c>
      <c r="AF263">
        <f>IF(AD263-AE263&lt;0.005,0,AD263-AE263)</f>
        <v/>
      </c>
      <c r="AG263">
        <f>AL262</f>
        <v/>
      </c>
      <c r="AH263">
        <f>AG263*Plan!D11/100/12</f>
        <v/>
      </c>
      <c r="AI263">
        <f>MIN(Plan!E11,AG263+AH263)</f>
        <v/>
      </c>
      <c r="AJ263">
        <f>AG263+AH263-AI263</f>
        <v/>
      </c>
      <c r="AK263">
        <f>MIN(AJ263,MAX(0,$B263-((E$5&lt;AI$5)*F263+(K$5&lt;AI$5)*L263+(Q$5&lt;AI$5)*R263+(W$5&lt;AI$5)*X263+(AC$5&lt;AI$5)*AD263+(AO$5&lt;AI$5)*AP263+(AU$5&lt;AI$5)*AV263)))</f>
        <v/>
      </c>
      <c r="AL263">
        <f>IF(AJ263-AK263&lt;0.005,0,AJ263-AK263)</f>
        <v/>
      </c>
      <c r="AM263">
        <f>AR262</f>
        <v/>
      </c>
      <c r="AN263">
        <f>AM263*Plan!D12/100/12</f>
        <v/>
      </c>
      <c r="AO263">
        <f>MIN(Plan!E12,AM263+AN263)</f>
        <v/>
      </c>
      <c r="AP263">
        <f>AM263+AN263-AO263</f>
        <v/>
      </c>
      <c r="AQ263">
        <f>MIN(AP263,MAX(0,$B263-((E$5&lt;AO$5)*F263+(K$5&lt;AO$5)*L263+(Q$5&lt;AO$5)*R263+(W$5&lt;AO$5)*X263+(AC$5&lt;AO$5)*AD263+(AI$5&lt;AO$5)*AJ263+(AU$5&lt;AO$5)*AV263)))</f>
        <v/>
      </c>
      <c r="AR263">
        <f>IF(AP263-AQ263&lt;0.005,0,AP263-AQ263)</f>
        <v/>
      </c>
      <c r="AS263">
        <f>AX262</f>
        <v/>
      </c>
      <c r="AT263">
        <f>AS263*Plan!D13/100/12</f>
        <v/>
      </c>
      <c r="AU263">
        <f>MIN(Plan!E13,AS263+AT263)</f>
        <v/>
      </c>
      <c r="AV263">
        <f>AS263+AT263-AU263</f>
        <v/>
      </c>
      <c r="AW263">
        <f>MIN(AV263,MAX(0,$B263-((E$5&lt;AU$5)*F263+(K$5&lt;AU$5)*L263+(Q$5&lt;AU$5)*R263+(W$5&lt;AU$5)*X263+(AC$5&lt;AU$5)*AD263+(AI$5&lt;AU$5)*AJ263+(AO$5&lt;AU$5)*AP263)))</f>
        <v/>
      </c>
      <c r="AX263">
        <f>IF(AV263-AW263&lt;0.005,0,AV263-AW263)</f>
        <v/>
      </c>
      <c r="BC263">
        <f>H263+N263+T263+Z263+AF263+AL263+AR263+AX263</f>
        <v/>
      </c>
    </row>
    <row r="264">
      <c r="A264" t="n">
        <v>258</v>
      </c>
      <c r="B264" s="19">
        <f>MAX(0,$B$3-(E264+K264+Q264+W264+AC264+AI264+AO264+AU264))</f>
        <v/>
      </c>
      <c r="C264">
        <f>H263</f>
        <v/>
      </c>
      <c r="D264">
        <f>C264*Plan!D6/100/12</f>
        <v/>
      </c>
      <c r="E264">
        <f>MIN(Plan!E6,C264+D264)</f>
        <v/>
      </c>
      <c r="F264">
        <f>C264+D264-E264</f>
        <v/>
      </c>
      <c r="G264">
        <f>MIN(F264,MAX(0,$B264-((K$5&lt;E$5)*L264+(Q$5&lt;E$5)*R264+(W$5&lt;E$5)*X264+(AC$5&lt;E$5)*AD264+(AI$5&lt;E$5)*AJ264+(AO$5&lt;E$5)*AP264+(AU$5&lt;E$5)*AV264)))</f>
        <v/>
      </c>
      <c r="H264">
        <f>IF(F264-G264&lt;0.005,0,F264-G264)</f>
        <v/>
      </c>
      <c r="I264">
        <f>N263</f>
        <v/>
      </c>
      <c r="J264">
        <f>I264*Plan!D7/100/12</f>
        <v/>
      </c>
      <c r="K264">
        <f>MIN(Plan!E7,I264+J264)</f>
        <v/>
      </c>
      <c r="L264">
        <f>I264+J264-K264</f>
        <v/>
      </c>
      <c r="M264">
        <f>MIN(L264,MAX(0,$B264-((E$5&lt;K$5)*F264+(Q$5&lt;K$5)*R264+(W$5&lt;K$5)*X264+(AC$5&lt;K$5)*AD264+(AI$5&lt;K$5)*AJ264+(AO$5&lt;K$5)*AP264+(AU$5&lt;K$5)*AV264)))</f>
        <v/>
      </c>
      <c r="N264">
        <f>IF(L264-M264&lt;0.005,0,L264-M264)</f>
        <v/>
      </c>
      <c r="O264">
        <f>T263</f>
        <v/>
      </c>
      <c r="P264">
        <f>O264*Plan!D8/100/12</f>
        <v/>
      </c>
      <c r="Q264">
        <f>MIN(Plan!E8,O264+P264)</f>
        <v/>
      </c>
      <c r="R264">
        <f>O264+P264-Q264</f>
        <v/>
      </c>
      <c r="S264">
        <f>MIN(R264,MAX(0,$B264-((E$5&lt;Q$5)*F264+(K$5&lt;Q$5)*L264+(W$5&lt;Q$5)*X264+(AC$5&lt;Q$5)*AD264+(AI$5&lt;Q$5)*AJ264+(AO$5&lt;Q$5)*AP264+(AU$5&lt;Q$5)*AV264)))</f>
        <v/>
      </c>
      <c r="T264">
        <f>IF(R264-S264&lt;0.005,0,R264-S264)</f>
        <v/>
      </c>
      <c r="U264">
        <f>Z263</f>
        <v/>
      </c>
      <c r="V264">
        <f>U264*Plan!D9/100/12</f>
        <v/>
      </c>
      <c r="W264">
        <f>MIN(Plan!E9,U264+V264)</f>
        <v/>
      </c>
      <c r="X264">
        <f>U264+V264-W264</f>
        <v/>
      </c>
      <c r="Y264">
        <f>MIN(X264,MAX(0,$B264-((E$5&lt;W$5)*F264+(K$5&lt;W$5)*L264+(Q$5&lt;W$5)*R264+(AC$5&lt;W$5)*AD264+(AI$5&lt;W$5)*AJ264+(AO$5&lt;W$5)*AP264+(AU$5&lt;W$5)*AV264)))</f>
        <v/>
      </c>
      <c r="Z264">
        <f>IF(X264-Y264&lt;0.005,0,X264-Y264)</f>
        <v/>
      </c>
      <c r="AA264">
        <f>AF263</f>
        <v/>
      </c>
      <c r="AB264">
        <f>AA264*Plan!D10/100/12</f>
        <v/>
      </c>
      <c r="AC264">
        <f>MIN(Plan!E10,AA264+AB264)</f>
        <v/>
      </c>
      <c r="AD264">
        <f>AA264+AB264-AC264</f>
        <v/>
      </c>
      <c r="AE264">
        <f>MIN(AD264,MAX(0,$B264-((E$5&lt;AC$5)*F264+(K$5&lt;AC$5)*L264+(Q$5&lt;AC$5)*R264+(W$5&lt;AC$5)*X264+(AI$5&lt;AC$5)*AJ264+(AO$5&lt;AC$5)*AP264+(AU$5&lt;AC$5)*AV264)))</f>
        <v/>
      </c>
      <c r="AF264">
        <f>IF(AD264-AE264&lt;0.005,0,AD264-AE264)</f>
        <v/>
      </c>
      <c r="AG264">
        <f>AL263</f>
        <v/>
      </c>
      <c r="AH264">
        <f>AG264*Plan!D11/100/12</f>
        <v/>
      </c>
      <c r="AI264">
        <f>MIN(Plan!E11,AG264+AH264)</f>
        <v/>
      </c>
      <c r="AJ264">
        <f>AG264+AH264-AI264</f>
        <v/>
      </c>
      <c r="AK264">
        <f>MIN(AJ264,MAX(0,$B264-((E$5&lt;AI$5)*F264+(K$5&lt;AI$5)*L264+(Q$5&lt;AI$5)*R264+(W$5&lt;AI$5)*X264+(AC$5&lt;AI$5)*AD264+(AO$5&lt;AI$5)*AP264+(AU$5&lt;AI$5)*AV264)))</f>
        <v/>
      </c>
      <c r="AL264">
        <f>IF(AJ264-AK264&lt;0.005,0,AJ264-AK264)</f>
        <v/>
      </c>
      <c r="AM264">
        <f>AR263</f>
        <v/>
      </c>
      <c r="AN264">
        <f>AM264*Plan!D12/100/12</f>
        <v/>
      </c>
      <c r="AO264">
        <f>MIN(Plan!E12,AM264+AN264)</f>
        <v/>
      </c>
      <c r="AP264">
        <f>AM264+AN264-AO264</f>
        <v/>
      </c>
      <c r="AQ264">
        <f>MIN(AP264,MAX(0,$B264-((E$5&lt;AO$5)*F264+(K$5&lt;AO$5)*L264+(Q$5&lt;AO$5)*R264+(W$5&lt;AO$5)*X264+(AC$5&lt;AO$5)*AD264+(AI$5&lt;AO$5)*AJ264+(AU$5&lt;AO$5)*AV264)))</f>
        <v/>
      </c>
      <c r="AR264">
        <f>IF(AP264-AQ264&lt;0.005,0,AP264-AQ264)</f>
        <v/>
      </c>
      <c r="AS264">
        <f>AX263</f>
        <v/>
      </c>
      <c r="AT264">
        <f>AS264*Plan!D13/100/12</f>
        <v/>
      </c>
      <c r="AU264">
        <f>MIN(Plan!E13,AS264+AT264)</f>
        <v/>
      </c>
      <c r="AV264">
        <f>AS264+AT264-AU264</f>
        <v/>
      </c>
      <c r="AW264">
        <f>MIN(AV264,MAX(0,$B264-((E$5&lt;AU$5)*F264+(K$5&lt;AU$5)*L264+(Q$5&lt;AU$5)*R264+(W$5&lt;AU$5)*X264+(AC$5&lt;AU$5)*AD264+(AI$5&lt;AU$5)*AJ264+(AO$5&lt;AU$5)*AP264)))</f>
        <v/>
      </c>
      <c r="AX264">
        <f>IF(AV264-AW264&lt;0.005,0,AV264-AW264)</f>
        <v/>
      </c>
      <c r="BC264">
        <f>H264+N264+T264+Z264+AF264+AL264+AR264+AX264</f>
        <v/>
      </c>
    </row>
    <row r="265">
      <c r="A265" t="n">
        <v>259</v>
      </c>
      <c r="B265" s="19">
        <f>MAX(0,$B$3-(E265+K265+Q265+W265+AC265+AI265+AO265+AU265))</f>
        <v/>
      </c>
      <c r="C265">
        <f>H264</f>
        <v/>
      </c>
      <c r="D265">
        <f>C265*Plan!D6/100/12</f>
        <v/>
      </c>
      <c r="E265">
        <f>MIN(Plan!E6,C265+D265)</f>
        <v/>
      </c>
      <c r="F265">
        <f>C265+D265-E265</f>
        <v/>
      </c>
      <c r="G265">
        <f>MIN(F265,MAX(0,$B265-((K$5&lt;E$5)*L265+(Q$5&lt;E$5)*R265+(W$5&lt;E$5)*X265+(AC$5&lt;E$5)*AD265+(AI$5&lt;E$5)*AJ265+(AO$5&lt;E$5)*AP265+(AU$5&lt;E$5)*AV265)))</f>
        <v/>
      </c>
      <c r="H265">
        <f>IF(F265-G265&lt;0.005,0,F265-G265)</f>
        <v/>
      </c>
      <c r="I265">
        <f>N264</f>
        <v/>
      </c>
      <c r="J265">
        <f>I265*Plan!D7/100/12</f>
        <v/>
      </c>
      <c r="K265">
        <f>MIN(Plan!E7,I265+J265)</f>
        <v/>
      </c>
      <c r="L265">
        <f>I265+J265-K265</f>
        <v/>
      </c>
      <c r="M265">
        <f>MIN(L265,MAX(0,$B265-((E$5&lt;K$5)*F265+(Q$5&lt;K$5)*R265+(W$5&lt;K$5)*X265+(AC$5&lt;K$5)*AD265+(AI$5&lt;K$5)*AJ265+(AO$5&lt;K$5)*AP265+(AU$5&lt;K$5)*AV265)))</f>
        <v/>
      </c>
      <c r="N265">
        <f>IF(L265-M265&lt;0.005,0,L265-M265)</f>
        <v/>
      </c>
      <c r="O265">
        <f>T264</f>
        <v/>
      </c>
      <c r="P265">
        <f>O265*Plan!D8/100/12</f>
        <v/>
      </c>
      <c r="Q265">
        <f>MIN(Plan!E8,O265+P265)</f>
        <v/>
      </c>
      <c r="R265">
        <f>O265+P265-Q265</f>
        <v/>
      </c>
      <c r="S265">
        <f>MIN(R265,MAX(0,$B265-((E$5&lt;Q$5)*F265+(K$5&lt;Q$5)*L265+(W$5&lt;Q$5)*X265+(AC$5&lt;Q$5)*AD265+(AI$5&lt;Q$5)*AJ265+(AO$5&lt;Q$5)*AP265+(AU$5&lt;Q$5)*AV265)))</f>
        <v/>
      </c>
      <c r="T265">
        <f>IF(R265-S265&lt;0.005,0,R265-S265)</f>
        <v/>
      </c>
      <c r="U265">
        <f>Z264</f>
        <v/>
      </c>
      <c r="V265">
        <f>U265*Plan!D9/100/12</f>
        <v/>
      </c>
      <c r="W265">
        <f>MIN(Plan!E9,U265+V265)</f>
        <v/>
      </c>
      <c r="X265">
        <f>U265+V265-W265</f>
        <v/>
      </c>
      <c r="Y265">
        <f>MIN(X265,MAX(0,$B265-((E$5&lt;W$5)*F265+(K$5&lt;W$5)*L265+(Q$5&lt;W$5)*R265+(AC$5&lt;W$5)*AD265+(AI$5&lt;W$5)*AJ265+(AO$5&lt;W$5)*AP265+(AU$5&lt;W$5)*AV265)))</f>
        <v/>
      </c>
      <c r="Z265">
        <f>IF(X265-Y265&lt;0.005,0,X265-Y265)</f>
        <v/>
      </c>
      <c r="AA265">
        <f>AF264</f>
        <v/>
      </c>
      <c r="AB265">
        <f>AA265*Plan!D10/100/12</f>
        <v/>
      </c>
      <c r="AC265">
        <f>MIN(Plan!E10,AA265+AB265)</f>
        <v/>
      </c>
      <c r="AD265">
        <f>AA265+AB265-AC265</f>
        <v/>
      </c>
      <c r="AE265">
        <f>MIN(AD265,MAX(0,$B265-((E$5&lt;AC$5)*F265+(K$5&lt;AC$5)*L265+(Q$5&lt;AC$5)*R265+(W$5&lt;AC$5)*X265+(AI$5&lt;AC$5)*AJ265+(AO$5&lt;AC$5)*AP265+(AU$5&lt;AC$5)*AV265)))</f>
        <v/>
      </c>
      <c r="AF265">
        <f>IF(AD265-AE265&lt;0.005,0,AD265-AE265)</f>
        <v/>
      </c>
      <c r="AG265">
        <f>AL264</f>
        <v/>
      </c>
      <c r="AH265">
        <f>AG265*Plan!D11/100/12</f>
        <v/>
      </c>
      <c r="AI265">
        <f>MIN(Plan!E11,AG265+AH265)</f>
        <v/>
      </c>
      <c r="AJ265">
        <f>AG265+AH265-AI265</f>
        <v/>
      </c>
      <c r="AK265">
        <f>MIN(AJ265,MAX(0,$B265-((E$5&lt;AI$5)*F265+(K$5&lt;AI$5)*L265+(Q$5&lt;AI$5)*R265+(W$5&lt;AI$5)*X265+(AC$5&lt;AI$5)*AD265+(AO$5&lt;AI$5)*AP265+(AU$5&lt;AI$5)*AV265)))</f>
        <v/>
      </c>
      <c r="AL265">
        <f>IF(AJ265-AK265&lt;0.005,0,AJ265-AK265)</f>
        <v/>
      </c>
      <c r="AM265">
        <f>AR264</f>
        <v/>
      </c>
      <c r="AN265">
        <f>AM265*Plan!D12/100/12</f>
        <v/>
      </c>
      <c r="AO265">
        <f>MIN(Plan!E12,AM265+AN265)</f>
        <v/>
      </c>
      <c r="AP265">
        <f>AM265+AN265-AO265</f>
        <v/>
      </c>
      <c r="AQ265">
        <f>MIN(AP265,MAX(0,$B265-((E$5&lt;AO$5)*F265+(K$5&lt;AO$5)*L265+(Q$5&lt;AO$5)*R265+(W$5&lt;AO$5)*X265+(AC$5&lt;AO$5)*AD265+(AI$5&lt;AO$5)*AJ265+(AU$5&lt;AO$5)*AV265)))</f>
        <v/>
      </c>
      <c r="AR265">
        <f>IF(AP265-AQ265&lt;0.005,0,AP265-AQ265)</f>
        <v/>
      </c>
      <c r="AS265">
        <f>AX264</f>
        <v/>
      </c>
      <c r="AT265">
        <f>AS265*Plan!D13/100/12</f>
        <v/>
      </c>
      <c r="AU265">
        <f>MIN(Plan!E13,AS265+AT265)</f>
        <v/>
      </c>
      <c r="AV265">
        <f>AS265+AT265-AU265</f>
        <v/>
      </c>
      <c r="AW265">
        <f>MIN(AV265,MAX(0,$B265-((E$5&lt;AU$5)*F265+(K$5&lt;AU$5)*L265+(Q$5&lt;AU$5)*R265+(W$5&lt;AU$5)*X265+(AC$5&lt;AU$5)*AD265+(AI$5&lt;AU$5)*AJ265+(AO$5&lt;AU$5)*AP265)))</f>
        <v/>
      </c>
      <c r="AX265">
        <f>IF(AV265-AW265&lt;0.005,0,AV265-AW265)</f>
        <v/>
      </c>
      <c r="BC265">
        <f>H265+N265+T265+Z265+AF265+AL265+AR265+AX265</f>
        <v/>
      </c>
    </row>
    <row r="266">
      <c r="A266" t="n">
        <v>260</v>
      </c>
      <c r="B266" s="19">
        <f>MAX(0,$B$3-(E266+K266+Q266+W266+AC266+AI266+AO266+AU266))</f>
        <v/>
      </c>
      <c r="C266">
        <f>H265</f>
        <v/>
      </c>
      <c r="D266">
        <f>C266*Plan!D6/100/12</f>
        <v/>
      </c>
      <c r="E266">
        <f>MIN(Plan!E6,C266+D266)</f>
        <v/>
      </c>
      <c r="F266">
        <f>C266+D266-E266</f>
        <v/>
      </c>
      <c r="G266">
        <f>MIN(F266,MAX(0,$B266-((K$5&lt;E$5)*L266+(Q$5&lt;E$5)*R266+(W$5&lt;E$5)*X266+(AC$5&lt;E$5)*AD266+(AI$5&lt;E$5)*AJ266+(AO$5&lt;E$5)*AP266+(AU$5&lt;E$5)*AV266)))</f>
        <v/>
      </c>
      <c r="H266">
        <f>IF(F266-G266&lt;0.005,0,F266-G266)</f>
        <v/>
      </c>
      <c r="I266">
        <f>N265</f>
        <v/>
      </c>
      <c r="J266">
        <f>I266*Plan!D7/100/12</f>
        <v/>
      </c>
      <c r="K266">
        <f>MIN(Plan!E7,I266+J266)</f>
        <v/>
      </c>
      <c r="L266">
        <f>I266+J266-K266</f>
        <v/>
      </c>
      <c r="M266">
        <f>MIN(L266,MAX(0,$B266-((E$5&lt;K$5)*F266+(Q$5&lt;K$5)*R266+(W$5&lt;K$5)*X266+(AC$5&lt;K$5)*AD266+(AI$5&lt;K$5)*AJ266+(AO$5&lt;K$5)*AP266+(AU$5&lt;K$5)*AV266)))</f>
        <v/>
      </c>
      <c r="N266">
        <f>IF(L266-M266&lt;0.005,0,L266-M266)</f>
        <v/>
      </c>
      <c r="O266">
        <f>T265</f>
        <v/>
      </c>
      <c r="P266">
        <f>O266*Plan!D8/100/12</f>
        <v/>
      </c>
      <c r="Q266">
        <f>MIN(Plan!E8,O266+P266)</f>
        <v/>
      </c>
      <c r="R266">
        <f>O266+P266-Q266</f>
        <v/>
      </c>
      <c r="S266">
        <f>MIN(R266,MAX(0,$B266-((E$5&lt;Q$5)*F266+(K$5&lt;Q$5)*L266+(W$5&lt;Q$5)*X266+(AC$5&lt;Q$5)*AD266+(AI$5&lt;Q$5)*AJ266+(AO$5&lt;Q$5)*AP266+(AU$5&lt;Q$5)*AV266)))</f>
        <v/>
      </c>
      <c r="T266">
        <f>IF(R266-S266&lt;0.005,0,R266-S266)</f>
        <v/>
      </c>
      <c r="U266">
        <f>Z265</f>
        <v/>
      </c>
      <c r="V266">
        <f>U266*Plan!D9/100/12</f>
        <v/>
      </c>
      <c r="W266">
        <f>MIN(Plan!E9,U266+V266)</f>
        <v/>
      </c>
      <c r="X266">
        <f>U266+V266-W266</f>
        <v/>
      </c>
      <c r="Y266">
        <f>MIN(X266,MAX(0,$B266-((E$5&lt;W$5)*F266+(K$5&lt;W$5)*L266+(Q$5&lt;W$5)*R266+(AC$5&lt;W$5)*AD266+(AI$5&lt;W$5)*AJ266+(AO$5&lt;W$5)*AP266+(AU$5&lt;W$5)*AV266)))</f>
        <v/>
      </c>
      <c r="Z266">
        <f>IF(X266-Y266&lt;0.005,0,X266-Y266)</f>
        <v/>
      </c>
      <c r="AA266">
        <f>AF265</f>
        <v/>
      </c>
      <c r="AB266">
        <f>AA266*Plan!D10/100/12</f>
        <v/>
      </c>
      <c r="AC266">
        <f>MIN(Plan!E10,AA266+AB266)</f>
        <v/>
      </c>
      <c r="AD266">
        <f>AA266+AB266-AC266</f>
        <v/>
      </c>
      <c r="AE266">
        <f>MIN(AD266,MAX(0,$B266-((E$5&lt;AC$5)*F266+(K$5&lt;AC$5)*L266+(Q$5&lt;AC$5)*R266+(W$5&lt;AC$5)*X266+(AI$5&lt;AC$5)*AJ266+(AO$5&lt;AC$5)*AP266+(AU$5&lt;AC$5)*AV266)))</f>
        <v/>
      </c>
      <c r="AF266">
        <f>IF(AD266-AE266&lt;0.005,0,AD266-AE266)</f>
        <v/>
      </c>
      <c r="AG266">
        <f>AL265</f>
        <v/>
      </c>
      <c r="AH266">
        <f>AG266*Plan!D11/100/12</f>
        <v/>
      </c>
      <c r="AI266">
        <f>MIN(Plan!E11,AG266+AH266)</f>
        <v/>
      </c>
      <c r="AJ266">
        <f>AG266+AH266-AI266</f>
        <v/>
      </c>
      <c r="AK266">
        <f>MIN(AJ266,MAX(0,$B266-((E$5&lt;AI$5)*F266+(K$5&lt;AI$5)*L266+(Q$5&lt;AI$5)*R266+(W$5&lt;AI$5)*X266+(AC$5&lt;AI$5)*AD266+(AO$5&lt;AI$5)*AP266+(AU$5&lt;AI$5)*AV266)))</f>
        <v/>
      </c>
      <c r="AL266">
        <f>IF(AJ266-AK266&lt;0.005,0,AJ266-AK266)</f>
        <v/>
      </c>
      <c r="AM266">
        <f>AR265</f>
        <v/>
      </c>
      <c r="AN266">
        <f>AM266*Plan!D12/100/12</f>
        <v/>
      </c>
      <c r="AO266">
        <f>MIN(Plan!E12,AM266+AN266)</f>
        <v/>
      </c>
      <c r="AP266">
        <f>AM266+AN266-AO266</f>
        <v/>
      </c>
      <c r="AQ266">
        <f>MIN(AP266,MAX(0,$B266-((E$5&lt;AO$5)*F266+(K$5&lt;AO$5)*L266+(Q$5&lt;AO$5)*R266+(W$5&lt;AO$5)*X266+(AC$5&lt;AO$5)*AD266+(AI$5&lt;AO$5)*AJ266+(AU$5&lt;AO$5)*AV266)))</f>
        <v/>
      </c>
      <c r="AR266">
        <f>IF(AP266-AQ266&lt;0.005,0,AP266-AQ266)</f>
        <v/>
      </c>
      <c r="AS266">
        <f>AX265</f>
        <v/>
      </c>
      <c r="AT266">
        <f>AS266*Plan!D13/100/12</f>
        <v/>
      </c>
      <c r="AU266">
        <f>MIN(Plan!E13,AS266+AT266)</f>
        <v/>
      </c>
      <c r="AV266">
        <f>AS266+AT266-AU266</f>
        <v/>
      </c>
      <c r="AW266">
        <f>MIN(AV266,MAX(0,$B266-((E$5&lt;AU$5)*F266+(K$5&lt;AU$5)*L266+(Q$5&lt;AU$5)*R266+(W$5&lt;AU$5)*X266+(AC$5&lt;AU$5)*AD266+(AI$5&lt;AU$5)*AJ266+(AO$5&lt;AU$5)*AP266)))</f>
        <v/>
      </c>
      <c r="AX266">
        <f>IF(AV266-AW266&lt;0.005,0,AV266-AW266)</f>
        <v/>
      </c>
      <c r="BC266">
        <f>H266+N266+T266+Z266+AF266+AL266+AR266+AX266</f>
        <v/>
      </c>
    </row>
    <row r="267">
      <c r="A267" t="n">
        <v>261</v>
      </c>
      <c r="B267" s="19">
        <f>MAX(0,$B$3-(E267+K267+Q267+W267+AC267+AI267+AO267+AU267))</f>
        <v/>
      </c>
      <c r="C267">
        <f>H266</f>
        <v/>
      </c>
      <c r="D267">
        <f>C267*Plan!D6/100/12</f>
        <v/>
      </c>
      <c r="E267">
        <f>MIN(Plan!E6,C267+D267)</f>
        <v/>
      </c>
      <c r="F267">
        <f>C267+D267-E267</f>
        <v/>
      </c>
      <c r="G267">
        <f>MIN(F267,MAX(0,$B267-((K$5&lt;E$5)*L267+(Q$5&lt;E$5)*R267+(W$5&lt;E$5)*X267+(AC$5&lt;E$5)*AD267+(AI$5&lt;E$5)*AJ267+(AO$5&lt;E$5)*AP267+(AU$5&lt;E$5)*AV267)))</f>
        <v/>
      </c>
      <c r="H267">
        <f>IF(F267-G267&lt;0.005,0,F267-G267)</f>
        <v/>
      </c>
      <c r="I267">
        <f>N266</f>
        <v/>
      </c>
      <c r="J267">
        <f>I267*Plan!D7/100/12</f>
        <v/>
      </c>
      <c r="K267">
        <f>MIN(Plan!E7,I267+J267)</f>
        <v/>
      </c>
      <c r="L267">
        <f>I267+J267-K267</f>
        <v/>
      </c>
      <c r="M267">
        <f>MIN(L267,MAX(0,$B267-((E$5&lt;K$5)*F267+(Q$5&lt;K$5)*R267+(W$5&lt;K$5)*X267+(AC$5&lt;K$5)*AD267+(AI$5&lt;K$5)*AJ267+(AO$5&lt;K$5)*AP267+(AU$5&lt;K$5)*AV267)))</f>
        <v/>
      </c>
      <c r="N267">
        <f>IF(L267-M267&lt;0.005,0,L267-M267)</f>
        <v/>
      </c>
      <c r="O267">
        <f>T266</f>
        <v/>
      </c>
      <c r="P267">
        <f>O267*Plan!D8/100/12</f>
        <v/>
      </c>
      <c r="Q267">
        <f>MIN(Plan!E8,O267+P267)</f>
        <v/>
      </c>
      <c r="R267">
        <f>O267+P267-Q267</f>
        <v/>
      </c>
      <c r="S267">
        <f>MIN(R267,MAX(0,$B267-((E$5&lt;Q$5)*F267+(K$5&lt;Q$5)*L267+(W$5&lt;Q$5)*X267+(AC$5&lt;Q$5)*AD267+(AI$5&lt;Q$5)*AJ267+(AO$5&lt;Q$5)*AP267+(AU$5&lt;Q$5)*AV267)))</f>
        <v/>
      </c>
      <c r="T267">
        <f>IF(R267-S267&lt;0.005,0,R267-S267)</f>
        <v/>
      </c>
      <c r="U267">
        <f>Z266</f>
        <v/>
      </c>
      <c r="V267">
        <f>U267*Plan!D9/100/12</f>
        <v/>
      </c>
      <c r="W267">
        <f>MIN(Plan!E9,U267+V267)</f>
        <v/>
      </c>
      <c r="X267">
        <f>U267+V267-W267</f>
        <v/>
      </c>
      <c r="Y267">
        <f>MIN(X267,MAX(0,$B267-((E$5&lt;W$5)*F267+(K$5&lt;W$5)*L267+(Q$5&lt;W$5)*R267+(AC$5&lt;W$5)*AD267+(AI$5&lt;W$5)*AJ267+(AO$5&lt;W$5)*AP267+(AU$5&lt;W$5)*AV267)))</f>
        <v/>
      </c>
      <c r="Z267">
        <f>IF(X267-Y267&lt;0.005,0,X267-Y267)</f>
        <v/>
      </c>
      <c r="AA267">
        <f>AF266</f>
        <v/>
      </c>
      <c r="AB267">
        <f>AA267*Plan!D10/100/12</f>
        <v/>
      </c>
      <c r="AC267">
        <f>MIN(Plan!E10,AA267+AB267)</f>
        <v/>
      </c>
      <c r="AD267">
        <f>AA267+AB267-AC267</f>
        <v/>
      </c>
      <c r="AE267">
        <f>MIN(AD267,MAX(0,$B267-((E$5&lt;AC$5)*F267+(K$5&lt;AC$5)*L267+(Q$5&lt;AC$5)*R267+(W$5&lt;AC$5)*X267+(AI$5&lt;AC$5)*AJ267+(AO$5&lt;AC$5)*AP267+(AU$5&lt;AC$5)*AV267)))</f>
        <v/>
      </c>
      <c r="AF267">
        <f>IF(AD267-AE267&lt;0.005,0,AD267-AE267)</f>
        <v/>
      </c>
      <c r="AG267">
        <f>AL266</f>
        <v/>
      </c>
      <c r="AH267">
        <f>AG267*Plan!D11/100/12</f>
        <v/>
      </c>
      <c r="AI267">
        <f>MIN(Plan!E11,AG267+AH267)</f>
        <v/>
      </c>
      <c r="AJ267">
        <f>AG267+AH267-AI267</f>
        <v/>
      </c>
      <c r="AK267">
        <f>MIN(AJ267,MAX(0,$B267-((E$5&lt;AI$5)*F267+(K$5&lt;AI$5)*L267+(Q$5&lt;AI$5)*R267+(W$5&lt;AI$5)*X267+(AC$5&lt;AI$5)*AD267+(AO$5&lt;AI$5)*AP267+(AU$5&lt;AI$5)*AV267)))</f>
        <v/>
      </c>
      <c r="AL267">
        <f>IF(AJ267-AK267&lt;0.005,0,AJ267-AK267)</f>
        <v/>
      </c>
      <c r="AM267">
        <f>AR266</f>
        <v/>
      </c>
      <c r="AN267">
        <f>AM267*Plan!D12/100/12</f>
        <v/>
      </c>
      <c r="AO267">
        <f>MIN(Plan!E12,AM267+AN267)</f>
        <v/>
      </c>
      <c r="AP267">
        <f>AM267+AN267-AO267</f>
        <v/>
      </c>
      <c r="AQ267">
        <f>MIN(AP267,MAX(0,$B267-((E$5&lt;AO$5)*F267+(K$5&lt;AO$5)*L267+(Q$5&lt;AO$5)*R267+(W$5&lt;AO$5)*X267+(AC$5&lt;AO$5)*AD267+(AI$5&lt;AO$5)*AJ267+(AU$5&lt;AO$5)*AV267)))</f>
        <v/>
      </c>
      <c r="AR267">
        <f>IF(AP267-AQ267&lt;0.005,0,AP267-AQ267)</f>
        <v/>
      </c>
      <c r="AS267">
        <f>AX266</f>
        <v/>
      </c>
      <c r="AT267">
        <f>AS267*Plan!D13/100/12</f>
        <v/>
      </c>
      <c r="AU267">
        <f>MIN(Plan!E13,AS267+AT267)</f>
        <v/>
      </c>
      <c r="AV267">
        <f>AS267+AT267-AU267</f>
        <v/>
      </c>
      <c r="AW267">
        <f>MIN(AV267,MAX(0,$B267-((E$5&lt;AU$5)*F267+(K$5&lt;AU$5)*L267+(Q$5&lt;AU$5)*R267+(W$5&lt;AU$5)*X267+(AC$5&lt;AU$5)*AD267+(AI$5&lt;AU$5)*AJ267+(AO$5&lt;AU$5)*AP267)))</f>
        <v/>
      </c>
      <c r="AX267">
        <f>IF(AV267-AW267&lt;0.005,0,AV267-AW267)</f>
        <v/>
      </c>
      <c r="BC267">
        <f>H267+N267+T267+Z267+AF267+AL267+AR267+AX267</f>
        <v/>
      </c>
    </row>
    <row r="268">
      <c r="A268" t="n">
        <v>262</v>
      </c>
      <c r="B268" s="19">
        <f>MAX(0,$B$3-(E268+K268+Q268+W268+AC268+AI268+AO268+AU268))</f>
        <v/>
      </c>
      <c r="C268">
        <f>H267</f>
        <v/>
      </c>
      <c r="D268">
        <f>C268*Plan!D6/100/12</f>
        <v/>
      </c>
      <c r="E268">
        <f>MIN(Plan!E6,C268+D268)</f>
        <v/>
      </c>
      <c r="F268">
        <f>C268+D268-E268</f>
        <v/>
      </c>
      <c r="G268">
        <f>MIN(F268,MAX(0,$B268-((K$5&lt;E$5)*L268+(Q$5&lt;E$5)*R268+(W$5&lt;E$5)*X268+(AC$5&lt;E$5)*AD268+(AI$5&lt;E$5)*AJ268+(AO$5&lt;E$5)*AP268+(AU$5&lt;E$5)*AV268)))</f>
        <v/>
      </c>
      <c r="H268">
        <f>IF(F268-G268&lt;0.005,0,F268-G268)</f>
        <v/>
      </c>
      <c r="I268">
        <f>N267</f>
        <v/>
      </c>
      <c r="J268">
        <f>I268*Plan!D7/100/12</f>
        <v/>
      </c>
      <c r="K268">
        <f>MIN(Plan!E7,I268+J268)</f>
        <v/>
      </c>
      <c r="L268">
        <f>I268+J268-K268</f>
        <v/>
      </c>
      <c r="M268">
        <f>MIN(L268,MAX(0,$B268-((E$5&lt;K$5)*F268+(Q$5&lt;K$5)*R268+(W$5&lt;K$5)*X268+(AC$5&lt;K$5)*AD268+(AI$5&lt;K$5)*AJ268+(AO$5&lt;K$5)*AP268+(AU$5&lt;K$5)*AV268)))</f>
        <v/>
      </c>
      <c r="N268">
        <f>IF(L268-M268&lt;0.005,0,L268-M268)</f>
        <v/>
      </c>
      <c r="O268">
        <f>T267</f>
        <v/>
      </c>
      <c r="P268">
        <f>O268*Plan!D8/100/12</f>
        <v/>
      </c>
      <c r="Q268">
        <f>MIN(Plan!E8,O268+P268)</f>
        <v/>
      </c>
      <c r="R268">
        <f>O268+P268-Q268</f>
        <v/>
      </c>
      <c r="S268">
        <f>MIN(R268,MAX(0,$B268-((E$5&lt;Q$5)*F268+(K$5&lt;Q$5)*L268+(W$5&lt;Q$5)*X268+(AC$5&lt;Q$5)*AD268+(AI$5&lt;Q$5)*AJ268+(AO$5&lt;Q$5)*AP268+(AU$5&lt;Q$5)*AV268)))</f>
        <v/>
      </c>
      <c r="T268">
        <f>IF(R268-S268&lt;0.005,0,R268-S268)</f>
        <v/>
      </c>
      <c r="U268">
        <f>Z267</f>
        <v/>
      </c>
      <c r="V268">
        <f>U268*Plan!D9/100/12</f>
        <v/>
      </c>
      <c r="W268">
        <f>MIN(Plan!E9,U268+V268)</f>
        <v/>
      </c>
      <c r="X268">
        <f>U268+V268-W268</f>
        <v/>
      </c>
      <c r="Y268">
        <f>MIN(X268,MAX(0,$B268-((E$5&lt;W$5)*F268+(K$5&lt;W$5)*L268+(Q$5&lt;W$5)*R268+(AC$5&lt;W$5)*AD268+(AI$5&lt;W$5)*AJ268+(AO$5&lt;W$5)*AP268+(AU$5&lt;W$5)*AV268)))</f>
        <v/>
      </c>
      <c r="Z268">
        <f>IF(X268-Y268&lt;0.005,0,X268-Y268)</f>
        <v/>
      </c>
      <c r="AA268">
        <f>AF267</f>
        <v/>
      </c>
      <c r="AB268">
        <f>AA268*Plan!D10/100/12</f>
        <v/>
      </c>
      <c r="AC268">
        <f>MIN(Plan!E10,AA268+AB268)</f>
        <v/>
      </c>
      <c r="AD268">
        <f>AA268+AB268-AC268</f>
        <v/>
      </c>
      <c r="AE268">
        <f>MIN(AD268,MAX(0,$B268-((E$5&lt;AC$5)*F268+(K$5&lt;AC$5)*L268+(Q$5&lt;AC$5)*R268+(W$5&lt;AC$5)*X268+(AI$5&lt;AC$5)*AJ268+(AO$5&lt;AC$5)*AP268+(AU$5&lt;AC$5)*AV268)))</f>
        <v/>
      </c>
      <c r="AF268">
        <f>IF(AD268-AE268&lt;0.005,0,AD268-AE268)</f>
        <v/>
      </c>
      <c r="AG268">
        <f>AL267</f>
        <v/>
      </c>
      <c r="AH268">
        <f>AG268*Plan!D11/100/12</f>
        <v/>
      </c>
      <c r="AI268">
        <f>MIN(Plan!E11,AG268+AH268)</f>
        <v/>
      </c>
      <c r="AJ268">
        <f>AG268+AH268-AI268</f>
        <v/>
      </c>
      <c r="AK268">
        <f>MIN(AJ268,MAX(0,$B268-((E$5&lt;AI$5)*F268+(K$5&lt;AI$5)*L268+(Q$5&lt;AI$5)*R268+(W$5&lt;AI$5)*X268+(AC$5&lt;AI$5)*AD268+(AO$5&lt;AI$5)*AP268+(AU$5&lt;AI$5)*AV268)))</f>
        <v/>
      </c>
      <c r="AL268">
        <f>IF(AJ268-AK268&lt;0.005,0,AJ268-AK268)</f>
        <v/>
      </c>
      <c r="AM268">
        <f>AR267</f>
        <v/>
      </c>
      <c r="AN268">
        <f>AM268*Plan!D12/100/12</f>
        <v/>
      </c>
      <c r="AO268">
        <f>MIN(Plan!E12,AM268+AN268)</f>
        <v/>
      </c>
      <c r="AP268">
        <f>AM268+AN268-AO268</f>
        <v/>
      </c>
      <c r="AQ268">
        <f>MIN(AP268,MAX(0,$B268-((E$5&lt;AO$5)*F268+(K$5&lt;AO$5)*L268+(Q$5&lt;AO$5)*R268+(W$5&lt;AO$5)*X268+(AC$5&lt;AO$5)*AD268+(AI$5&lt;AO$5)*AJ268+(AU$5&lt;AO$5)*AV268)))</f>
        <v/>
      </c>
      <c r="AR268">
        <f>IF(AP268-AQ268&lt;0.005,0,AP268-AQ268)</f>
        <v/>
      </c>
      <c r="AS268">
        <f>AX267</f>
        <v/>
      </c>
      <c r="AT268">
        <f>AS268*Plan!D13/100/12</f>
        <v/>
      </c>
      <c r="AU268">
        <f>MIN(Plan!E13,AS268+AT268)</f>
        <v/>
      </c>
      <c r="AV268">
        <f>AS268+AT268-AU268</f>
        <v/>
      </c>
      <c r="AW268">
        <f>MIN(AV268,MAX(0,$B268-((E$5&lt;AU$5)*F268+(K$5&lt;AU$5)*L268+(Q$5&lt;AU$5)*R268+(W$5&lt;AU$5)*X268+(AC$5&lt;AU$5)*AD268+(AI$5&lt;AU$5)*AJ268+(AO$5&lt;AU$5)*AP268)))</f>
        <v/>
      </c>
      <c r="AX268">
        <f>IF(AV268-AW268&lt;0.005,0,AV268-AW268)</f>
        <v/>
      </c>
      <c r="BC268">
        <f>H268+N268+T268+Z268+AF268+AL268+AR268+AX268</f>
        <v/>
      </c>
    </row>
    <row r="269">
      <c r="A269" t="n">
        <v>263</v>
      </c>
      <c r="B269" s="19">
        <f>MAX(0,$B$3-(E269+K269+Q269+W269+AC269+AI269+AO269+AU269))</f>
        <v/>
      </c>
      <c r="C269">
        <f>H268</f>
        <v/>
      </c>
      <c r="D269">
        <f>C269*Plan!D6/100/12</f>
        <v/>
      </c>
      <c r="E269">
        <f>MIN(Plan!E6,C269+D269)</f>
        <v/>
      </c>
      <c r="F269">
        <f>C269+D269-E269</f>
        <v/>
      </c>
      <c r="G269">
        <f>MIN(F269,MAX(0,$B269-((K$5&lt;E$5)*L269+(Q$5&lt;E$5)*R269+(W$5&lt;E$5)*X269+(AC$5&lt;E$5)*AD269+(AI$5&lt;E$5)*AJ269+(AO$5&lt;E$5)*AP269+(AU$5&lt;E$5)*AV269)))</f>
        <v/>
      </c>
      <c r="H269">
        <f>IF(F269-G269&lt;0.005,0,F269-G269)</f>
        <v/>
      </c>
      <c r="I269">
        <f>N268</f>
        <v/>
      </c>
      <c r="J269">
        <f>I269*Plan!D7/100/12</f>
        <v/>
      </c>
      <c r="K269">
        <f>MIN(Plan!E7,I269+J269)</f>
        <v/>
      </c>
      <c r="L269">
        <f>I269+J269-K269</f>
        <v/>
      </c>
      <c r="M269">
        <f>MIN(L269,MAX(0,$B269-((E$5&lt;K$5)*F269+(Q$5&lt;K$5)*R269+(W$5&lt;K$5)*X269+(AC$5&lt;K$5)*AD269+(AI$5&lt;K$5)*AJ269+(AO$5&lt;K$5)*AP269+(AU$5&lt;K$5)*AV269)))</f>
        <v/>
      </c>
      <c r="N269">
        <f>IF(L269-M269&lt;0.005,0,L269-M269)</f>
        <v/>
      </c>
      <c r="O269">
        <f>T268</f>
        <v/>
      </c>
      <c r="P269">
        <f>O269*Plan!D8/100/12</f>
        <v/>
      </c>
      <c r="Q269">
        <f>MIN(Plan!E8,O269+P269)</f>
        <v/>
      </c>
      <c r="R269">
        <f>O269+P269-Q269</f>
        <v/>
      </c>
      <c r="S269">
        <f>MIN(R269,MAX(0,$B269-((E$5&lt;Q$5)*F269+(K$5&lt;Q$5)*L269+(W$5&lt;Q$5)*X269+(AC$5&lt;Q$5)*AD269+(AI$5&lt;Q$5)*AJ269+(AO$5&lt;Q$5)*AP269+(AU$5&lt;Q$5)*AV269)))</f>
        <v/>
      </c>
      <c r="T269">
        <f>IF(R269-S269&lt;0.005,0,R269-S269)</f>
        <v/>
      </c>
      <c r="U269">
        <f>Z268</f>
        <v/>
      </c>
      <c r="V269">
        <f>U269*Plan!D9/100/12</f>
        <v/>
      </c>
      <c r="W269">
        <f>MIN(Plan!E9,U269+V269)</f>
        <v/>
      </c>
      <c r="X269">
        <f>U269+V269-W269</f>
        <v/>
      </c>
      <c r="Y269">
        <f>MIN(X269,MAX(0,$B269-((E$5&lt;W$5)*F269+(K$5&lt;W$5)*L269+(Q$5&lt;W$5)*R269+(AC$5&lt;W$5)*AD269+(AI$5&lt;W$5)*AJ269+(AO$5&lt;W$5)*AP269+(AU$5&lt;W$5)*AV269)))</f>
        <v/>
      </c>
      <c r="Z269">
        <f>IF(X269-Y269&lt;0.005,0,X269-Y269)</f>
        <v/>
      </c>
      <c r="AA269">
        <f>AF268</f>
        <v/>
      </c>
      <c r="AB269">
        <f>AA269*Plan!D10/100/12</f>
        <v/>
      </c>
      <c r="AC269">
        <f>MIN(Plan!E10,AA269+AB269)</f>
        <v/>
      </c>
      <c r="AD269">
        <f>AA269+AB269-AC269</f>
        <v/>
      </c>
      <c r="AE269">
        <f>MIN(AD269,MAX(0,$B269-((E$5&lt;AC$5)*F269+(K$5&lt;AC$5)*L269+(Q$5&lt;AC$5)*R269+(W$5&lt;AC$5)*X269+(AI$5&lt;AC$5)*AJ269+(AO$5&lt;AC$5)*AP269+(AU$5&lt;AC$5)*AV269)))</f>
        <v/>
      </c>
      <c r="AF269">
        <f>IF(AD269-AE269&lt;0.005,0,AD269-AE269)</f>
        <v/>
      </c>
      <c r="AG269">
        <f>AL268</f>
        <v/>
      </c>
      <c r="AH269">
        <f>AG269*Plan!D11/100/12</f>
        <v/>
      </c>
      <c r="AI269">
        <f>MIN(Plan!E11,AG269+AH269)</f>
        <v/>
      </c>
      <c r="AJ269">
        <f>AG269+AH269-AI269</f>
        <v/>
      </c>
      <c r="AK269">
        <f>MIN(AJ269,MAX(0,$B269-((E$5&lt;AI$5)*F269+(K$5&lt;AI$5)*L269+(Q$5&lt;AI$5)*R269+(W$5&lt;AI$5)*X269+(AC$5&lt;AI$5)*AD269+(AO$5&lt;AI$5)*AP269+(AU$5&lt;AI$5)*AV269)))</f>
        <v/>
      </c>
      <c r="AL269">
        <f>IF(AJ269-AK269&lt;0.005,0,AJ269-AK269)</f>
        <v/>
      </c>
      <c r="AM269">
        <f>AR268</f>
        <v/>
      </c>
      <c r="AN269">
        <f>AM269*Plan!D12/100/12</f>
        <v/>
      </c>
      <c r="AO269">
        <f>MIN(Plan!E12,AM269+AN269)</f>
        <v/>
      </c>
      <c r="AP269">
        <f>AM269+AN269-AO269</f>
        <v/>
      </c>
      <c r="AQ269">
        <f>MIN(AP269,MAX(0,$B269-((E$5&lt;AO$5)*F269+(K$5&lt;AO$5)*L269+(Q$5&lt;AO$5)*R269+(W$5&lt;AO$5)*X269+(AC$5&lt;AO$5)*AD269+(AI$5&lt;AO$5)*AJ269+(AU$5&lt;AO$5)*AV269)))</f>
        <v/>
      </c>
      <c r="AR269">
        <f>IF(AP269-AQ269&lt;0.005,0,AP269-AQ269)</f>
        <v/>
      </c>
      <c r="AS269">
        <f>AX268</f>
        <v/>
      </c>
      <c r="AT269">
        <f>AS269*Plan!D13/100/12</f>
        <v/>
      </c>
      <c r="AU269">
        <f>MIN(Plan!E13,AS269+AT269)</f>
        <v/>
      </c>
      <c r="AV269">
        <f>AS269+AT269-AU269</f>
        <v/>
      </c>
      <c r="AW269">
        <f>MIN(AV269,MAX(0,$B269-((E$5&lt;AU$5)*F269+(K$5&lt;AU$5)*L269+(Q$5&lt;AU$5)*R269+(W$5&lt;AU$5)*X269+(AC$5&lt;AU$5)*AD269+(AI$5&lt;AU$5)*AJ269+(AO$5&lt;AU$5)*AP269)))</f>
        <v/>
      </c>
      <c r="AX269">
        <f>IF(AV269-AW269&lt;0.005,0,AV269-AW269)</f>
        <v/>
      </c>
      <c r="BC269">
        <f>H269+N269+T269+Z269+AF269+AL269+AR269+AX269</f>
        <v/>
      </c>
    </row>
    <row r="270">
      <c r="A270" t="n">
        <v>264</v>
      </c>
      <c r="B270" s="19">
        <f>MAX(0,$B$3-(E270+K270+Q270+W270+AC270+AI270+AO270+AU270))</f>
        <v/>
      </c>
      <c r="C270">
        <f>H269</f>
        <v/>
      </c>
      <c r="D270">
        <f>C270*Plan!D6/100/12</f>
        <v/>
      </c>
      <c r="E270">
        <f>MIN(Plan!E6,C270+D270)</f>
        <v/>
      </c>
      <c r="F270">
        <f>C270+D270-E270</f>
        <v/>
      </c>
      <c r="G270">
        <f>MIN(F270,MAX(0,$B270-((K$5&lt;E$5)*L270+(Q$5&lt;E$5)*R270+(W$5&lt;E$5)*X270+(AC$5&lt;E$5)*AD270+(AI$5&lt;E$5)*AJ270+(AO$5&lt;E$5)*AP270+(AU$5&lt;E$5)*AV270)))</f>
        <v/>
      </c>
      <c r="H270">
        <f>IF(F270-G270&lt;0.005,0,F270-G270)</f>
        <v/>
      </c>
      <c r="I270">
        <f>N269</f>
        <v/>
      </c>
      <c r="J270">
        <f>I270*Plan!D7/100/12</f>
        <v/>
      </c>
      <c r="K270">
        <f>MIN(Plan!E7,I270+J270)</f>
        <v/>
      </c>
      <c r="L270">
        <f>I270+J270-K270</f>
        <v/>
      </c>
      <c r="M270">
        <f>MIN(L270,MAX(0,$B270-((E$5&lt;K$5)*F270+(Q$5&lt;K$5)*R270+(W$5&lt;K$5)*X270+(AC$5&lt;K$5)*AD270+(AI$5&lt;K$5)*AJ270+(AO$5&lt;K$5)*AP270+(AU$5&lt;K$5)*AV270)))</f>
        <v/>
      </c>
      <c r="N270">
        <f>IF(L270-M270&lt;0.005,0,L270-M270)</f>
        <v/>
      </c>
      <c r="O270">
        <f>T269</f>
        <v/>
      </c>
      <c r="P270">
        <f>O270*Plan!D8/100/12</f>
        <v/>
      </c>
      <c r="Q270">
        <f>MIN(Plan!E8,O270+P270)</f>
        <v/>
      </c>
      <c r="R270">
        <f>O270+P270-Q270</f>
        <v/>
      </c>
      <c r="S270">
        <f>MIN(R270,MAX(0,$B270-((E$5&lt;Q$5)*F270+(K$5&lt;Q$5)*L270+(W$5&lt;Q$5)*X270+(AC$5&lt;Q$5)*AD270+(AI$5&lt;Q$5)*AJ270+(AO$5&lt;Q$5)*AP270+(AU$5&lt;Q$5)*AV270)))</f>
        <v/>
      </c>
      <c r="T270">
        <f>IF(R270-S270&lt;0.005,0,R270-S270)</f>
        <v/>
      </c>
      <c r="U270">
        <f>Z269</f>
        <v/>
      </c>
      <c r="V270">
        <f>U270*Plan!D9/100/12</f>
        <v/>
      </c>
      <c r="W270">
        <f>MIN(Plan!E9,U270+V270)</f>
        <v/>
      </c>
      <c r="X270">
        <f>U270+V270-W270</f>
        <v/>
      </c>
      <c r="Y270">
        <f>MIN(X270,MAX(0,$B270-((E$5&lt;W$5)*F270+(K$5&lt;W$5)*L270+(Q$5&lt;W$5)*R270+(AC$5&lt;W$5)*AD270+(AI$5&lt;W$5)*AJ270+(AO$5&lt;W$5)*AP270+(AU$5&lt;W$5)*AV270)))</f>
        <v/>
      </c>
      <c r="Z270">
        <f>IF(X270-Y270&lt;0.005,0,X270-Y270)</f>
        <v/>
      </c>
      <c r="AA270">
        <f>AF269</f>
        <v/>
      </c>
      <c r="AB270">
        <f>AA270*Plan!D10/100/12</f>
        <v/>
      </c>
      <c r="AC270">
        <f>MIN(Plan!E10,AA270+AB270)</f>
        <v/>
      </c>
      <c r="AD270">
        <f>AA270+AB270-AC270</f>
        <v/>
      </c>
      <c r="AE270">
        <f>MIN(AD270,MAX(0,$B270-((E$5&lt;AC$5)*F270+(K$5&lt;AC$5)*L270+(Q$5&lt;AC$5)*R270+(W$5&lt;AC$5)*X270+(AI$5&lt;AC$5)*AJ270+(AO$5&lt;AC$5)*AP270+(AU$5&lt;AC$5)*AV270)))</f>
        <v/>
      </c>
      <c r="AF270">
        <f>IF(AD270-AE270&lt;0.005,0,AD270-AE270)</f>
        <v/>
      </c>
      <c r="AG270">
        <f>AL269</f>
        <v/>
      </c>
      <c r="AH270">
        <f>AG270*Plan!D11/100/12</f>
        <v/>
      </c>
      <c r="AI270">
        <f>MIN(Plan!E11,AG270+AH270)</f>
        <v/>
      </c>
      <c r="AJ270">
        <f>AG270+AH270-AI270</f>
        <v/>
      </c>
      <c r="AK270">
        <f>MIN(AJ270,MAX(0,$B270-((E$5&lt;AI$5)*F270+(K$5&lt;AI$5)*L270+(Q$5&lt;AI$5)*R270+(W$5&lt;AI$5)*X270+(AC$5&lt;AI$5)*AD270+(AO$5&lt;AI$5)*AP270+(AU$5&lt;AI$5)*AV270)))</f>
        <v/>
      </c>
      <c r="AL270">
        <f>IF(AJ270-AK270&lt;0.005,0,AJ270-AK270)</f>
        <v/>
      </c>
      <c r="AM270">
        <f>AR269</f>
        <v/>
      </c>
      <c r="AN270">
        <f>AM270*Plan!D12/100/12</f>
        <v/>
      </c>
      <c r="AO270">
        <f>MIN(Plan!E12,AM270+AN270)</f>
        <v/>
      </c>
      <c r="AP270">
        <f>AM270+AN270-AO270</f>
        <v/>
      </c>
      <c r="AQ270">
        <f>MIN(AP270,MAX(0,$B270-((E$5&lt;AO$5)*F270+(K$5&lt;AO$5)*L270+(Q$5&lt;AO$5)*R270+(W$5&lt;AO$5)*X270+(AC$5&lt;AO$5)*AD270+(AI$5&lt;AO$5)*AJ270+(AU$5&lt;AO$5)*AV270)))</f>
        <v/>
      </c>
      <c r="AR270">
        <f>IF(AP270-AQ270&lt;0.005,0,AP270-AQ270)</f>
        <v/>
      </c>
      <c r="AS270">
        <f>AX269</f>
        <v/>
      </c>
      <c r="AT270">
        <f>AS270*Plan!D13/100/12</f>
        <v/>
      </c>
      <c r="AU270">
        <f>MIN(Plan!E13,AS270+AT270)</f>
        <v/>
      </c>
      <c r="AV270">
        <f>AS270+AT270-AU270</f>
        <v/>
      </c>
      <c r="AW270">
        <f>MIN(AV270,MAX(0,$B270-((E$5&lt;AU$5)*F270+(K$5&lt;AU$5)*L270+(Q$5&lt;AU$5)*R270+(W$5&lt;AU$5)*X270+(AC$5&lt;AU$5)*AD270+(AI$5&lt;AU$5)*AJ270+(AO$5&lt;AU$5)*AP270)))</f>
        <v/>
      </c>
      <c r="AX270">
        <f>IF(AV270-AW270&lt;0.005,0,AV270-AW270)</f>
        <v/>
      </c>
      <c r="BC270">
        <f>H270+N270+T270+Z270+AF270+AL270+AR270+AX270</f>
        <v/>
      </c>
    </row>
    <row r="271">
      <c r="A271" t="n">
        <v>265</v>
      </c>
      <c r="B271" s="19">
        <f>MAX(0,$B$3-(E271+K271+Q271+W271+AC271+AI271+AO271+AU271))</f>
        <v/>
      </c>
      <c r="C271">
        <f>H270</f>
        <v/>
      </c>
      <c r="D271">
        <f>C271*Plan!D6/100/12</f>
        <v/>
      </c>
      <c r="E271">
        <f>MIN(Plan!E6,C271+D271)</f>
        <v/>
      </c>
      <c r="F271">
        <f>C271+D271-E271</f>
        <v/>
      </c>
      <c r="G271">
        <f>MIN(F271,MAX(0,$B271-((K$5&lt;E$5)*L271+(Q$5&lt;E$5)*R271+(W$5&lt;E$5)*X271+(AC$5&lt;E$5)*AD271+(AI$5&lt;E$5)*AJ271+(AO$5&lt;E$5)*AP271+(AU$5&lt;E$5)*AV271)))</f>
        <v/>
      </c>
      <c r="H271">
        <f>IF(F271-G271&lt;0.005,0,F271-G271)</f>
        <v/>
      </c>
      <c r="I271">
        <f>N270</f>
        <v/>
      </c>
      <c r="J271">
        <f>I271*Plan!D7/100/12</f>
        <v/>
      </c>
      <c r="K271">
        <f>MIN(Plan!E7,I271+J271)</f>
        <v/>
      </c>
      <c r="L271">
        <f>I271+J271-K271</f>
        <v/>
      </c>
      <c r="M271">
        <f>MIN(L271,MAX(0,$B271-((E$5&lt;K$5)*F271+(Q$5&lt;K$5)*R271+(W$5&lt;K$5)*X271+(AC$5&lt;K$5)*AD271+(AI$5&lt;K$5)*AJ271+(AO$5&lt;K$5)*AP271+(AU$5&lt;K$5)*AV271)))</f>
        <v/>
      </c>
      <c r="N271">
        <f>IF(L271-M271&lt;0.005,0,L271-M271)</f>
        <v/>
      </c>
      <c r="O271">
        <f>T270</f>
        <v/>
      </c>
      <c r="P271">
        <f>O271*Plan!D8/100/12</f>
        <v/>
      </c>
      <c r="Q271">
        <f>MIN(Plan!E8,O271+P271)</f>
        <v/>
      </c>
      <c r="R271">
        <f>O271+P271-Q271</f>
        <v/>
      </c>
      <c r="S271">
        <f>MIN(R271,MAX(0,$B271-((E$5&lt;Q$5)*F271+(K$5&lt;Q$5)*L271+(W$5&lt;Q$5)*X271+(AC$5&lt;Q$5)*AD271+(AI$5&lt;Q$5)*AJ271+(AO$5&lt;Q$5)*AP271+(AU$5&lt;Q$5)*AV271)))</f>
        <v/>
      </c>
      <c r="T271">
        <f>IF(R271-S271&lt;0.005,0,R271-S271)</f>
        <v/>
      </c>
      <c r="U271">
        <f>Z270</f>
        <v/>
      </c>
      <c r="V271">
        <f>U271*Plan!D9/100/12</f>
        <v/>
      </c>
      <c r="W271">
        <f>MIN(Plan!E9,U271+V271)</f>
        <v/>
      </c>
      <c r="X271">
        <f>U271+V271-W271</f>
        <v/>
      </c>
      <c r="Y271">
        <f>MIN(X271,MAX(0,$B271-((E$5&lt;W$5)*F271+(K$5&lt;W$5)*L271+(Q$5&lt;W$5)*R271+(AC$5&lt;W$5)*AD271+(AI$5&lt;W$5)*AJ271+(AO$5&lt;W$5)*AP271+(AU$5&lt;W$5)*AV271)))</f>
        <v/>
      </c>
      <c r="Z271">
        <f>IF(X271-Y271&lt;0.005,0,X271-Y271)</f>
        <v/>
      </c>
      <c r="AA271">
        <f>AF270</f>
        <v/>
      </c>
      <c r="AB271">
        <f>AA271*Plan!D10/100/12</f>
        <v/>
      </c>
      <c r="AC271">
        <f>MIN(Plan!E10,AA271+AB271)</f>
        <v/>
      </c>
      <c r="AD271">
        <f>AA271+AB271-AC271</f>
        <v/>
      </c>
      <c r="AE271">
        <f>MIN(AD271,MAX(0,$B271-((E$5&lt;AC$5)*F271+(K$5&lt;AC$5)*L271+(Q$5&lt;AC$5)*R271+(W$5&lt;AC$5)*X271+(AI$5&lt;AC$5)*AJ271+(AO$5&lt;AC$5)*AP271+(AU$5&lt;AC$5)*AV271)))</f>
        <v/>
      </c>
      <c r="AF271">
        <f>IF(AD271-AE271&lt;0.005,0,AD271-AE271)</f>
        <v/>
      </c>
      <c r="AG271">
        <f>AL270</f>
        <v/>
      </c>
      <c r="AH271">
        <f>AG271*Plan!D11/100/12</f>
        <v/>
      </c>
      <c r="AI271">
        <f>MIN(Plan!E11,AG271+AH271)</f>
        <v/>
      </c>
      <c r="AJ271">
        <f>AG271+AH271-AI271</f>
        <v/>
      </c>
      <c r="AK271">
        <f>MIN(AJ271,MAX(0,$B271-((E$5&lt;AI$5)*F271+(K$5&lt;AI$5)*L271+(Q$5&lt;AI$5)*R271+(W$5&lt;AI$5)*X271+(AC$5&lt;AI$5)*AD271+(AO$5&lt;AI$5)*AP271+(AU$5&lt;AI$5)*AV271)))</f>
        <v/>
      </c>
      <c r="AL271">
        <f>IF(AJ271-AK271&lt;0.005,0,AJ271-AK271)</f>
        <v/>
      </c>
      <c r="AM271">
        <f>AR270</f>
        <v/>
      </c>
      <c r="AN271">
        <f>AM271*Plan!D12/100/12</f>
        <v/>
      </c>
      <c r="AO271">
        <f>MIN(Plan!E12,AM271+AN271)</f>
        <v/>
      </c>
      <c r="AP271">
        <f>AM271+AN271-AO271</f>
        <v/>
      </c>
      <c r="AQ271">
        <f>MIN(AP271,MAX(0,$B271-((E$5&lt;AO$5)*F271+(K$5&lt;AO$5)*L271+(Q$5&lt;AO$5)*R271+(W$5&lt;AO$5)*X271+(AC$5&lt;AO$5)*AD271+(AI$5&lt;AO$5)*AJ271+(AU$5&lt;AO$5)*AV271)))</f>
        <v/>
      </c>
      <c r="AR271">
        <f>IF(AP271-AQ271&lt;0.005,0,AP271-AQ271)</f>
        <v/>
      </c>
      <c r="AS271">
        <f>AX270</f>
        <v/>
      </c>
      <c r="AT271">
        <f>AS271*Plan!D13/100/12</f>
        <v/>
      </c>
      <c r="AU271">
        <f>MIN(Plan!E13,AS271+AT271)</f>
        <v/>
      </c>
      <c r="AV271">
        <f>AS271+AT271-AU271</f>
        <v/>
      </c>
      <c r="AW271">
        <f>MIN(AV271,MAX(0,$B271-((E$5&lt;AU$5)*F271+(K$5&lt;AU$5)*L271+(Q$5&lt;AU$5)*R271+(W$5&lt;AU$5)*X271+(AC$5&lt;AU$5)*AD271+(AI$5&lt;AU$5)*AJ271+(AO$5&lt;AU$5)*AP271)))</f>
        <v/>
      </c>
      <c r="AX271">
        <f>IF(AV271-AW271&lt;0.005,0,AV271-AW271)</f>
        <v/>
      </c>
      <c r="BC271">
        <f>H271+N271+T271+Z271+AF271+AL271+AR271+AX271</f>
        <v/>
      </c>
    </row>
    <row r="272">
      <c r="A272" t="n">
        <v>266</v>
      </c>
      <c r="B272" s="19">
        <f>MAX(0,$B$3-(E272+K272+Q272+W272+AC272+AI272+AO272+AU272))</f>
        <v/>
      </c>
      <c r="C272">
        <f>H271</f>
        <v/>
      </c>
      <c r="D272">
        <f>C272*Plan!D6/100/12</f>
        <v/>
      </c>
      <c r="E272">
        <f>MIN(Plan!E6,C272+D272)</f>
        <v/>
      </c>
      <c r="F272">
        <f>C272+D272-E272</f>
        <v/>
      </c>
      <c r="G272">
        <f>MIN(F272,MAX(0,$B272-((K$5&lt;E$5)*L272+(Q$5&lt;E$5)*R272+(W$5&lt;E$5)*X272+(AC$5&lt;E$5)*AD272+(AI$5&lt;E$5)*AJ272+(AO$5&lt;E$5)*AP272+(AU$5&lt;E$5)*AV272)))</f>
        <v/>
      </c>
      <c r="H272">
        <f>IF(F272-G272&lt;0.005,0,F272-G272)</f>
        <v/>
      </c>
      <c r="I272">
        <f>N271</f>
        <v/>
      </c>
      <c r="J272">
        <f>I272*Plan!D7/100/12</f>
        <v/>
      </c>
      <c r="K272">
        <f>MIN(Plan!E7,I272+J272)</f>
        <v/>
      </c>
      <c r="L272">
        <f>I272+J272-K272</f>
        <v/>
      </c>
      <c r="M272">
        <f>MIN(L272,MAX(0,$B272-((E$5&lt;K$5)*F272+(Q$5&lt;K$5)*R272+(W$5&lt;K$5)*X272+(AC$5&lt;K$5)*AD272+(AI$5&lt;K$5)*AJ272+(AO$5&lt;K$5)*AP272+(AU$5&lt;K$5)*AV272)))</f>
        <v/>
      </c>
      <c r="N272">
        <f>IF(L272-M272&lt;0.005,0,L272-M272)</f>
        <v/>
      </c>
      <c r="O272">
        <f>T271</f>
        <v/>
      </c>
      <c r="P272">
        <f>O272*Plan!D8/100/12</f>
        <v/>
      </c>
      <c r="Q272">
        <f>MIN(Plan!E8,O272+P272)</f>
        <v/>
      </c>
      <c r="R272">
        <f>O272+P272-Q272</f>
        <v/>
      </c>
      <c r="S272">
        <f>MIN(R272,MAX(0,$B272-((E$5&lt;Q$5)*F272+(K$5&lt;Q$5)*L272+(W$5&lt;Q$5)*X272+(AC$5&lt;Q$5)*AD272+(AI$5&lt;Q$5)*AJ272+(AO$5&lt;Q$5)*AP272+(AU$5&lt;Q$5)*AV272)))</f>
        <v/>
      </c>
      <c r="T272">
        <f>IF(R272-S272&lt;0.005,0,R272-S272)</f>
        <v/>
      </c>
      <c r="U272">
        <f>Z271</f>
        <v/>
      </c>
      <c r="V272">
        <f>U272*Plan!D9/100/12</f>
        <v/>
      </c>
      <c r="W272">
        <f>MIN(Plan!E9,U272+V272)</f>
        <v/>
      </c>
      <c r="X272">
        <f>U272+V272-W272</f>
        <v/>
      </c>
      <c r="Y272">
        <f>MIN(X272,MAX(0,$B272-((E$5&lt;W$5)*F272+(K$5&lt;W$5)*L272+(Q$5&lt;W$5)*R272+(AC$5&lt;W$5)*AD272+(AI$5&lt;W$5)*AJ272+(AO$5&lt;W$5)*AP272+(AU$5&lt;W$5)*AV272)))</f>
        <v/>
      </c>
      <c r="Z272">
        <f>IF(X272-Y272&lt;0.005,0,X272-Y272)</f>
        <v/>
      </c>
      <c r="AA272">
        <f>AF271</f>
        <v/>
      </c>
      <c r="AB272">
        <f>AA272*Plan!D10/100/12</f>
        <v/>
      </c>
      <c r="AC272">
        <f>MIN(Plan!E10,AA272+AB272)</f>
        <v/>
      </c>
      <c r="AD272">
        <f>AA272+AB272-AC272</f>
        <v/>
      </c>
      <c r="AE272">
        <f>MIN(AD272,MAX(0,$B272-((E$5&lt;AC$5)*F272+(K$5&lt;AC$5)*L272+(Q$5&lt;AC$5)*R272+(W$5&lt;AC$5)*X272+(AI$5&lt;AC$5)*AJ272+(AO$5&lt;AC$5)*AP272+(AU$5&lt;AC$5)*AV272)))</f>
        <v/>
      </c>
      <c r="AF272">
        <f>IF(AD272-AE272&lt;0.005,0,AD272-AE272)</f>
        <v/>
      </c>
      <c r="AG272">
        <f>AL271</f>
        <v/>
      </c>
      <c r="AH272">
        <f>AG272*Plan!D11/100/12</f>
        <v/>
      </c>
      <c r="AI272">
        <f>MIN(Plan!E11,AG272+AH272)</f>
        <v/>
      </c>
      <c r="AJ272">
        <f>AG272+AH272-AI272</f>
        <v/>
      </c>
      <c r="AK272">
        <f>MIN(AJ272,MAX(0,$B272-((E$5&lt;AI$5)*F272+(K$5&lt;AI$5)*L272+(Q$5&lt;AI$5)*R272+(W$5&lt;AI$5)*X272+(AC$5&lt;AI$5)*AD272+(AO$5&lt;AI$5)*AP272+(AU$5&lt;AI$5)*AV272)))</f>
        <v/>
      </c>
      <c r="AL272">
        <f>IF(AJ272-AK272&lt;0.005,0,AJ272-AK272)</f>
        <v/>
      </c>
      <c r="AM272">
        <f>AR271</f>
        <v/>
      </c>
      <c r="AN272">
        <f>AM272*Plan!D12/100/12</f>
        <v/>
      </c>
      <c r="AO272">
        <f>MIN(Plan!E12,AM272+AN272)</f>
        <v/>
      </c>
      <c r="AP272">
        <f>AM272+AN272-AO272</f>
        <v/>
      </c>
      <c r="AQ272">
        <f>MIN(AP272,MAX(0,$B272-((E$5&lt;AO$5)*F272+(K$5&lt;AO$5)*L272+(Q$5&lt;AO$5)*R272+(W$5&lt;AO$5)*X272+(AC$5&lt;AO$5)*AD272+(AI$5&lt;AO$5)*AJ272+(AU$5&lt;AO$5)*AV272)))</f>
        <v/>
      </c>
      <c r="AR272">
        <f>IF(AP272-AQ272&lt;0.005,0,AP272-AQ272)</f>
        <v/>
      </c>
      <c r="AS272">
        <f>AX271</f>
        <v/>
      </c>
      <c r="AT272">
        <f>AS272*Plan!D13/100/12</f>
        <v/>
      </c>
      <c r="AU272">
        <f>MIN(Plan!E13,AS272+AT272)</f>
        <v/>
      </c>
      <c r="AV272">
        <f>AS272+AT272-AU272</f>
        <v/>
      </c>
      <c r="AW272">
        <f>MIN(AV272,MAX(0,$B272-((E$5&lt;AU$5)*F272+(K$5&lt;AU$5)*L272+(Q$5&lt;AU$5)*R272+(W$5&lt;AU$5)*X272+(AC$5&lt;AU$5)*AD272+(AI$5&lt;AU$5)*AJ272+(AO$5&lt;AU$5)*AP272)))</f>
        <v/>
      </c>
      <c r="AX272">
        <f>IF(AV272-AW272&lt;0.005,0,AV272-AW272)</f>
        <v/>
      </c>
      <c r="BC272">
        <f>H272+N272+T272+Z272+AF272+AL272+AR272+AX272</f>
        <v/>
      </c>
    </row>
    <row r="273">
      <c r="A273" t="n">
        <v>267</v>
      </c>
      <c r="B273" s="19">
        <f>MAX(0,$B$3-(E273+K273+Q273+W273+AC273+AI273+AO273+AU273))</f>
        <v/>
      </c>
      <c r="C273">
        <f>H272</f>
        <v/>
      </c>
      <c r="D273">
        <f>C273*Plan!D6/100/12</f>
        <v/>
      </c>
      <c r="E273">
        <f>MIN(Plan!E6,C273+D273)</f>
        <v/>
      </c>
      <c r="F273">
        <f>C273+D273-E273</f>
        <v/>
      </c>
      <c r="G273">
        <f>MIN(F273,MAX(0,$B273-((K$5&lt;E$5)*L273+(Q$5&lt;E$5)*R273+(W$5&lt;E$5)*X273+(AC$5&lt;E$5)*AD273+(AI$5&lt;E$5)*AJ273+(AO$5&lt;E$5)*AP273+(AU$5&lt;E$5)*AV273)))</f>
        <v/>
      </c>
      <c r="H273">
        <f>IF(F273-G273&lt;0.005,0,F273-G273)</f>
        <v/>
      </c>
      <c r="I273">
        <f>N272</f>
        <v/>
      </c>
      <c r="J273">
        <f>I273*Plan!D7/100/12</f>
        <v/>
      </c>
      <c r="K273">
        <f>MIN(Plan!E7,I273+J273)</f>
        <v/>
      </c>
      <c r="L273">
        <f>I273+J273-K273</f>
        <v/>
      </c>
      <c r="M273">
        <f>MIN(L273,MAX(0,$B273-((E$5&lt;K$5)*F273+(Q$5&lt;K$5)*R273+(W$5&lt;K$5)*X273+(AC$5&lt;K$5)*AD273+(AI$5&lt;K$5)*AJ273+(AO$5&lt;K$5)*AP273+(AU$5&lt;K$5)*AV273)))</f>
        <v/>
      </c>
      <c r="N273">
        <f>IF(L273-M273&lt;0.005,0,L273-M273)</f>
        <v/>
      </c>
      <c r="O273">
        <f>T272</f>
        <v/>
      </c>
      <c r="P273">
        <f>O273*Plan!D8/100/12</f>
        <v/>
      </c>
      <c r="Q273">
        <f>MIN(Plan!E8,O273+P273)</f>
        <v/>
      </c>
      <c r="R273">
        <f>O273+P273-Q273</f>
        <v/>
      </c>
      <c r="S273">
        <f>MIN(R273,MAX(0,$B273-((E$5&lt;Q$5)*F273+(K$5&lt;Q$5)*L273+(W$5&lt;Q$5)*X273+(AC$5&lt;Q$5)*AD273+(AI$5&lt;Q$5)*AJ273+(AO$5&lt;Q$5)*AP273+(AU$5&lt;Q$5)*AV273)))</f>
        <v/>
      </c>
      <c r="T273">
        <f>IF(R273-S273&lt;0.005,0,R273-S273)</f>
        <v/>
      </c>
      <c r="U273">
        <f>Z272</f>
        <v/>
      </c>
      <c r="V273">
        <f>U273*Plan!D9/100/12</f>
        <v/>
      </c>
      <c r="W273">
        <f>MIN(Plan!E9,U273+V273)</f>
        <v/>
      </c>
      <c r="X273">
        <f>U273+V273-W273</f>
        <v/>
      </c>
      <c r="Y273">
        <f>MIN(X273,MAX(0,$B273-((E$5&lt;W$5)*F273+(K$5&lt;W$5)*L273+(Q$5&lt;W$5)*R273+(AC$5&lt;W$5)*AD273+(AI$5&lt;W$5)*AJ273+(AO$5&lt;W$5)*AP273+(AU$5&lt;W$5)*AV273)))</f>
        <v/>
      </c>
      <c r="Z273">
        <f>IF(X273-Y273&lt;0.005,0,X273-Y273)</f>
        <v/>
      </c>
      <c r="AA273">
        <f>AF272</f>
        <v/>
      </c>
      <c r="AB273">
        <f>AA273*Plan!D10/100/12</f>
        <v/>
      </c>
      <c r="AC273">
        <f>MIN(Plan!E10,AA273+AB273)</f>
        <v/>
      </c>
      <c r="AD273">
        <f>AA273+AB273-AC273</f>
        <v/>
      </c>
      <c r="AE273">
        <f>MIN(AD273,MAX(0,$B273-((E$5&lt;AC$5)*F273+(K$5&lt;AC$5)*L273+(Q$5&lt;AC$5)*R273+(W$5&lt;AC$5)*X273+(AI$5&lt;AC$5)*AJ273+(AO$5&lt;AC$5)*AP273+(AU$5&lt;AC$5)*AV273)))</f>
        <v/>
      </c>
      <c r="AF273">
        <f>IF(AD273-AE273&lt;0.005,0,AD273-AE273)</f>
        <v/>
      </c>
      <c r="AG273">
        <f>AL272</f>
        <v/>
      </c>
      <c r="AH273">
        <f>AG273*Plan!D11/100/12</f>
        <v/>
      </c>
      <c r="AI273">
        <f>MIN(Plan!E11,AG273+AH273)</f>
        <v/>
      </c>
      <c r="AJ273">
        <f>AG273+AH273-AI273</f>
        <v/>
      </c>
      <c r="AK273">
        <f>MIN(AJ273,MAX(0,$B273-((E$5&lt;AI$5)*F273+(K$5&lt;AI$5)*L273+(Q$5&lt;AI$5)*R273+(W$5&lt;AI$5)*X273+(AC$5&lt;AI$5)*AD273+(AO$5&lt;AI$5)*AP273+(AU$5&lt;AI$5)*AV273)))</f>
        <v/>
      </c>
      <c r="AL273">
        <f>IF(AJ273-AK273&lt;0.005,0,AJ273-AK273)</f>
        <v/>
      </c>
      <c r="AM273">
        <f>AR272</f>
        <v/>
      </c>
      <c r="AN273">
        <f>AM273*Plan!D12/100/12</f>
        <v/>
      </c>
      <c r="AO273">
        <f>MIN(Plan!E12,AM273+AN273)</f>
        <v/>
      </c>
      <c r="AP273">
        <f>AM273+AN273-AO273</f>
        <v/>
      </c>
      <c r="AQ273">
        <f>MIN(AP273,MAX(0,$B273-((E$5&lt;AO$5)*F273+(K$5&lt;AO$5)*L273+(Q$5&lt;AO$5)*R273+(W$5&lt;AO$5)*X273+(AC$5&lt;AO$5)*AD273+(AI$5&lt;AO$5)*AJ273+(AU$5&lt;AO$5)*AV273)))</f>
        <v/>
      </c>
      <c r="AR273">
        <f>IF(AP273-AQ273&lt;0.005,0,AP273-AQ273)</f>
        <v/>
      </c>
      <c r="AS273">
        <f>AX272</f>
        <v/>
      </c>
      <c r="AT273">
        <f>AS273*Plan!D13/100/12</f>
        <v/>
      </c>
      <c r="AU273">
        <f>MIN(Plan!E13,AS273+AT273)</f>
        <v/>
      </c>
      <c r="AV273">
        <f>AS273+AT273-AU273</f>
        <v/>
      </c>
      <c r="AW273">
        <f>MIN(AV273,MAX(0,$B273-((E$5&lt;AU$5)*F273+(K$5&lt;AU$5)*L273+(Q$5&lt;AU$5)*R273+(W$5&lt;AU$5)*X273+(AC$5&lt;AU$5)*AD273+(AI$5&lt;AU$5)*AJ273+(AO$5&lt;AU$5)*AP273)))</f>
        <v/>
      </c>
      <c r="AX273">
        <f>IF(AV273-AW273&lt;0.005,0,AV273-AW273)</f>
        <v/>
      </c>
      <c r="BC273">
        <f>H273+N273+T273+Z273+AF273+AL273+AR273+AX273</f>
        <v/>
      </c>
    </row>
    <row r="274">
      <c r="A274" t="n">
        <v>268</v>
      </c>
      <c r="B274" s="19">
        <f>MAX(0,$B$3-(E274+K274+Q274+W274+AC274+AI274+AO274+AU274))</f>
        <v/>
      </c>
      <c r="C274">
        <f>H273</f>
        <v/>
      </c>
      <c r="D274">
        <f>C274*Plan!D6/100/12</f>
        <v/>
      </c>
      <c r="E274">
        <f>MIN(Plan!E6,C274+D274)</f>
        <v/>
      </c>
      <c r="F274">
        <f>C274+D274-E274</f>
        <v/>
      </c>
      <c r="G274">
        <f>MIN(F274,MAX(0,$B274-((K$5&lt;E$5)*L274+(Q$5&lt;E$5)*R274+(W$5&lt;E$5)*X274+(AC$5&lt;E$5)*AD274+(AI$5&lt;E$5)*AJ274+(AO$5&lt;E$5)*AP274+(AU$5&lt;E$5)*AV274)))</f>
        <v/>
      </c>
      <c r="H274">
        <f>IF(F274-G274&lt;0.005,0,F274-G274)</f>
        <v/>
      </c>
      <c r="I274">
        <f>N273</f>
        <v/>
      </c>
      <c r="J274">
        <f>I274*Plan!D7/100/12</f>
        <v/>
      </c>
      <c r="K274">
        <f>MIN(Plan!E7,I274+J274)</f>
        <v/>
      </c>
      <c r="L274">
        <f>I274+J274-K274</f>
        <v/>
      </c>
      <c r="M274">
        <f>MIN(L274,MAX(0,$B274-((E$5&lt;K$5)*F274+(Q$5&lt;K$5)*R274+(W$5&lt;K$5)*X274+(AC$5&lt;K$5)*AD274+(AI$5&lt;K$5)*AJ274+(AO$5&lt;K$5)*AP274+(AU$5&lt;K$5)*AV274)))</f>
        <v/>
      </c>
      <c r="N274">
        <f>IF(L274-M274&lt;0.005,0,L274-M274)</f>
        <v/>
      </c>
      <c r="O274">
        <f>T273</f>
        <v/>
      </c>
      <c r="P274">
        <f>O274*Plan!D8/100/12</f>
        <v/>
      </c>
      <c r="Q274">
        <f>MIN(Plan!E8,O274+P274)</f>
        <v/>
      </c>
      <c r="R274">
        <f>O274+P274-Q274</f>
        <v/>
      </c>
      <c r="S274">
        <f>MIN(R274,MAX(0,$B274-((E$5&lt;Q$5)*F274+(K$5&lt;Q$5)*L274+(W$5&lt;Q$5)*X274+(AC$5&lt;Q$5)*AD274+(AI$5&lt;Q$5)*AJ274+(AO$5&lt;Q$5)*AP274+(AU$5&lt;Q$5)*AV274)))</f>
        <v/>
      </c>
      <c r="T274">
        <f>IF(R274-S274&lt;0.005,0,R274-S274)</f>
        <v/>
      </c>
      <c r="U274">
        <f>Z273</f>
        <v/>
      </c>
      <c r="V274">
        <f>U274*Plan!D9/100/12</f>
        <v/>
      </c>
      <c r="W274">
        <f>MIN(Plan!E9,U274+V274)</f>
        <v/>
      </c>
      <c r="X274">
        <f>U274+V274-W274</f>
        <v/>
      </c>
      <c r="Y274">
        <f>MIN(X274,MAX(0,$B274-((E$5&lt;W$5)*F274+(K$5&lt;W$5)*L274+(Q$5&lt;W$5)*R274+(AC$5&lt;W$5)*AD274+(AI$5&lt;W$5)*AJ274+(AO$5&lt;W$5)*AP274+(AU$5&lt;W$5)*AV274)))</f>
        <v/>
      </c>
      <c r="Z274">
        <f>IF(X274-Y274&lt;0.005,0,X274-Y274)</f>
        <v/>
      </c>
      <c r="AA274">
        <f>AF273</f>
        <v/>
      </c>
      <c r="AB274">
        <f>AA274*Plan!D10/100/12</f>
        <v/>
      </c>
      <c r="AC274">
        <f>MIN(Plan!E10,AA274+AB274)</f>
        <v/>
      </c>
      <c r="AD274">
        <f>AA274+AB274-AC274</f>
        <v/>
      </c>
      <c r="AE274">
        <f>MIN(AD274,MAX(0,$B274-((E$5&lt;AC$5)*F274+(K$5&lt;AC$5)*L274+(Q$5&lt;AC$5)*R274+(W$5&lt;AC$5)*X274+(AI$5&lt;AC$5)*AJ274+(AO$5&lt;AC$5)*AP274+(AU$5&lt;AC$5)*AV274)))</f>
        <v/>
      </c>
      <c r="AF274">
        <f>IF(AD274-AE274&lt;0.005,0,AD274-AE274)</f>
        <v/>
      </c>
      <c r="AG274">
        <f>AL273</f>
        <v/>
      </c>
      <c r="AH274">
        <f>AG274*Plan!D11/100/12</f>
        <v/>
      </c>
      <c r="AI274">
        <f>MIN(Plan!E11,AG274+AH274)</f>
        <v/>
      </c>
      <c r="AJ274">
        <f>AG274+AH274-AI274</f>
        <v/>
      </c>
      <c r="AK274">
        <f>MIN(AJ274,MAX(0,$B274-((E$5&lt;AI$5)*F274+(K$5&lt;AI$5)*L274+(Q$5&lt;AI$5)*R274+(W$5&lt;AI$5)*X274+(AC$5&lt;AI$5)*AD274+(AO$5&lt;AI$5)*AP274+(AU$5&lt;AI$5)*AV274)))</f>
        <v/>
      </c>
      <c r="AL274">
        <f>IF(AJ274-AK274&lt;0.005,0,AJ274-AK274)</f>
        <v/>
      </c>
      <c r="AM274">
        <f>AR273</f>
        <v/>
      </c>
      <c r="AN274">
        <f>AM274*Plan!D12/100/12</f>
        <v/>
      </c>
      <c r="AO274">
        <f>MIN(Plan!E12,AM274+AN274)</f>
        <v/>
      </c>
      <c r="AP274">
        <f>AM274+AN274-AO274</f>
        <v/>
      </c>
      <c r="AQ274">
        <f>MIN(AP274,MAX(0,$B274-((E$5&lt;AO$5)*F274+(K$5&lt;AO$5)*L274+(Q$5&lt;AO$5)*R274+(W$5&lt;AO$5)*X274+(AC$5&lt;AO$5)*AD274+(AI$5&lt;AO$5)*AJ274+(AU$5&lt;AO$5)*AV274)))</f>
        <v/>
      </c>
      <c r="AR274">
        <f>IF(AP274-AQ274&lt;0.005,0,AP274-AQ274)</f>
        <v/>
      </c>
      <c r="AS274">
        <f>AX273</f>
        <v/>
      </c>
      <c r="AT274">
        <f>AS274*Plan!D13/100/12</f>
        <v/>
      </c>
      <c r="AU274">
        <f>MIN(Plan!E13,AS274+AT274)</f>
        <v/>
      </c>
      <c r="AV274">
        <f>AS274+AT274-AU274</f>
        <v/>
      </c>
      <c r="AW274">
        <f>MIN(AV274,MAX(0,$B274-((E$5&lt;AU$5)*F274+(K$5&lt;AU$5)*L274+(Q$5&lt;AU$5)*R274+(W$5&lt;AU$5)*X274+(AC$5&lt;AU$5)*AD274+(AI$5&lt;AU$5)*AJ274+(AO$5&lt;AU$5)*AP274)))</f>
        <v/>
      </c>
      <c r="AX274">
        <f>IF(AV274-AW274&lt;0.005,0,AV274-AW274)</f>
        <v/>
      </c>
      <c r="BC274">
        <f>H274+N274+T274+Z274+AF274+AL274+AR274+AX274</f>
        <v/>
      </c>
    </row>
    <row r="275">
      <c r="A275" t="n">
        <v>269</v>
      </c>
      <c r="B275" s="19">
        <f>MAX(0,$B$3-(E275+K275+Q275+W275+AC275+AI275+AO275+AU275))</f>
        <v/>
      </c>
      <c r="C275">
        <f>H274</f>
        <v/>
      </c>
      <c r="D275">
        <f>C275*Plan!D6/100/12</f>
        <v/>
      </c>
      <c r="E275">
        <f>MIN(Plan!E6,C275+D275)</f>
        <v/>
      </c>
      <c r="F275">
        <f>C275+D275-E275</f>
        <v/>
      </c>
      <c r="G275">
        <f>MIN(F275,MAX(0,$B275-((K$5&lt;E$5)*L275+(Q$5&lt;E$5)*R275+(W$5&lt;E$5)*X275+(AC$5&lt;E$5)*AD275+(AI$5&lt;E$5)*AJ275+(AO$5&lt;E$5)*AP275+(AU$5&lt;E$5)*AV275)))</f>
        <v/>
      </c>
      <c r="H275">
        <f>IF(F275-G275&lt;0.005,0,F275-G275)</f>
        <v/>
      </c>
      <c r="I275">
        <f>N274</f>
        <v/>
      </c>
      <c r="J275">
        <f>I275*Plan!D7/100/12</f>
        <v/>
      </c>
      <c r="K275">
        <f>MIN(Plan!E7,I275+J275)</f>
        <v/>
      </c>
      <c r="L275">
        <f>I275+J275-K275</f>
        <v/>
      </c>
      <c r="M275">
        <f>MIN(L275,MAX(0,$B275-((E$5&lt;K$5)*F275+(Q$5&lt;K$5)*R275+(W$5&lt;K$5)*X275+(AC$5&lt;K$5)*AD275+(AI$5&lt;K$5)*AJ275+(AO$5&lt;K$5)*AP275+(AU$5&lt;K$5)*AV275)))</f>
        <v/>
      </c>
      <c r="N275">
        <f>IF(L275-M275&lt;0.005,0,L275-M275)</f>
        <v/>
      </c>
      <c r="O275">
        <f>T274</f>
        <v/>
      </c>
      <c r="P275">
        <f>O275*Plan!D8/100/12</f>
        <v/>
      </c>
      <c r="Q275">
        <f>MIN(Plan!E8,O275+P275)</f>
        <v/>
      </c>
      <c r="R275">
        <f>O275+P275-Q275</f>
        <v/>
      </c>
      <c r="S275">
        <f>MIN(R275,MAX(0,$B275-((E$5&lt;Q$5)*F275+(K$5&lt;Q$5)*L275+(W$5&lt;Q$5)*X275+(AC$5&lt;Q$5)*AD275+(AI$5&lt;Q$5)*AJ275+(AO$5&lt;Q$5)*AP275+(AU$5&lt;Q$5)*AV275)))</f>
        <v/>
      </c>
      <c r="T275">
        <f>IF(R275-S275&lt;0.005,0,R275-S275)</f>
        <v/>
      </c>
      <c r="U275">
        <f>Z274</f>
        <v/>
      </c>
      <c r="V275">
        <f>U275*Plan!D9/100/12</f>
        <v/>
      </c>
      <c r="W275">
        <f>MIN(Plan!E9,U275+V275)</f>
        <v/>
      </c>
      <c r="X275">
        <f>U275+V275-W275</f>
        <v/>
      </c>
      <c r="Y275">
        <f>MIN(X275,MAX(0,$B275-((E$5&lt;W$5)*F275+(K$5&lt;W$5)*L275+(Q$5&lt;W$5)*R275+(AC$5&lt;W$5)*AD275+(AI$5&lt;W$5)*AJ275+(AO$5&lt;W$5)*AP275+(AU$5&lt;W$5)*AV275)))</f>
        <v/>
      </c>
      <c r="Z275">
        <f>IF(X275-Y275&lt;0.005,0,X275-Y275)</f>
        <v/>
      </c>
      <c r="AA275">
        <f>AF274</f>
        <v/>
      </c>
      <c r="AB275">
        <f>AA275*Plan!D10/100/12</f>
        <v/>
      </c>
      <c r="AC275">
        <f>MIN(Plan!E10,AA275+AB275)</f>
        <v/>
      </c>
      <c r="AD275">
        <f>AA275+AB275-AC275</f>
        <v/>
      </c>
      <c r="AE275">
        <f>MIN(AD275,MAX(0,$B275-((E$5&lt;AC$5)*F275+(K$5&lt;AC$5)*L275+(Q$5&lt;AC$5)*R275+(W$5&lt;AC$5)*X275+(AI$5&lt;AC$5)*AJ275+(AO$5&lt;AC$5)*AP275+(AU$5&lt;AC$5)*AV275)))</f>
        <v/>
      </c>
      <c r="AF275">
        <f>IF(AD275-AE275&lt;0.005,0,AD275-AE275)</f>
        <v/>
      </c>
      <c r="AG275">
        <f>AL274</f>
        <v/>
      </c>
      <c r="AH275">
        <f>AG275*Plan!D11/100/12</f>
        <v/>
      </c>
      <c r="AI275">
        <f>MIN(Plan!E11,AG275+AH275)</f>
        <v/>
      </c>
      <c r="AJ275">
        <f>AG275+AH275-AI275</f>
        <v/>
      </c>
      <c r="AK275">
        <f>MIN(AJ275,MAX(0,$B275-((E$5&lt;AI$5)*F275+(K$5&lt;AI$5)*L275+(Q$5&lt;AI$5)*R275+(W$5&lt;AI$5)*X275+(AC$5&lt;AI$5)*AD275+(AO$5&lt;AI$5)*AP275+(AU$5&lt;AI$5)*AV275)))</f>
        <v/>
      </c>
      <c r="AL275">
        <f>IF(AJ275-AK275&lt;0.005,0,AJ275-AK275)</f>
        <v/>
      </c>
      <c r="AM275">
        <f>AR274</f>
        <v/>
      </c>
      <c r="AN275">
        <f>AM275*Plan!D12/100/12</f>
        <v/>
      </c>
      <c r="AO275">
        <f>MIN(Plan!E12,AM275+AN275)</f>
        <v/>
      </c>
      <c r="AP275">
        <f>AM275+AN275-AO275</f>
        <v/>
      </c>
      <c r="AQ275">
        <f>MIN(AP275,MAX(0,$B275-((E$5&lt;AO$5)*F275+(K$5&lt;AO$5)*L275+(Q$5&lt;AO$5)*R275+(W$5&lt;AO$5)*X275+(AC$5&lt;AO$5)*AD275+(AI$5&lt;AO$5)*AJ275+(AU$5&lt;AO$5)*AV275)))</f>
        <v/>
      </c>
      <c r="AR275">
        <f>IF(AP275-AQ275&lt;0.005,0,AP275-AQ275)</f>
        <v/>
      </c>
      <c r="AS275">
        <f>AX274</f>
        <v/>
      </c>
      <c r="AT275">
        <f>AS275*Plan!D13/100/12</f>
        <v/>
      </c>
      <c r="AU275">
        <f>MIN(Plan!E13,AS275+AT275)</f>
        <v/>
      </c>
      <c r="AV275">
        <f>AS275+AT275-AU275</f>
        <v/>
      </c>
      <c r="AW275">
        <f>MIN(AV275,MAX(0,$B275-((E$5&lt;AU$5)*F275+(K$5&lt;AU$5)*L275+(Q$5&lt;AU$5)*R275+(W$5&lt;AU$5)*X275+(AC$5&lt;AU$5)*AD275+(AI$5&lt;AU$5)*AJ275+(AO$5&lt;AU$5)*AP275)))</f>
        <v/>
      </c>
      <c r="AX275">
        <f>IF(AV275-AW275&lt;0.005,0,AV275-AW275)</f>
        <v/>
      </c>
      <c r="BC275">
        <f>H275+N275+T275+Z275+AF275+AL275+AR275+AX275</f>
        <v/>
      </c>
    </row>
    <row r="276">
      <c r="A276" t="n">
        <v>270</v>
      </c>
      <c r="B276" s="19">
        <f>MAX(0,$B$3-(E276+K276+Q276+W276+AC276+AI276+AO276+AU276))</f>
        <v/>
      </c>
      <c r="C276">
        <f>H275</f>
        <v/>
      </c>
      <c r="D276">
        <f>C276*Plan!D6/100/12</f>
        <v/>
      </c>
      <c r="E276">
        <f>MIN(Plan!E6,C276+D276)</f>
        <v/>
      </c>
      <c r="F276">
        <f>C276+D276-E276</f>
        <v/>
      </c>
      <c r="G276">
        <f>MIN(F276,MAX(0,$B276-((K$5&lt;E$5)*L276+(Q$5&lt;E$5)*R276+(W$5&lt;E$5)*X276+(AC$5&lt;E$5)*AD276+(AI$5&lt;E$5)*AJ276+(AO$5&lt;E$5)*AP276+(AU$5&lt;E$5)*AV276)))</f>
        <v/>
      </c>
      <c r="H276">
        <f>IF(F276-G276&lt;0.005,0,F276-G276)</f>
        <v/>
      </c>
      <c r="I276">
        <f>N275</f>
        <v/>
      </c>
      <c r="J276">
        <f>I276*Plan!D7/100/12</f>
        <v/>
      </c>
      <c r="K276">
        <f>MIN(Plan!E7,I276+J276)</f>
        <v/>
      </c>
      <c r="L276">
        <f>I276+J276-K276</f>
        <v/>
      </c>
      <c r="M276">
        <f>MIN(L276,MAX(0,$B276-((E$5&lt;K$5)*F276+(Q$5&lt;K$5)*R276+(W$5&lt;K$5)*X276+(AC$5&lt;K$5)*AD276+(AI$5&lt;K$5)*AJ276+(AO$5&lt;K$5)*AP276+(AU$5&lt;K$5)*AV276)))</f>
        <v/>
      </c>
      <c r="N276">
        <f>IF(L276-M276&lt;0.005,0,L276-M276)</f>
        <v/>
      </c>
      <c r="O276">
        <f>T275</f>
        <v/>
      </c>
      <c r="P276">
        <f>O276*Plan!D8/100/12</f>
        <v/>
      </c>
      <c r="Q276">
        <f>MIN(Plan!E8,O276+P276)</f>
        <v/>
      </c>
      <c r="R276">
        <f>O276+P276-Q276</f>
        <v/>
      </c>
      <c r="S276">
        <f>MIN(R276,MAX(0,$B276-((E$5&lt;Q$5)*F276+(K$5&lt;Q$5)*L276+(W$5&lt;Q$5)*X276+(AC$5&lt;Q$5)*AD276+(AI$5&lt;Q$5)*AJ276+(AO$5&lt;Q$5)*AP276+(AU$5&lt;Q$5)*AV276)))</f>
        <v/>
      </c>
      <c r="T276">
        <f>IF(R276-S276&lt;0.005,0,R276-S276)</f>
        <v/>
      </c>
      <c r="U276">
        <f>Z275</f>
        <v/>
      </c>
      <c r="V276">
        <f>U276*Plan!D9/100/12</f>
        <v/>
      </c>
      <c r="W276">
        <f>MIN(Plan!E9,U276+V276)</f>
        <v/>
      </c>
      <c r="X276">
        <f>U276+V276-W276</f>
        <v/>
      </c>
      <c r="Y276">
        <f>MIN(X276,MAX(0,$B276-((E$5&lt;W$5)*F276+(K$5&lt;W$5)*L276+(Q$5&lt;W$5)*R276+(AC$5&lt;W$5)*AD276+(AI$5&lt;W$5)*AJ276+(AO$5&lt;W$5)*AP276+(AU$5&lt;W$5)*AV276)))</f>
        <v/>
      </c>
      <c r="Z276">
        <f>IF(X276-Y276&lt;0.005,0,X276-Y276)</f>
        <v/>
      </c>
      <c r="AA276">
        <f>AF275</f>
        <v/>
      </c>
      <c r="AB276">
        <f>AA276*Plan!D10/100/12</f>
        <v/>
      </c>
      <c r="AC276">
        <f>MIN(Plan!E10,AA276+AB276)</f>
        <v/>
      </c>
      <c r="AD276">
        <f>AA276+AB276-AC276</f>
        <v/>
      </c>
      <c r="AE276">
        <f>MIN(AD276,MAX(0,$B276-((E$5&lt;AC$5)*F276+(K$5&lt;AC$5)*L276+(Q$5&lt;AC$5)*R276+(W$5&lt;AC$5)*X276+(AI$5&lt;AC$5)*AJ276+(AO$5&lt;AC$5)*AP276+(AU$5&lt;AC$5)*AV276)))</f>
        <v/>
      </c>
      <c r="AF276">
        <f>IF(AD276-AE276&lt;0.005,0,AD276-AE276)</f>
        <v/>
      </c>
      <c r="AG276">
        <f>AL275</f>
        <v/>
      </c>
      <c r="AH276">
        <f>AG276*Plan!D11/100/12</f>
        <v/>
      </c>
      <c r="AI276">
        <f>MIN(Plan!E11,AG276+AH276)</f>
        <v/>
      </c>
      <c r="AJ276">
        <f>AG276+AH276-AI276</f>
        <v/>
      </c>
      <c r="AK276">
        <f>MIN(AJ276,MAX(0,$B276-((E$5&lt;AI$5)*F276+(K$5&lt;AI$5)*L276+(Q$5&lt;AI$5)*R276+(W$5&lt;AI$5)*X276+(AC$5&lt;AI$5)*AD276+(AO$5&lt;AI$5)*AP276+(AU$5&lt;AI$5)*AV276)))</f>
        <v/>
      </c>
      <c r="AL276">
        <f>IF(AJ276-AK276&lt;0.005,0,AJ276-AK276)</f>
        <v/>
      </c>
      <c r="AM276">
        <f>AR275</f>
        <v/>
      </c>
      <c r="AN276">
        <f>AM276*Plan!D12/100/12</f>
        <v/>
      </c>
      <c r="AO276">
        <f>MIN(Plan!E12,AM276+AN276)</f>
        <v/>
      </c>
      <c r="AP276">
        <f>AM276+AN276-AO276</f>
        <v/>
      </c>
      <c r="AQ276">
        <f>MIN(AP276,MAX(0,$B276-((E$5&lt;AO$5)*F276+(K$5&lt;AO$5)*L276+(Q$5&lt;AO$5)*R276+(W$5&lt;AO$5)*X276+(AC$5&lt;AO$5)*AD276+(AI$5&lt;AO$5)*AJ276+(AU$5&lt;AO$5)*AV276)))</f>
        <v/>
      </c>
      <c r="AR276">
        <f>IF(AP276-AQ276&lt;0.005,0,AP276-AQ276)</f>
        <v/>
      </c>
      <c r="AS276">
        <f>AX275</f>
        <v/>
      </c>
      <c r="AT276">
        <f>AS276*Plan!D13/100/12</f>
        <v/>
      </c>
      <c r="AU276">
        <f>MIN(Plan!E13,AS276+AT276)</f>
        <v/>
      </c>
      <c r="AV276">
        <f>AS276+AT276-AU276</f>
        <v/>
      </c>
      <c r="AW276">
        <f>MIN(AV276,MAX(0,$B276-((E$5&lt;AU$5)*F276+(K$5&lt;AU$5)*L276+(Q$5&lt;AU$5)*R276+(W$5&lt;AU$5)*X276+(AC$5&lt;AU$5)*AD276+(AI$5&lt;AU$5)*AJ276+(AO$5&lt;AU$5)*AP276)))</f>
        <v/>
      </c>
      <c r="AX276">
        <f>IF(AV276-AW276&lt;0.005,0,AV276-AW276)</f>
        <v/>
      </c>
      <c r="BC276">
        <f>H276+N276+T276+Z276+AF276+AL276+AR276+AX276</f>
        <v/>
      </c>
    </row>
    <row r="277">
      <c r="A277" t="n">
        <v>271</v>
      </c>
      <c r="B277" s="19">
        <f>MAX(0,$B$3-(E277+K277+Q277+W277+AC277+AI277+AO277+AU277))</f>
        <v/>
      </c>
      <c r="C277">
        <f>H276</f>
        <v/>
      </c>
      <c r="D277">
        <f>C277*Plan!D6/100/12</f>
        <v/>
      </c>
      <c r="E277">
        <f>MIN(Plan!E6,C277+D277)</f>
        <v/>
      </c>
      <c r="F277">
        <f>C277+D277-E277</f>
        <v/>
      </c>
      <c r="G277">
        <f>MIN(F277,MAX(0,$B277-((K$5&lt;E$5)*L277+(Q$5&lt;E$5)*R277+(W$5&lt;E$5)*X277+(AC$5&lt;E$5)*AD277+(AI$5&lt;E$5)*AJ277+(AO$5&lt;E$5)*AP277+(AU$5&lt;E$5)*AV277)))</f>
        <v/>
      </c>
      <c r="H277">
        <f>IF(F277-G277&lt;0.005,0,F277-G277)</f>
        <v/>
      </c>
      <c r="I277">
        <f>N276</f>
        <v/>
      </c>
      <c r="J277">
        <f>I277*Plan!D7/100/12</f>
        <v/>
      </c>
      <c r="K277">
        <f>MIN(Plan!E7,I277+J277)</f>
        <v/>
      </c>
      <c r="L277">
        <f>I277+J277-K277</f>
        <v/>
      </c>
      <c r="M277">
        <f>MIN(L277,MAX(0,$B277-((E$5&lt;K$5)*F277+(Q$5&lt;K$5)*R277+(W$5&lt;K$5)*X277+(AC$5&lt;K$5)*AD277+(AI$5&lt;K$5)*AJ277+(AO$5&lt;K$5)*AP277+(AU$5&lt;K$5)*AV277)))</f>
        <v/>
      </c>
      <c r="N277">
        <f>IF(L277-M277&lt;0.005,0,L277-M277)</f>
        <v/>
      </c>
      <c r="O277">
        <f>T276</f>
        <v/>
      </c>
      <c r="P277">
        <f>O277*Plan!D8/100/12</f>
        <v/>
      </c>
      <c r="Q277">
        <f>MIN(Plan!E8,O277+P277)</f>
        <v/>
      </c>
      <c r="R277">
        <f>O277+P277-Q277</f>
        <v/>
      </c>
      <c r="S277">
        <f>MIN(R277,MAX(0,$B277-((E$5&lt;Q$5)*F277+(K$5&lt;Q$5)*L277+(W$5&lt;Q$5)*X277+(AC$5&lt;Q$5)*AD277+(AI$5&lt;Q$5)*AJ277+(AO$5&lt;Q$5)*AP277+(AU$5&lt;Q$5)*AV277)))</f>
        <v/>
      </c>
      <c r="T277">
        <f>IF(R277-S277&lt;0.005,0,R277-S277)</f>
        <v/>
      </c>
      <c r="U277">
        <f>Z276</f>
        <v/>
      </c>
      <c r="V277">
        <f>U277*Plan!D9/100/12</f>
        <v/>
      </c>
      <c r="W277">
        <f>MIN(Plan!E9,U277+V277)</f>
        <v/>
      </c>
      <c r="X277">
        <f>U277+V277-W277</f>
        <v/>
      </c>
      <c r="Y277">
        <f>MIN(X277,MAX(0,$B277-((E$5&lt;W$5)*F277+(K$5&lt;W$5)*L277+(Q$5&lt;W$5)*R277+(AC$5&lt;W$5)*AD277+(AI$5&lt;W$5)*AJ277+(AO$5&lt;W$5)*AP277+(AU$5&lt;W$5)*AV277)))</f>
        <v/>
      </c>
      <c r="Z277">
        <f>IF(X277-Y277&lt;0.005,0,X277-Y277)</f>
        <v/>
      </c>
      <c r="AA277">
        <f>AF276</f>
        <v/>
      </c>
      <c r="AB277">
        <f>AA277*Plan!D10/100/12</f>
        <v/>
      </c>
      <c r="AC277">
        <f>MIN(Plan!E10,AA277+AB277)</f>
        <v/>
      </c>
      <c r="AD277">
        <f>AA277+AB277-AC277</f>
        <v/>
      </c>
      <c r="AE277">
        <f>MIN(AD277,MAX(0,$B277-((E$5&lt;AC$5)*F277+(K$5&lt;AC$5)*L277+(Q$5&lt;AC$5)*R277+(W$5&lt;AC$5)*X277+(AI$5&lt;AC$5)*AJ277+(AO$5&lt;AC$5)*AP277+(AU$5&lt;AC$5)*AV277)))</f>
        <v/>
      </c>
      <c r="AF277">
        <f>IF(AD277-AE277&lt;0.005,0,AD277-AE277)</f>
        <v/>
      </c>
      <c r="AG277">
        <f>AL276</f>
        <v/>
      </c>
      <c r="AH277">
        <f>AG277*Plan!D11/100/12</f>
        <v/>
      </c>
      <c r="AI277">
        <f>MIN(Plan!E11,AG277+AH277)</f>
        <v/>
      </c>
      <c r="AJ277">
        <f>AG277+AH277-AI277</f>
        <v/>
      </c>
      <c r="AK277">
        <f>MIN(AJ277,MAX(0,$B277-((E$5&lt;AI$5)*F277+(K$5&lt;AI$5)*L277+(Q$5&lt;AI$5)*R277+(W$5&lt;AI$5)*X277+(AC$5&lt;AI$5)*AD277+(AO$5&lt;AI$5)*AP277+(AU$5&lt;AI$5)*AV277)))</f>
        <v/>
      </c>
      <c r="AL277">
        <f>IF(AJ277-AK277&lt;0.005,0,AJ277-AK277)</f>
        <v/>
      </c>
      <c r="AM277">
        <f>AR276</f>
        <v/>
      </c>
      <c r="AN277">
        <f>AM277*Plan!D12/100/12</f>
        <v/>
      </c>
      <c r="AO277">
        <f>MIN(Plan!E12,AM277+AN277)</f>
        <v/>
      </c>
      <c r="AP277">
        <f>AM277+AN277-AO277</f>
        <v/>
      </c>
      <c r="AQ277">
        <f>MIN(AP277,MAX(0,$B277-((E$5&lt;AO$5)*F277+(K$5&lt;AO$5)*L277+(Q$5&lt;AO$5)*R277+(W$5&lt;AO$5)*X277+(AC$5&lt;AO$5)*AD277+(AI$5&lt;AO$5)*AJ277+(AU$5&lt;AO$5)*AV277)))</f>
        <v/>
      </c>
      <c r="AR277">
        <f>IF(AP277-AQ277&lt;0.005,0,AP277-AQ277)</f>
        <v/>
      </c>
      <c r="AS277">
        <f>AX276</f>
        <v/>
      </c>
      <c r="AT277">
        <f>AS277*Plan!D13/100/12</f>
        <v/>
      </c>
      <c r="AU277">
        <f>MIN(Plan!E13,AS277+AT277)</f>
        <v/>
      </c>
      <c r="AV277">
        <f>AS277+AT277-AU277</f>
        <v/>
      </c>
      <c r="AW277">
        <f>MIN(AV277,MAX(0,$B277-((E$5&lt;AU$5)*F277+(K$5&lt;AU$5)*L277+(Q$5&lt;AU$5)*R277+(W$5&lt;AU$5)*X277+(AC$5&lt;AU$5)*AD277+(AI$5&lt;AU$5)*AJ277+(AO$5&lt;AU$5)*AP277)))</f>
        <v/>
      </c>
      <c r="AX277">
        <f>IF(AV277-AW277&lt;0.005,0,AV277-AW277)</f>
        <v/>
      </c>
      <c r="BC277">
        <f>H277+N277+T277+Z277+AF277+AL277+AR277+AX277</f>
        <v/>
      </c>
    </row>
    <row r="278">
      <c r="A278" t="n">
        <v>272</v>
      </c>
      <c r="B278" s="19">
        <f>MAX(0,$B$3-(E278+K278+Q278+W278+AC278+AI278+AO278+AU278))</f>
        <v/>
      </c>
      <c r="C278">
        <f>H277</f>
        <v/>
      </c>
      <c r="D278">
        <f>C278*Plan!D6/100/12</f>
        <v/>
      </c>
      <c r="E278">
        <f>MIN(Plan!E6,C278+D278)</f>
        <v/>
      </c>
      <c r="F278">
        <f>C278+D278-E278</f>
        <v/>
      </c>
      <c r="G278">
        <f>MIN(F278,MAX(0,$B278-((K$5&lt;E$5)*L278+(Q$5&lt;E$5)*R278+(W$5&lt;E$5)*X278+(AC$5&lt;E$5)*AD278+(AI$5&lt;E$5)*AJ278+(AO$5&lt;E$5)*AP278+(AU$5&lt;E$5)*AV278)))</f>
        <v/>
      </c>
      <c r="H278">
        <f>IF(F278-G278&lt;0.005,0,F278-G278)</f>
        <v/>
      </c>
      <c r="I278">
        <f>N277</f>
        <v/>
      </c>
      <c r="J278">
        <f>I278*Plan!D7/100/12</f>
        <v/>
      </c>
      <c r="K278">
        <f>MIN(Plan!E7,I278+J278)</f>
        <v/>
      </c>
      <c r="L278">
        <f>I278+J278-K278</f>
        <v/>
      </c>
      <c r="M278">
        <f>MIN(L278,MAX(0,$B278-((E$5&lt;K$5)*F278+(Q$5&lt;K$5)*R278+(W$5&lt;K$5)*X278+(AC$5&lt;K$5)*AD278+(AI$5&lt;K$5)*AJ278+(AO$5&lt;K$5)*AP278+(AU$5&lt;K$5)*AV278)))</f>
        <v/>
      </c>
      <c r="N278">
        <f>IF(L278-M278&lt;0.005,0,L278-M278)</f>
        <v/>
      </c>
      <c r="O278">
        <f>T277</f>
        <v/>
      </c>
      <c r="P278">
        <f>O278*Plan!D8/100/12</f>
        <v/>
      </c>
      <c r="Q278">
        <f>MIN(Plan!E8,O278+P278)</f>
        <v/>
      </c>
      <c r="R278">
        <f>O278+P278-Q278</f>
        <v/>
      </c>
      <c r="S278">
        <f>MIN(R278,MAX(0,$B278-((E$5&lt;Q$5)*F278+(K$5&lt;Q$5)*L278+(W$5&lt;Q$5)*X278+(AC$5&lt;Q$5)*AD278+(AI$5&lt;Q$5)*AJ278+(AO$5&lt;Q$5)*AP278+(AU$5&lt;Q$5)*AV278)))</f>
        <v/>
      </c>
      <c r="T278">
        <f>IF(R278-S278&lt;0.005,0,R278-S278)</f>
        <v/>
      </c>
      <c r="U278">
        <f>Z277</f>
        <v/>
      </c>
      <c r="V278">
        <f>U278*Plan!D9/100/12</f>
        <v/>
      </c>
      <c r="W278">
        <f>MIN(Plan!E9,U278+V278)</f>
        <v/>
      </c>
      <c r="X278">
        <f>U278+V278-W278</f>
        <v/>
      </c>
      <c r="Y278">
        <f>MIN(X278,MAX(0,$B278-((E$5&lt;W$5)*F278+(K$5&lt;W$5)*L278+(Q$5&lt;W$5)*R278+(AC$5&lt;W$5)*AD278+(AI$5&lt;W$5)*AJ278+(AO$5&lt;W$5)*AP278+(AU$5&lt;W$5)*AV278)))</f>
        <v/>
      </c>
      <c r="Z278">
        <f>IF(X278-Y278&lt;0.005,0,X278-Y278)</f>
        <v/>
      </c>
      <c r="AA278">
        <f>AF277</f>
        <v/>
      </c>
      <c r="AB278">
        <f>AA278*Plan!D10/100/12</f>
        <v/>
      </c>
      <c r="AC278">
        <f>MIN(Plan!E10,AA278+AB278)</f>
        <v/>
      </c>
      <c r="AD278">
        <f>AA278+AB278-AC278</f>
        <v/>
      </c>
      <c r="AE278">
        <f>MIN(AD278,MAX(0,$B278-((E$5&lt;AC$5)*F278+(K$5&lt;AC$5)*L278+(Q$5&lt;AC$5)*R278+(W$5&lt;AC$5)*X278+(AI$5&lt;AC$5)*AJ278+(AO$5&lt;AC$5)*AP278+(AU$5&lt;AC$5)*AV278)))</f>
        <v/>
      </c>
      <c r="AF278">
        <f>IF(AD278-AE278&lt;0.005,0,AD278-AE278)</f>
        <v/>
      </c>
      <c r="AG278">
        <f>AL277</f>
        <v/>
      </c>
      <c r="AH278">
        <f>AG278*Plan!D11/100/12</f>
        <v/>
      </c>
      <c r="AI278">
        <f>MIN(Plan!E11,AG278+AH278)</f>
        <v/>
      </c>
      <c r="AJ278">
        <f>AG278+AH278-AI278</f>
        <v/>
      </c>
      <c r="AK278">
        <f>MIN(AJ278,MAX(0,$B278-((E$5&lt;AI$5)*F278+(K$5&lt;AI$5)*L278+(Q$5&lt;AI$5)*R278+(W$5&lt;AI$5)*X278+(AC$5&lt;AI$5)*AD278+(AO$5&lt;AI$5)*AP278+(AU$5&lt;AI$5)*AV278)))</f>
        <v/>
      </c>
      <c r="AL278">
        <f>IF(AJ278-AK278&lt;0.005,0,AJ278-AK278)</f>
        <v/>
      </c>
      <c r="AM278">
        <f>AR277</f>
        <v/>
      </c>
      <c r="AN278">
        <f>AM278*Plan!D12/100/12</f>
        <v/>
      </c>
      <c r="AO278">
        <f>MIN(Plan!E12,AM278+AN278)</f>
        <v/>
      </c>
      <c r="AP278">
        <f>AM278+AN278-AO278</f>
        <v/>
      </c>
      <c r="AQ278">
        <f>MIN(AP278,MAX(0,$B278-((E$5&lt;AO$5)*F278+(K$5&lt;AO$5)*L278+(Q$5&lt;AO$5)*R278+(W$5&lt;AO$5)*X278+(AC$5&lt;AO$5)*AD278+(AI$5&lt;AO$5)*AJ278+(AU$5&lt;AO$5)*AV278)))</f>
        <v/>
      </c>
      <c r="AR278">
        <f>IF(AP278-AQ278&lt;0.005,0,AP278-AQ278)</f>
        <v/>
      </c>
      <c r="AS278">
        <f>AX277</f>
        <v/>
      </c>
      <c r="AT278">
        <f>AS278*Plan!D13/100/12</f>
        <v/>
      </c>
      <c r="AU278">
        <f>MIN(Plan!E13,AS278+AT278)</f>
        <v/>
      </c>
      <c r="AV278">
        <f>AS278+AT278-AU278</f>
        <v/>
      </c>
      <c r="AW278">
        <f>MIN(AV278,MAX(0,$B278-((E$5&lt;AU$5)*F278+(K$5&lt;AU$5)*L278+(Q$5&lt;AU$5)*R278+(W$5&lt;AU$5)*X278+(AC$5&lt;AU$5)*AD278+(AI$5&lt;AU$5)*AJ278+(AO$5&lt;AU$5)*AP278)))</f>
        <v/>
      </c>
      <c r="AX278">
        <f>IF(AV278-AW278&lt;0.005,0,AV278-AW278)</f>
        <v/>
      </c>
      <c r="BC278">
        <f>H278+N278+T278+Z278+AF278+AL278+AR278+AX278</f>
        <v/>
      </c>
    </row>
    <row r="279">
      <c r="A279" t="n">
        <v>273</v>
      </c>
      <c r="B279" s="19">
        <f>MAX(0,$B$3-(E279+K279+Q279+W279+AC279+AI279+AO279+AU279))</f>
        <v/>
      </c>
      <c r="C279">
        <f>H278</f>
        <v/>
      </c>
      <c r="D279">
        <f>C279*Plan!D6/100/12</f>
        <v/>
      </c>
      <c r="E279">
        <f>MIN(Plan!E6,C279+D279)</f>
        <v/>
      </c>
      <c r="F279">
        <f>C279+D279-E279</f>
        <v/>
      </c>
      <c r="G279">
        <f>MIN(F279,MAX(0,$B279-((K$5&lt;E$5)*L279+(Q$5&lt;E$5)*R279+(W$5&lt;E$5)*X279+(AC$5&lt;E$5)*AD279+(AI$5&lt;E$5)*AJ279+(AO$5&lt;E$5)*AP279+(AU$5&lt;E$5)*AV279)))</f>
        <v/>
      </c>
      <c r="H279">
        <f>IF(F279-G279&lt;0.005,0,F279-G279)</f>
        <v/>
      </c>
      <c r="I279">
        <f>N278</f>
        <v/>
      </c>
      <c r="J279">
        <f>I279*Plan!D7/100/12</f>
        <v/>
      </c>
      <c r="K279">
        <f>MIN(Plan!E7,I279+J279)</f>
        <v/>
      </c>
      <c r="L279">
        <f>I279+J279-K279</f>
        <v/>
      </c>
      <c r="M279">
        <f>MIN(L279,MAX(0,$B279-((E$5&lt;K$5)*F279+(Q$5&lt;K$5)*R279+(W$5&lt;K$5)*X279+(AC$5&lt;K$5)*AD279+(AI$5&lt;K$5)*AJ279+(AO$5&lt;K$5)*AP279+(AU$5&lt;K$5)*AV279)))</f>
        <v/>
      </c>
      <c r="N279">
        <f>IF(L279-M279&lt;0.005,0,L279-M279)</f>
        <v/>
      </c>
      <c r="O279">
        <f>T278</f>
        <v/>
      </c>
      <c r="P279">
        <f>O279*Plan!D8/100/12</f>
        <v/>
      </c>
      <c r="Q279">
        <f>MIN(Plan!E8,O279+P279)</f>
        <v/>
      </c>
      <c r="R279">
        <f>O279+P279-Q279</f>
        <v/>
      </c>
      <c r="S279">
        <f>MIN(R279,MAX(0,$B279-((E$5&lt;Q$5)*F279+(K$5&lt;Q$5)*L279+(W$5&lt;Q$5)*X279+(AC$5&lt;Q$5)*AD279+(AI$5&lt;Q$5)*AJ279+(AO$5&lt;Q$5)*AP279+(AU$5&lt;Q$5)*AV279)))</f>
        <v/>
      </c>
      <c r="T279">
        <f>IF(R279-S279&lt;0.005,0,R279-S279)</f>
        <v/>
      </c>
      <c r="U279">
        <f>Z278</f>
        <v/>
      </c>
      <c r="V279">
        <f>U279*Plan!D9/100/12</f>
        <v/>
      </c>
      <c r="W279">
        <f>MIN(Plan!E9,U279+V279)</f>
        <v/>
      </c>
      <c r="X279">
        <f>U279+V279-W279</f>
        <v/>
      </c>
      <c r="Y279">
        <f>MIN(X279,MAX(0,$B279-((E$5&lt;W$5)*F279+(K$5&lt;W$5)*L279+(Q$5&lt;W$5)*R279+(AC$5&lt;W$5)*AD279+(AI$5&lt;W$5)*AJ279+(AO$5&lt;W$5)*AP279+(AU$5&lt;W$5)*AV279)))</f>
        <v/>
      </c>
      <c r="Z279">
        <f>IF(X279-Y279&lt;0.005,0,X279-Y279)</f>
        <v/>
      </c>
      <c r="AA279">
        <f>AF278</f>
        <v/>
      </c>
      <c r="AB279">
        <f>AA279*Plan!D10/100/12</f>
        <v/>
      </c>
      <c r="AC279">
        <f>MIN(Plan!E10,AA279+AB279)</f>
        <v/>
      </c>
      <c r="AD279">
        <f>AA279+AB279-AC279</f>
        <v/>
      </c>
      <c r="AE279">
        <f>MIN(AD279,MAX(0,$B279-((E$5&lt;AC$5)*F279+(K$5&lt;AC$5)*L279+(Q$5&lt;AC$5)*R279+(W$5&lt;AC$5)*X279+(AI$5&lt;AC$5)*AJ279+(AO$5&lt;AC$5)*AP279+(AU$5&lt;AC$5)*AV279)))</f>
        <v/>
      </c>
      <c r="AF279">
        <f>IF(AD279-AE279&lt;0.005,0,AD279-AE279)</f>
        <v/>
      </c>
      <c r="AG279">
        <f>AL278</f>
        <v/>
      </c>
      <c r="AH279">
        <f>AG279*Plan!D11/100/12</f>
        <v/>
      </c>
      <c r="AI279">
        <f>MIN(Plan!E11,AG279+AH279)</f>
        <v/>
      </c>
      <c r="AJ279">
        <f>AG279+AH279-AI279</f>
        <v/>
      </c>
      <c r="AK279">
        <f>MIN(AJ279,MAX(0,$B279-((E$5&lt;AI$5)*F279+(K$5&lt;AI$5)*L279+(Q$5&lt;AI$5)*R279+(W$5&lt;AI$5)*X279+(AC$5&lt;AI$5)*AD279+(AO$5&lt;AI$5)*AP279+(AU$5&lt;AI$5)*AV279)))</f>
        <v/>
      </c>
      <c r="AL279">
        <f>IF(AJ279-AK279&lt;0.005,0,AJ279-AK279)</f>
        <v/>
      </c>
      <c r="AM279">
        <f>AR278</f>
        <v/>
      </c>
      <c r="AN279">
        <f>AM279*Plan!D12/100/12</f>
        <v/>
      </c>
      <c r="AO279">
        <f>MIN(Plan!E12,AM279+AN279)</f>
        <v/>
      </c>
      <c r="AP279">
        <f>AM279+AN279-AO279</f>
        <v/>
      </c>
      <c r="AQ279">
        <f>MIN(AP279,MAX(0,$B279-((E$5&lt;AO$5)*F279+(K$5&lt;AO$5)*L279+(Q$5&lt;AO$5)*R279+(W$5&lt;AO$5)*X279+(AC$5&lt;AO$5)*AD279+(AI$5&lt;AO$5)*AJ279+(AU$5&lt;AO$5)*AV279)))</f>
        <v/>
      </c>
      <c r="AR279">
        <f>IF(AP279-AQ279&lt;0.005,0,AP279-AQ279)</f>
        <v/>
      </c>
      <c r="AS279">
        <f>AX278</f>
        <v/>
      </c>
      <c r="AT279">
        <f>AS279*Plan!D13/100/12</f>
        <v/>
      </c>
      <c r="AU279">
        <f>MIN(Plan!E13,AS279+AT279)</f>
        <v/>
      </c>
      <c r="AV279">
        <f>AS279+AT279-AU279</f>
        <v/>
      </c>
      <c r="AW279">
        <f>MIN(AV279,MAX(0,$B279-((E$5&lt;AU$5)*F279+(K$5&lt;AU$5)*L279+(Q$5&lt;AU$5)*R279+(W$5&lt;AU$5)*X279+(AC$5&lt;AU$5)*AD279+(AI$5&lt;AU$5)*AJ279+(AO$5&lt;AU$5)*AP279)))</f>
        <v/>
      </c>
      <c r="AX279">
        <f>IF(AV279-AW279&lt;0.005,0,AV279-AW279)</f>
        <v/>
      </c>
      <c r="BC279">
        <f>H279+N279+T279+Z279+AF279+AL279+AR279+AX279</f>
        <v/>
      </c>
    </row>
    <row r="280">
      <c r="A280" t="n">
        <v>274</v>
      </c>
      <c r="B280" s="19">
        <f>MAX(0,$B$3-(E280+K280+Q280+W280+AC280+AI280+AO280+AU280))</f>
        <v/>
      </c>
      <c r="C280">
        <f>H279</f>
        <v/>
      </c>
      <c r="D280">
        <f>C280*Plan!D6/100/12</f>
        <v/>
      </c>
      <c r="E280">
        <f>MIN(Plan!E6,C280+D280)</f>
        <v/>
      </c>
      <c r="F280">
        <f>C280+D280-E280</f>
        <v/>
      </c>
      <c r="G280">
        <f>MIN(F280,MAX(0,$B280-((K$5&lt;E$5)*L280+(Q$5&lt;E$5)*R280+(W$5&lt;E$5)*X280+(AC$5&lt;E$5)*AD280+(AI$5&lt;E$5)*AJ280+(AO$5&lt;E$5)*AP280+(AU$5&lt;E$5)*AV280)))</f>
        <v/>
      </c>
      <c r="H280">
        <f>IF(F280-G280&lt;0.005,0,F280-G280)</f>
        <v/>
      </c>
      <c r="I280">
        <f>N279</f>
        <v/>
      </c>
      <c r="J280">
        <f>I280*Plan!D7/100/12</f>
        <v/>
      </c>
      <c r="K280">
        <f>MIN(Plan!E7,I280+J280)</f>
        <v/>
      </c>
      <c r="L280">
        <f>I280+J280-K280</f>
        <v/>
      </c>
      <c r="M280">
        <f>MIN(L280,MAX(0,$B280-((E$5&lt;K$5)*F280+(Q$5&lt;K$5)*R280+(W$5&lt;K$5)*X280+(AC$5&lt;K$5)*AD280+(AI$5&lt;K$5)*AJ280+(AO$5&lt;K$5)*AP280+(AU$5&lt;K$5)*AV280)))</f>
        <v/>
      </c>
      <c r="N280">
        <f>IF(L280-M280&lt;0.005,0,L280-M280)</f>
        <v/>
      </c>
      <c r="O280">
        <f>T279</f>
        <v/>
      </c>
      <c r="P280">
        <f>O280*Plan!D8/100/12</f>
        <v/>
      </c>
      <c r="Q280">
        <f>MIN(Plan!E8,O280+P280)</f>
        <v/>
      </c>
      <c r="R280">
        <f>O280+P280-Q280</f>
        <v/>
      </c>
      <c r="S280">
        <f>MIN(R280,MAX(0,$B280-((E$5&lt;Q$5)*F280+(K$5&lt;Q$5)*L280+(W$5&lt;Q$5)*X280+(AC$5&lt;Q$5)*AD280+(AI$5&lt;Q$5)*AJ280+(AO$5&lt;Q$5)*AP280+(AU$5&lt;Q$5)*AV280)))</f>
        <v/>
      </c>
      <c r="T280">
        <f>IF(R280-S280&lt;0.005,0,R280-S280)</f>
        <v/>
      </c>
      <c r="U280">
        <f>Z279</f>
        <v/>
      </c>
      <c r="V280">
        <f>U280*Plan!D9/100/12</f>
        <v/>
      </c>
      <c r="W280">
        <f>MIN(Plan!E9,U280+V280)</f>
        <v/>
      </c>
      <c r="X280">
        <f>U280+V280-W280</f>
        <v/>
      </c>
      <c r="Y280">
        <f>MIN(X280,MAX(0,$B280-((E$5&lt;W$5)*F280+(K$5&lt;W$5)*L280+(Q$5&lt;W$5)*R280+(AC$5&lt;W$5)*AD280+(AI$5&lt;W$5)*AJ280+(AO$5&lt;W$5)*AP280+(AU$5&lt;W$5)*AV280)))</f>
        <v/>
      </c>
      <c r="Z280">
        <f>IF(X280-Y280&lt;0.005,0,X280-Y280)</f>
        <v/>
      </c>
      <c r="AA280">
        <f>AF279</f>
        <v/>
      </c>
      <c r="AB280">
        <f>AA280*Plan!D10/100/12</f>
        <v/>
      </c>
      <c r="AC280">
        <f>MIN(Plan!E10,AA280+AB280)</f>
        <v/>
      </c>
      <c r="AD280">
        <f>AA280+AB280-AC280</f>
        <v/>
      </c>
      <c r="AE280">
        <f>MIN(AD280,MAX(0,$B280-((E$5&lt;AC$5)*F280+(K$5&lt;AC$5)*L280+(Q$5&lt;AC$5)*R280+(W$5&lt;AC$5)*X280+(AI$5&lt;AC$5)*AJ280+(AO$5&lt;AC$5)*AP280+(AU$5&lt;AC$5)*AV280)))</f>
        <v/>
      </c>
      <c r="AF280">
        <f>IF(AD280-AE280&lt;0.005,0,AD280-AE280)</f>
        <v/>
      </c>
      <c r="AG280">
        <f>AL279</f>
        <v/>
      </c>
      <c r="AH280">
        <f>AG280*Plan!D11/100/12</f>
        <v/>
      </c>
      <c r="AI280">
        <f>MIN(Plan!E11,AG280+AH280)</f>
        <v/>
      </c>
      <c r="AJ280">
        <f>AG280+AH280-AI280</f>
        <v/>
      </c>
      <c r="AK280">
        <f>MIN(AJ280,MAX(0,$B280-((E$5&lt;AI$5)*F280+(K$5&lt;AI$5)*L280+(Q$5&lt;AI$5)*R280+(W$5&lt;AI$5)*X280+(AC$5&lt;AI$5)*AD280+(AO$5&lt;AI$5)*AP280+(AU$5&lt;AI$5)*AV280)))</f>
        <v/>
      </c>
      <c r="AL280">
        <f>IF(AJ280-AK280&lt;0.005,0,AJ280-AK280)</f>
        <v/>
      </c>
      <c r="AM280">
        <f>AR279</f>
        <v/>
      </c>
      <c r="AN280">
        <f>AM280*Plan!D12/100/12</f>
        <v/>
      </c>
      <c r="AO280">
        <f>MIN(Plan!E12,AM280+AN280)</f>
        <v/>
      </c>
      <c r="AP280">
        <f>AM280+AN280-AO280</f>
        <v/>
      </c>
      <c r="AQ280">
        <f>MIN(AP280,MAX(0,$B280-((E$5&lt;AO$5)*F280+(K$5&lt;AO$5)*L280+(Q$5&lt;AO$5)*R280+(W$5&lt;AO$5)*X280+(AC$5&lt;AO$5)*AD280+(AI$5&lt;AO$5)*AJ280+(AU$5&lt;AO$5)*AV280)))</f>
        <v/>
      </c>
      <c r="AR280">
        <f>IF(AP280-AQ280&lt;0.005,0,AP280-AQ280)</f>
        <v/>
      </c>
      <c r="AS280">
        <f>AX279</f>
        <v/>
      </c>
      <c r="AT280">
        <f>AS280*Plan!D13/100/12</f>
        <v/>
      </c>
      <c r="AU280">
        <f>MIN(Plan!E13,AS280+AT280)</f>
        <v/>
      </c>
      <c r="AV280">
        <f>AS280+AT280-AU280</f>
        <v/>
      </c>
      <c r="AW280">
        <f>MIN(AV280,MAX(0,$B280-((E$5&lt;AU$5)*F280+(K$5&lt;AU$5)*L280+(Q$5&lt;AU$5)*R280+(W$5&lt;AU$5)*X280+(AC$5&lt;AU$5)*AD280+(AI$5&lt;AU$5)*AJ280+(AO$5&lt;AU$5)*AP280)))</f>
        <v/>
      </c>
      <c r="AX280">
        <f>IF(AV280-AW280&lt;0.005,0,AV280-AW280)</f>
        <v/>
      </c>
      <c r="BC280">
        <f>H280+N280+T280+Z280+AF280+AL280+AR280+AX280</f>
        <v/>
      </c>
    </row>
    <row r="281">
      <c r="A281" t="n">
        <v>275</v>
      </c>
      <c r="B281" s="19">
        <f>MAX(0,$B$3-(E281+K281+Q281+W281+AC281+AI281+AO281+AU281))</f>
        <v/>
      </c>
      <c r="C281">
        <f>H280</f>
        <v/>
      </c>
      <c r="D281">
        <f>C281*Plan!D6/100/12</f>
        <v/>
      </c>
      <c r="E281">
        <f>MIN(Plan!E6,C281+D281)</f>
        <v/>
      </c>
      <c r="F281">
        <f>C281+D281-E281</f>
        <v/>
      </c>
      <c r="G281">
        <f>MIN(F281,MAX(0,$B281-((K$5&lt;E$5)*L281+(Q$5&lt;E$5)*R281+(W$5&lt;E$5)*X281+(AC$5&lt;E$5)*AD281+(AI$5&lt;E$5)*AJ281+(AO$5&lt;E$5)*AP281+(AU$5&lt;E$5)*AV281)))</f>
        <v/>
      </c>
      <c r="H281">
        <f>IF(F281-G281&lt;0.005,0,F281-G281)</f>
        <v/>
      </c>
      <c r="I281">
        <f>N280</f>
        <v/>
      </c>
      <c r="J281">
        <f>I281*Plan!D7/100/12</f>
        <v/>
      </c>
      <c r="K281">
        <f>MIN(Plan!E7,I281+J281)</f>
        <v/>
      </c>
      <c r="L281">
        <f>I281+J281-K281</f>
        <v/>
      </c>
      <c r="M281">
        <f>MIN(L281,MAX(0,$B281-((E$5&lt;K$5)*F281+(Q$5&lt;K$5)*R281+(W$5&lt;K$5)*X281+(AC$5&lt;K$5)*AD281+(AI$5&lt;K$5)*AJ281+(AO$5&lt;K$5)*AP281+(AU$5&lt;K$5)*AV281)))</f>
        <v/>
      </c>
      <c r="N281">
        <f>IF(L281-M281&lt;0.005,0,L281-M281)</f>
        <v/>
      </c>
      <c r="O281">
        <f>T280</f>
        <v/>
      </c>
      <c r="P281">
        <f>O281*Plan!D8/100/12</f>
        <v/>
      </c>
      <c r="Q281">
        <f>MIN(Plan!E8,O281+P281)</f>
        <v/>
      </c>
      <c r="R281">
        <f>O281+P281-Q281</f>
        <v/>
      </c>
      <c r="S281">
        <f>MIN(R281,MAX(0,$B281-((E$5&lt;Q$5)*F281+(K$5&lt;Q$5)*L281+(W$5&lt;Q$5)*X281+(AC$5&lt;Q$5)*AD281+(AI$5&lt;Q$5)*AJ281+(AO$5&lt;Q$5)*AP281+(AU$5&lt;Q$5)*AV281)))</f>
        <v/>
      </c>
      <c r="T281">
        <f>IF(R281-S281&lt;0.005,0,R281-S281)</f>
        <v/>
      </c>
      <c r="U281">
        <f>Z280</f>
        <v/>
      </c>
      <c r="V281">
        <f>U281*Plan!D9/100/12</f>
        <v/>
      </c>
      <c r="W281">
        <f>MIN(Plan!E9,U281+V281)</f>
        <v/>
      </c>
      <c r="X281">
        <f>U281+V281-W281</f>
        <v/>
      </c>
      <c r="Y281">
        <f>MIN(X281,MAX(0,$B281-((E$5&lt;W$5)*F281+(K$5&lt;W$5)*L281+(Q$5&lt;W$5)*R281+(AC$5&lt;W$5)*AD281+(AI$5&lt;W$5)*AJ281+(AO$5&lt;W$5)*AP281+(AU$5&lt;W$5)*AV281)))</f>
        <v/>
      </c>
      <c r="Z281">
        <f>IF(X281-Y281&lt;0.005,0,X281-Y281)</f>
        <v/>
      </c>
      <c r="AA281">
        <f>AF280</f>
        <v/>
      </c>
      <c r="AB281">
        <f>AA281*Plan!D10/100/12</f>
        <v/>
      </c>
      <c r="AC281">
        <f>MIN(Plan!E10,AA281+AB281)</f>
        <v/>
      </c>
      <c r="AD281">
        <f>AA281+AB281-AC281</f>
        <v/>
      </c>
      <c r="AE281">
        <f>MIN(AD281,MAX(0,$B281-((E$5&lt;AC$5)*F281+(K$5&lt;AC$5)*L281+(Q$5&lt;AC$5)*R281+(W$5&lt;AC$5)*X281+(AI$5&lt;AC$5)*AJ281+(AO$5&lt;AC$5)*AP281+(AU$5&lt;AC$5)*AV281)))</f>
        <v/>
      </c>
      <c r="AF281">
        <f>IF(AD281-AE281&lt;0.005,0,AD281-AE281)</f>
        <v/>
      </c>
      <c r="AG281">
        <f>AL280</f>
        <v/>
      </c>
      <c r="AH281">
        <f>AG281*Plan!D11/100/12</f>
        <v/>
      </c>
      <c r="AI281">
        <f>MIN(Plan!E11,AG281+AH281)</f>
        <v/>
      </c>
      <c r="AJ281">
        <f>AG281+AH281-AI281</f>
        <v/>
      </c>
      <c r="AK281">
        <f>MIN(AJ281,MAX(0,$B281-((E$5&lt;AI$5)*F281+(K$5&lt;AI$5)*L281+(Q$5&lt;AI$5)*R281+(W$5&lt;AI$5)*X281+(AC$5&lt;AI$5)*AD281+(AO$5&lt;AI$5)*AP281+(AU$5&lt;AI$5)*AV281)))</f>
        <v/>
      </c>
      <c r="AL281">
        <f>IF(AJ281-AK281&lt;0.005,0,AJ281-AK281)</f>
        <v/>
      </c>
      <c r="AM281">
        <f>AR280</f>
        <v/>
      </c>
      <c r="AN281">
        <f>AM281*Plan!D12/100/12</f>
        <v/>
      </c>
      <c r="AO281">
        <f>MIN(Plan!E12,AM281+AN281)</f>
        <v/>
      </c>
      <c r="AP281">
        <f>AM281+AN281-AO281</f>
        <v/>
      </c>
      <c r="AQ281">
        <f>MIN(AP281,MAX(0,$B281-((E$5&lt;AO$5)*F281+(K$5&lt;AO$5)*L281+(Q$5&lt;AO$5)*R281+(W$5&lt;AO$5)*X281+(AC$5&lt;AO$5)*AD281+(AI$5&lt;AO$5)*AJ281+(AU$5&lt;AO$5)*AV281)))</f>
        <v/>
      </c>
      <c r="AR281">
        <f>IF(AP281-AQ281&lt;0.005,0,AP281-AQ281)</f>
        <v/>
      </c>
      <c r="AS281">
        <f>AX280</f>
        <v/>
      </c>
      <c r="AT281">
        <f>AS281*Plan!D13/100/12</f>
        <v/>
      </c>
      <c r="AU281">
        <f>MIN(Plan!E13,AS281+AT281)</f>
        <v/>
      </c>
      <c r="AV281">
        <f>AS281+AT281-AU281</f>
        <v/>
      </c>
      <c r="AW281">
        <f>MIN(AV281,MAX(0,$B281-((E$5&lt;AU$5)*F281+(K$5&lt;AU$5)*L281+(Q$5&lt;AU$5)*R281+(W$5&lt;AU$5)*X281+(AC$5&lt;AU$5)*AD281+(AI$5&lt;AU$5)*AJ281+(AO$5&lt;AU$5)*AP281)))</f>
        <v/>
      </c>
      <c r="AX281">
        <f>IF(AV281-AW281&lt;0.005,0,AV281-AW281)</f>
        <v/>
      </c>
      <c r="BC281">
        <f>H281+N281+T281+Z281+AF281+AL281+AR281+AX281</f>
        <v/>
      </c>
    </row>
    <row r="282">
      <c r="A282" t="n">
        <v>276</v>
      </c>
      <c r="B282" s="19">
        <f>MAX(0,$B$3-(E282+K282+Q282+W282+AC282+AI282+AO282+AU282))</f>
        <v/>
      </c>
      <c r="C282">
        <f>H281</f>
        <v/>
      </c>
      <c r="D282">
        <f>C282*Plan!D6/100/12</f>
        <v/>
      </c>
      <c r="E282">
        <f>MIN(Plan!E6,C282+D282)</f>
        <v/>
      </c>
      <c r="F282">
        <f>C282+D282-E282</f>
        <v/>
      </c>
      <c r="G282">
        <f>MIN(F282,MAX(0,$B282-((K$5&lt;E$5)*L282+(Q$5&lt;E$5)*R282+(W$5&lt;E$5)*X282+(AC$5&lt;E$5)*AD282+(AI$5&lt;E$5)*AJ282+(AO$5&lt;E$5)*AP282+(AU$5&lt;E$5)*AV282)))</f>
        <v/>
      </c>
      <c r="H282">
        <f>IF(F282-G282&lt;0.005,0,F282-G282)</f>
        <v/>
      </c>
      <c r="I282">
        <f>N281</f>
        <v/>
      </c>
      <c r="J282">
        <f>I282*Plan!D7/100/12</f>
        <v/>
      </c>
      <c r="K282">
        <f>MIN(Plan!E7,I282+J282)</f>
        <v/>
      </c>
      <c r="L282">
        <f>I282+J282-K282</f>
        <v/>
      </c>
      <c r="M282">
        <f>MIN(L282,MAX(0,$B282-((E$5&lt;K$5)*F282+(Q$5&lt;K$5)*R282+(W$5&lt;K$5)*X282+(AC$5&lt;K$5)*AD282+(AI$5&lt;K$5)*AJ282+(AO$5&lt;K$5)*AP282+(AU$5&lt;K$5)*AV282)))</f>
        <v/>
      </c>
      <c r="N282">
        <f>IF(L282-M282&lt;0.005,0,L282-M282)</f>
        <v/>
      </c>
      <c r="O282">
        <f>T281</f>
        <v/>
      </c>
      <c r="P282">
        <f>O282*Plan!D8/100/12</f>
        <v/>
      </c>
      <c r="Q282">
        <f>MIN(Plan!E8,O282+P282)</f>
        <v/>
      </c>
      <c r="R282">
        <f>O282+P282-Q282</f>
        <v/>
      </c>
      <c r="S282">
        <f>MIN(R282,MAX(0,$B282-((E$5&lt;Q$5)*F282+(K$5&lt;Q$5)*L282+(W$5&lt;Q$5)*X282+(AC$5&lt;Q$5)*AD282+(AI$5&lt;Q$5)*AJ282+(AO$5&lt;Q$5)*AP282+(AU$5&lt;Q$5)*AV282)))</f>
        <v/>
      </c>
      <c r="T282">
        <f>IF(R282-S282&lt;0.005,0,R282-S282)</f>
        <v/>
      </c>
      <c r="U282">
        <f>Z281</f>
        <v/>
      </c>
      <c r="V282">
        <f>U282*Plan!D9/100/12</f>
        <v/>
      </c>
      <c r="W282">
        <f>MIN(Plan!E9,U282+V282)</f>
        <v/>
      </c>
      <c r="X282">
        <f>U282+V282-W282</f>
        <v/>
      </c>
      <c r="Y282">
        <f>MIN(X282,MAX(0,$B282-((E$5&lt;W$5)*F282+(K$5&lt;W$5)*L282+(Q$5&lt;W$5)*R282+(AC$5&lt;W$5)*AD282+(AI$5&lt;W$5)*AJ282+(AO$5&lt;W$5)*AP282+(AU$5&lt;W$5)*AV282)))</f>
        <v/>
      </c>
      <c r="Z282">
        <f>IF(X282-Y282&lt;0.005,0,X282-Y282)</f>
        <v/>
      </c>
      <c r="AA282">
        <f>AF281</f>
        <v/>
      </c>
      <c r="AB282">
        <f>AA282*Plan!D10/100/12</f>
        <v/>
      </c>
      <c r="AC282">
        <f>MIN(Plan!E10,AA282+AB282)</f>
        <v/>
      </c>
      <c r="AD282">
        <f>AA282+AB282-AC282</f>
        <v/>
      </c>
      <c r="AE282">
        <f>MIN(AD282,MAX(0,$B282-((E$5&lt;AC$5)*F282+(K$5&lt;AC$5)*L282+(Q$5&lt;AC$5)*R282+(W$5&lt;AC$5)*X282+(AI$5&lt;AC$5)*AJ282+(AO$5&lt;AC$5)*AP282+(AU$5&lt;AC$5)*AV282)))</f>
        <v/>
      </c>
      <c r="AF282">
        <f>IF(AD282-AE282&lt;0.005,0,AD282-AE282)</f>
        <v/>
      </c>
      <c r="AG282">
        <f>AL281</f>
        <v/>
      </c>
      <c r="AH282">
        <f>AG282*Plan!D11/100/12</f>
        <v/>
      </c>
      <c r="AI282">
        <f>MIN(Plan!E11,AG282+AH282)</f>
        <v/>
      </c>
      <c r="AJ282">
        <f>AG282+AH282-AI282</f>
        <v/>
      </c>
      <c r="AK282">
        <f>MIN(AJ282,MAX(0,$B282-((E$5&lt;AI$5)*F282+(K$5&lt;AI$5)*L282+(Q$5&lt;AI$5)*R282+(W$5&lt;AI$5)*X282+(AC$5&lt;AI$5)*AD282+(AO$5&lt;AI$5)*AP282+(AU$5&lt;AI$5)*AV282)))</f>
        <v/>
      </c>
      <c r="AL282">
        <f>IF(AJ282-AK282&lt;0.005,0,AJ282-AK282)</f>
        <v/>
      </c>
      <c r="AM282">
        <f>AR281</f>
        <v/>
      </c>
      <c r="AN282">
        <f>AM282*Plan!D12/100/12</f>
        <v/>
      </c>
      <c r="AO282">
        <f>MIN(Plan!E12,AM282+AN282)</f>
        <v/>
      </c>
      <c r="AP282">
        <f>AM282+AN282-AO282</f>
        <v/>
      </c>
      <c r="AQ282">
        <f>MIN(AP282,MAX(0,$B282-((E$5&lt;AO$5)*F282+(K$5&lt;AO$5)*L282+(Q$5&lt;AO$5)*R282+(W$5&lt;AO$5)*X282+(AC$5&lt;AO$5)*AD282+(AI$5&lt;AO$5)*AJ282+(AU$5&lt;AO$5)*AV282)))</f>
        <v/>
      </c>
      <c r="AR282">
        <f>IF(AP282-AQ282&lt;0.005,0,AP282-AQ282)</f>
        <v/>
      </c>
      <c r="AS282">
        <f>AX281</f>
        <v/>
      </c>
      <c r="AT282">
        <f>AS282*Plan!D13/100/12</f>
        <v/>
      </c>
      <c r="AU282">
        <f>MIN(Plan!E13,AS282+AT282)</f>
        <v/>
      </c>
      <c r="AV282">
        <f>AS282+AT282-AU282</f>
        <v/>
      </c>
      <c r="AW282">
        <f>MIN(AV282,MAX(0,$B282-((E$5&lt;AU$5)*F282+(K$5&lt;AU$5)*L282+(Q$5&lt;AU$5)*R282+(W$5&lt;AU$5)*X282+(AC$5&lt;AU$5)*AD282+(AI$5&lt;AU$5)*AJ282+(AO$5&lt;AU$5)*AP282)))</f>
        <v/>
      </c>
      <c r="AX282">
        <f>IF(AV282-AW282&lt;0.005,0,AV282-AW282)</f>
        <v/>
      </c>
      <c r="BC282">
        <f>H282+N282+T282+Z282+AF282+AL282+AR282+AX282</f>
        <v/>
      </c>
    </row>
    <row r="283">
      <c r="A283" t="n">
        <v>277</v>
      </c>
      <c r="B283" s="19">
        <f>MAX(0,$B$3-(E283+K283+Q283+W283+AC283+AI283+AO283+AU283))</f>
        <v/>
      </c>
      <c r="C283">
        <f>H282</f>
        <v/>
      </c>
      <c r="D283">
        <f>C283*Plan!D6/100/12</f>
        <v/>
      </c>
      <c r="E283">
        <f>MIN(Plan!E6,C283+D283)</f>
        <v/>
      </c>
      <c r="F283">
        <f>C283+D283-E283</f>
        <v/>
      </c>
      <c r="G283">
        <f>MIN(F283,MAX(0,$B283-((K$5&lt;E$5)*L283+(Q$5&lt;E$5)*R283+(W$5&lt;E$5)*X283+(AC$5&lt;E$5)*AD283+(AI$5&lt;E$5)*AJ283+(AO$5&lt;E$5)*AP283+(AU$5&lt;E$5)*AV283)))</f>
        <v/>
      </c>
      <c r="H283">
        <f>IF(F283-G283&lt;0.005,0,F283-G283)</f>
        <v/>
      </c>
      <c r="I283">
        <f>N282</f>
        <v/>
      </c>
      <c r="J283">
        <f>I283*Plan!D7/100/12</f>
        <v/>
      </c>
      <c r="K283">
        <f>MIN(Plan!E7,I283+J283)</f>
        <v/>
      </c>
      <c r="L283">
        <f>I283+J283-K283</f>
        <v/>
      </c>
      <c r="M283">
        <f>MIN(L283,MAX(0,$B283-((E$5&lt;K$5)*F283+(Q$5&lt;K$5)*R283+(W$5&lt;K$5)*X283+(AC$5&lt;K$5)*AD283+(AI$5&lt;K$5)*AJ283+(AO$5&lt;K$5)*AP283+(AU$5&lt;K$5)*AV283)))</f>
        <v/>
      </c>
      <c r="N283">
        <f>IF(L283-M283&lt;0.005,0,L283-M283)</f>
        <v/>
      </c>
      <c r="O283">
        <f>T282</f>
        <v/>
      </c>
      <c r="P283">
        <f>O283*Plan!D8/100/12</f>
        <v/>
      </c>
      <c r="Q283">
        <f>MIN(Plan!E8,O283+P283)</f>
        <v/>
      </c>
      <c r="R283">
        <f>O283+P283-Q283</f>
        <v/>
      </c>
      <c r="S283">
        <f>MIN(R283,MAX(0,$B283-((E$5&lt;Q$5)*F283+(K$5&lt;Q$5)*L283+(W$5&lt;Q$5)*X283+(AC$5&lt;Q$5)*AD283+(AI$5&lt;Q$5)*AJ283+(AO$5&lt;Q$5)*AP283+(AU$5&lt;Q$5)*AV283)))</f>
        <v/>
      </c>
      <c r="T283">
        <f>IF(R283-S283&lt;0.005,0,R283-S283)</f>
        <v/>
      </c>
      <c r="U283">
        <f>Z282</f>
        <v/>
      </c>
      <c r="V283">
        <f>U283*Plan!D9/100/12</f>
        <v/>
      </c>
      <c r="W283">
        <f>MIN(Plan!E9,U283+V283)</f>
        <v/>
      </c>
      <c r="X283">
        <f>U283+V283-W283</f>
        <v/>
      </c>
      <c r="Y283">
        <f>MIN(X283,MAX(0,$B283-((E$5&lt;W$5)*F283+(K$5&lt;W$5)*L283+(Q$5&lt;W$5)*R283+(AC$5&lt;W$5)*AD283+(AI$5&lt;W$5)*AJ283+(AO$5&lt;W$5)*AP283+(AU$5&lt;W$5)*AV283)))</f>
        <v/>
      </c>
      <c r="Z283">
        <f>IF(X283-Y283&lt;0.005,0,X283-Y283)</f>
        <v/>
      </c>
      <c r="AA283">
        <f>AF282</f>
        <v/>
      </c>
      <c r="AB283">
        <f>AA283*Plan!D10/100/12</f>
        <v/>
      </c>
      <c r="AC283">
        <f>MIN(Plan!E10,AA283+AB283)</f>
        <v/>
      </c>
      <c r="AD283">
        <f>AA283+AB283-AC283</f>
        <v/>
      </c>
      <c r="AE283">
        <f>MIN(AD283,MAX(0,$B283-((E$5&lt;AC$5)*F283+(K$5&lt;AC$5)*L283+(Q$5&lt;AC$5)*R283+(W$5&lt;AC$5)*X283+(AI$5&lt;AC$5)*AJ283+(AO$5&lt;AC$5)*AP283+(AU$5&lt;AC$5)*AV283)))</f>
        <v/>
      </c>
      <c r="AF283">
        <f>IF(AD283-AE283&lt;0.005,0,AD283-AE283)</f>
        <v/>
      </c>
      <c r="AG283">
        <f>AL282</f>
        <v/>
      </c>
      <c r="AH283">
        <f>AG283*Plan!D11/100/12</f>
        <v/>
      </c>
      <c r="AI283">
        <f>MIN(Plan!E11,AG283+AH283)</f>
        <v/>
      </c>
      <c r="AJ283">
        <f>AG283+AH283-AI283</f>
        <v/>
      </c>
      <c r="AK283">
        <f>MIN(AJ283,MAX(0,$B283-((E$5&lt;AI$5)*F283+(K$5&lt;AI$5)*L283+(Q$5&lt;AI$5)*R283+(W$5&lt;AI$5)*X283+(AC$5&lt;AI$5)*AD283+(AO$5&lt;AI$5)*AP283+(AU$5&lt;AI$5)*AV283)))</f>
        <v/>
      </c>
      <c r="AL283">
        <f>IF(AJ283-AK283&lt;0.005,0,AJ283-AK283)</f>
        <v/>
      </c>
      <c r="AM283">
        <f>AR282</f>
        <v/>
      </c>
      <c r="AN283">
        <f>AM283*Plan!D12/100/12</f>
        <v/>
      </c>
      <c r="AO283">
        <f>MIN(Plan!E12,AM283+AN283)</f>
        <v/>
      </c>
      <c r="AP283">
        <f>AM283+AN283-AO283</f>
        <v/>
      </c>
      <c r="AQ283">
        <f>MIN(AP283,MAX(0,$B283-((E$5&lt;AO$5)*F283+(K$5&lt;AO$5)*L283+(Q$5&lt;AO$5)*R283+(W$5&lt;AO$5)*X283+(AC$5&lt;AO$5)*AD283+(AI$5&lt;AO$5)*AJ283+(AU$5&lt;AO$5)*AV283)))</f>
        <v/>
      </c>
      <c r="AR283">
        <f>IF(AP283-AQ283&lt;0.005,0,AP283-AQ283)</f>
        <v/>
      </c>
      <c r="AS283">
        <f>AX282</f>
        <v/>
      </c>
      <c r="AT283">
        <f>AS283*Plan!D13/100/12</f>
        <v/>
      </c>
      <c r="AU283">
        <f>MIN(Plan!E13,AS283+AT283)</f>
        <v/>
      </c>
      <c r="AV283">
        <f>AS283+AT283-AU283</f>
        <v/>
      </c>
      <c r="AW283">
        <f>MIN(AV283,MAX(0,$B283-((E$5&lt;AU$5)*F283+(K$5&lt;AU$5)*L283+(Q$5&lt;AU$5)*R283+(W$5&lt;AU$5)*X283+(AC$5&lt;AU$5)*AD283+(AI$5&lt;AU$5)*AJ283+(AO$5&lt;AU$5)*AP283)))</f>
        <v/>
      </c>
      <c r="AX283">
        <f>IF(AV283-AW283&lt;0.005,0,AV283-AW283)</f>
        <v/>
      </c>
      <c r="BC283">
        <f>H283+N283+T283+Z283+AF283+AL283+AR283+AX283</f>
        <v/>
      </c>
    </row>
    <row r="284">
      <c r="A284" t="n">
        <v>278</v>
      </c>
      <c r="B284" s="19">
        <f>MAX(0,$B$3-(E284+K284+Q284+W284+AC284+AI284+AO284+AU284))</f>
        <v/>
      </c>
      <c r="C284">
        <f>H283</f>
        <v/>
      </c>
      <c r="D284">
        <f>C284*Plan!D6/100/12</f>
        <v/>
      </c>
      <c r="E284">
        <f>MIN(Plan!E6,C284+D284)</f>
        <v/>
      </c>
      <c r="F284">
        <f>C284+D284-E284</f>
        <v/>
      </c>
      <c r="G284">
        <f>MIN(F284,MAX(0,$B284-((K$5&lt;E$5)*L284+(Q$5&lt;E$5)*R284+(W$5&lt;E$5)*X284+(AC$5&lt;E$5)*AD284+(AI$5&lt;E$5)*AJ284+(AO$5&lt;E$5)*AP284+(AU$5&lt;E$5)*AV284)))</f>
        <v/>
      </c>
      <c r="H284">
        <f>IF(F284-G284&lt;0.005,0,F284-G284)</f>
        <v/>
      </c>
      <c r="I284">
        <f>N283</f>
        <v/>
      </c>
      <c r="J284">
        <f>I284*Plan!D7/100/12</f>
        <v/>
      </c>
      <c r="K284">
        <f>MIN(Plan!E7,I284+J284)</f>
        <v/>
      </c>
      <c r="L284">
        <f>I284+J284-K284</f>
        <v/>
      </c>
      <c r="M284">
        <f>MIN(L284,MAX(0,$B284-((E$5&lt;K$5)*F284+(Q$5&lt;K$5)*R284+(W$5&lt;K$5)*X284+(AC$5&lt;K$5)*AD284+(AI$5&lt;K$5)*AJ284+(AO$5&lt;K$5)*AP284+(AU$5&lt;K$5)*AV284)))</f>
        <v/>
      </c>
      <c r="N284">
        <f>IF(L284-M284&lt;0.005,0,L284-M284)</f>
        <v/>
      </c>
      <c r="O284">
        <f>T283</f>
        <v/>
      </c>
      <c r="P284">
        <f>O284*Plan!D8/100/12</f>
        <v/>
      </c>
      <c r="Q284">
        <f>MIN(Plan!E8,O284+P284)</f>
        <v/>
      </c>
      <c r="R284">
        <f>O284+P284-Q284</f>
        <v/>
      </c>
      <c r="S284">
        <f>MIN(R284,MAX(0,$B284-((E$5&lt;Q$5)*F284+(K$5&lt;Q$5)*L284+(W$5&lt;Q$5)*X284+(AC$5&lt;Q$5)*AD284+(AI$5&lt;Q$5)*AJ284+(AO$5&lt;Q$5)*AP284+(AU$5&lt;Q$5)*AV284)))</f>
        <v/>
      </c>
      <c r="T284">
        <f>IF(R284-S284&lt;0.005,0,R284-S284)</f>
        <v/>
      </c>
      <c r="U284">
        <f>Z283</f>
        <v/>
      </c>
      <c r="V284">
        <f>U284*Plan!D9/100/12</f>
        <v/>
      </c>
      <c r="W284">
        <f>MIN(Plan!E9,U284+V284)</f>
        <v/>
      </c>
      <c r="X284">
        <f>U284+V284-W284</f>
        <v/>
      </c>
      <c r="Y284">
        <f>MIN(X284,MAX(0,$B284-((E$5&lt;W$5)*F284+(K$5&lt;W$5)*L284+(Q$5&lt;W$5)*R284+(AC$5&lt;W$5)*AD284+(AI$5&lt;W$5)*AJ284+(AO$5&lt;W$5)*AP284+(AU$5&lt;W$5)*AV284)))</f>
        <v/>
      </c>
      <c r="Z284">
        <f>IF(X284-Y284&lt;0.005,0,X284-Y284)</f>
        <v/>
      </c>
      <c r="AA284">
        <f>AF283</f>
        <v/>
      </c>
      <c r="AB284">
        <f>AA284*Plan!D10/100/12</f>
        <v/>
      </c>
      <c r="AC284">
        <f>MIN(Plan!E10,AA284+AB284)</f>
        <v/>
      </c>
      <c r="AD284">
        <f>AA284+AB284-AC284</f>
        <v/>
      </c>
      <c r="AE284">
        <f>MIN(AD284,MAX(0,$B284-((E$5&lt;AC$5)*F284+(K$5&lt;AC$5)*L284+(Q$5&lt;AC$5)*R284+(W$5&lt;AC$5)*X284+(AI$5&lt;AC$5)*AJ284+(AO$5&lt;AC$5)*AP284+(AU$5&lt;AC$5)*AV284)))</f>
        <v/>
      </c>
      <c r="AF284">
        <f>IF(AD284-AE284&lt;0.005,0,AD284-AE284)</f>
        <v/>
      </c>
      <c r="AG284">
        <f>AL283</f>
        <v/>
      </c>
      <c r="AH284">
        <f>AG284*Plan!D11/100/12</f>
        <v/>
      </c>
      <c r="AI284">
        <f>MIN(Plan!E11,AG284+AH284)</f>
        <v/>
      </c>
      <c r="AJ284">
        <f>AG284+AH284-AI284</f>
        <v/>
      </c>
      <c r="AK284">
        <f>MIN(AJ284,MAX(0,$B284-((E$5&lt;AI$5)*F284+(K$5&lt;AI$5)*L284+(Q$5&lt;AI$5)*R284+(W$5&lt;AI$5)*X284+(AC$5&lt;AI$5)*AD284+(AO$5&lt;AI$5)*AP284+(AU$5&lt;AI$5)*AV284)))</f>
        <v/>
      </c>
      <c r="AL284">
        <f>IF(AJ284-AK284&lt;0.005,0,AJ284-AK284)</f>
        <v/>
      </c>
      <c r="AM284">
        <f>AR283</f>
        <v/>
      </c>
      <c r="AN284">
        <f>AM284*Plan!D12/100/12</f>
        <v/>
      </c>
      <c r="AO284">
        <f>MIN(Plan!E12,AM284+AN284)</f>
        <v/>
      </c>
      <c r="AP284">
        <f>AM284+AN284-AO284</f>
        <v/>
      </c>
      <c r="AQ284">
        <f>MIN(AP284,MAX(0,$B284-((E$5&lt;AO$5)*F284+(K$5&lt;AO$5)*L284+(Q$5&lt;AO$5)*R284+(W$5&lt;AO$5)*X284+(AC$5&lt;AO$5)*AD284+(AI$5&lt;AO$5)*AJ284+(AU$5&lt;AO$5)*AV284)))</f>
        <v/>
      </c>
      <c r="AR284">
        <f>IF(AP284-AQ284&lt;0.005,0,AP284-AQ284)</f>
        <v/>
      </c>
      <c r="AS284">
        <f>AX283</f>
        <v/>
      </c>
      <c r="AT284">
        <f>AS284*Plan!D13/100/12</f>
        <v/>
      </c>
      <c r="AU284">
        <f>MIN(Plan!E13,AS284+AT284)</f>
        <v/>
      </c>
      <c r="AV284">
        <f>AS284+AT284-AU284</f>
        <v/>
      </c>
      <c r="AW284">
        <f>MIN(AV284,MAX(0,$B284-((E$5&lt;AU$5)*F284+(K$5&lt;AU$5)*L284+(Q$5&lt;AU$5)*R284+(W$5&lt;AU$5)*X284+(AC$5&lt;AU$5)*AD284+(AI$5&lt;AU$5)*AJ284+(AO$5&lt;AU$5)*AP284)))</f>
        <v/>
      </c>
      <c r="AX284">
        <f>IF(AV284-AW284&lt;0.005,0,AV284-AW284)</f>
        <v/>
      </c>
      <c r="BC284">
        <f>H284+N284+T284+Z284+AF284+AL284+AR284+AX284</f>
        <v/>
      </c>
    </row>
    <row r="285">
      <c r="A285" t="n">
        <v>279</v>
      </c>
      <c r="B285" s="19">
        <f>MAX(0,$B$3-(E285+K285+Q285+W285+AC285+AI285+AO285+AU285))</f>
        <v/>
      </c>
      <c r="C285">
        <f>H284</f>
        <v/>
      </c>
      <c r="D285">
        <f>C285*Plan!D6/100/12</f>
        <v/>
      </c>
      <c r="E285">
        <f>MIN(Plan!E6,C285+D285)</f>
        <v/>
      </c>
      <c r="F285">
        <f>C285+D285-E285</f>
        <v/>
      </c>
      <c r="G285">
        <f>MIN(F285,MAX(0,$B285-((K$5&lt;E$5)*L285+(Q$5&lt;E$5)*R285+(W$5&lt;E$5)*X285+(AC$5&lt;E$5)*AD285+(AI$5&lt;E$5)*AJ285+(AO$5&lt;E$5)*AP285+(AU$5&lt;E$5)*AV285)))</f>
        <v/>
      </c>
      <c r="H285">
        <f>IF(F285-G285&lt;0.005,0,F285-G285)</f>
        <v/>
      </c>
      <c r="I285">
        <f>N284</f>
        <v/>
      </c>
      <c r="J285">
        <f>I285*Plan!D7/100/12</f>
        <v/>
      </c>
      <c r="K285">
        <f>MIN(Plan!E7,I285+J285)</f>
        <v/>
      </c>
      <c r="L285">
        <f>I285+J285-K285</f>
        <v/>
      </c>
      <c r="M285">
        <f>MIN(L285,MAX(0,$B285-((E$5&lt;K$5)*F285+(Q$5&lt;K$5)*R285+(W$5&lt;K$5)*X285+(AC$5&lt;K$5)*AD285+(AI$5&lt;K$5)*AJ285+(AO$5&lt;K$5)*AP285+(AU$5&lt;K$5)*AV285)))</f>
        <v/>
      </c>
      <c r="N285">
        <f>IF(L285-M285&lt;0.005,0,L285-M285)</f>
        <v/>
      </c>
      <c r="O285">
        <f>T284</f>
        <v/>
      </c>
      <c r="P285">
        <f>O285*Plan!D8/100/12</f>
        <v/>
      </c>
      <c r="Q285">
        <f>MIN(Plan!E8,O285+P285)</f>
        <v/>
      </c>
      <c r="R285">
        <f>O285+P285-Q285</f>
        <v/>
      </c>
      <c r="S285">
        <f>MIN(R285,MAX(0,$B285-((E$5&lt;Q$5)*F285+(K$5&lt;Q$5)*L285+(W$5&lt;Q$5)*X285+(AC$5&lt;Q$5)*AD285+(AI$5&lt;Q$5)*AJ285+(AO$5&lt;Q$5)*AP285+(AU$5&lt;Q$5)*AV285)))</f>
        <v/>
      </c>
      <c r="T285">
        <f>IF(R285-S285&lt;0.005,0,R285-S285)</f>
        <v/>
      </c>
      <c r="U285">
        <f>Z284</f>
        <v/>
      </c>
      <c r="V285">
        <f>U285*Plan!D9/100/12</f>
        <v/>
      </c>
      <c r="W285">
        <f>MIN(Plan!E9,U285+V285)</f>
        <v/>
      </c>
      <c r="X285">
        <f>U285+V285-W285</f>
        <v/>
      </c>
      <c r="Y285">
        <f>MIN(X285,MAX(0,$B285-((E$5&lt;W$5)*F285+(K$5&lt;W$5)*L285+(Q$5&lt;W$5)*R285+(AC$5&lt;W$5)*AD285+(AI$5&lt;W$5)*AJ285+(AO$5&lt;W$5)*AP285+(AU$5&lt;W$5)*AV285)))</f>
        <v/>
      </c>
      <c r="Z285">
        <f>IF(X285-Y285&lt;0.005,0,X285-Y285)</f>
        <v/>
      </c>
      <c r="AA285">
        <f>AF284</f>
        <v/>
      </c>
      <c r="AB285">
        <f>AA285*Plan!D10/100/12</f>
        <v/>
      </c>
      <c r="AC285">
        <f>MIN(Plan!E10,AA285+AB285)</f>
        <v/>
      </c>
      <c r="AD285">
        <f>AA285+AB285-AC285</f>
        <v/>
      </c>
      <c r="AE285">
        <f>MIN(AD285,MAX(0,$B285-((E$5&lt;AC$5)*F285+(K$5&lt;AC$5)*L285+(Q$5&lt;AC$5)*R285+(W$5&lt;AC$5)*X285+(AI$5&lt;AC$5)*AJ285+(AO$5&lt;AC$5)*AP285+(AU$5&lt;AC$5)*AV285)))</f>
        <v/>
      </c>
      <c r="AF285">
        <f>IF(AD285-AE285&lt;0.005,0,AD285-AE285)</f>
        <v/>
      </c>
      <c r="AG285">
        <f>AL284</f>
        <v/>
      </c>
      <c r="AH285">
        <f>AG285*Plan!D11/100/12</f>
        <v/>
      </c>
      <c r="AI285">
        <f>MIN(Plan!E11,AG285+AH285)</f>
        <v/>
      </c>
      <c r="AJ285">
        <f>AG285+AH285-AI285</f>
        <v/>
      </c>
      <c r="AK285">
        <f>MIN(AJ285,MAX(0,$B285-((E$5&lt;AI$5)*F285+(K$5&lt;AI$5)*L285+(Q$5&lt;AI$5)*R285+(W$5&lt;AI$5)*X285+(AC$5&lt;AI$5)*AD285+(AO$5&lt;AI$5)*AP285+(AU$5&lt;AI$5)*AV285)))</f>
        <v/>
      </c>
      <c r="AL285">
        <f>IF(AJ285-AK285&lt;0.005,0,AJ285-AK285)</f>
        <v/>
      </c>
      <c r="AM285">
        <f>AR284</f>
        <v/>
      </c>
      <c r="AN285">
        <f>AM285*Plan!D12/100/12</f>
        <v/>
      </c>
      <c r="AO285">
        <f>MIN(Plan!E12,AM285+AN285)</f>
        <v/>
      </c>
      <c r="AP285">
        <f>AM285+AN285-AO285</f>
        <v/>
      </c>
      <c r="AQ285">
        <f>MIN(AP285,MAX(0,$B285-((E$5&lt;AO$5)*F285+(K$5&lt;AO$5)*L285+(Q$5&lt;AO$5)*R285+(W$5&lt;AO$5)*X285+(AC$5&lt;AO$5)*AD285+(AI$5&lt;AO$5)*AJ285+(AU$5&lt;AO$5)*AV285)))</f>
        <v/>
      </c>
      <c r="AR285">
        <f>IF(AP285-AQ285&lt;0.005,0,AP285-AQ285)</f>
        <v/>
      </c>
      <c r="AS285">
        <f>AX284</f>
        <v/>
      </c>
      <c r="AT285">
        <f>AS285*Plan!D13/100/12</f>
        <v/>
      </c>
      <c r="AU285">
        <f>MIN(Plan!E13,AS285+AT285)</f>
        <v/>
      </c>
      <c r="AV285">
        <f>AS285+AT285-AU285</f>
        <v/>
      </c>
      <c r="AW285">
        <f>MIN(AV285,MAX(0,$B285-((E$5&lt;AU$5)*F285+(K$5&lt;AU$5)*L285+(Q$5&lt;AU$5)*R285+(W$5&lt;AU$5)*X285+(AC$5&lt;AU$5)*AD285+(AI$5&lt;AU$5)*AJ285+(AO$5&lt;AU$5)*AP285)))</f>
        <v/>
      </c>
      <c r="AX285">
        <f>IF(AV285-AW285&lt;0.005,0,AV285-AW285)</f>
        <v/>
      </c>
      <c r="BC285">
        <f>H285+N285+T285+Z285+AF285+AL285+AR285+AX285</f>
        <v/>
      </c>
    </row>
    <row r="286">
      <c r="A286" t="n">
        <v>280</v>
      </c>
      <c r="B286" s="19">
        <f>MAX(0,$B$3-(E286+K286+Q286+W286+AC286+AI286+AO286+AU286))</f>
        <v/>
      </c>
      <c r="C286">
        <f>H285</f>
        <v/>
      </c>
      <c r="D286">
        <f>C286*Plan!D6/100/12</f>
        <v/>
      </c>
      <c r="E286">
        <f>MIN(Plan!E6,C286+D286)</f>
        <v/>
      </c>
      <c r="F286">
        <f>C286+D286-E286</f>
        <v/>
      </c>
      <c r="G286">
        <f>MIN(F286,MAX(0,$B286-((K$5&lt;E$5)*L286+(Q$5&lt;E$5)*R286+(W$5&lt;E$5)*X286+(AC$5&lt;E$5)*AD286+(AI$5&lt;E$5)*AJ286+(AO$5&lt;E$5)*AP286+(AU$5&lt;E$5)*AV286)))</f>
        <v/>
      </c>
      <c r="H286">
        <f>IF(F286-G286&lt;0.005,0,F286-G286)</f>
        <v/>
      </c>
      <c r="I286">
        <f>N285</f>
        <v/>
      </c>
      <c r="J286">
        <f>I286*Plan!D7/100/12</f>
        <v/>
      </c>
      <c r="K286">
        <f>MIN(Plan!E7,I286+J286)</f>
        <v/>
      </c>
      <c r="L286">
        <f>I286+J286-K286</f>
        <v/>
      </c>
      <c r="M286">
        <f>MIN(L286,MAX(0,$B286-((E$5&lt;K$5)*F286+(Q$5&lt;K$5)*R286+(W$5&lt;K$5)*X286+(AC$5&lt;K$5)*AD286+(AI$5&lt;K$5)*AJ286+(AO$5&lt;K$5)*AP286+(AU$5&lt;K$5)*AV286)))</f>
        <v/>
      </c>
      <c r="N286">
        <f>IF(L286-M286&lt;0.005,0,L286-M286)</f>
        <v/>
      </c>
      <c r="O286">
        <f>T285</f>
        <v/>
      </c>
      <c r="P286">
        <f>O286*Plan!D8/100/12</f>
        <v/>
      </c>
      <c r="Q286">
        <f>MIN(Plan!E8,O286+P286)</f>
        <v/>
      </c>
      <c r="R286">
        <f>O286+P286-Q286</f>
        <v/>
      </c>
      <c r="S286">
        <f>MIN(R286,MAX(0,$B286-((E$5&lt;Q$5)*F286+(K$5&lt;Q$5)*L286+(W$5&lt;Q$5)*X286+(AC$5&lt;Q$5)*AD286+(AI$5&lt;Q$5)*AJ286+(AO$5&lt;Q$5)*AP286+(AU$5&lt;Q$5)*AV286)))</f>
        <v/>
      </c>
      <c r="T286">
        <f>IF(R286-S286&lt;0.005,0,R286-S286)</f>
        <v/>
      </c>
      <c r="U286">
        <f>Z285</f>
        <v/>
      </c>
      <c r="V286">
        <f>U286*Plan!D9/100/12</f>
        <v/>
      </c>
      <c r="W286">
        <f>MIN(Plan!E9,U286+V286)</f>
        <v/>
      </c>
      <c r="X286">
        <f>U286+V286-W286</f>
        <v/>
      </c>
      <c r="Y286">
        <f>MIN(X286,MAX(0,$B286-((E$5&lt;W$5)*F286+(K$5&lt;W$5)*L286+(Q$5&lt;W$5)*R286+(AC$5&lt;W$5)*AD286+(AI$5&lt;W$5)*AJ286+(AO$5&lt;W$5)*AP286+(AU$5&lt;W$5)*AV286)))</f>
        <v/>
      </c>
      <c r="Z286">
        <f>IF(X286-Y286&lt;0.005,0,X286-Y286)</f>
        <v/>
      </c>
      <c r="AA286">
        <f>AF285</f>
        <v/>
      </c>
      <c r="AB286">
        <f>AA286*Plan!D10/100/12</f>
        <v/>
      </c>
      <c r="AC286">
        <f>MIN(Plan!E10,AA286+AB286)</f>
        <v/>
      </c>
      <c r="AD286">
        <f>AA286+AB286-AC286</f>
        <v/>
      </c>
      <c r="AE286">
        <f>MIN(AD286,MAX(0,$B286-((E$5&lt;AC$5)*F286+(K$5&lt;AC$5)*L286+(Q$5&lt;AC$5)*R286+(W$5&lt;AC$5)*X286+(AI$5&lt;AC$5)*AJ286+(AO$5&lt;AC$5)*AP286+(AU$5&lt;AC$5)*AV286)))</f>
        <v/>
      </c>
      <c r="AF286">
        <f>IF(AD286-AE286&lt;0.005,0,AD286-AE286)</f>
        <v/>
      </c>
      <c r="AG286">
        <f>AL285</f>
        <v/>
      </c>
      <c r="AH286">
        <f>AG286*Plan!D11/100/12</f>
        <v/>
      </c>
      <c r="AI286">
        <f>MIN(Plan!E11,AG286+AH286)</f>
        <v/>
      </c>
      <c r="AJ286">
        <f>AG286+AH286-AI286</f>
        <v/>
      </c>
      <c r="AK286">
        <f>MIN(AJ286,MAX(0,$B286-((E$5&lt;AI$5)*F286+(K$5&lt;AI$5)*L286+(Q$5&lt;AI$5)*R286+(W$5&lt;AI$5)*X286+(AC$5&lt;AI$5)*AD286+(AO$5&lt;AI$5)*AP286+(AU$5&lt;AI$5)*AV286)))</f>
        <v/>
      </c>
      <c r="AL286">
        <f>IF(AJ286-AK286&lt;0.005,0,AJ286-AK286)</f>
        <v/>
      </c>
      <c r="AM286">
        <f>AR285</f>
        <v/>
      </c>
      <c r="AN286">
        <f>AM286*Plan!D12/100/12</f>
        <v/>
      </c>
      <c r="AO286">
        <f>MIN(Plan!E12,AM286+AN286)</f>
        <v/>
      </c>
      <c r="AP286">
        <f>AM286+AN286-AO286</f>
        <v/>
      </c>
      <c r="AQ286">
        <f>MIN(AP286,MAX(0,$B286-((E$5&lt;AO$5)*F286+(K$5&lt;AO$5)*L286+(Q$5&lt;AO$5)*R286+(W$5&lt;AO$5)*X286+(AC$5&lt;AO$5)*AD286+(AI$5&lt;AO$5)*AJ286+(AU$5&lt;AO$5)*AV286)))</f>
        <v/>
      </c>
      <c r="AR286">
        <f>IF(AP286-AQ286&lt;0.005,0,AP286-AQ286)</f>
        <v/>
      </c>
      <c r="AS286">
        <f>AX285</f>
        <v/>
      </c>
      <c r="AT286">
        <f>AS286*Plan!D13/100/12</f>
        <v/>
      </c>
      <c r="AU286">
        <f>MIN(Plan!E13,AS286+AT286)</f>
        <v/>
      </c>
      <c r="AV286">
        <f>AS286+AT286-AU286</f>
        <v/>
      </c>
      <c r="AW286">
        <f>MIN(AV286,MAX(0,$B286-((E$5&lt;AU$5)*F286+(K$5&lt;AU$5)*L286+(Q$5&lt;AU$5)*R286+(W$5&lt;AU$5)*X286+(AC$5&lt;AU$5)*AD286+(AI$5&lt;AU$5)*AJ286+(AO$5&lt;AU$5)*AP286)))</f>
        <v/>
      </c>
      <c r="AX286">
        <f>IF(AV286-AW286&lt;0.005,0,AV286-AW286)</f>
        <v/>
      </c>
      <c r="BC286">
        <f>H286+N286+T286+Z286+AF286+AL286+AR286+AX286</f>
        <v/>
      </c>
    </row>
    <row r="287">
      <c r="A287" t="n">
        <v>281</v>
      </c>
      <c r="B287" s="19">
        <f>MAX(0,$B$3-(E287+K287+Q287+W287+AC287+AI287+AO287+AU287))</f>
        <v/>
      </c>
      <c r="C287">
        <f>H286</f>
        <v/>
      </c>
      <c r="D287">
        <f>C287*Plan!D6/100/12</f>
        <v/>
      </c>
      <c r="E287">
        <f>MIN(Plan!E6,C287+D287)</f>
        <v/>
      </c>
      <c r="F287">
        <f>C287+D287-E287</f>
        <v/>
      </c>
      <c r="G287">
        <f>MIN(F287,MAX(0,$B287-((K$5&lt;E$5)*L287+(Q$5&lt;E$5)*R287+(W$5&lt;E$5)*X287+(AC$5&lt;E$5)*AD287+(AI$5&lt;E$5)*AJ287+(AO$5&lt;E$5)*AP287+(AU$5&lt;E$5)*AV287)))</f>
        <v/>
      </c>
      <c r="H287">
        <f>IF(F287-G287&lt;0.005,0,F287-G287)</f>
        <v/>
      </c>
      <c r="I287">
        <f>N286</f>
        <v/>
      </c>
      <c r="J287">
        <f>I287*Plan!D7/100/12</f>
        <v/>
      </c>
      <c r="K287">
        <f>MIN(Plan!E7,I287+J287)</f>
        <v/>
      </c>
      <c r="L287">
        <f>I287+J287-K287</f>
        <v/>
      </c>
      <c r="M287">
        <f>MIN(L287,MAX(0,$B287-((E$5&lt;K$5)*F287+(Q$5&lt;K$5)*R287+(W$5&lt;K$5)*X287+(AC$5&lt;K$5)*AD287+(AI$5&lt;K$5)*AJ287+(AO$5&lt;K$5)*AP287+(AU$5&lt;K$5)*AV287)))</f>
        <v/>
      </c>
      <c r="N287">
        <f>IF(L287-M287&lt;0.005,0,L287-M287)</f>
        <v/>
      </c>
      <c r="O287">
        <f>T286</f>
        <v/>
      </c>
      <c r="P287">
        <f>O287*Plan!D8/100/12</f>
        <v/>
      </c>
      <c r="Q287">
        <f>MIN(Plan!E8,O287+P287)</f>
        <v/>
      </c>
      <c r="R287">
        <f>O287+P287-Q287</f>
        <v/>
      </c>
      <c r="S287">
        <f>MIN(R287,MAX(0,$B287-((E$5&lt;Q$5)*F287+(K$5&lt;Q$5)*L287+(W$5&lt;Q$5)*X287+(AC$5&lt;Q$5)*AD287+(AI$5&lt;Q$5)*AJ287+(AO$5&lt;Q$5)*AP287+(AU$5&lt;Q$5)*AV287)))</f>
        <v/>
      </c>
      <c r="T287">
        <f>IF(R287-S287&lt;0.005,0,R287-S287)</f>
        <v/>
      </c>
      <c r="U287">
        <f>Z286</f>
        <v/>
      </c>
      <c r="V287">
        <f>U287*Plan!D9/100/12</f>
        <v/>
      </c>
      <c r="W287">
        <f>MIN(Plan!E9,U287+V287)</f>
        <v/>
      </c>
      <c r="X287">
        <f>U287+V287-W287</f>
        <v/>
      </c>
      <c r="Y287">
        <f>MIN(X287,MAX(0,$B287-((E$5&lt;W$5)*F287+(K$5&lt;W$5)*L287+(Q$5&lt;W$5)*R287+(AC$5&lt;W$5)*AD287+(AI$5&lt;W$5)*AJ287+(AO$5&lt;W$5)*AP287+(AU$5&lt;W$5)*AV287)))</f>
        <v/>
      </c>
      <c r="Z287">
        <f>IF(X287-Y287&lt;0.005,0,X287-Y287)</f>
        <v/>
      </c>
      <c r="AA287">
        <f>AF286</f>
        <v/>
      </c>
      <c r="AB287">
        <f>AA287*Plan!D10/100/12</f>
        <v/>
      </c>
      <c r="AC287">
        <f>MIN(Plan!E10,AA287+AB287)</f>
        <v/>
      </c>
      <c r="AD287">
        <f>AA287+AB287-AC287</f>
        <v/>
      </c>
      <c r="AE287">
        <f>MIN(AD287,MAX(0,$B287-((E$5&lt;AC$5)*F287+(K$5&lt;AC$5)*L287+(Q$5&lt;AC$5)*R287+(W$5&lt;AC$5)*X287+(AI$5&lt;AC$5)*AJ287+(AO$5&lt;AC$5)*AP287+(AU$5&lt;AC$5)*AV287)))</f>
        <v/>
      </c>
      <c r="AF287">
        <f>IF(AD287-AE287&lt;0.005,0,AD287-AE287)</f>
        <v/>
      </c>
      <c r="AG287">
        <f>AL286</f>
        <v/>
      </c>
      <c r="AH287">
        <f>AG287*Plan!D11/100/12</f>
        <v/>
      </c>
      <c r="AI287">
        <f>MIN(Plan!E11,AG287+AH287)</f>
        <v/>
      </c>
      <c r="AJ287">
        <f>AG287+AH287-AI287</f>
        <v/>
      </c>
      <c r="AK287">
        <f>MIN(AJ287,MAX(0,$B287-((E$5&lt;AI$5)*F287+(K$5&lt;AI$5)*L287+(Q$5&lt;AI$5)*R287+(W$5&lt;AI$5)*X287+(AC$5&lt;AI$5)*AD287+(AO$5&lt;AI$5)*AP287+(AU$5&lt;AI$5)*AV287)))</f>
        <v/>
      </c>
      <c r="AL287">
        <f>IF(AJ287-AK287&lt;0.005,0,AJ287-AK287)</f>
        <v/>
      </c>
      <c r="AM287">
        <f>AR286</f>
        <v/>
      </c>
      <c r="AN287">
        <f>AM287*Plan!D12/100/12</f>
        <v/>
      </c>
      <c r="AO287">
        <f>MIN(Plan!E12,AM287+AN287)</f>
        <v/>
      </c>
      <c r="AP287">
        <f>AM287+AN287-AO287</f>
        <v/>
      </c>
      <c r="AQ287">
        <f>MIN(AP287,MAX(0,$B287-((E$5&lt;AO$5)*F287+(K$5&lt;AO$5)*L287+(Q$5&lt;AO$5)*R287+(W$5&lt;AO$5)*X287+(AC$5&lt;AO$5)*AD287+(AI$5&lt;AO$5)*AJ287+(AU$5&lt;AO$5)*AV287)))</f>
        <v/>
      </c>
      <c r="AR287">
        <f>IF(AP287-AQ287&lt;0.005,0,AP287-AQ287)</f>
        <v/>
      </c>
      <c r="AS287">
        <f>AX286</f>
        <v/>
      </c>
      <c r="AT287">
        <f>AS287*Plan!D13/100/12</f>
        <v/>
      </c>
      <c r="AU287">
        <f>MIN(Plan!E13,AS287+AT287)</f>
        <v/>
      </c>
      <c r="AV287">
        <f>AS287+AT287-AU287</f>
        <v/>
      </c>
      <c r="AW287">
        <f>MIN(AV287,MAX(0,$B287-((E$5&lt;AU$5)*F287+(K$5&lt;AU$5)*L287+(Q$5&lt;AU$5)*R287+(W$5&lt;AU$5)*X287+(AC$5&lt;AU$5)*AD287+(AI$5&lt;AU$5)*AJ287+(AO$5&lt;AU$5)*AP287)))</f>
        <v/>
      </c>
      <c r="AX287">
        <f>IF(AV287-AW287&lt;0.005,0,AV287-AW287)</f>
        <v/>
      </c>
      <c r="BC287">
        <f>H287+N287+T287+Z287+AF287+AL287+AR287+AX287</f>
        <v/>
      </c>
    </row>
    <row r="288">
      <c r="A288" t="n">
        <v>282</v>
      </c>
      <c r="B288" s="19">
        <f>MAX(0,$B$3-(E288+K288+Q288+W288+AC288+AI288+AO288+AU288))</f>
        <v/>
      </c>
      <c r="C288">
        <f>H287</f>
        <v/>
      </c>
      <c r="D288">
        <f>C288*Plan!D6/100/12</f>
        <v/>
      </c>
      <c r="E288">
        <f>MIN(Plan!E6,C288+D288)</f>
        <v/>
      </c>
      <c r="F288">
        <f>C288+D288-E288</f>
        <v/>
      </c>
      <c r="G288">
        <f>MIN(F288,MAX(0,$B288-((K$5&lt;E$5)*L288+(Q$5&lt;E$5)*R288+(W$5&lt;E$5)*X288+(AC$5&lt;E$5)*AD288+(AI$5&lt;E$5)*AJ288+(AO$5&lt;E$5)*AP288+(AU$5&lt;E$5)*AV288)))</f>
        <v/>
      </c>
      <c r="H288">
        <f>IF(F288-G288&lt;0.005,0,F288-G288)</f>
        <v/>
      </c>
      <c r="I288">
        <f>N287</f>
        <v/>
      </c>
      <c r="J288">
        <f>I288*Plan!D7/100/12</f>
        <v/>
      </c>
      <c r="K288">
        <f>MIN(Plan!E7,I288+J288)</f>
        <v/>
      </c>
      <c r="L288">
        <f>I288+J288-K288</f>
        <v/>
      </c>
      <c r="M288">
        <f>MIN(L288,MAX(0,$B288-((E$5&lt;K$5)*F288+(Q$5&lt;K$5)*R288+(W$5&lt;K$5)*X288+(AC$5&lt;K$5)*AD288+(AI$5&lt;K$5)*AJ288+(AO$5&lt;K$5)*AP288+(AU$5&lt;K$5)*AV288)))</f>
        <v/>
      </c>
      <c r="N288">
        <f>IF(L288-M288&lt;0.005,0,L288-M288)</f>
        <v/>
      </c>
      <c r="O288">
        <f>T287</f>
        <v/>
      </c>
      <c r="P288">
        <f>O288*Plan!D8/100/12</f>
        <v/>
      </c>
      <c r="Q288">
        <f>MIN(Plan!E8,O288+P288)</f>
        <v/>
      </c>
      <c r="R288">
        <f>O288+P288-Q288</f>
        <v/>
      </c>
      <c r="S288">
        <f>MIN(R288,MAX(0,$B288-((E$5&lt;Q$5)*F288+(K$5&lt;Q$5)*L288+(W$5&lt;Q$5)*X288+(AC$5&lt;Q$5)*AD288+(AI$5&lt;Q$5)*AJ288+(AO$5&lt;Q$5)*AP288+(AU$5&lt;Q$5)*AV288)))</f>
        <v/>
      </c>
      <c r="T288">
        <f>IF(R288-S288&lt;0.005,0,R288-S288)</f>
        <v/>
      </c>
      <c r="U288">
        <f>Z287</f>
        <v/>
      </c>
      <c r="V288">
        <f>U288*Plan!D9/100/12</f>
        <v/>
      </c>
      <c r="W288">
        <f>MIN(Plan!E9,U288+V288)</f>
        <v/>
      </c>
      <c r="X288">
        <f>U288+V288-W288</f>
        <v/>
      </c>
      <c r="Y288">
        <f>MIN(X288,MAX(0,$B288-((E$5&lt;W$5)*F288+(K$5&lt;W$5)*L288+(Q$5&lt;W$5)*R288+(AC$5&lt;W$5)*AD288+(AI$5&lt;W$5)*AJ288+(AO$5&lt;W$5)*AP288+(AU$5&lt;W$5)*AV288)))</f>
        <v/>
      </c>
      <c r="Z288">
        <f>IF(X288-Y288&lt;0.005,0,X288-Y288)</f>
        <v/>
      </c>
      <c r="AA288">
        <f>AF287</f>
        <v/>
      </c>
      <c r="AB288">
        <f>AA288*Plan!D10/100/12</f>
        <v/>
      </c>
      <c r="AC288">
        <f>MIN(Plan!E10,AA288+AB288)</f>
        <v/>
      </c>
      <c r="AD288">
        <f>AA288+AB288-AC288</f>
        <v/>
      </c>
      <c r="AE288">
        <f>MIN(AD288,MAX(0,$B288-((E$5&lt;AC$5)*F288+(K$5&lt;AC$5)*L288+(Q$5&lt;AC$5)*R288+(W$5&lt;AC$5)*X288+(AI$5&lt;AC$5)*AJ288+(AO$5&lt;AC$5)*AP288+(AU$5&lt;AC$5)*AV288)))</f>
        <v/>
      </c>
      <c r="AF288">
        <f>IF(AD288-AE288&lt;0.005,0,AD288-AE288)</f>
        <v/>
      </c>
      <c r="AG288">
        <f>AL287</f>
        <v/>
      </c>
      <c r="AH288">
        <f>AG288*Plan!D11/100/12</f>
        <v/>
      </c>
      <c r="AI288">
        <f>MIN(Plan!E11,AG288+AH288)</f>
        <v/>
      </c>
      <c r="AJ288">
        <f>AG288+AH288-AI288</f>
        <v/>
      </c>
      <c r="AK288">
        <f>MIN(AJ288,MAX(0,$B288-((E$5&lt;AI$5)*F288+(K$5&lt;AI$5)*L288+(Q$5&lt;AI$5)*R288+(W$5&lt;AI$5)*X288+(AC$5&lt;AI$5)*AD288+(AO$5&lt;AI$5)*AP288+(AU$5&lt;AI$5)*AV288)))</f>
        <v/>
      </c>
      <c r="AL288">
        <f>IF(AJ288-AK288&lt;0.005,0,AJ288-AK288)</f>
        <v/>
      </c>
      <c r="AM288">
        <f>AR287</f>
        <v/>
      </c>
      <c r="AN288">
        <f>AM288*Plan!D12/100/12</f>
        <v/>
      </c>
      <c r="AO288">
        <f>MIN(Plan!E12,AM288+AN288)</f>
        <v/>
      </c>
      <c r="AP288">
        <f>AM288+AN288-AO288</f>
        <v/>
      </c>
      <c r="AQ288">
        <f>MIN(AP288,MAX(0,$B288-((E$5&lt;AO$5)*F288+(K$5&lt;AO$5)*L288+(Q$5&lt;AO$5)*R288+(W$5&lt;AO$5)*X288+(AC$5&lt;AO$5)*AD288+(AI$5&lt;AO$5)*AJ288+(AU$5&lt;AO$5)*AV288)))</f>
        <v/>
      </c>
      <c r="AR288">
        <f>IF(AP288-AQ288&lt;0.005,0,AP288-AQ288)</f>
        <v/>
      </c>
      <c r="AS288">
        <f>AX287</f>
        <v/>
      </c>
      <c r="AT288">
        <f>AS288*Plan!D13/100/12</f>
        <v/>
      </c>
      <c r="AU288">
        <f>MIN(Plan!E13,AS288+AT288)</f>
        <v/>
      </c>
      <c r="AV288">
        <f>AS288+AT288-AU288</f>
        <v/>
      </c>
      <c r="AW288">
        <f>MIN(AV288,MAX(0,$B288-((E$5&lt;AU$5)*F288+(K$5&lt;AU$5)*L288+(Q$5&lt;AU$5)*R288+(W$5&lt;AU$5)*X288+(AC$5&lt;AU$5)*AD288+(AI$5&lt;AU$5)*AJ288+(AO$5&lt;AU$5)*AP288)))</f>
        <v/>
      </c>
      <c r="AX288">
        <f>IF(AV288-AW288&lt;0.005,0,AV288-AW288)</f>
        <v/>
      </c>
      <c r="BC288">
        <f>H288+N288+T288+Z288+AF288+AL288+AR288+AX288</f>
        <v/>
      </c>
    </row>
    <row r="289">
      <c r="A289" t="n">
        <v>283</v>
      </c>
      <c r="B289" s="19">
        <f>MAX(0,$B$3-(E289+K289+Q289+W289+AC289+AI289+AO289+AU289))</f>
        <v/>
      </c>
      <c r="C289">
        <f>H288</f>
        <v/>
      </c>
      <c r="D289">
        <f>C289*Plan!D6/100/12</f>
        <v/>
      </c>
      <c r="E289">
        <f>MIN(Plan!E6,C289+D289)</f>
        <v/>
      </c>
      <c r="F289">
        <f>C289+D289-E289</f>
        <v/>
      </c>
      <c r="G289">
        <f>MIN(F289,MAX(0,$B289-((K$5&lt;E$5)*L289+(Q$5&lt;E$5)*R289+(W$5&lt;E$5)*X289+(AC$5&lt;E$5)*AD289+(AI$5&lt;E$5)*AJ289+(AO$5&lt;E$5)*AP289+(AU$5&lt;E$5)*AV289)))</f>
        <v/>
      </c>
      <c r="H289">
        <f>IF(F289-G289&lt;0.005,0,F289-G289)</f>
        <v/>
      </c>
      <c r="I289">
        <f>N288</f>
        <v/>
      </c>
      <c r="J289">
        <f>I289*Plan!D7/100/12</f>
        <v/>
      </c>
      <c r="K289">
        <f>MIN(Plan!E7,I289+J289)</f>
        <v/>
      </c>
      <c r="L289">
        <f>I289+J289-K289</f>
        <v/>
      </c>
      <c r="M289">
        <f>MIN(L289,MAX(0,$B289-((E$5&lt;K$5)*F289+(Q$5&lt;K$5)*R289+(W$5&lt;K$5)*X289+(AC$5&lt;K$5)*AD289+(AI$5&lt;K$5)*AJ289+(AO$5&lt;K$5)*AP289+(AU$5&lt;K$5)*AV289)))</f>
        <v/>
      </c>
      <c r="N289">
        <f>IF(L289-M289&lt;0.005,0,L289-M289)</f>
        <v/>
      </c>
      <c r="O289">
        <f>T288</f>
        <v/>
      </c>
      <c r="P289">
        <f>O289*Plan!D8/100/12</f>
        <v/>
      </c>
      <c r="Q289">
        <f>MIN(Plan!E8,O289+P289)</f>
        <v/>
      </c>
      <c r="R289">
        <f>O289+P289-Q289</f>
        <v/>
      </c>
      <c r="S289">
        <f>MIN(R289,MAX(0,$B289-((E$5&lt;Q$5)*F289+(K$5&lt;Q$5)*L289+(W$5&lt;Q$5)*X289+(AC$5&lt;Q$5)*AD289+(AI$5&lt;Q$5)*AJ289+(AO$5&lt;Q$5)*AP289+(AU$5&lt;Q$5)*AV289)))</f>
        <v/>
      </c>
      <c r="T289">
        <f>IF(R289-S289&lt;0.005,0,R289-S289)</f>
        <v/>
      </c>
      <c r="U289">
        <f>Z288</f>
        <v/>
      </c>
      <c r="V289">
        <f>U289*Plan!D9/100/12</f>
        <v/>
      </c>
      <c r="W289">
        <f>MIN(Plan!E9,U289+V289)</f>
        <v/>
      </c>
      <c r="X289">
        <f>U289+V289-W289</f>
        <v/>
      </c>
      <c r="Y289">
        <f>MIN(X289,MAX(0,$B289-((E$5&lt;W$5)*F289+(K$5&lt;W$5)*L289+(Q$5&lt;W$5)*R289+(AC$5&lt;W$5)*AD289+(AI$5&lt;W$5)*AJ289+(AO$5&lt;W$5)*AP289+(AU$5&lt;W$5)*AV289)))</f>
        <v/>
      </c>
      <c r="Z289">
        <f>IF(X289-Y289&lt;0.005,0,X289-Y289)</f>
        <v/>
      </c>
      <c r="AA289">
        <f>AF288</f>
        <v/>
      </c>
      <c r="AB289">
        <f>AA289*Plan!D10/100/12</f>
        <v/>
      </c>
      <c r="AC289">
        <f>MIN(Plan!E10,AA289+AB289)</f>
        <v/>
      </c>
      <c r="AD289">
        <f>AA289+AB289-AC289</f>
        <v/>
      </c>
      <c r="AE289">
        <f>MIN(AD289,MAX(0,$B289-((E$5&lt;AC$5)*F289+(K$5&lt;AC$5)*L289+(Q$5&lt;AC$5)*R289+(W$5&lt;AC$5)*X289+(AI$5&lt;AC$5)*AJ289+(AO$5&lt;AC$5)*AP289+(AU$5&lt;AC$5)*AV289)))</f>
        <v/>
      </c>
      <c r="AF289">
        <f>IF(AD289-AE289&lt;0.005,0,AD289-AE289)</f>
        <v/>
      </c>
      <c r="AG289">
        <f>AL288</f>
        <v/>
      </c>
      <c r="AH289">
        <f>AG289*Plan!D11/100/12</f>
        <v/>
      </c>
      <c r="AI289">
        <f>MIN(Plan!E11,AG289+AH289)</f>
        <v/>
      </c>
      <c r="AJ289">
        <f>AG289+AH289-AI289</f>
        <v/>
      </c>
      <c r="AK289">
        <f>MIN(AJ289,MAX(0,$B289-((E$5&lt;AI$5)*F289+(K$5&lt;AI$5)*L289+(Q$5&lt;AI$5)*R289+(W$5&lt;AI$5)*X289+(AC$5&lt;AI$5)*AD289+(AO$5&lt;AI$5)*AP289+(AU$5&lt;AI$5)*AV289)))</f>
        <v/>
      </c>
      <c r="AL289">
        <f>IF(AJ289-AK289&lt;0.005,0,AJ289-AK289)</f>
        <v/>
      </c>
      <c r="AM289">
        <f>AR288</f>
        <v/>
      </c>
      <c r="AN289">
        <f>AM289*Plan!D12/100/12</f>
        <v/>
      </c>
      <c r="AO289">
        <f>MIN(Plan!E12,AM289+AN289)</f>
        <v/>
      </c>
      <c r="AP289">
        <f>AM289+AN289-AO289</f>
        <v/>
      </c>
      <c r="AQ289">
        <f>MIN(AP289,MAX(0,$B289-((E$5&lt;AO$5)*F289+(K$5&lt;AO$5)*L289+(Q$5&lt;AO$5)*R289+(W$5&lt;AO$5)*X289+(AC$5&lt;AO$5)*AD289+(AI$5&lt;AO$5)*AJ289+(AU$5&lt;AO$5)*AV289)))</f>
        <v/>
      </c>
      <c r="AR289">
        <f>IF(AP289-AQ289&lt;0.005,0,AP289-AQ289)</f>
        <v/>
      </c>
      <c r="AS289">
        <f>AX288</f>
        <v/>
      </c>
      <c r="AT289">
        <f>AS289*Plan!D13/100/12</f>
        <v/>
      </c>
      <c r="AU289">
        <f>MIN(Plan!E13,AS289+AT289)</f>
        <v/>
      </c>
      <c r="AV289">
        <f>AS289+AT289-AU289</f>
        <v/>
      </c>
      <c r="AW289">
        <f>MIN(AV289,MAX(0,$B289-((E$5&lt;AU$5)*F289+(K$5&lt;AU$5)*L289+(Q$5&lt;AU$5)*R289+(W$5&lt;AU$5)*X289+(AC$5&lt;AU$5)*AD289+(AI$5&lt;AU$5)*AJ289+(AO$5&lt;AU$5)*AP289)))</f>
        <v/>
      </c>
      <c r="AX289">
        <f>IF(AV289-AW289&lt;0.005,0,AV289-AW289)</f>
        <v/>
      </c>
      <c r="BC289">
        <f>H289+N289+T289+Z289+AF289+AL289+AR289+AX289</f>
        <v/>
      </c>
    </row>
    <row r="290">
      <c r="A290" t="n">
        <v>284</v>
      </c>
      <c r="B290" s="19">
        <f>MAX(0,$B$3-(E290+K290+Q290+W290+AC290+AI290+AO290+AU290))</f>
        <v/>
      </c>
      <c r="C290">
        <f>H289</f>
        <v/>
      </c>
      <c r="D290">
        <f>C290*Plan!D6/100/12</f>
        <v/>
      </c>
      <c r="E290">
        <f>MIN(Plan!E6,C290+D290)</f>
        <v/>
      </c>
      <c r="F290">
        <f>C290+D290-E290</f>
        <v/>
      </c>
      <c r="G290">
        <f>MIN(F290,MAX(0,$B290-((K$5&lt;E$5)*L290+(Q$5&lt;E$5)*R290+(W$5&lt;E$5)*X290+(AC$5&lt;E$5)*AD290+(AI$5&lt;E$5)*AJ290+(AO$5&lt;E$5)*AP290+(AU$5&lt;E$5)*AV290)))</f>
        <v/>
      </c>
      <c r="H290">
        <f>IF(F290-G290&lt;0.005,0,F290-G290)</f>
        <v/>
      </c>
      <c r="I290">
        <f>N289</f>
        <v/>
      </c>
      <c r="J290">
        <f>I290*Plan!D7/100/12</f>
        <v/>
      </c>
      <c r="K290">
        <f>MIN(Plan!E7,I290+J290)</f>
        <v/>
      </c>
      <c r="L290">
        <f>I290+J290-K290</f>
        <v/>
      </c>
      <c r="M290">
        <f>MIN(L290,MAX(0,$B290-((E$5&lt;K$5)*F290+(Q$5&lt;K$5)*R290+(W$5&lt;K$5)*X290+(AC$5&lt;K$5)*AD290+(AI$5&lt;K$5)*AJ290+(AO$5&lt;K$5)*AP290+(AU$5&lt;K$5)*AV290)))</f>
        <v/>
      </c>
      <c r="N290">
        <f>IF(L290-M290&lt;0.005,0,L290-M290)</f>
        <v/>
      </c>
      <c r="O290">
        <f>T289</f>
        <v/>
      </c>
      <c r="P290">
        <f>O290*Plan!D8/100/12</f>
        <v/>
      </c>
      <c r="Q290">
        <f>MIN(Plan!E8,O290+P290)</f>
        <v/>
      </c>
      <c r="R290">
        <f>O290+P290-Q290</f>
        <v/>
      </c>
      <c r="S290">
        <f>MIN(R290,MAX(0,$B290-((E$5&lt;Q$5)*F290+(K$5&lt;Q$5)*L290+(W$5&lt;Q$5)*X290+(AC$5&lt;Q$5)*AD290+(AI$5&lt;Q$5)*AJ290+(AO$5&lt;Q$5)*AP290+(AU$5&lt;Q$5)*AV290)))</f>
        <v/>
      </c>
      <c r="T290">
        <f>IF(R290-S290&lt;0.005,0,R290-S290)</f>
        <v/>
      </c>
      <c r="U290">
        <f>Z289</f>
        <v/>
      </c>
      <c r="V290">
        <f>U290*Plan!D9/100/12</f>
        <v/>
      </c>
      <c r="W290">
        <f>MIN(Plan!E9,U290+V290)</f>
        <v/>
      </c>
      <c r="X290">
        <f>U290+V290-W290</f>
        <v/>
      </c>
      <c r="Y290">
        <f>MIN(X290,MAX(0,$B290-((E$5&lt;W$5)*F290+(K$5&lt;W$5)*L290+(Q$5&lt;W$5)*R290+(AC$5&lt;W$5)*AD290+(AI$5&lt;W$5)*AJ290+(AO$5&lt;W$5)*AP290+(AU$5&lt;W$5)*AV290)))</f>
        <v/>
      </c>
      <c r="Z290">
        <f>IF(X290-Y290&lt;0.005,0,X290-Y290)</f>
        <v/>
      </c>
      <c r="AA290">
        <f>AF289</f>
        <v/>
      </c>
      <c r="AB290">
        <f>AA290*Plan!D10/100/12</f>
        <v/>
      </c>
      <c r="AC290">
        <f>MIN(Plan!E10,AA290+AB290)</f>
        <v/>
      </c>
      <c r="AD290">
        <f>AA290+AB290-AC290</f>
        <v/>
      </c>
      <c r="AE290">
        <f>MIN(AD290,MAX(0,$B290-((E$5&lt;AC$5)*F290+(K$5&lt;AC$5)*L290+(Q$5&lt;AC$5)*R290+(W$5&lt;AC$5)*X290+(AI$5&lt;AC$5)*AJ290+(AO$5&lt;AC$5)*AP290+(AU$5&lt;AC$5)*AV290)))</f>
        <v/>
      </c>
      <c r="AF290">
        <f>IF(AD290-AE290&lt;0.005,0,AD290-AE290)</f>
        <v/>
      </c>
      <c r="AG290">
        <f>AL289</f>
        <v/>
      </c>
      <c r="AH290">
        <f>AG290*Plan!D11/100/12</f>
        <v/>
      </c>
      <c r="AI290">
        <f>MIN(Plan!E11,AG290+AH290)</f>
        <v/>
      </c>
      <c r="AJ290">
        <f>AG290+AH290-AI290</f>
        <v/>
      </c>
      <c r="AK290">
        <f>MIN(AJ290,MAX(0,$B290-((E$5&lt;AI$5)*F290+(K$5&lt;AI$5)*L290+(Q$5&lt;AI$5)*R290+(W$5&lt;AI$5)*X290+(AC$5&lt;AI$5)*AD290+(AO$5&lt;AI$5)*AP290+(AU$5&lt;AI$5)*AV290)))</f>
        <v/>
      </c>
      <c r="AL290">
        <f>IF(AJ290-AK290&lt;0.005,0,AJ290-AK290)</f>
        <v/>
      </c>
      <c r="AM290">
        <f>AR289</f>
        <v/>
      </c>
      <c r="AN290">
        <f>AM290*Plan!D12/100/12</f>
        <v/>
      </c>
      <c r="AO290">
        <f>MIN(Plan!E12,AM290+AN290)</f>
        <v/>
      </c>
      <c r="AP290">
        <f>AM290+AN290-AO290</f>
        <v/>
      </c>
      <c r="AQ290">
        <f>MIN(AP290,MAX(0,$B290-((E$5&lt;AO$5)*F290+(K$5&lt;AO$5)*L290+(Q$5&lt;AO$5)*R290+(W$5&lt;AO$5)*X290+(AC$5&lt;AO$5)*AD290+(AI$5&lt;AO$5)*AJ290+(AU$5&lt;AO$5)*AV290)))</f>
        <v/>
      </c>
      <c r="AR290">
        <f>IF(AP290-AQ290&lt;0.005,0,AP290-AQ290)</f>
        <v/>
      </c>
      <c r="AS290">
        <f>AX289</f>
        <v/>
      </c>
      <c r="AT290">
        <f>AS290*Plan!D13/100/12</f>
        <v/>
      </c>
      <c r="AU290">
        <f>MIN(Plan!E13,AS290+AT290)</f>
        <v/>
      </c>
      <c r="AV290">
        <f>AS290+AT290-AU290</f>
        <v/>
      </c>
      <c r="AW290">
        <f>MIN(AV290,MAX(0,$B290-((E$5&lt;AU$5)*F290+(K$5&lt;AU$5)*L290+(Q$5&lt;AU$5)*R290+(W$5&lt;AU$5)*X290+(AC$5&lt;AU$5)*AD290+(AI$5&lt;AU$5)*AJ290+(AO$5&lt;AU$5)*AP290)))</f>
        <v/>
      </c>
      <c r="AX290">
        <f>IF(AV290-AW290&lt;0.005,0,AV290-AW290)</f>
        <v/>
      </c>
      <c r="BC290">
        <f>H290+N290+T290+Z290+AF290+AL290+AR290+AX290</f>
        <v/>
      </c>
    </row>
    <row r="291">
      <c r="A291" t="n">
        <v>285</v>
      </c>
      <c r="B291" s="19">
        <f>MAX(0,$B$3-(E291+K291+Q291+W291+AC291+AI291+AO291+AU291))</f>
        <v/>
      </c>
      <c r="C291">
        <f>H290</f>
        <v/>
      </c>
      <c r="D291">
        <f>C291*Plan!D6/100/12</f>
        <v/>
      </c>
      <c r="E291">
        <f>MIN(Plan!E6,C291+D291)</f>
        <v/>
      </c>
      <c r="F291">
        <f>C291+D291-E291</f>
        <v/>
      </c>
      <c r="G291">
        <f>MIN(F291,MAX(0,$B291-((K$5&lt;E$5)*L291+(Q$5&lt;E$5)*R291+(W$5&lt;E$5)*X291+(AC$5&lt;E$5)*AD291+(AI$5&lt;E$5)*AJ291+(AO$5&lt;E$5)*AP291+(AU$5&lt;E$5)*AV291)))</f>
        <v/>
      </c>
      <c r="H291">
        <f>IF(F291-G291&lt;0.005,0,F291-G291)</f>
        <v/>
      </c>
      <c r="I291">
        <f>N290</f>
        <v/>
      </c>
      <c r="J291">
        <f>I291*Plan!D7/100/12</f>
        <v/>
      </c>
      <c r="K291">
        <f>MIN(Plan!E7,I291+J291)</f>
        <v/>
      </c>
      <c r="L291">
        <f>I291+J291-K291</f>
        <v/>
      </c>
      <c r="M291">
        <f>MIN(L291,MAX(0,$B291-((E$5&lt;K$5)*F291+(Q$5&lt;K$5)*R291+(W$5&lt;K$5)*X291+(AC$5&lt;K$5)*AD291+(AI$5&lt;K$5)*AJ291+(AO$5&lt;K$5)*AP291+(AU$5&lt;K$5)*AV291)))</f>
        <v/>
      </c>
      <c r="N291">
        <f>IF(L291-M291&lt;0.005,0,L291-M291)</f>
        <v/>
      </c>
      <c r="O291">
        <f>T290</f>
        <v/>
      </c>
      <c r="P291">
        <f>O291*Plan!D8/100/12</f>
        <v/>
      </c>
      <c r="Q291">
        <f>MIN(Plan!E8,O291+P291)</f>
        <v/>
      </c>
      <c r="R291">
        <f>O291+P291-Q291</f>
        <v/>
      </c>
      <c r="S291">
        <f>MIN(R291,MAX(0,$B291-((E$5&lt;Q$5)*F291+(K$5&lt;Q$5)*L291+(W$5&lt;Q$5)*X291+(AC$5&lt;Q$5)*AD291+(AI$5&lt;Q$5)*AJ291+(AO$5&lt;Q$5)*AP291+(AU$5&lt;Q$5)*AV291)))</f>
        <v/>
      </c>
      <c r="T291">
        <f>IF(R291-S291&lt;0.005,0,R291-S291)</f>
        <v/>
      </c>
      <c r="U291">
        <f>Z290</f>
        <v/>
      </c>
      <c r="V291">
        <f>U291*Plan!D9/100/12</f>
        <v/>
      </c>
      <c r="W291">
        <f>MIN(Plan!E9,U291+V291)</f>
        <v/>
      </c>
      <c r="X291">
        <f>U291+V291-W291</f>
        <v/>
      </c>
      <c r="Y291">
        <f>MIN(X291,MAX(0,$B291-((E$5&lt;W$5)*F291+(K$5&lt;W$5)*L291+(Q$5&lt;W$5)*R291+(AC$5&lt;W$5)*AD291+(AI$5&lt;W$5)*AJ291+(AO$5&lt;W$5)*AP291+(AU$5&lt;W$5)*AV291)))</f>
        <v/>
      </c>
      <c r="Z291">
        <f>IF(X291-Y291&lt;0.005,0,X291-Y291)</f>
        <v/>
      </c>
      <c r="AA291">
        <f>AF290</f>
        <v/>
      </c>
      <c r="AB291">
        <f>AA291*Plan!D10/100/12</f>
        <v/>
      </c>
      <c r="AC291">
        <f>MIN(Plan!E10,AA291+AB291)</f>
        <v/>
      </c>
      <c r="AD291">
        <f>AA291+AB291-AC291</f>
        <v/>
      </c>
      <c r="AE291">
        <f>MIN(AD291,MAX(0,$B291-((E$5&lt;AC$5)*F291+(K$5&lt;AC$5)*L291+(Q$5&lt;AC$5)*R291+(W$5&lt;AC$5)*X291+(AI$5&lt;AC$5)*AJ291+(AO$5&lt;AC$5)*AP291+(AU$5&lt;AC$5)*AV291)))</f>
        <v/>
      </c>
      <c r="AF291">
        <f>IF(AD291-AE291&lt;0.005,0,AD291-AE291)</f>
        <v/>
      </c>
      <c r="AG291">
        <f>AL290</f>
        <v/>
      </c>
      <c r="AH291">
        <f>AG291*Plan!D11/100/12</f>
        <v/>
      </c>
      <c r="AI291">
        <f>MIN(Plan!E11,AG291+AH291)</f>
        <v/>
      </c>
      <c r="AJ291">
        <f>AG291+AH291-AI291</f>
        <v/>
      </c>
      <c r="AK291">
        <f>MIN(AJ291,MAX(0,$B291-((E$5&lt;AI$5)*F291+(K$5&lt;AI$5)*L291+(Q$5&lt;AI$5)*R291+(W$5&lt;AI$5)*X291+(AC$5&lt;AI$5)*AD291+(AO$5&lt;AI$5)*AP291+(AU$5&lt;AI$5)*AV291)))</f>
        <v/>
      </c>
      <c r="AL291">
        <f>IF(AJ291-AK291&lt;0.005,0,AJ291-AK291)</f>
        <v/>
      </c>
      <c r="AM291">
        <f>AR290</f>
        <v/>
      </c>
      <c r="AN291">
        <f>AM291*Plan!D12/100/12</f>
        <v/>
      </c>
      <c r="AO291">
        <f>MIN(Plan!E12,AM291+AN291)</f>
        <v/>
      </c>
      <c r="AP291">
        <f>AM291+AN291-AO291</f>
        <v/>
      </c>
      <c r="AQ291">
        <f>MIN(AP291,MAX(0,$B291-((E$5&lt;AO$5)*F291+(K$5&lt;AO$5)*L291+(Q$5&lt;AO$5)*R291+(W$5&lt;AO$5)*X291+(AC$5&lt;AO$5)*AD291+(AI$5&lt;AO$5)*AJ291+(AU$5&lt;AO$5)*AV291)))</f>
        <v/>
      </c>
      <c r="AR291">
        <f>IF(AP291-AQ291&lt;0.005,0,AP291-AQ291)</f>
        <v/>
      </c>
      <c r="AS291">
        <f>AX290</f>
        <v/>
      </c>
      <c r="AT291">
        <f>AS291*Plan!D13/100/12</f>
        <v/>
      </c>
      <c r="AU291">
        <f>MIN(Plan!E13,AS291+AT291)</f>
        <v/>
      </c>
      <c r="AV291">
        <f>AS291+AT291-AU291</f>
        <v/>
      </c>
      <c r="AW291">
        <f>MIN(AV291,MAX(0,$B291-((E$5&lt;AU$5)*F291+(K$5&lt;AU$5)*L291+(Q$5&lt;AU$5)*R291+(W$5&lt;AU$5)*X291+(AC$5&lt;AU$5)*AD291+(AI$5&lt;AU$5)*AJ291+(AO$5&lt;AU$5)*AP291)))</f>
        <v/>
      </c>
      <c r="AX291">
        <f>IF(AV291-AW291&lt;0.005,0,AV291-AW291)</f>
        <v/>
      </c>
      <c r="BC291">
        <f>H291+N291+T291+Z291+AF291+AL291+AR291+AX291</f>
        <v/>
      </c>
    </row>
    <row r="292">
      <c r="A292" t="n">
        <v>286</v>
      </c>
      <c r="B292" s="19">
        <f>MAX(0,$B$3-(E292+K292+Q292+W292+AC292+AI292+AO292+AU292))</f>
        <v/>
      </c>
      <c r="C292">
        <f>H291</f>
        <v/>
      </c>
      <c r="D292">
        <f>C292*Plan!D6/100/12</f>
        <v/>
      </c>
      <c r="E292">
        <f>MIN(Plan!E6,C292+D292)</f>
        <v/>
      </c>
      <c r="F292">
        <f>C292+D292-E292</f>
        <v/>
      </c>
      <c r="G292">
        <f>MIN(F292,MAX(0,$B292-((K$5&lt;E$5)*L292+(Q$5&lt;E$5)*R292+(W$5&lt;E$5)*X292+(AC$5&lt;E$5)*AD292+(AI$5&lt;E$5)*AJ292+(AO$5&lt;E$5)*AP292+(AU$5&lt;E$5)*AV292)))</f>
        <v/>
      </c>
      <c r="H292">
        <f>IF(F292-G292&lt;0.005,0,F292-G292)</f>
        <v/>
      </c>
      <c r="I292">
        <f>N291</f>
        <v/>
      </c>
      <c r="J292">
        <f>I292*Plan!D7/100/12</f>
        <v/>
      </c>
      <c r="K292">
        <f>MIN(Plan!E7,I292+J292)</f>
        <v/>
      </c>
      <c r="L292">
        <f>I292+J292-K292</f>
        <v/>
      </c>
      <c r="M292">
        <f>MIN(L292,MAX(0,$B292-((E$5&lt;K$5)*F292+(Q$5&lt;K$5)*R292+(W$5&lt;K$5)*X292+(AC$5&lt;K$5)*AD292+(AI$5&lt;K$5)*AJ292+(AO$5&lt;K$5)*AP292+(AU$5&lt;K$5)*AV292)))</f>
        <v/>
      </c>
      <c r="N292">
        <f>IF(L292-M292&lt;0.005,0,L292-M292)</f>
        <v/>
      </c>
      <c r="O292">
        <f>T291</f>
        <v/>
      </c>
      <c r="P292">
        <f>O292*Plan!D8/100/12</f>
        <v/>
      </c>
      <c r="Q292">
        <f>MIN(Plan!E8,O292+P292)</f>
        <v/>
      </c>
      <c r="R292">
        <f>O292+P292-Q292</f>
        <v/>
      </c>
      <c r="S292">
        <f>MIN(R292,MAX(0,$B292-((E$5&lt;Q$5)*F292+(K$5&lt;Q$5)*L292+(W$5&lt;Q$5)*X292+(AC$5&lt;Q$5)*AD292+(AI$5&lt;Q$5)*AJ292+(AO$5&lt;Q$5)*AP292+(AU$5&lt;Q$5)*AV292)))</f>
        <v/>
      </c>
      <c r="T292">
        <f>IF(R292-S292&lt;0.005,0,R292-S292)</f>
        <v/>
      </c>
      <c r="U292">
        <f>Z291</f>
        <v/>
      </c>
      <c r="V292">
        <f>U292*Plan!D9/100/12</f>
        <v/>
      </c>
      <c r="W292">
        <f>MIN(Plan!E9,U292+V292)</f>
        <v/>
      </c>
      <c r="X292">
        <f>U292+V292-W292</f>
        <v/>
      </c>
      <c r="Y292">
        <f>MIN(X292,MAX(0,$B292-((E$5&lt;W$5)*F292+(K$5&lt;W$5)*L292+(Q$5&lt;W$5)*R292+(AC$5&lt;W$5)*AD292+(AI$5&lt;W$5)*AJ292+(AO$5&lt;W$5)*AP292+(AU$5&lt;W$5)*AV292)))</f>
        <v/>
      </c>
      <c r="Z292">
        <f>IF(X292-Y292&lt;0.005,0,X292-Y292)</f>
        <v/>
      </c>
      <c r="AA292">
        <f>AF291</f>
        <v/>
      </c>
      <c r="AB292">
        <f>AA292*Plan!D10/100/12</f>
        <v/>
      </c>
      <c r="AC292">
        <f>MIN(Plan!E10,AA292+AB292)</f>
        <v/>
      </c>
      <c r="AD292">
        <f>AA292+AB292-AC292</f>
        <v/>
      </c>
      <c r="AE292">
        <f>MIN(AD292,MAX(0,$B292-((E$5&lt;AC$5)*F292+(K$5&lt;AC$5)*L292+(Q$5&lt;AC$5)*R292+(W$5&lt;AC$5)*X292+(AI$5&lt;AC$5)*AJ292+(AO$5&lt;AC$5)*AP292+(AU$5&lt;AC$5)*AV292)))</f>
        <v/>
      </c>
      <c r="AF292">
        <f>IF(AD292-AE292&lt;0.005,0,AD292-AE292)</f>
        <v/>
      </c>
      <c r="AG292">
        <f>AL291</f>
        <v/>
      </c>
      <c r="AH292">
        <f>AG292*Plan!D11/100/12</f>
        <v/>
      </c>
      <c r="AI292">
        <f>MIN(Plan!E11,AG292+AH292)</f>
        <v/>
      </c>
      <c r="AJ292">
        <f>AG292+AH292-AI292</f>
        <v/>
      </c>
      <c r="AK292">
        <f>MIN(AJ292,MAX(0,$B292-((E$5&lt;AI$5)*F292+(K$5&lt;AI$5)*L292+(Q$5&lt;AI$5)*R292+(W$5&lt;AI$5)*X292+(AC$5&lt;AI$5)*AD292+(AO$5&lt;AI$5)*AP292+(AU$5&lt;AI$5)*AV292)))</f>
        <v/>
      </c>
      <c r="AL292">
        <f>IF(AJ292-AK292&lt;0.005,0,AJ292-AK292)</f>
        <v/>
      </c>
      <c r="AM292">
        <f>AR291</f>
        <v/>
      </c>
      <c r="AN292">
        <f>AM292*Plan!D12/100/12</f>
        <v/>
      </c>
      <c r="AO292">
        <f>MIN(Plan!E12,AM292+AN292)</f>
        <v/>
      </c>
      <c r="AP292">
        <f>AM292+AN292-AO292</f>
        <v/>
      </c>
      <c r="AQ292">
        <f>MIN(AP292,MAX(0,$B292-((E$5&lt;AO$5)*F292+(K$5&lt;AO$5)*L292+(Q$5&lt;AO$5)*R292+(W$5&lt;AO$5)*X292+(AC$5&lt;AO$5)*AD292+(AI$5&lt;AO$5)*AJ292+(AU$5&lt;AO$5)*AV292)))</f>
        <v/>
      </c>
      <c r="AR292">
        <f>IF(AP292-AQ292&lt;0.005,0,AP292-AQ292)</f>
        <v/>
      </c>
      <c r="AS292">
        <f>AX291</f>
        <v/>
      </c>
      <c r="AT292">
        <f>AS292*Plan!D13/100/12</f>
        <v/>
      </c>
      <c r="AU292">
        <f>MIN(Plan!E13,AS292+AT292)</f>
        <v/>
      </c>
      <c r="AV292">
        <f>AS292+AT292-AU292</f>
        <v/>
      </c>
      <c r="AW292">
        <f>MIN(AV292,MAX(0,$B292-((E$5&lt;AU$5)*F292+(K$5&lt;AU$5)*L292+(Q$5&lt;AU$5)*R292+(W$5&lt;AU$5)*X292+(AC$5&lt;AU$5)*AD292+(AI$5&lt;AU$5)*AJ292+(AO$5&lt;AU$5)*AP292)))</f>
        <v/>
      </c>
      <c r="AX292">
        <f>IF(AV292-AW292&lt;0.005,0,AV292-AW292)</f>
        <v/>
      </c>
      <c r="BC292">
        <f>H292+N292+T292+Z292+AF292+AL292+AR292+AX292</f>
        <v/>
      </c>
    </row>
    <row r="293">
      <c r="A293" t="n">
        <v>287</v>
      </c>
      <c r="B293" s="19">
        <f>MAX(0,$B$3-(E293+K293+Q293+W293+AC293+AI293+AO293+AU293))</f>
        <v/>
      </c>
      <c r="C293">
        <f>H292</f>
        <v/>
      </c>
      <c r="D293">
        <f>C293*Plan!D6/100/12</f>
        <v/>
      </c>
      <c r="E293">
        <f>MIN(Plan!E6,C293+D293)</f>
        <v/>
      </c>
      <c r="F293">
        <f>C293+D293-E293</f>
        <v/>
      </c>
      <c r="G293">
        <f>MIN(F293,MAX(0,$B293-((K$5&lt;E$5)*L293+(Q$5&lt;E$5)*R293+(W$5&lt;E$5)*X293+(AC$5&lt;E$5)*AD293+(AI$5&lt;E$5)*AJ293+(AO$5&lt;E$5)*AP293+(AU$5&lt;E$5)*AV293)))</f>
        <v/>
      </c>
      <c r="H293">
        <f>IF(F293-G293&lt;0.005,0,F293-G293)</f>
        <v/>
      </c>
      <c r="I293">
        <f>N292</f>
        <v/>
      </c>
      <c r="J293">
        <f>I293*Plan!D7/100/12</f>
        <v/>
      </c>
      <c r="K293">
        <f>MIN(Plan!E7,I293+J293)</f>
        <v/>
      </c>
      <c r="L293">
        <f>I293+J293-K293</f>
        <v/>
      </c>
      <c r="M293">
        <f>MIN(L293,MAX(0,$B293-((E$5&lt;K$5)*F293+(Q$5&lt;K$5)*R293+(W$5&lt;K$5)*X293+(AC$5&lt;K$5)*AD293+(AI$5&lt;K$5)*AJ293+(AO$5&lt;K$5)*AP293+(AU$5&lt;K$5)*AV293)))</f>
        <v/>
      </c>
      <c r="N293">
        <f>IF(L293-M293&lt;0.005,0,L293-M293)</f>
        <v/>
      </c>
      <c r="O293">
        <f>T292</f>
        <v/>
      </c>
      <c r="P293">
        <f>O293*Plan!D8/100/12</f>
        <v/>
      </c>
      <c r="Q293">
        <f>MIN(Plan!E8,O293+P293)</f>
        <v/>
      </c>
      <c r="R293">
        <f>O293+P293-Q293</f>
        <v/>
      </c>
      <c r="S293">
        <f>MIN(R293,MAX(0,$B293-((E$5&lt;Q$5)*F293+(K$5&lt;Q$5)*L293+(W$5&lt;Q$5)*X293+(AC$5&lt;Q$5)*AD293+(AI$5&lt;Q$5)*AJ293+(AO$5&lt;Q$5)*AP293+(AU$5&lt;Q$5)*AV293)))</f>
        <v/>
      </c>
      <c r="T293">
        <f>IF(R293-S293&lt;0.005,0,R293-S293)</f>
        <v/>
      </c>
      <c r="U293">
        <f>Z292</f>
        <v/>
      </c>
      <c r="V293">
        <f>U293*Plan!D9/100/12</f>
        <v/>
      </c>
      <c r="W293">
        <f>MIN(Plan!E9,U293+V293)</f>
        <v/>
      </c>
      <c r="X293">
        <f>U293+V293-W293</f>
        <v/>
      </c>
      <c r="Y293">
        <f>MIN(X293,MAX(0,$B293-((E$5&lt;W$5)*F293+(K$5&lt;W$5)*L293+(Q$5&lt;W$5)*R293+(AC$5&lt;W$5)*AD293+(AI$5&lt;W$5)*AJ293+(AO$5&lt;W$5)*AP293+(AU$5&lt;W$5)*AV293)))</f>
        <v/>
      </c>
      <c r="Z293">
        <f>IF(X293-Y293&lt;0.005,0,X293-Y293)</f>
        <v/>
      </c>
      <c r="AA293">
        <f>AF292</f>
        <v/>
      </c>
      <c r="AB293">
        <f>AA293*Plan!D10/100/12</f>
        <v/>
      </c>
      <c r="AC293">
        <f>MIN(Plan!E10,AA293+AB293)</f>
        <v/>
      </c>
      <c r="AD293">
        <f>AA293+AB293-AC293</f>
        <v/>
      </c>
      <c r="AE293">
        <f>MIN(AD293,MAX(0,$B293-((E$5&lt;AC$5)*F293+(K$5&lt;AC$5)*L293+(Q$5&lt;AC$5)*R293+(W$5&lt;AC$5)*X293+(AI$5&lt;AC$5)*AJ293+(AO$5&lt;AC$5)*AP293+(AU$5&lt;AC$5)*AV293)))</f>
        <v/>
      </c>
      <c r="AF293">
        <f>IF(AD293-AE293&lt;0.005,0,AD293-AE293)</f>
        <v/>
      </c>
      <c r="AG293">
        <f>AL292</f>
        <v/>
      </c>
      <c r="AH293">
        <f>AG293*Plan!D11/100/12</f>
        <v/>
      </c>
      <c r="AI293">
        <f>MIN(Plan!E11,AG293+AH293)</f>
        <v/>
      </c>
      <c r="AJ293">
        <f>AG293+AH293-AI293</f>
        <v/>
      </c>
      <c r="AK293">
        <f>MIN(AJ293,MAX(0,$B293-((E$5&lt;AI$5)*F293+(K$5&lt;AI$5)*L293+(Q$5&lt;AI$5)*R293+(W$5&lt;AI$5)*X293+(AC$5&lt;AI$5)*AD293+(AO$5&lt;AI$5)*AP293+(AU$5&lt;AI$5)*AV293)))</f>
        <v/>
      </c>
      <c r="AL293">
        <f>IF(AJ293-AK293&lt;0.005,0,AJ293-AK293)</f>
        <v/>
      </c>
      <c r="AM293">
        <f>AR292</f>
        <v/>
      </c>
      <c r="AN293">
        <f>AM293*Plan!D12/100/12</f>
        <v/>
      </c>
      <c r="AO293">
        <f>MIN(Plan!E12,AM293+AN293)</f>
        <v/>
      </c>
      <c r="AP293">
        <f>AM293+AN293-AO293</f>
        <v/>
      </c>
      <c r="AQ293">
        <f>MIN(AP293,MAX(0,$B293-((E$5&lt;AO$5)*F293+(K$5&lt;AO$5)*L293+(Q$5&lt;AO$5)*R293+(W$5&lt;AO$5)*X293+(AC$5&lt;AO$5)*AD293+(AI$5&lt;AO$5)*AJ293+(AU$5&lt;AO$5)*AV293)))</f>
        <v/>
      </c>
      <c r="AR293">
        <f>IF(AP293-AQ293&lt;0.005,0,AP293-AQ293)</f>
        <v/>
      </c>
      <c r="AS293">
        <f>AX292</f>
        <v/>
      </c>
      <c r="AT293">
        <f>AS293*Plan!D13/100/12</f>
        <v/>
      </c>
      <c r="AU293">
        <f>MIN(Plan!E13,AS293+AT293)</f>
        <v/>
      </c>
      <c r="AV293">
        <f>AS293+AT293-AU293</f>
        <v/>
      </c>
      <c r="AW293">
        <f>MIN(AV293,MAX(0,$B293-((E$5&lt;AU$5)*F293+(K$5&lt;AU$5)*L293+(Q$5&lt;AU$5)*R293+(W$5&lt;AU$5)*X293+(AC$5&lt;AU$5)*AD293+(AI$5&lt;AU$5)*AJ293+(AO$5&lt;AU$5)*AP293)))</f>
        <v/>
      </c>
      <c r="AX293">
        <f>IF(AV293-AW293&lt;0.005,0,AV293-AW293)</f>
        <v/>
      </c>
      <c r="BC293">
        <f>H293+N293+T293+Z293+AF293+AL293+AR293+AX293</f>
        <v/>
      </c>
    </row>
    <row r="294">
      <c r="A294" t="n">
        <v>288</v>
      </c>
      <c r="B294" s="19">
        <f>MAX(0,$B$3-(E294+K294+Q294+W294+AC294+AI294+AO294+AU294))</f>
        <v/>
      </c>
      <c r="C294">
        <f>H293</f>
        <v/>
      </c>
      <c r="D294">
        <f>C294*Plan!D6/100/12</f>
        <v/>
      </c>
      <c r="E294">
        <f>MIN(Plan!E6,C294+D294)</f>
        <v/>
      </c>
      <c r="F294">
        <f>C294+D294-E294</f>
        <v/>
      </c>
      <c r="G294">
        <f>MIN(F294,MAX(0,$B294-((K$5&lt;E$5)*L294+(Q$5&lt;E$5)*R294+(W$5&lt;E$5)*X294+(AC$5&lt;E$5)*AD294+(AI$5&lt;E$5)*AJ294+(AO$5&lt;E$5)*AP294+(AU$5&lt;E$5)*AV294)))</f>
        <v/>
      </c>
      <c r="H294">
        <f>IF(F294-G294&lt;0.005,0,F294-G294)</f>
        <v/>
      </c>
      <c r="I294">
        <f>N293</f>
        <v/>
      </c>
      <c r="J294">
        <f>I294*Plan!D7/100/12</f>
        <v/>
      </c>
      <c r="K294">
        <f>MIN(Plan!E7,I294+J294)</f>
        <v/>
      </c>
      <c r="L294">
        <f>I294+J294-K294</f>
        <v/>
      </c>
      <c r="M294">
        <f>MIN(L294,MAX(0,$B294-((E$5&lt;K$5)*F294+(Q$5&lt;K$5)*R294+(W$5&lt;K$5)*X294+(AC$5&lt;K$5)*AD294+(AI$5&lt;K$5)*AJ294+(AO$5&lt;K$5)*AP294+(AU$5&lt;K$5)*AV294)))</f>
        <v/>
      </c>
      <c r="N294">
        <f>IF(L294-M294&lt;0.005,0,L294-M294)</f>
        <v/>
      </c>
      <c r="O294">
        <f>T293</f>
        <v/>
      </c>
      <c r="P294">
        <f>O294*Plan!D8/100/12</f>
        <v/>
      </c>
      <c r="Q294">
        <f>MIN(Plan!E8,O294+P294)</f>
        <v/>
      </c>
      <c r="R294">
        <f>O294+P294-Q294</f>
        <v/>
      </c>
      <c r="S294">
        <f>MIN(R294,MAX(0,$B294-((E$5&lt;Q$5)*F294+(K$5&lt;Q$5)*L294+(W$5&lt;Q$5)*X294+(AC$5&lt;Q$5)*AD294+(AI$5&lt;Q$5)*AJ294+(AO$5&lt;Q$5)*AP294+(AU$5&lt;Q$5)*AV294)))</f>
        <v/>
      </c>
      <c r="T294">
        <f>IF(R294-S294&lt;0.005,0,R294-S294)</f>
        <v/>
      </c>
      <c r="U294">
        <f>Z293</f>
        <v/>
      </c>
      <c r="V294">
        <f>U294*Plan!D9/100/12</f>
        <v/>
      </c>
      <c r="W294">
        <f>MIN(Plan!E9,U294+V294)</f>
        <v/>
      </c>
      <c r="X294">
        <f>U294+V294-W294</f>
        <v/>
      </c>
      <c r="Y294">
        <f>MIN(X294,MAX(0,$B294-((E$5&lt;W$5)*F294+(K$5&lt;W$5)*L294+(Q$5&lt;W$5)*R294+(AC$5&lt;W$5)*AD294+(AI$5&lt;W$5)*AJ294+(AO$5&lt;W$5)*AP294+(AU$5&lt;W$5)*AV294)))</f>
        <v/>
      </c>
      <c r="Z294">
        <f>IF(X294-Y294&lt;0.005,0,X294-Y294)</f>
        <v/>
      </c>
      <c r="AA294">
        <f>AF293</f>
        <v/>
      </c>
      <c r="AB294">
        <f>AA294*Plan!D10/100/12</f>
        <v/>
      </c>
      <c r="AC294">
        <f>MIN(Plan!E10,AA294+AB294)</f>
        <v/>
      </c>
      <c r="AD294">
        <f>AA294+AB294-AC294</f>
        <v/>
      </c>
      <c r="AE294">
        <f>MIN(AD294,MAX(0,$B294-((E$5&lt;AC$5)*F294+(K$5&lt;AC$5)*L294+(Q$5&lt;AC$5)*R294+(W$5&lt;AC$5)*X294+(AI$5&lt;AC$5)*AJ294+(AO$5&lt;AC$5)*AP294+(AU$5&lt;AC$5)*AV294)))</f>
        <v/>
      </c>
      <c r="AF294">
        <f>IF(AD294-AE294&lt;0.005,0,AD294-AE294)</f>
        <v/>
      </c>
      <c r="AG294">
        <f>AL293</f>
        <v/>
      </c>
      <c r="AH294">
        <f>AG294*Plan!D11/100/12</f>
        <v/>
      </c>
      <c r="AI294">
        <f>MIN(Plan!E11,AG294+AH294)</f>
        <v/>
      </c>
      <c r="AJ294">
        <f>AG294+AH294-AI294</f>
        <v/>
      </c>
      <c r="AK294">
        <f>MIN(AJ294,MAX(0,$B294-((E$5&lt;AI$5)*F294+(K$5&lt;AI$5)*L294+(Q$5&lt;AI$5)*R294+(W$5&lt;AI$5)*X294+(AC$5&lt;AI$5)*AD294+(AO$5&lt;AI$5)*AP294+(AU$5&lt;AI$5)*AV294)))</f>
        <v/>
      </c>
      <c r="AL294">
        <f>IF(AJ294-AK294&lt;0.005,0,AJ294-AK294)</f>
        <v/>
      </c>
      <c r="AM294">
        <f>AR293</f>
        <v/>
      </c>
      <c r="AN294">
        <f>AM294*Plan!D12/100/12</f>
        <v/>
      </c>
      <c r="AO294">
        <f>MIN(Plan!E12,AM294+AN294)</f>
        <v/>
      </c>
      <c r="AP294">
        <f>AM294+AN294-AO294</f>
        <v/>
      </c>
      <c r="AQ294">
        <f>MIN(AP294,MAX(0,$B294-((E$5&lt;AO$5)*F294+(K$5&lt;AO$5)*L294+(Q$5&lt;AO$5)*R294+(W$5&lt;AO$5)*X294+(AC$5&lt;AO$5)*AD294+(AI$5&lt;AO$5)*AJ294+(AU$5&lt;AO$5)*AV294)))</f>
        <v/>
      </c>
      <c r="AR294">
        <f>IF(AP294-AQ294&lt;0.005,0,AP294-AQ294)</f>
        <v/>
      </c>
      <c r="AS294">
        <f>AX293</f>
        <v/>
      </c>
      <c r="AT294">
        <f>AS294*Plan!D13/100/12</f>
        <v/>
      </c>
      <c r="AU294">
        <f>MIN(Plan!E13,AS294+AT294)</f>
        <v/>
      </c>
      <c r="AV294">
        <f>AS294+AT294-AU294</f>
        <v/>
      </c>
      <c r="AW294">
        <f>MIN(AV294,MAX(0,$B294-((E$5&lt;AU$5)*F294+(K$5&lt;AU$5)*L294+(Q$5&lt;AU$5)*R294+(W$5&lt;AU$5)*X294+(AC$5&lt;AU$5)*AD294+(AI$5&lt;AU$5)*AJ294+(AO$5&lt;AU$5)*AP294)))</f>
        <v/>
      </c>
      <c r="AX294">
        <f>IF(AV294-AW294&lt;0.005,0,AV294-AW294)</f>
        <v/>
      </c>
      <c r="BC294">
        <f>H294+N294+T294+Z294+AF294+AL294+AR294+AX294</f>
        <v/>
      </c>
    </row>
    <row r="295">
      <c r="A295" t="n">
        <v>289</v>
      </c>
      <c r="B295" s="19">
        <f>MAX(0,$B$3-(E295+K295+Q295+W295+AC295+AI295+AO295+AU295))</f>
        <v/>
      </c>
      <c r="C295">
        <f>H294</f>
        <v/>
      </c>
      <c r="D295">
        <f>C295*Plan!D6/100/12</f>
        <v/>
      </c>
      <c r="E295">
        <f>MIN(Plan!E6,C295+D295)</f>
        <v/>
      </c>
      <c r="F295">
        <f>C295+D295-E295</f>
        <v/>
      </c>
      <c r="G295">
        <f>MIN(F295,MAX(0,$B295-((K$5&lt;E$5)*L295+(Q$5&lt;E$5)*R295+(W$5&lt;E$5)*X295+(AC$5&lt;E$5)*AD295+(AI$5&lt;E$5)*AJ295+(AO$5&lt;E$5)*AP295+(AU$5&lt;E$5)*AV295)))</f>
        <v/>
      </c>
      <c r="H295">
        <f>IF(F295-G295&lt;0.005,0,F295-G295)</f>
        <v/>
      </c>
      <c r="I295">
        <f>N294</f>
        <v/>
      </c>
      <c r="J295">
        <f>I295*Plan!D7/100/12</f>
        <v/>
      </c>
      <c r="K295">
        <f>MIN(Plan!E7,I295+J295)</f>
        <v/>
      </c>
      <c r="L295">
        <f>I295+J295-K295</f>
        <v/>
      </c>
      <c r="M295">
        <f>MIN(L295,MAX(0,$B295-((E$5&lt;K$5)*F295+(Q$5&lt;K$5)*R295+(W$5&lt;K$5)*X295+(AC$5&lt;K$5)*AD295+(AI$5&lt;K$5)*AJ295+(AO$5&lt;K$5)*AP295+(AU$5&lt;K$5)*AV295)))</f>
        <v/>
      </c>
      <c r="N295">
        <f>IF(L295-M295&lt;0.005,0,L295-M295)</f>
        <v/>
      </c>
      <c r="O295">
        <f>T294</f>
        <v/>
      </c>
      <c r="P295">
        <f>O295*Plan!D8/100/12</f>
        <v/>
      </c>
      <c r="Q295">
        <f>MIN(Plan!E8,O295+P295)</f>
        <v/>
      </c>
      <c r="R295">
        <f>O295+P295-Q295</f>
        <v/>
      </c>
      <c r="S295">
        <f>MIN(R295,MAX(0,$B295-((E$5&lt;Q$5)*F295+(K$5&lt;Q$5)*L295+(W$5&lt;Q$5)*X295+(AC$5&lt;Q$5)*AD295+(AI$5&lt;Q$5)*AJ295+(AO$5&lt;Q$5)*AP295+(AU$5&lt;Q$5)*AV295)))</f>
        <v/>
      </c>
      <c r="T295">
        <f>IF(R295-S295&lt;0.005,0,R295-S295)</f>
        <v/>
      </c>
      <c r="U295">
        <f>Z294</f>
        <v/>
      </c>
      <c r="V295">
        <f>U295*Plan!D9/100/12</f>
        <v/>
      </c>
      <c r="W295">
        <f>MIN(Plan!E9,U295+V295)</f>
        <v/>
      </c>
      <c r="X295">
        <f>U295+V295-W295</f>
        <v/>
      </c>
      <c r="Y295">
        <f>MIN(X295,MAX(0,$B295-((E$5&lt;W$5)*F295+(K$5&lt;W$5)*L295+(Q$5&lt;W$5)*R295+(AC$5&lt;W$5)*AD295+(AI$5&lt;W$5)*AJ295+(AO$5&lt;W$5)*AP295+(AU$5&lt;W$5)*AV295)))</f>
        <v/>
      </c>
      <c r="Z295">
        <f>IF(X295-Y295&lt;0.005,0,X295-Y295)</f>
        <v/>
      </c>
      <c r="AA295">
        <f>AF294</f>
        <v/>
      </c>
      <c r="AB295">
        <f>AA295*Plan!D10/100/12</f>
        <v/>
      </c>
      <c r="AC295">
        <f>MIN(Plan!E10,AA295+AB295)</f>
        <v/>
      </c>
      <c r="AD295">
        <f>AA295+AB295-AC295</f>
        <v/>
      </c>
      <c r="AE295">
        <f>MIN(AD295,MAX(0,$B295-((E$5&lt;AC$5)*F295+(K$5&lt;AC$5)*L295+(Q$5&lt;AC$5)*R295+(W$5&lt;AC$5)*X295+(AI$5&lt;AC$5)*AJ295+(AO$5&lt;AC$5)*AP295+(AU$5&lt;AC$5)*AV295)))</f>
        <v/>
      </c>
      <c r="AF295">
        <f>IF(AD295-AE295&lt;0.005,0,AD295-AE295)</f>
        <v/>
      </c>
      <c r="AG295">
        <f>AL294</f>
        <v/>
      </c>
      <c r="AH295">
        <f>AG295*Plan!D11/100/12</f>
        <v/>
      </c>
      <c r="AI295">
        <f>MIN(Plan!E11,AG295+AH295)</f>
        <v/>
      </c>
      <c r="AJ295">
        <f>AG295+AH295-AI295</f>
        <v/>
      </c>
      <c r="AK295">
        <f>MIN(AJ295,MAX(0,$B295-((E$5&lt;AI$5)*F295+(K$5&lt;AI$5)*L295+(Q$5&lt;AI$5)*R295+(W$5&lt;AI$5)*X295+(AC$5&lt;AI$5)*AD295+(AO$5&lt;AI$5)*AP295+(AU$5&lt;AI$5)*AV295)))</f>
        <v/>
      </c>
      <c r="AL295">
        <f>IF(AJ295-AK295&lt;0.005,0,AJ295-AK295)</f>
        <v/>
      </c>
      <c r="AM295">
        <f>AR294</f>
        <v/>
      </c>
      <c r="AN295">
        <f>AM295*Plan!D12/100/12</f>
        <v/>
      </c>
      <c r="AO295">
        <f>MIN(Plan!E12,AM295+AN295)</f>
        <v/>
      </c>
      <c r="AP295">
        <f>AM295+AN295-AO295</f>
        <v/>
      </c>
      <c r="AQ295">
        <f>MIN(AP295,MAX(0,$B295-((E$5&lt;AO$5)*F295+(K$5&lt;AO$5)*L295+(Q$5&lt;AO$5)*R295+(W$5&lt;AO$5)*X295+(AC$5&lt;AO$5)*AD295+(AI$5&lt;AO$5)*AJ295+(AU$5&lt;AO$5)*AV295)))</f>
        <v/>
      </c>
      <c r="AR295">
        <f>IF(AP295-AQ295&lt;0.005,0,AP295-AQ295)</f>
        <v/>
      </c>
      <c r="AS295">
        <f>AX294</f>
        <v/>
      </c>
      <c r="AT295">
        <f>AS295*Plan!D13/100/12</f>
        <v/>
      </c>
      <c r="AU295">
        <f>MIN(Plan!E13,AS295+AT295)</f>
        <v/>
      </c>
      <c r="AV295">
        <f>AS295+AT295-AU295</f>
        <v/>
      </c>
      <c r="AW295">
        <f>MIN(AV295,MAX(0,$B295-((E$5&lt;AU$5)*F295+(K$5&lt;AU$5)*L295+(Q$5&lt;AU$5)*R295+(W$5&lt;AU$5)*X295+(AC$5&lt;AU$5)*AD295+(AI$5&lt;AU$5)*AJ295+(AO$5&lt;AU$5)*AP295)))</f>
        <v/>
      </c>
      <c r="AX295">
        <f>IF(AV295-AW295&lt;0.005,0,AV295-AW295)</f>
        <v/>
      </c>
      <c r="BC295">
        <f>H295+N295+T295+Z295+AF295+AL295+AR295+AX295</f>
        <v/>
      </c>
    </row>
    <row r="296">
      <c r="A296" t="n">
        <v>290</v>
      </c>
      <c r="B296" s="19">
        <f>MAX(0,$B$3-(E296+K296+Q296+W296+AC296+AI296+AO296+AU296))</f>
        <v/>
      </c>
      <c r="C296">
        <f>H295</f>
        <v/>
      </c>
      <c r="D296">
        <f>C296*Plan!D6/100/12</f>
        <v/>
      </c>
      <c r="E296">
        <f>MIN(Plan!E6,C296+D296)</f>
        <v/>
      </c>
      <c r="F296">
        <f>C296+D296-E296</f>
        <v/>
      </c>
      <c r="G296">
        <f>MIN(F296,MAX(0,$B296-((K$5&lt;E$5)*L296+(Q$5&lt;E$5)*R296+(W$5&lt;E$5)*X296+(AC$5&lt;E$5)*AD296+(AI$5&lt;E$5)*AJ296+(AO$5&lt;E$5)*AP296+(AU$5&lt;E$5)*AV296)))</f>
        <v/>
      </c>
      <c r="H296">
        <f>IF(F296-G296&lt;0.005,0,F296-G296)</f>
        <v/>
      </c>
      <c r="I296">
        <f>N295</f>
        <v/>
      </c>
      <c r="J296">
        <f>I296*Plan!D7/100/12</f>
        <v/>
      </c>
      <c r="K296">
        <f>MIN(Plan!E7,I296+J296)</f>
        <v/>
      </c>
      <c r="L296">
        <f>I296+J296-K296</f>
        <v/>
      </c>
      <c r="M296">
        <f>MIN(L296,MAX(0,$B296-((E$5&lt;K$5)*F296+(Q$5&lt;K$5)*R296+(W$5&lt;K$5)*X296+(AC$5&lt;K$5)*AD296+(AI$5&lt;K$5)*AJ296+(AO$5&lt;K$5)*AP296+(AU$5&lt;K$5)*AV296)))</f>
        <v/>
      </c>
      <c r="N296">
        <f>IF(L296-M296&lt;0.005,0,L296-M296)</f>
        <v/>
      </c>
      <c r="O296">
        <f>T295</f>
        <v/>
      </c>
      <c r="P296">
        <f>O296*Plan!D8/100/12</f>
        <v/>
      </c>
      <c r="Q296">
        <f>MIN(Plan!E8,O296+P296)</f>
        <v/>
      </c>
      <c r="R296">
        <f>O296+P296-Q296</f>
        <v/>
      </c>
      <c r="S296">
        <f>MIN(R296,MAX(0,$B296-((E$5&lt;Q$5)*F296+(K$5&lt;Q$5)*L296+(W$5&lt;Q$5)*X296+(AC$5&lt;Q$5)*AD296+(AI$5&lt;Q$5)*AJ296+(AO$5&lt;Q$5)*AP296+(AU$5&lt;Q$5)*AV296)))</f>
        <v/>
      </c>
      <c r="T296">
        <f>IF(R296-S296&lt;0.005,0,R296-S296)</f>
        <v/>
      </c>
      <c r="U296">
        <f>Z295</f>
        <v/>
      </c>
      <c r="V296">
        <f>U296*Plan!D9/100/12</f>
        <v/>
      </c>
      <c r="W296">
        <f>MIN(Plan!E9,U296+V296)</f>
        <v/>
      </c>
      <c r="X296">
        <f>U296+V296-W296</f>
        <v/>
      </c>
      <c r="Y296">
        <f>MIN(X296,MAX(0,$B296-((E$5&lt;W$5)*F296+(K$5&lt;W$5)*L296+(Q$5&lt;W$5)*R296+(AC$5&lt;W$5)*AD296+(AI$5&lt;W$5)*AJ296+(AO$5&lt;W$5)*AP296+(AU$5&lt;W$5)*AV296)))</f>
        <v/>
      </c>
      <c r="Z296">
        <f>IF(X296-Y296&lt;0.005,0,X296-Y296)</f>
        <v/>
      </c>
      <c r="AA296">
        <f>AF295</f>
        <v/>
      </c>
      <c r="AB296">
        <f>AA296*Plan!D10/100/12</f>
        <v/>
      </c>
      <c r="AC296">
        <f>MIN(Plan!E10,AA296+AB296)</f>
        <v/>
      </c>
      <c r="AD296">
        <f>AA296+AB296-AC296</f>
        <v/>
      </c>
      <c r="AE296">
        <f>MIN(AD296,MAX(0,$B296-((E$5&lt;AC$5)*F296+(K$5&lt;AC$5)*L296+(Q$5&lt;AC$5)*R296+(W$5&lt;AC$5)*X296+(AI$5&lt;AC$5)*AJ296+(AO$5&lt;AC$5)*AP296+(AU$5&lt;AC$5)*AV296)))</f>
        <v/>
      </c>
      <c r="AF296">
        <f>IF(AD296-AE296&lt;0.005,0,AD296-AE296)</f>
        <v/>
      </c>
      <c r="AG296">
        <f>AL295</f>
        <v/>
      </c>
      <c r="AH296">
        <f>AG296*Plan!D11/100/12</f>
        <v/>
      </c>
      <c r="AI296">
        <f>MIN(Plan!E11,AG296+AH296)</f>
        <v/>
      </c>
      <c r="AJ296">
        <f>AG296+AH296-AI296</f>
        <v/>
      </c>
      <c r="AK296">
        <f>MIN(AJ296,MAX(0,$B296-((E$5&lt;AI$5)*F296+(K$5&lt;AI$5)*L296+(Q$5&lt;AI$5)*R296+(W$5&lt;AI$5)*X296+(AC$5&lt;AI$5)*AD296+(AO$5&lt;AI$5)*AP296+(AU$5&lt;AI$5)*AV296)))</f>
        <v/>
      </c>
      <c r="AL296">
        <f>IF(AJ296-AK296&lt;0.005,0,AJ296-AK296)</f>
        <v/>
      </c>
      <c r="AM296">
        <f>AR295</f>
        <v/>
      </c>
      <c r="AN296">
        <f>AM296*Plan!D12/100/12</f>
        <v/>
      </c>
      <c r="AO296">
        <f>MIN(Plan!E12,AM296+AN296)</f>
        <v/>
      </c>
      <c r="AP296">
        <f>AM296+AN296-AO296</f>
        <v/>
      </c>
      <c r="AQ296">
        <f>MIN(AP296,MAX(0,$B296-((E$5&lt;AO$5)*F296+(K$5&lt;AO$5)*L296+(Q$5&lt;AO$5)*R296+(W$5&lt;AO$5)*X296+(AC$5&lt;AO$5)*AD296+(AI$5&lt;AO$5)*AJ296+(AU$5&lt;AO$5)*AV296)))</f>
        <v/>
      </c>
      <c r="AR296">
        <f>IF(AP296-AQ296&lt;0.005,0,AP296-AQ296)</f>
        <v/>
      </c>
      <c r="AS296">
        <f>AX295</f>
        <v/>
      </c>
      <c r="AT296">
        <f>AS296*Plan!D13/100/12</f>
        <v/>
      </c>
      <c r="AU296">
        <f>MIN(Plan!E13,AS296+AT296)</f>
        <v/>
      </c>
      <c r="AV296">
        <f>AS296+AT296-AU296</f>
        <v/>
      </c>
      <c r="AW296">
        <f>MIN(AV296,MAX(0,$B296-((E$5&lt;AU$5)*F296+(K$5&lt;AU$5)*L296+(Q$5&lt;AU$5)*R296+(W$5&lt;AU$5)*X296+(AC$5&lt;AU$5)*AD296+(AI$5&lt;AU$5)*AJ296+(AO$5&lt;AU$5)*AP296)))</f>
        <v/>
      </c>
      <c r="AX296">
        <f>IF(AV296-AW296&lt;0.005,0,AV296-AW296)</f>
        <v/>
      </c>
      <c r="BC296">
        <f>H296+N296+T296+Z296+AF296+AL296+AR296+AX296</f>
        <v/>
      </c>
    </row>
    <row r="297">
      <c r="A297" t="n">
        <v>291</v>
      </c>
      <c r="B297" s="19">
        <f>MAX(0,$B$3-(E297+K297+Q297+W297+AC297+AI297+AO297+AU297))</f>
        <v/>
      </c>
      <c r="C297">
        <f>H296</f>
        <v/>
      </c>
      <c r="D297">
        <f>C297*Plan!D6/100/12</f>
        <v/>
      </c>
      <c r="E297">
        <f>MIN(Plan!E6,C297+D297)</f>
        <v/>
      </c>
      <c r="F297">
        <f>C297+D297-E297</f>
        <v/>
      </c>
      <c r="G297">
        <f>MIN(F297,MAX(0,$B297-((K$5&lt;E$5)*L297+(Q$5&lt;E$5)*R297+(W$5&lt;E$5)*X297+(AC$5&lt;E$5)*AD297+(AI$5&lt;E$5)*AJ297+(AO$5&lt;E$5)*AP297+(AU$5&lt;E$5)*AV297)))</f>
        <v/>
      </c>
      <c r="H297">
        <f>IF(F297-G297&lt;0.005,0,F297-G297)</f>
        <v/>
      </c>
      <c r="I297">
        <f>N296</f>
        <v/>
      </c>
      <c r="J297">
        <f>I297*Plan!D7/100/12</f>
        <v/>
      </c>
      <c r="K297">
        <f>MIN(Plan!E7,I297+J297)</f>
        <v/>
      </c>
      <c r="L297">
        <f>I297+J297-K297</f>
        <v/>
      </c>
      <c r="M297">
        <f>MIN(L297,MAX(0,$B297-((E$5&lt;K$5)*F297+(Q$5&lt;K$5)*R297+(W$5&lt;K$5)*X297+(AC$5&lt;K$5)*AD297+(AI$5&lt;K$5)*AJ297+(AO$5&lt;K$5)*AP297+(AU$5&lt;K$5)*AV297)))</f>
        <v/>
      </c>
      <c r="N297">
        <f>IF(L297-M297&lt;0.005,0,L297-M297)</f>
        <v/>
      </c>
      <c r="O297">
        <f>T296</f>
        <v/>
      </c>
      <c r="P297">
        <f>O297*Plan!D8/100/12</f>
        <v/>
      </c>
      <c r="Q297">
        <f>MIN(Plan!E8,O297+P297)</f>
        <v/>
      </c>
      <c r="R297">
        <f>O297+P297-Q297</f>
        <v/>
      </c>
      <c r="S297">
        <f>MIN(R297,MAX(0,$B297-((E$5&lt;Q$5)*F297+(K$5&lt;Q$5)*L297+(W$5&lt;Q$5)*X297+(AC$5&lt;Q$5)*AD297+(AI$5&lt;Q$5)*AJ297+(AO$5&lt;Q$5)*AP297+(AU$5&lt;Q$5)*AV297)))</f>
        <v/>
      </c>
      <c r="T297">
        <f>IF(R297-S297&lt;0.005,0,R297-S297)</f>
        <v/>
      </c>
      <c r="U297">
        <f>Z296</f>
        <v/>
      </c>
      <c r="V297">
        <f>U297*Plan!D9/100/12</f>
        <v/>
      </c>
      <c r="W297">
        <f>MIN(Plan!E9,U297+V297)</f>
        <v/>
      </c>
      <c r="X297">
        <f>U297+V297-W297</f>
        <v/>
      </c>
      <c r="Y297">
        <f>MIN(X297,MAX(0,$B297-((E$5&lt;W$5)*F297+(K$5&lt;W$5)*L297+(Q$5&lt;W$5)*R297+(AC$5&lt;W$5)*AD297+(AI$5&lt;W$5)*AJ297+(AO$5&lt;W$5)*AP297+(AU$5&lt;W$5)*AV297)))</f>
        <v/>
      </c>
      <c r="Z297">
        <f>IF(X297-Y297&lt;0.005,0,X297-Y297)</f>
        <v/>
      </c>
      <c r="AA297">
        <f>AF296</f>
        <v/>
      </c>
      <c r="AB297">
        <f>AA297*Plan!D10/100/12</f>
        <v/>
      </c>
      <c r="AC297">
        <f>MIN(Plan!E10,AA297+AB297)</f>
        <v/>
      </c>
      <c r="AD297">
        <f>AA297+AB297-AC297</f>
        <v/>
      </c>
      <c r="AE297">
        <f>MIN(AD297,MAX(0,$B297-((E$5&lt;AC$5)*F297+(K$5&lt;AC$5)*L297+(Q$5&lt;AC$5)*R297+(W$5&lt;AC$5)*X297+(AI$5&lt;AC$5)*AJ297+(AO$5&lt;AC$5)*AP297+(AU$5&lt;AC$5)*AV297)))</f>
        <v/>
      </c>
      <c r="AF297">
        <f>IF(AD297-AE297&lt;0.005,0,AD297-AE297)</f>
        <v/>
      </c>
      <c r="AG297">
        <f>AL296</f>
        <v/>
      </c>
      <c r="AH297">
        <f>AG297*Plan!D11/100/12</f>
        <v/>
      </c>
      <c r="AI297">
        <f>MIN(Plan!E11,AG297+AH297)</f>
        <v/>
      </c>
      <c r="AJ297">
        <f>AG297+AH297-AI297</f>
        <v/>
      </c>
      <c r="AK297">
        <f>MIN(AJ297,MAX(0,$B297-((E$5&lt;AI$5)*F297+(K$5&lt;AI$5)*L297+(Q$5&lt;AI$5)*R297+(W$5&lt;AI$5)*X297+(AC$5&lt;AI$5)*AD297+(AO$5&lt;AI$5)*AP297+(AU$5&lt;AI$5)*AV297)))</f>
        <v/>
      </c>
      <c r="AL297">
        <f>IF(AJ297-AK297&lt;0.005,0,AJ297-AK297)</f>
        <v/>
      </c>
      <c r="AM297">
        <f>AR296</f>
        <v/>
      </c>
      <c r="AN297">
        <f>AM297*Plan!D12/100/12</f>
        <v/>
      </c>
      <c r="AO297">
        <f>MIN(Plan!E12,AM297+AN297)</f>
        <v/>
      </c>
      <c r="AP297">
        <f>AM297+AN297-AO297</f>
        <v/>
      </c>
      <c r="AQ297">
        <f>MIN(AP297,MAX(0,$B297-((E$5&lt;AO$5)*F297+(K$5&lt;AO$5)*L297+(Q$5&lt;AO$5)*R297+(W$5&lt;AO$5)*X297+(AC$5&lt;AO$5)*AD297+(AI$5&lt;AO$5)*AJ297+(AU$5&lt;AO$5)*AV297)))</f>
        <v/>
      </c>
      <c r="AR297">
        <f>IF(AP297-AQ297&lt;0.005,0,AP297-AQ297)</f>
        <v/>
      </c>
      <c r="AS297">
        <f>AX296</f>
        <v/>
      </c>
      <c r="AT297">
        <f>AS297*Plan!D13/100/12</f>
        <v/>
      </c>
      <c r="AU297">
        <f>MIN(Plan!E13,AS297+AT297)</f>
        <v/>
      </c>
      <c r="AV297">
        <f>AS297+AT297-AU297</f>
        <v/>
      </c>
      <c r="AW297">
        <f>MIN(AV297,MAX(0,$B297-((E$5&lt;AU$5)*F297+(K$5&lt;AU$5)*L297+(Q$5&lt;AU$5)*R297+(W$5&lt;AU$5)*X297+(AC$5&lt;AU$5)*AD297+(AI$5&lt;AU$5)*AJ297+(AO$5&lt;AU$5)*AP297)))</f>
        <v/>
      </c>
      <c r="AX297">
        <f>IF(AV297-AW297&lt;0.005,0,AV297-AW297)</f>
        <v/>
      </c>
      <c r="BC297">
        <f>H297+N297+T297+Z297+AF297+AL297+AR297+AX297</f>
        <v/>
      </c>
    </row>
    <row r="298">
      <c r="A298" t="n">
        <v>292</v>
      </c>
      <c r="B298" s="19">
        <f>MAX(0,$B$3-(E298+K298+Q298+W298+AC298+AI298+AO298+AU298))</f>
        <v/>
      </c>
      <c r="C298">
        <f>H297</f>
        <v/>
      </c>
      <c r="D298">
        <f>C298*Plan!D6/100/12</f>
        <v/>
      </c>
      <c r="E298">
        <f>MIN(Plan!E6,C298+D298)</f>
        <v/>
      </c>
      <c r="F298">
        <f>C298+D298-E298</f>
        <v/>
      </c>
      <c r="G298">
        <f>MIN(F298,MAX(0,$B298-((K$5&lt;E$5)*L298+(Q$5&lt;E$5)*R298+(W$5&lt;E$5)*X298+(AC$5&lt;E$5)*AD298+(AI$5&lt;E$5)*AJ298+(AO$5&lt;E$5)*AP298+(AU$5&lt;E$5)*AV298)))</f>
        <v/>
      </c>
      <c r="H298">
        <f>IF(F298-G298&lt;0.005,0,F298-G298)</f>
        <v/>
      </c>
      <c r="I298">
        <f>N297</f>
        <v/>
      </c>
      <c r="J298">
        <f>I298*Plan!D7/100/12</f>
        <v/>
      </c>
      <c r="K298">
        <f>MIN(Plan!E7,I298+J298)</f>
        <v/>
      </c>
      <c r="L298">
        <f>I298+J298-K298</f>
        <v/>
      </c>
      <c r="M298">
        <f>MIN(L298,MAX(0,$B298-((E$5&lt;K$5)*F298+(Q$5&lt;K$5)*R298+(W$5&lt;K$5)*X298+(AC$5&lt;K$5)*AD298+(AI$5&lt;K$5)*AJ298+(AO$5&lt;K$5)*AP298+(AU$5&lt;K$5)*AV298)))</f>
        <v/>
      </c>
      <c r="N298">
        <f>IF(L298-M298&lt;0.005,0,L298-M298)</f>
        <v/>
      </c>
      <c r="O298">
        <f>T297</f>
        <v/>
      </c>
      <c r="P298">
        <f>O298*Plan!D8/100/12</f>
        <v/>
      </c>
      <c r="Q298">
        <f>MIN(Plan!E8,O298+P298)</f>
        <v/>
      </c>
      <c r="R298">
        <f>O298+P298-Q298</f>
        <v/>
      </c>
      <c r="S298">
        <f>MIN(R298,MAX(0,$B298-((E$5&lt;Q$5)*F298+(K$5&lt;Q$5)*L298+(W$5&lt;Q$5)*X298+(AC$5&lt;Q$5)*AD298+(AI$5&lt;Q$5)*AJ298+(AO$5&lt;Q$5)*AP298+(AU$5&lt;Q$5)*AV298)))</f>
        <v/>
      </c>
      <c r="T298">
        <f>IF(R298-S298&lt;0.005,0,R298-S298)</f>
        <v/>
      </c>
      <c r="U298">
        <f>Z297</f>
        <v/>
      </c>
      <c r="V298">
        <f>U298*Plan!D9/100/12</f>
        <v/>
      </c>
      <c r="W298">
        <f>MIN(Plan!E9,U298+V298)</f>
        <v/>
      </c>
      <c r="X298">
        <f>U298+V298-W298</f>
        <v/>
      </c>
      <c r="Y298">
        <f>MIN(X298,MAX(0,$B298-((E$5&lt;W$5)*F298+(K$5&lt;W$5)*L298+(Q$5&lt;W$5)*R298+(AC$5&lt;W$5)*AD298+(AI$5&lt;W$5)*AJ298+(AO$5&lt;W$5)*AP298+(AU$5&lt;W$5)*AV298)))</f>
        <v/>
      </c>
      <c r="Z298">
        <f>IF(X298-Y298&lt;0.005,0,X298-Y298)</f>
        <v/>
      </c>
      <c r="AA298">
        <f>AF297</f>
        <v/>
      </c>
      <c r="AB298">
        <f>AA298*Plan!D10/100/12</f>
        <v/>
      </c>
      <c r="AC298">
        <f>MIN(Plan!E10,AA298+AB298)</f>
        <v/>
      </c>
      <c r="AD298">
        <f>AA298+AB298-AC298</f>
        <v/>
      </c>
      <c r="AE298">
        <f>MIN(AD298,MAX(0,$B298-((E$5&lt;AC$5)*F298+(K$5&lt;AC$5)*L298+(Q$5&lt;AC$5)*R298+(W$5&lt;AC$5)*X298+(AI$5&lt;AC$5)*AJ298+(AO$5&lt;AC$5)*AP298+(AU$5&lt;AC$5)*AV298)))</f>
        <v/>
      </c>
      <c r="AF298">
        <f>IF(AD298-AE298&lt;0.005,0,AD298-AE298)</f>
        <v/>
      </c>
      <c r="AG298">
        <f>AL297</f>
        <v/>
      </c>
      <c r="AH298">
        <f>AG298*Plan!D11/100/12</f>
        <v/>
      </c>
      <c r="AI298">
        <f>MIN(Plan!E11,AG298+AH298)</f>
        <v/>
      </c>
      <c r="AJ298">
        <f>AG298+AH298-AI298</f>
        <v/>
      </c>
      <c r="AK298">
        <f>MIN(AJ298,MAX(0,$B298-((E$5&lt;AI$5)*F298+(K$5&lt;AI$5)*L298+(Q$5&lt;AI$5)*R298+(W$5&lt;AI$5)*X298+(AC$5&lt;AI$5)*AD298+(AO$5&lt;AI$5)*AP298+(AU$5&lt;AI$5)*AV298)))</f>
        <v/>
      </c>
      <c r="AL298">
        <f>IF(AJ298-AK298&lt;0.005,0,AJ298-AK298)</f>
        <v/>
      </c>
      <c r="AM298">
        <f>AR297</f>
        <v/>
      </c>
      <c r="AN298">
        <f>AM298*Plan!D12/100/12</f>
        <v/>
      </c>
      <c r="AO298">
        <f>MIN(Plan!E12,AM298+AN298)</f>
        <v/>
      </c>
      <c r="AP298">
        <f>AM298+AN298-AO298</f>
        <v/>
      </c>
      <c r="AQ298">
        <f>MIN(AP298,MAX(0,$B298-((E$5&lt;AO$5)*F298+(K$5&lt;AO$5)*L298+(Q$5&lt;AO$5)*R298+(W$5&lt;AO$5)*X298+(AC$5&lt;AO$5)*AD298+(AI$5&lt;AO$5)*AJ298+(AU$5&lt;AO$5)*AV298)))</f>
        <v/>
      </c>
      <c r="AR298">
        <f>IF(AP298-AQ298&lt;0.005,0,AP298-AQ298)</f>
        <v/>
      </c>
      <c r="AS298">
        <f>AX297</f>
        <v/>
      </c>
      <c r="AT298">
        <f>AS298*Plan!D13/100/12</f>
        <v/>
      </c>
      <c r="AU298">
        <f>MIN(Plan!E13,AS298+AT298)</f>
        <v/>
      </c>
      <c r="AV298">
        <f>AS298+AT298-AU298</f>
        <v/>
      </c>
      <c r="AW298">
        <f>MIN(AV298,MAX(0,$B298-((E$5&lt;AU$5)*F298+(K$5&lt;AU$5)*L298+(Q$5&lt;AU$5)*R298+(W$5&lt;AU$5)*X298+(AC$5&lt;AU$5)*AD298+(AI$5&lt;AU$5)*AJ298+(AO$5&lt;AU$5)*AP298)))</f>
        <v/>
      </c>
      <c r="AX298">
        <f>IF(AV298-AW298&lt;0.005,0,AV298-AW298)</f>
        <v/>
      </c>
      <c r="BC298">
        <f>H298+N298+T298+Z298+AF298+AL298+AR298+AX298</f>
        <v/>
      </c>
    </row>
    <row r="299">
      <c r="A299" t="n">
        <v>293</v>
      </c>
      <c r="B299" s="19">
        <f>MAX(0,$B$3-(E299+K299+Q299+W299+AC299+AI299+AO299+AU299))</f>
        <v/>
      </c>
      <c r="C299">
        <f>H298</f>
        <v/>
      </c>
      <c r="D299">
        <f>C299*Plan!D6/100/12</f>
        <v/>
      </c>
      <c r="E299">
        <f>MIN(Plan!E6,C299+D299)</f>
        <v/>
      </c>
      <c r="F299">
        <f>C299+D299-E299</f>
        <v/>
      </c>
      <c r="G299">
        <f>MIN(F299,MAX(0,$B299-((K$5&lt;E$5)*L299+(Q$5&lt;E$5)*R299+(W$5&lt;E$5)*X299+(AC$5&lt;E$5)*AD299+(AI$5&lt;E$5)*AJ299+(AO$5&lt;E$5)*AP299+(AU$5&lt;E$5)*AV299)))</f>
        <v/>
      </c>
      <c r="H299">
        <f>IF(F299-G299&lt;0.005,0,F299-G299)</f>
        <v/>
      </c>
      <c r="I299">
        <f>N298</f>
        <v/>
      </c>
      <c r="J299">
        <f>I299*Plan!D7/100/12</f>
        <v/>
      </c>
      <c r="K299">
        <f>MIN(Plan!E7,I299+J299)</f>
        <v/>
      </c>
      <c r="L299">
        <f>I299+J299-K299</f>
        <v/>
      </c>
      <c r="M299">
        <f>MIN(L299,MAX(0,$B299-((E$5&lt;K$5)*F299+(Q$5&lt;K$5)*R299+(W$5&lt;K$5)*X299+(AC$5&lt;K$5)*AD299+(AI$5&lt;K$5)*AJ299+(AO$5&lt;K$5)*AP299+(AU$5&lt;K$5)*AV299)))</f>
        <v/>
      </c>
      <c r="N299">
        <f>IF(L299-M299&lt;0.005,0,L299-M299)</f>
        <v/>
      </c>
      <c r="O299">
        <f>T298</f>
        <v/>
      </c>
      <c r="P299">
        <f>O299*Plan!D8/100/12</f>
        <v/>
      </c>
      <c r="Q299">
        <f>MIN(Plan!E8,O299+P299)</f>
        <v/>
      </c>
      <c r="R299">
        <f>O299+P299-Q299</f>
        <v/>
      </c>
      <c r="S299">
        <f>MIN(R299,MAX(0,$B299-((E$5&lt;Q$5)*F299+(K$5&lt;Q$5)*L299+(W$5&lt;Q$5)*X299+(AC$5&lt;Q$5)*AD299+(AI$5&lt;Q$5)*AJ299+(AO$5&lt;Q$5)*AP299+(AU$5&lt;Q$5)*AV299)))</f>
        <v/>
      </c>
      <c r="T299">
        <f>IF(R299-S299&lt;0.005,0,R299-S299)</f>
        <v/>
      </c>
      <c r="U299">
        <f>Z298</f>
        <v/>
      </c>
      <c r="V299">
        <f>U299*Plan!D9/100/12</f>
        <v/>
      </c>
      <c r="W299">
        <f>MIN(Plan!E9,U299+V299)</f>
        <v/>
      </c>
      <c r="X299">
        <f>U299+V299-W299</f>
        <v/>
      </c>
      <c r="Y299">
        <f>MIN(X299,MAX(0,$B299-((E$5&lt;W$5)*F299+(K$5&lt;W$5)*L299+(Q$5&lt;W$5)*R299+(AC$5&lt;W$5)*AD299+(AI$5&lt;W$5)*AJ299+(AO$5&lt;W$5)*AP299+(AU$5&lt;W$5)*AV299)))</f>
        <v/>
      </c>
      <c r="Z299">
        <f>IF(X299-Y299&lt;0.005,0,X299-Y299)</f>
        <v/>
      </c>
      <c r="AA299">
        <f>AF298</f>
        <v/>
      </c>
      <c r="AB299">
        <f>AA299*Plan!D10/100/12</f>
        <v/>
      </c>
      <c r="AC299">
        <f>MIN(Plan!E10,AA299+AB299)</f>
        <v/>
      </c>
      <c r="AD299">
        <f>AA299+AB299-AC299</f>
        <v/>
      </c>
      <c r="AE299">
        <f>MIN(AD299,MAX(0,$B299-((E$5&lt;AC$5)*F299+(K$5&lt;AC$5)*L299+(Q$5&lt;AC$5)*R299+(W$5&lt;AC$5)*X299+(AI$5&lt;AC$5)*AJ299+(AO$5&lt;AC$5)*AP299+(AU$5&lt;AC$5)*AV299)))</f>
        <v/>
      </c>
      <c r="AF299">
        <f>IF(AD299-AE299&lt;0.005,0,AD299-AE299)</f>
        <v/>
      </c>
      <c r="AG299">
        <f>AL298</f>
        <v/>
      </c>
      <c r="AH299">
        <f>AG299*Plan!D11/100/12</f>
        <v/>
      </c>
      <c r="AI299">
        <f>MIN(Plan!E11,AG299+AH299)</f>
        <v/>
      </c>
      <c r="AJ299">
        <f>AG299+AH299-AI299</f>
        <v/>
      </c>
      <c r="AK299">
        <f>MIN(AJ299,MAX(0,$B299-((E$5&lt;AI$5)*F299+(K$5&lt;AI$5)*L299+(Q$5&lt;AI$5)*R299+(W$5&lt;AI$5)*X299+(AC$5&lt;AI$5)*AD299+(AO$5&lt;AI$5)*AP299+(AU$5&lt;AI$5)*AV299)))</f>
        <v/>
      </c>
      <c r="AL299">
        <f>IF(AJ299-AK299&lt;0.005,0,AJ299-AK299)</f>
        <v/>
      </c>
      <c r="AM299">
        <f>AR298</f>
        <v/>
      </c>
      <c r="AN299">
        <f>AM299*Plan!D12/100/12</f>
        <v/>
      </c>
      <c r="AO299">
        <f>MIN(Plan!E12,AM299+AN299)</f>
        <v/>
      </c>
      <c r="AP299">
        <f>AM299+AN299-AO299</f>
        <v/>
      </c>
      <c r="AQ299">
        <f>MIN(AP299,MAX(0,$B299-((E$5&lt;AO$5)*F299+(K$5&lt;AO$5)*L299+(Q$5&lt;AO$5)*R299+(W$5&lt;AO$5)*X299+(AC$5&lt;AO$5)*AD299+(AI$5&lt;AO$5)*AJ299+(AU$5&lt;AO$5)*AV299)))</f>
        <v/>
      </c>
      <c r="AR299">
        <f>IF(AP299-AQ299&lt;0.005,0,AP299-AQ299)</f>
        <v/>
      </c>
      <c r="AS299">
        <f>AX298</f>
        <v/>
      </c>
      <c r="AT299">
        <f>AS299*Plan!D13/100/12</f>
        <v/>
      </c>
      <c r="AU299">
        <f>MIN(Plan!E13,AS299+AT299)</f>
        <v/>
      </c>
      <c r="AV299">
        <f>AS299+AT299-AU299</f>
        <v/>
      </c>
      <c r="AW299">
        <f>MIN(AV299,MAX(0,$B299-((E$5&lt;AU$5)*F299+(K$5&lt;AU$5)*L299+(Q$5&lt;AU$5)*R299+(W$5&lt;AU$5)*X299+(AC$5&lt;AU$5)*AD299+(AI$5&lt;AU$5)*AJ299+(AO$5&lt;AU$5)*AP299)))</f>
        <v/>
      </c>
      <c r="AX299">
        <f>IF(AV299-AW299&lt;0.005,0,AV299-AW299)</f>
        <v/>
      </c>
      <c r="BC299">
        <f>H299+N299+T299+Z299+AF299+AL299+AR299+AX299</f>
        <v/>
      </c>
    </row>
    <row r="300">
      <c r="A300" t="n">
        <v>294</v>
      </c>
      <c r="B300" s="19">
        <f>MAX(0,$B$3-(E300+K300+Q300+W300+AC300+AI300+AO300+AU300))</f>
        <v/>
      </c>
      <c r="C300">
        <f>H299</f>
        <v/>
      </c>
      <c r="D300">
        <f>C300*Plan!D6/100/12</f>
        <v/>
      </c>
      <c r="E300">
        <f>MIN(Plan!E6,C300+D300)</f>
        <v/>
      </c>
      <c r="F300">
        <f>C300+D300-E300</f>
        <v/>
      </c>
      <c r="G300">
        <f>MIN(F300,MAX(0,$B300-((K$5&lt;E$5)*L300+(Q$5&lt;E$5)*R300+(W$5&lt;E$5)*X300+(AC$5&lt;E$5)*AD300+(AI$5&lt;E$5)*AJ300+(AO$5&lt;E$5)*AP300+(AU$5&lt;E$5)*AV300)))</f>
        <v/>
      </c>
      <c r="H300">
        <f>IF(F300-G300&lt;0.005,0,F300-G300)</f>
        <v/>
      </c>
      <c r="I300">
        <f>N299</f>
        <v/>
      </c>
      <c r="J300">
        <f>I300*Plan!D7/100/12</f>
        <v/>
      </c>
      <c r="K300">
        <f>MIN(Plan!E7,I300+J300)</f>
        <v/>
      </c>
      <c r="L300">
        <f>I300+J300-K300</f>
        <v/>
      </c>
      <c r="M300">
        <f>MIN(L300,MAX(0,$B300-((E$5&lt;K$5)*F300+(Q$5&lt;K$5)*R300+(W$5&lt;K$5)*X300+(AC$5&lt;K$5)*AD300+(AI$5&lt;K$5)*AJ300+(AO$5&lt;K$5)*AP300+(AU$5&lt;K$5)*AV300)))</f>
        <v/>
      </c>
      <c r="N300">
        <f>IF(L300-M300&lt;0.005,0,L300-M300)</f>
        <v/>
      </c>
      <c r="O300">
        <f>T299</f>
        <v/>
      </c>
      <c r="P300">
        <f>O300*Plan!D8/100/12</f>
        <v/>
      </c>
      <c r="Q300">
        <f>MIN(Plan!E8,O300+P300)</f>
        <v/>
      </c>
      <c r="R300">
        <f>O300+P300-Q300</f>
        <v/>
      </c>
      <c r="S300">
        <f>MIN(R300,MAX(0,$B300-((E$5&lt;Q$5)*F300+(K$5&lt;Q$5)*L300+(W$5&lt;Q$5)*X300+(AC$5&lt;Q$5)*AD300+(AI$5&lt;Q$5)*AJ300+(AO$5&lt;Q$5)*AP300+(AU$5&lt;Q$5)*AV300)))</f>
        <v/>
      </c>
      <c r="T300">
        <f>IF(R300-S300&lt;0.005,0,R300-S300)</f>
        <v/>
      </c>
      <c r="U300">
        <f>Z299</f>
        <v/>
      </c>
      <c r="V300">
        <f>U300*Plan!D9/100/12</f>
        <v/>
      </c>
      <c r="W300">
        <f>MIN(Plan!E9,U300+V300)</f>
        <v/>
      </c>
      <c r="X300">
        <f>U300+V300-W300</f>
        <v/>
      </c>
      <c r="Y300">
        <f>MIN(X300,MAX(0,$B300-((E$5&lt;W$5)*F300+(K$5&lt;W$5)*L300+(Q$5&lt;W$5)*R300+(AC$5&lt;W$5)*AD300+(AI$5&lt;W$5)*AJ300+(AO$5&lt;W$5)*AP300+(AU$5&lt;W$5)*AV300)))</f>
        <v/>
      </c>
      <c r="Z300">
        <f>IF(X300-Y300&lt;0.005,0,X300-Y300)</f>
        <v/>
      </c>
      <c r="AA300">
        <f>AF299</f>
        <v/>
      </c>
      <c r="AB300">
        <f>AA300*Plan!D10/100/12</f>
        <v/>
      </c>
      <c r="AC300">
        <f>MIN(Plan!E10,AA300+AB300)</f>
        <v/>
      </c>
      <c r="AD300">
        <f>AA300+AB300-AC300</f>
        <v/>
      </c>
      <c r="AE300">
        <f>MIN(AD300,MAX(0,$B300-((E$5&lt;AC$5)*F300+(K$5&lt;AC$5)*L300+(Q$5&lt;AC$5)*R300+(W$5&lt;AC$5)*X300+(AI$5&lt;AC$5)*AJ300+(AO$5&lt;AC$5)*AP300+(AU$5&lt;AC$5)*AV300)))</f>
        <v/>
      </c>
      <c r="AF300">
        <f>IF(AD300-AE300&lt;0.005,0,AD300-AE300)</f>
        <v/>
      </c>
      <c r="AG300">
        <f>AL299</f>
        <v/>
      </c>
      <c r="AH300">
        <f>AG300*Plan!D11/100/12</f>
        <v/>
      </c>
      <c r="AI300">
        <f>MIN(Plan!E11,AG300+AH300)</f>
        <v/>
      </c>
      <c r="AJ300">
        <f>AG300+AH300-AI300</f>
        <v/>
      </c>
      <c r="AK300">
        <f>MIN(AJ300,MAX(0,$B300-((E$5&lt;AI$5)*F300+(K$5&lt;AI$5)*L300+(Q$5&lt;AI$5)*R300+(W$5&lt;AI$5)*X300+(AC$5&lt;AI$5)*AD300+(AO$5&lt;AI$5)*AP300+(AU$5&lt;AI$5)*AV300)))</f>
        <v/>
      </c>
      <c r="AL300">
        <f>IF(AJ300-AK300&lt;0.005,0,AJ300-AK300)</f>
        <v/>
      </c>
      <c r="AM300">
        <f>AR299</f>
        <v/>
      </c>
      <c r="AN300">
        <f>AM300*Plan!D12/100/12</f>
        <v/>
      </c>
      <c r="AO300">
        <f>MIN(Plan!E12,AM300+AN300)</f>
        <v/>
      </c>
      <c r="AP300">
        <f>AM300+AN300-AO300</f>
        <v/>
      </c>
      <c r="AQ300">
        <f>MIN(AP300,MAX(0,$B300-((E$5&lt;AO$5)*F300+(K$5&lt;AO$5)*L300+(Q$5&lt;AO$5)*R300+(W$5&lt;AO$5)*X300+(AC$5&lt;AO$5)*AD300+(AI$5&lt;AO$5)*AJ300+(AU$5&lt;AO$5)*AV300)))</f>
        <v/>
      </c>
      <c r="AR300">
        <f>IF(AP300-AQ300&lt;0.005,0,AP300-AQ300)</f>
        <v/>
      </c>
      <c r="AS300">
        <f>AX299</f>
        <v/>
      </c>
      <c r="AT300">
        <f>AS300*Plan!D13/100/12</f>
        <v/>
      </c>
      <c r="AU300">
        <f>MIN(Plan!E13,AS300+AT300)</f>
        <v/>
      </c>
      <c r="AV300">
        <f>AS300+AT300-AU300</f>
        <v/>
      </c>
      <c r="AW300">
        <f>MIN(AV300,MAX(0,$B300-((E$5&lt;AU$5)*F300+(K$5&lt;AU$5)*L300+(Q$5&lt;AU$5)*R300+(W$5&lt;AU$5)*X300+(AC$5&lt;AU$5)*AD300+(AI$5&lt;AU$5)*AJ300+(AO$5&lt;AU$5)*AP300)))</f>
        <v/>
      </c>
      <c r="AX300">
        <f>IF(AV300-AW300&lt;0.005,0,AV300-AW300)</f>
        <v/>
      </c>
      <c r="BC300">
        <f>H300+N300+T300+Z300+AF300+AL300+AR300+AX300</f>
        <v/>
      </c>
    </row>
    <row r="301">
      <c r="A301" t="n">
        <v>295</v>
      </c>
      <c r="B301" s="19">
        <f>MAX(0,$B$3-(E301+K301+Q301+W301+AC301+AI301+AO301+AU301))</f>
        <v/>
      </c>
      <c r="C301">
        <f>H300</f>
        <v/>
      </c>
      <c r="D301">
        <f>C301*Plan!D6/100/12</f>
        <v/>
      </c>
      <c r="E301">
        <f>MIN(Plan!E6,C301+D301)</f>
        <v/>
      </c>
      <c r="F301">
        <f>C301+D301-E301</f>
        <v/>
      </c>
      <c r="G301">
        <f>MIN(F301,MAX(0,$B301-((K$5&lt;E$5)*L301+(Q$5&lt;E$5)*R301+(W$5&lt;E$5)*X301+(AC$5&lt;E$5)*AD301+(AI$5&lt;E$5)*AJ301+(AO$5&lt;E$5)*AP301+(AU$5&lt;E$5)*AV301)))</f>
        <v/>
      </c>
      <c r="H301">
        <f>IF(F301-G301&lt;0.005,0,F301-G301)</f>
        <v/>
      </c>
      <c r="I301">
        <f>N300</f>
        <v/>
      </c>
      <c r="J301">
        <f>I301*Plan!D7/100/12</f>
        <v/>
      </c>
      <c r="K301">
        <f>MIN(Plan!E7,I301+J301)</f>
        <v/>
      </c>
      <c r="L301">
        <f>I301+J301-K301</f>
        <v/>
      </c>
      <c r="M301">
        <f>MIN(L301,MAX(0,$B301-((E$5&lt;K$5)*F301+(Q$5&lt;K$5)*R301+(W$5&lt;K$5)*X301+(AC$5&lt;K$5)*AD301+(AI$5&lt;K$5)*AJ301+(AO$5&lt;K$5)*AP301+(AU$5&lt;K$5)*AV301)))</f>
        <v/>
      </c>
      <c r="N301">
        <f>IF(L301-M301&lt;0.005,0,L301-M301)</f>
        <v/>
      </c>
      <c r="O301">
        <f>T300</f>
        <v/>
      </c>
      <c r="P301">
        <f>O301*Plan!D8/100/12</f>
        <v/>
      </c>
      <c r="Q301">
        <f>MIN(Plan!E8,O301+P301)</f>
        <v/>
      </c>
      <c r="R301">
        <f>O301+P301-Q301</f>
        <v/>
      </c>
      <c r="S301">
        <f>MIN(R301,MAX(0,$B301-((E$5&lt;Q$5)*F301+(K$5&lt;Q$5)*L301+(W$5&lt;Q$5)*X301+(AC$5&lt;Q$5)*AD301+(AI$5&lt;Q$5)*AJ301+(AO$5&lt;Q$5)*AP301+(AU$5&lt;Q$5)*AV301)))</f>
        <v/>
      </c>
      <c r="T301">
        <f>IF(R301-S301&lt;0.005,0,R301-S301)</f>
        <v/>
      </c>
      <c r="U301">
        <f>Z300</f>
        <v/>
      </c>
      <c r="V301">
        <f>U301*Plan!D9/100/12</f>
        <v/>
      </c>
      <c r="W301">
        <f>MIN(Plan!E9,U301+V301)</f>
        <v/>
      </c>
      <c r="X301">
        <f>U301+V301-W301</f>
        <v/>
      </c>
      <c r="Y301">
        <f>MIN(X301,MAX(0,$B301-((E$5&lt;W$5)*F301+(K$5&lt;W$5)*L301+(Q$5&lt;W$5)*R301+(AC$5&lt;W$5)*AD301+(AI$5&lt;W$5)*AJ301+(AO$5&lt;W$5)*AP301+(AU$5&lt;W$5)*AV301)))</f>
        <v/>
      </c>
      <c r="Z301">
        <f>IF(X301-Y301&lt;0.005,0,X301-Y301)</f>
        <v/>
      </c>
      <c r="AA301">
        <f>AF300</f>
        <v/>
      </c>
      <c r="AB301">
        <f>AA301*Plan!D10/100/12</f>
        <v/>
      </c>
      <c r="AC301">
        <f>MIN(Plan!E10,AA301+AB301)</f>
        <v/>
      </c>
      <c r="AD301">
        <f>AA301+AB301-AC301</f>
        <v/>
      </c>
      <c r="AE301">
        <f>MIN(AD301,MAX(0,$B301-((E$5&lt;AC$5)*F301+(K$5&lt;AC$5)*L301+(Q$5&lt;AC$5)*R301+(W$5&lt;AC$5)*X301+(AI$5&lt;AC$5)*AJ301+(AO$5&lt;AC$5)*AP301+(AU$5&lt;AC$5)*AV301)))</f>
        <v/>
      </c>
      <c r="AF301">
        <f>IF(AD301-AE301&lt;0.005,0,AD301-AE301)</f>
        <v/>
      </c>
      <c r="AG301">
        <f>AL300</f>
        <v/>
      </c>
      <c r="AH301">
        <f>AG301*Plan!D11/100/12</f>
        <v/>
      </c>
      <c r="AI301">
        <f>MIN(Plan!E11,AG301+AH301)</f>
        <v/>
      </c>
      <c r="AJ301">
        <f>AG301+AH301-AI301</f>
        <v/>
      </c>
      <c r="AK301">
        <f>MIN(AJ301,MAX(0,$B301-((E$5&lt;AI$5)*F301+(K$5&lt;AI$5)*L301+(Q$5&lt;AI$5)*R301+(W$5&lt;AI$5)*X301+(AC$5&lt;AI$5)*AD301+(AO$5&lt;AI$5)*AP301+(AU$5&lt;AI$5)*AV301)))</f>
        <v/>
      </c>
      <c r="AL301">
        <f>IF(AJ301-AK301&lt;0.005,0,AJ301-AK301)</f>
        <v/>
      </c>
      <c r="AM301">
        <f>AR300</f>
        <v/>
      </c>
      <c r="AN301">
        <f>AM301*Plan!D12/100/12</f>
        <v/>
      </c>
      <c r="AO301">
        <f>MIN(Plan!E12,AM301+AN301)</f>
        <v/>
      </c>
      <c r="AP301">
        <f>AM301+AN301-AO301</f>
        <v/>
      </c>
      <c r="AQ301">
        <f>MIN(AP301,MAX(0,$B301-((E$5&lt;AO$5)*F301+(K$5&lt;AO$5)*L301+(Q$5&lt;AO$5)*R301+(W$5&lt;AO$5)*X301+(AC$5&lt;AO$5)*AD301+(AI$5&lt;AO$5)*AJ301+(AU$5&lt;AO$5)*AV301)))</f>
        <v/>
      </c>
      <c r="AR301">
        <f>IF(AP301-AQ301&lt;0.005,0,AP301-AQ301)</f>
        <v/>
      </c>
      <c r="AS301">
        <f>AX300</f>
        <v/>
      </c>
      <c r="AT301">
        <f>AS301*Plan!D13/100/12</f>
        <v/>
      </c>
      <c r="AU301">
        <f>MIN(Plan!E13,AS301+AT301)</f>
        <v/>
      </c>
      <c r="AV301">
        <f>AS301+AT301-AU301</f>
        <v/>
      </c>
      <c r="AW301">
        <f>MIN(AV301,MAX(0,$B301-((E$5&lt;AU$5)*F301+(K$5&lt;AU$5)*L301+(Q$5&lt;AU$5)*R301+(W$5&lt;AU$5)*X301+(AC$5&lt;AU$5)*AD301+(AI$5&lt;AU$5)*AJ301+(AO$5&lt;AU$5)*AP301)))</f>
        <v/>
      </c>
      <c r="AX301">
        <f>IF(AV301-AW301&lt;0.005,0,AV301-AW301)</f>
        <v/>
      </c>
      <c r="BC301">
        <f>H301+N301+T301+Z301+AF301+AL301+AR301+AX301</f>
        <v/>
      </c>
    </row>
    <row r="302">
      <c r="A302" t="n">
        <v>296</v>
      </c>
      <c r="B302" s="19">
        <f>MAX(0,$B$3-(E302+K302+Q302+W302+AC302+AI302+AO302+AU302))</f>
        <v/>
      </c>
      <c r="C302">
        <f>H301</f>
        <v/>
      </c>
      <c r="D302">
        <f>C302*Plan!D6/100/12</f>
        <v/>
      </c>
      <c r="E302">
        <f>MIN(Plan!E6,C302+D302)</f>
        <v/>
      </c>
      <c r="F302">
        <f>C302+D302-E302</f>
        <v/>
      </c>
      <c r="G302">
        <f>MIN(F302,MAX(0,$B302-((K$5&lt;E$5)*L302+(Q$5&lt;E$5)*R302+(W$5&lt;E$5)*X302+(AC$5&lt;E$5)*AD302+(AI$5&lt;E$5)*AJ302+(AO$5&lt;E$5)*AP302+(AU$5&lt;E$5)*AV302)))</f>
        <v/>
      </c>
      <c r="H302">
        <f>IF(F302-G302&lt;0.005,0,F302-G302)</f>
        <v/>
      </c>
      <c r="I302">
        <f>N301</f>
        <v/>
      </c>
      <c r="J302">
        <f>I302*Plan!D7/100/12</f>
        <v/>
      </c>
      <c r="K302">
        <f>MIN(Plan!E7,I302+J302)</f>
        <v/>
      </c>
      <c r="L302">
        <f>I302+J302-K302</f>
        <v/>
      </c>
      <c r="M302">
        <f>MIN(L302,MAX(0,$B302-((E$5&lt;K$5)*F302+(Q$5&lt;K$5)*R302+(W$5&lt;K$5)*X302+(AC$5&lt;K$5)*AD302+(AI$5&lt;K$5)*AJ302+(AO$5&lt;K$5)*AP302+(AU$5&lt;K$5)*AV302)))</f>
        <v/>
      </c>
      <c r="N302">
        <f>IF(L302-M302&lt;0.005,0,L302-M302)</f>
        <v/>
      </c>
      <c r="O302">
        <f>T301</f>
        <v/>
      </c>
      <c r="P302">
        <f>O302*Plan!D8/100/12</f>
        <v/>
      </c>
      <c r="Q302">
        <f>MIN(Plan!E8,O302+P302)</f>
        <v/>
      </c>
      <c r="R302">
        <f>O302+P302-Q302</f>
        <v/>
      </c>
      <c r="S302">
        <f>MIN(R302,MAX(0,$B302-((E$5&lt;Q$5)*F302+(K$5&lt;Q$5)*L302+(W$5&lt;Q$5)*X302+(AC$5&lt;Q$5)*AD302+(AI$5&lt;Q$5)*AJ302+(AO$5&lt;Q$5)*AP302+(AU$5&lt;Q$5)*AV302)))</f>
        <v/>
      </c>
      <c r="T302">
        <f>IF(R302-S302&lt;0.005,0,R302-S302)</f>
        <v/>
      </c>
      <c r="U302">
        <f>Z301</f>
        <v/>
      </c>
      <c r="V302">
        <f>U302*Plan!D9/100/12</f>
        <v/>
      </c>
      <c r="W302">
        <f>MIN(Plan!E9,U302+V302)</f>
        <v/>
      </c>
      <c r="X302">
        <f>U302+V302-W302</f>
        <v/>
      </c>
      <c r="Y302">
        <f>MIN(X302,MAX(0,$B302-((E$5&lt;W$5)*F302+(K$5&lt;W$5)*L302+(Q$5&lt;W$5)*R302+(AC$5&lt;W$5)*AD302+(AI$5&lt;W$5)*AJ302+(AO$5&lt;W$5)*AP302+(AU$5&lt;W$5)*AV302)))</f>
        <v/>
      </c>
      <c r="Z302">
        <f>IF(X302-Y302&lt;0.005,0,X302-Y302)</f>
        <v/>
      </c>
      <c r="AA302">
        <f>AF301</f>
        <v/>
      </c>
      <c r="AB302">
        <f>AA302*Plan!D10/100/12</f>
        <v/>
      </c>
      <c r="AC302">
        <f>MIN(Plan!E10,AA302+AB302)</f>
        <v/>
      </c>
      <c r="AD302">
        <f>AA302+AB302-AC302</f>
        <v/>
      </c>
      <c r="AE302">
        <f>MIN(AD302,MAX(0,$B302-((E$5&lt;AC$5)*F302+(K$5&lt;AC$5)*L302+(Q$5&lt;AC$5)*R302+(W$5&lt;AC$5)*X302+(AI$5&lt;AC$5)*AJ302+(AO$5&lt;AC$5)*AP302+(AU$5&lt;AC$5)*AV302)))</f>
        <v/>
      </c>
      <c r="AF302">
        <f>IF(AD302-AE302&lt;0.005,0,AD302-AE302)</f>
        <v/>
      </c>
      <c r="AG302">
        <f>AL301</f>
        <v/>
      </c>
      <c r="AH302">
        <f>AG302*Plan!D11/100/12</f>
        <v/>
      </c>
      <c r="AI302">
        <f>MIN(Plan!E11,AG302+AH302)</f>
        <v/>
      </c>
      <c r="AJ302">
        <f>AG302+AH302-AI302</f>
        <v/>
      </c>
      <c r="AK302">
        <f>MIN(AJ302,MAX(0,$B302-((E$5&lt;AI$5)*F302+(K$5&lt;AI$5)*L302+(Q$5&lt;AI$5)*R302+(W$5&lt;AI$5)*X302+(AC$5&lt;AI$5)*AD302+(AO$5&lt;AI$5)*AP302+(AU$5&lt;AI$5)*AV302)))</f>
        <v/>
      </c>
      <c r="AL302">
        <f>IF(AJ302-AK302&lt;0.005,0,AJ302-AK302)</f>
        <v/>
      </c>
      <c r="AM302">
        <f>AR301</f>
        <v/>
      </c>
      <c r="AN302">
        <f>AM302*Plan!D12/100/12</f>
        <v/>
      </c>
      <c r="AO302">
        <f>MIN(Plan!E12,AM302+AN302)</f>
        <v/>
      </c>
      <c r="AP302">
        <f>AM302+AN302-AO302</f>
        <v/>
      </c>
      <c r="AQ302">
        <f>MIN(AP302,MAX(0,$B302-((E$5&lt;AO$5)*F302+(K$5&lt;AO$5)*L302+(Q$5&lt;AO$5)*R302+(W$5&lt;AO$5)*X302+(AC$5&lt;AO$5)*AD302+(AI$5&lt;AO$5)*AJ302+(AU$5&lt;AO$5)*AV302)))</f>
        <v/>
      </c>
      <c r="AR302">
        <f>IF(AP302-AQ302&lt;0.005,0,AP302-AQ302)</f>
        <v/>
      </c>
      <c r="AS302">
        <f>AX301</f>
        <v/>
      </c>
      <c r="AT302">
        <f>AS302*Plan!D13/100/12</f>
        <v/>
      </c>
      <c r="AU302">
        <f>MIN(Plan!E13,AS302+AT302)</f>
        <v/>
      </c>
      <c r="AV302">
        <f>AS302+AT302-AU302</f>
        <v/>
      </c>
      <c r="AW302">
        <f>MIN(AV302,MAX(0,$B302-((E$5&lt;AU$5)*F302+(K$5&lt;AU$5)*L302+(Q$5&lt;AU$5)*R302+(W$5&lt;AU$5)*X302+(AC$5&lt;AU$5)*AD302+(AI$5&lt;AU$5)*AJ302+(AO$5&lt;AU$5)*AP302)))</f>
        <v/>
      </c>
      <c r="AX302">
        <f>IF(AV302-AW302&lt;0.005,0,AV302-AW302)</f>
        <v/>
      </c>
      <c r="BC302">
        <f>H302+N302+T302+Z302+AF302+AL302+AR302+AX302</f>
        <v/>
      </c>
    </row>
    <row r="303">
      <c r="A303" t="n">
        <v>297</v>
      </c>
      <c r="B303" s="19">
        <f>MAX(0,$B$3-(E303+K303+Q303+W303+AC303+AI303+AO303+AU303))</f>
        <v/>
      </c>
      <c r="C303">
        <f>H302</f>
        <v/>
      </c>
      <c r="D303">
        <f>C303*Plan!D6/100/12</f>
        <v/>
      </c>
      <c r="E303">
        <f>MIN(Plan!E6,C303+D303)</f>
        <v/>
      </c>
      <c r="F303">
        <f>C303+D303-E303</f>
        <v/>
      </c>
      <c r="G303">
        <f>MIN(F303,MAX(0,$B303-((K$5&lt;E$5)*L303+(Q$5&lt;E$5)*R303+(W$5&lt;E$5)*X303+(AC$5&lt;E$5)*AD303+(AI$5&lt;E$5)*AJ303+(AO$5&lt;E$5)*AP303+(AU$5&lt;E$5)*AV303)))</f>
        <v/>
      </c>
      <c r="H303">
        <f>IF(F303-G303&lt;0.005,0,F303-G303)</f>
        <v/>
      </c>
      <c r="I303">
        <f>N302</f>
        <v/>
      </c>
      <c r="J303">
        <f>I303*Plan!D7/100/12</f>
        <v/>
      </c>
      <c r="K303">
        <f>MIN(Plan!E7,I303+J303)</f>
        <v/>
      </c>
      <c r="L303">
        <f>I303+J303-K303</f>
        <v/>
      </c>
      <c r="M303">
        <f>MIN(L303,MAX(0,$B303-((E$5&lt;K$5)*F303+(Q$5&lt;K$5)*R303+(W$5&lt;K$5)*X303+(AC$5&lt;K$5)*AD303+(AI$5&lt;K$5)*AJ303+(AO$5&lt;K$5)*AP303+(AU$5&lt;K$5)*AV303)))</f>
        <v/>
      </c>
      <c r="N303">
        <f>IF(L303-M303&lt;0.005,0,L303-M303)</f>
        <v/>
      </c>
      <c r="O303">
        <f>T302</f>
        <v/>
      </c>
      <c r="P303">
        <f>O303*Plan!D8/100/12</f>
        <v/>
      </c>
      <c r="Q303">
        <f>MIN(Plan!E8,O303+P303)</f>
        <v/>
      </c>
      <c r="R303">
        <f>O303+P303-Q303</f>
        <v/>
      </c>
      <c r="S303">
        <f>MIN(R303,MAX(0,$B303-((E$5&lt;Q$5)*F303+(K$5&lt;Q$5)*L303+(W$5&lt;Q$5)*X303+(AC$5&lt;Q$5)*AD303+(AI$5&lt;Q$5)*AJ303+(AO$5&lt;Q$5)*AP303+(AU$5&lt;Q$5)*AV303)))</f>
        <v/>
      </c>
      <c r="T303">
        <f>IF(R303-S303&lt;0.005,0,R303-S303)</f>
        <v/>
      </c>
      <c r="U303">
        <f>Z302</f>
        <v/>
      </c>
      <c r="V303">
        <f>U303*Plan!D9/100/12</f>
        <v/>
      </c>
      <c r="W303">
        <f>MIN(Plan!E9,U303+V303)</f>
        <v/>
      </c>
      <c r="X303">
        <f>U303+V303-W303</f>
        <v/>
      </c>
      <c r="Y303">
        <f>MIN(X303,MAX(0,$B303-((E$5&lt;W$5)*F303+(K$5&lt;W$5)*L303+(Q$5&lt;W$5)*R303+(AC$5&lt;W$5)*AD303+(AI$5&lt;W$5)*AJ303+(AO$5&lt;W$5)*AP303+(AU$5&lt;W$5)*AV303)))</f>
        <v/>
      </c>
      <c r="Z303">
        <f>IF(X303-Y303&lt;0.005,0,X303-Y303)</f>
        <v/>
      </c>
      <c r="AA303">
        <f>AF302</f>
        <v/>
      </c>
      <c r="AB303">
        <f>AA303*Plan!D10/100/12</f>
        <v/>
      </c>
      <c r="AC303">
        <f>MIN(Plan!E10,AA303+AB303)</f>
        <v/>
      </c>
      <c r="AD303">
        <f>AA303+AB303-AC303</f>
        <v/>
      </c>
      <c r="AE303">
        <f>MIN(AD303,MAX(0,$B303-((E$5&lt;AC$5)*F303+(K$5&lt;AC$5)*L303+(Q$5&lt;AC$5)*R303+(W$5&lt;AC$5)*X303+(AI$5&lt;AC$5)*AJ303+(AO$5&lt;AC$5)*AP303+(AU$5&lt;AC$5)*AV303)))</f>
        <v/>
      </c>
      <c r="AF303">
        <f>IF(AD303-AE303&lt;0.005,0,AD303-AE303)</f>
        <v/>
      </c>
      <c r="AG303">
        <f>AL302</f>
        <v/>
      </c>
      <c r="AH303">
        <f>AG303*Plan!D11/100/12</f>
        <v/>
      </c>
      <c r="AI303">
        <f>MIN(Plan!E11,AG303+AH303)</f>
        <v/>
      </c>
      <c r="AJ303">
        <f>AG303+AH303-AI303</f>
        <v/>
      </c>
      <c r="AK303">
        <f>MIN(AJ303,MAX(0,$B303-((E$5&lt;AI$5)*F303+(K$5&lt;AI$5)*L303+(Q$5&lt;AI$5)*R303+(W$5&lt;AI$5)*X303+(AC$5&lt;AI$5)*AD303+(AO$5&lt;AI$5)*AP303+(AU$5&lt;AI$5)*AV303)))</f>
        <v/>
      </c>
      <c r="AL303">
        <f>IF(AJ303-AK303&lt;0.005,0,AJ303-AK303)</f>
        <v/>
      </c>
      <c r="AM303">
        <f>AR302</f>
        <v/>
      </c>
      <c r="AN303">
        <f>AM303*Plan!D12/100/12</f>
        <v/>
      </c>
      <c r="AO303">
        <f>MIN(Plan!E12,AM303+AN303)</f>
        <v/>
      </c>
      <c r="AP303">
        <f>AM303+AN303-AO303</f>
        <v/>
      </c>
      <c r="AQ303">
        <f>MIN(AP303,MAX(0,$B303-((E$5&lt;AO$5)*F303+(K$5&lt;AO$5)*L303+(Q$5&lt;AO$5)*R303+(W$5&lt;AO$5)*X303+(AC$5&lt;AO$5)*AD303+(AI$5&lt;AO$5)*AJ303+(AU$5&lt;AO$5)*AV303)))</f>
        <v/>
      </c>
      <c r="AR303">
        <f>IF(AP303-AQ303&lt;0.005,0,AP303-AQ303)</f>
        <v/>
      </c>
      <c r="AS303">
        <f>AX302</f>
        <v/>
      </c>
      <c r="AT303">
        <f>AS303*Plan!D13/100/12</f>
        <v/>
      </c>
      <c r="AU303">
        <f>MIN(Plan!E13,AS303+AT303)</f>
        <v/>
      </c>
      <c r="AV303">
        <f>AS303+AT303-AU303</f>
        <v/>
      </c>
      <c r="AW303">
        <f>MIN(AV303,MAX(0,$B303-((E$5&lt;AU$5)*F303+(K$5&lt;AU$5)*L303+(Q$5&lt;AU$5)*R303+(W$5&lt;AU$5)*X303+(AC$5&lt;AU$5)*AD303+(AI$5&lt;AU$5)*AJ303+(AO$5&lt;AU$5)*AP303)))</f>
        <v/>
      </c>
      <c r="AX303">
        <f>IF(AV303-AW303&lt;0.005,0,AV303-AW303)</f>
        <v/>
      </c>
      <c r="BC303">
        <f>H303+N303+T303+Z303+AF303+AL303+AR303+AX303</f>
        <v/>
      </c>
    </row>
    <row r="304">
      <c r="A304" t="n">
        <v>298</v>
      </c>
      <c r="B304" s="19">
        <f>MAX(0,$B$3-(E304+K304+Q304+W304+AC304+AI304+AO304+AU304))</f>
        <v/>
      </c>
      <c r="C304">
        <f>H303</f>
        <v/>
      </c>
      <c r="D304">
        <f>C304*Plan!D6/100/12</f>
        <v/>
      </c>
      <c r="E304">
        <f>MIN(Plan!E6,C304+D304)</f>
        <v/>
      </c>
      <c r="F304">
        <f>C304+D304-E304</f>
        <v/>
      </c>
      <c r="G304">
        <f>MIN(F304,MAX(0,$B304-((K$5&lt;E$5)*L304+(Q$5&lt;E$5)*R304+(W$5&lt;E$5)*X304+(AC$5&lt;E$5)*AD304+(AI$5&lt;E$5)*AJ304+(AO$5&lt;E$5)*AP304+(AU$5&lt;E$5)*AV304)))</f>
        <v/>
      </c>
      <c r="H304">
        <f>IF(F304-G304&lt;0.005,0,F304-G304)</f>
        <v/>
      </c>
      <c r="I304">
        <f>N303</f>
        <v/>
      </c>
      <c r="J304">
        <f>I304*Plan!D7/100/12</f>
        <v/>
      </c>
      <c r="K304">
        <f>MIN(Plan!E7,I304+J304)</f>
        <v/>
      </c>
      <c r="L304">
        <f>I304+J304-K304</f>
        <v/>
      </c>
      <c r="M304">
        <f>MIN(L304,MAX(0,$B304-((E$5&lt;K$5)*F304+(Q$5&lt;K$5)*R304+(W$5&lt;K$5)*X304+(AC$5&lt;K$5)*AD304+(AI$5&lt;K$5)*AJ304+(AO$5&lt;K$5)*AP304+(AU$5&lt;K$5)*AV304)))</f>
        <v/>
      </c>
      <c r="N304">
        <f>IF(L304-M304&lt;0.005,0,L304-M304)</f>
        <v/>
      </c>
      <c r="O304">
        <f>T303</f>
        <v/>
      </c>
      <c r="P304">
        <f>O304*Plan!D8/100/12</f>
        <v/>
      </c>
      <c r="Q304">
        <f>MIN(Plan!E8,O304+P304)</f>
        <v/>
      </c>
      <c r="R304">
        <f>O304+P304-Q304</f>
        <v/>
      </c>
      <c r="S304">
        <f>MIN(R304,MAX(0,$B304-((E$5&lt;Q$5)*F304+(K$5&lt;Q$5)*L304+(W$5&lt;Q$5)*X304+(AC$5&lt;Q$5)*AD304+(AI$5&lt;Q$5)*AJ304+(AO$5&lt;Q$5)*AP304+(AU$5&lt;Q$5)*AV304)))</f>
        <v/>
      </c>
      <c r="T304">
        <f>IF(R304-S304&lt;0.005,0,R304-S304)</f>
        <v/>
      </c>
      <c r="U304">
        <f>Z303</f>
        <v/>
      </c>
      <c r="V304">
        <f>U304*Plan!D9/100/12</f>
        <v/>
      </c>
      <c r="W304">
        <f>MIN(Plan!E9,U304+V304)</f>
        <v/>
      </c>
      <c r="X304">
        <f>U304+V304-W304</f>
        <v/>
      </c>
      <c r="Y304">
        <f>MIN(X304,MAX(0,$B304-((E$5&lt;W$5)*F304+(K$5&lt;W$5)*L304+(Q$5&lt;W$5)*R304+(AC$5&lt;W$5)*AD304+(AI$5&lt;W$5)*AJ304+(AO$5&lt;W$5)*AP304+(AU$5&lt;W$5)*AV304)))</f>
        <v/>
      </c>
      <c r="Z304">
        <f>IF(X304-Y304&lt;0.005,0,X304-Y304)</f>
        <v/>
      </c>
      <c r="AA304">
        <f>AF303</f>
        <v/>
      </c>
      <c r="AB304">
        <f>AA304*Plan!D10/100/12</f>
        <v/>
      </c>
      <c r="AC304">
        <f>MIN(Plan!E10,AA304+AB304)</f>
        <v/>
      </c>
      <c r="AD304">
        <f>AA304+AB304-AC304</f>
        <v/>
      </c>
      <c r="AE304">
        <f>MIN(AD304,MAX(0,$B304-((E$5&lt;AC$5)*F304+(K$5&lt;AC$5)*L304+(Q$5&lt;AC$5)*R304+(W$5&lt;AC$5)*X304+(AI$5&lt;AC$5)*AJ304+(AO$5&lt;AC$5)*AP304+(AU$5&lt;AC$5)*AV304)))</f>
        <v/>
      </c>
      <c r="AF304">
        <f>IF(AD304-AE304&lt;0.005,0,AD304-AE304)</f>
        <v/>
      </c>
      <c r="AG304">
        <f>AL303</f>
        <v/>
      </c>
      <c r="AH304">
        <f>AG304*Plan!D11/100/12</f>
        <v/>
      </c>
      <c r="AI304">
        <f>MIN(Plan!E11,AG304+AH304)</f>
        <v/>
      </c>
      <c r="AJ304">
        <f>AG304+AH304-AI304</f>
        <v/>
      </c>
      <c r="AK304">
        <f>MIN(AJ304,MAX(0,$B304-((E$5&lt;AI$5)*F304+(K$5&lt;AI$5)*L304+(Q$5&lt;AI$5)*R304+(W$5&lt;AI$5)*X304+(AC$5&lt;AI$5)*AD304+(AO$5&lt;AI$5)*AP304+(AU$5&lt;AI$5)*AV304)))</f>
        <v/>
      </c>
      <c r="AL304">
        <f>IF(AJ304-AK304&lt;0.005,0,AJ304-AK304)</f>
        <v/>
      </c>
      <c r="AM304">
        <f>AR303</f>
        <v/>
      </c>
      <c r="AN304">
        <f>AM304*Plan!D12/100/12</f>
        <v/>
      </c>
      <c r="AO304">
        <f>MIN(Plan!E12,AM304+AN304)</f>
        <v/>
      </c>
      <c r="AP304">
        <f>AM304+AN304-AO304</f>
        <v/>
      </c>
      <c r="AQ304">
        <f>MIN(AP304,MAX(0,$B304-((E$5&lt;AO$5)*F304+(K$5&lt;AO$5)*L304+(Q$5&lt;AO$5)*R304+(W$5&lt;AO$5)*X304+(AC$5&lt;AO$5)*AD304+(AI$5&lt;AO$5)*AJ304+(AU$5&lt;AO$5)*AV304)))</f>
        <v/>
      </c>
      <c r="AR304">
        <f>IF(AP304-AQ304&lt;0.005,0,AP304-AQ304)</f>
        <v/>
      </c>
      <c r="AS304">
        <f>AX303</f>
        <v/>
      </c>
      <c r="AT304">
        <f>AS304*Plan!D13/100/12</f>
        <v/>
      </c>
      <c r="AU304">
        <f>MIN(Plan!E13,AS304+AT304)</f>
        <v/>
      </c>
      <c r="AV304">
        <f>AS304+AT304-AU304</f>
        <v/>
      </c>
      <c r="AW304">
        <f>MIN(AV304,MAX(0,$B304-((E$5&lt;AU$5)*F304+(K$5&lt;AU$5)*L304+(Q$5&lt;AU$5)*R304+(W$5&lt;AU$5)*X304+(AC$5&lt;AU$5)*AD304+(AI$5&lt;AU$5)*AJ304+(AO$5&lt;AU$5)*AP304)))</f>
        <v/>
      </c>
      <c r="AX304">
        <f>IF(AV304-AW304&lt;0.005,0,AV304-AW304)</f>
        <v/>
      </c>
      <c r="BC304">
        <f>H304+N304+T304+Z304+AF304+AL304+AR304+AX304</f>
        <v/>
      </c>
    </row>
    <row r="305">
      <c r="A305" t="n">
        <v>299</v>
      </c>
      <c r="B305" s="19">
        <f>MAX(0,$B$3-(E305+K305+Q305+W305+AC305+AI305+AO305+AU305))</f>
        <v/>
      </c>
      <c r="C305">
        <f>H304</f>
        <v/>
      </c>
      <c r="D305">
        <f>C305*Plan!D6/100/12</f>
        <v/>
      </c>
      <c r="E305">
        <f>MIN(Plan!E6,C305+D305)</f>
        <v/>
      </c>
      <c r="F305">
        <f>C305+D305-E305</f>
        <v/>
      </c>
      <c r="G305">
        <f>MIN(F305,MAX(0,$B305-((K$5&lt;E$5)*L305+(Q$5&lt;E$5)*R305+(W$5&lt;E$5)*X305+(AC$5&lt;E$5)*AD305+(AI$5&lt;E$5)*AJ305+(AO$5&lt;E$5)*AP305+(AU$5&lt;E$5)*AV305)))</f>
        <v/>
      </c>
      <c r="H305">
        <f>IF(F305-G305&lt;0.005,0,F305-G305)</f>
        <v/>
      </c>
      <c r="I305">
        <f>N304</f>
        <v/>
      </c>
      <c r="J305">
        <f>I305*Plan!D7/100/12</f>
        <v/>
      </c>
      <c r="K305">
        <f>MIN(Plan!E7,I305+J305)</f>
        <v/>
      </c>
      <c r="L305">
        <f>I305+J305-K305</f>
        <v/>
      </c>
      <c r="M305">
        <f>MIN(L305,MAX(0,$B305-((E$5&lt;K$5)*F305+(Q$5&lt;K$5)*R305+(W$5&lt;K$5)*X305+(AC$5&lt;K$5)*AD305+(AI$5&lt;K$5)*AJ305+(AO$5&lt;K$5)*AP305+(AU$5&lt;K$5)*AV305)))</f>
        <v/>
      </c>
      <c r="N305">
        <f>IF(L305-M305&lt;0.005,0,L305-M305)</f>
        <v/>
      </c>
      <c r="O305">
        <f>T304</f>
        <v/>
      </c>
      <c r="P305">
        <f>O305*Plan!D8/100/12</f>
        <v/>
      </c>
      <c r="Q305">
        <f>MIN(Plan!E8,O305+P305)</f>
        <v/>
      </c>
      <c r="R305">
        <f>O305+P305-Q305</f>
        <v/>
      </c>
      <c r="S305">
        <f>MIN(R305,MAX(0,$B305-((E$5&lt;Q$5)*F305+(K$5&lt;Q$5)*L305+(W$5&lt;Q$5)*X305+(AC$5&lt;Q$5)*AD305+(AI$5&lt;Q$5)*AJ305+(AO$5&lt;Q$5)*AP305+(AU$5&lt;Q$5)*AV305)))</f>
        <v/>
      </c>
      <c r="T305">
        <f>IF(R305-S305&lt;0.005,0,R305-S305)</f>
        <v/>
      </c>
      <c r="U305">
        <f>Z304</f>
        <v/>
      </c>
      <c r="V305">
        <f>U305*Plan!D9/100/12</f>
        <v/>
      </c>
      <c r="W305">
        <f>MIN(Plan!E9,U305+V305)</f>
        <v/>
      </c>
      <c r="X305">
        <f>U305+V305-W305</f>
        <v/>
      </c>
      <c r="Y305">
        <f>MIN(X305,MAX(0,$B305-((E$5&lt;W$5)*F305+(K$5&lt;W$5)*L305+(Q$5&lt;W$5)*R305+(AC$5&lt;W$5)*AD305+(AI$5&lt;W$5)*AJ305+(AO$5&lt;W$5)*AP305+(AU$5&lt;W$5)*AV305)))</f>
        <v/>
      </c>
      <c r="Z305">
        <f>IF(X305-Y305&lt;0.005,0,X305-Y305)</f>
        <v/>
      </c>
      <c r="AA305">
        <f>AF304</f>
        <v/>
      </c>
      <c r="AB305">
        <f>AA305*Plan!D10/100/12</f>
        <v/>
      </c>
      <c r="AC305">
        <f>MIN(Plan!E10,AA305+AB305)</f>
        <v/>
      </c>
      <c r="AD305">
        <f>AA305+AB305-AC305</f>
        <v/>
      </c>
      <c r="AE305">
        <f>MIN(AD305,MAX(0,$B305-((E$5&lt;AC$5)*F305+(K$5&lt;AC$5)*L305+(Q$5&lt;AC$5)*R305+(W$5&lt;AC$5)*X305+(AI$5&lt;AC$5)*AJ305+(AO$5&lt;AC$5)*AP305+(AU$5&lt;AC$5)*AV305)))</f>
        <v/>
      </c>
      <c r="AF305">
        <f>IF(AD305-AE305&lt;0.005,0,AD305-AE305)</f>
        <v/>
      </c>
      <c r="AG305">
        <f>AL304</f>
        <v/>
      </c>
      <c r="AH305">
        <f>AG305*Plan!D11/100/12</f>
        <v/>
      </c>
      <c r="AI305">
        <f>MIN(Plan!E11,AG305+AH305)</f>
        <v/>
      </c>
      <c r="AJ305">
        <f>AG305+AH305-AI305</f>
        <v/>
      </c>
      <c r="AK305">
        <f>MIN(AJ305,MAX(0,$B305-((E$5&lt;AI$5)*F305+(K$5&lt;AI$5)*L305+(Q$5&lt;AI$5)*R305+(W$5&lt;AI$5)*X305+(AC$5&lt;AI$5)*AD305+(AO$5&lt;AI$5)*AP305+(AU$5&lt;AI$5)*AV305)))</f>
        <v/>
      </c>
      <c r="AL305">
        <f>IF(AJ305-AK305&lt;0.005,0,AJ305-AK305)</f>
        <v/>
      </c>
      <c r="AM305">
        <f>AR304</f>
        <v/>
      </c>
      <c r="AN305">
        <f>AM305*Plan!D12/100/12</f>
        <v/>
      </c>
      <c r="AO305">
        <f>MIN(Plan!E12,AM305+AN305)</f>
        <v/>
      </c>
      <c r="AP305">
        <f>AM305+AN305-AO305</f>
        <v/>
      </c>
      <c r="AQ305">
        <f>MIN(AP305,MAX(0,$B305-((E$5&lt;AO$5)*F305+(K$5&lt;AO$5)*L305+(Q$5&lt;AO$5)*R305+(W$5&lt;AO$5)*X305+(AC$5&lt;AO$5)*AD305+(AI$5&lt;AO$5)*AJ305+(AU$5&lt;AO$5)*AV305)))</f>
        <v/>
      </c>
      <c r="AR305">
        <f>IF(AP305-AQ305&lt;0.005,0,AP305-AQ305)</f>
        <v/>
      </c>
      <c r="AS305">
        <f>AX304</f>
        <v/>
      </c>
      <c r="AT305">
        <f>AS305*Plan!D13/100/12</f>
        <v/>
      </c>
      <c r="AU305">
        <f>MIN(Plan!E13,AS305+AT305)</f>
        <v/>
      </c>
      <c r="AV305">
        <f>AS305+AT305-AU305</f>
        <v/>
      </c>
      <c r="AW305">
        <f>MIN(AV305,MAX(0,$B305-((E$5&lt;AU$5)*F305+(K$5&lt;AU$5)*L305+(Q$5&lt;AU$5)*R305+(W$5&lt;AU$5)*X305+(AC$5&lt;AU$5)*AD305+(AI$5&lt;AU$5)*AJ305+(AO$5&lt;AU$5)*AP305)))</f>
        <v/>
      </c>
      <c r="AX305">
        <f>IF(AV305-AW305&lt;0.005,0,AV305-AW305)</f>
        <v/>
      </c>
      <c r="BC305">
        <f>H305+N305+T305+Z305+AF305+AL305+AR305+AX305</f>
        <v/>
      </c>
    </row>
    <row r="306">
      <c r="A306" t="n">
        <v>300</v>
      </c>
      <c r="B306" s="19">
        <f>MAX(0,$B$3-(E306+K306+Q306+W306+AC306+AI306+AO306+AU306))</f>
        <v/>
      </c>
      <c r="C306">
        <f>H305</f>
        <v/>
      </c>
      <c r="D306">
        <f>C306*Plan!D6/100/12</f>
        <v/>
      </c>
      <c r="E306">
        <f>MIN(Plan!E6,C306+D306)</f>
        <v/>
      </c>
      <c r="F306">
        <f>C306+D306-E306</f>
        <v/>
      </c>
      <c r="G306">
        <f>MIN(F306,MAX(0,$B306-((K$5&lt;E$5)*L306+(Q$5&lt;E$5)*R306+(W$5&lt;E$5)*X306+(AC$5&lt;E$5)*AD306+(AI$5&lt;E$5)*AJ306+(AO$5&lt;E$5)*AP306+(AU$5&lt;E$5)*AV306)))</f>
        <v/>
      </c>
      <c r="H306">
        <f>IF(F306-G306&lt;0.005,0,F306-G306)</f>
        <v/>
      </c>
      <c r="I306">
        <f>N305</f>
        <v/>
      </c>
      <c r="J306">
        <f>I306*Plan!D7/100/12</f>
        <v/>
      </c>
      <c r="K306">
        <f>MIN(Plan!E7,I306+J306)</f>
        <v/>
      </c>
      <c r="L306">
        <f>I306+J306-K306</f>
        <v/>
      </c>
      <c r="M306">
        <f>MIN(L306,MAX(0,$B306-((E$5&lt;K$5)*F306+(Q$5&lt;K$5)*R306+(W$5&lt;K$5)*X306+(AC$5&lt;K$5)*AD306+(AI$5&lt;K$5)*AJ306+(AO$5&lt;K$5)*AP306+(AU$5&lt;K$5)*AV306)))</f>
        <v/>
      </c>
      <c r="N306">
        <f>IF(L306-M306&lt;0.005,0,L306-M306)</f>
        <v/>
      </c>
      <c r="O306">
        <f>T305</f>
        <v/>
      </c>
      <c r="P306">
        <f>O306*Plan!D8/100/12</f>
        <v/>
      </c>
      <c r="Q306">
        <f>MIN(Plan!E8,O306+P306)</f>
        <v/>
      </c>
      <c r="R306">
        <f>O306+P306-Q306</f>
        <v/>
      </c>
      <c r="S306">
        <f>MIN(R306,MAX(0,$B306-((E$5&lt;Q$5)*F306+(K$5&lt;Q$5)*L306+(W$5&lt;Q$5)*X306+(AC$5&lt;Q$5)*AD306+(AI$5&lt;Q$5)*AJ306+(AO$5&lt;Q$5)*AP306+(AU$5&lt;Q$5)*AV306)))</f>
        <v/>
      </c>
      <c r="T306">
        <f>IF(R306-S306&lt;0.005,0,R306-S306)</f>
        <v/>
      </c>
      <c r="U306">
        <f>Z305</f>
        <v/>
      </c>
      <c r="V306">
        <f>U306*Plan!D9/100/12</f>
        <v/>
      </c>
      <c r="W306">
        <f>MIN(Plan!E9,U306+V306)</f>
        <v/>
      </c>
      <c r="X306">
        <f>U306+V306-W306</f>
        <v/>
      </c>
      <c r="Y306">
        <f>MIN(X306,MAX(0,$B306-((E$5&lt;W$5)*F306+(K$5&lt;W$5)*L306+(Q$5&lt;W$5)*R306+(AC$5&lt;W$5)*AD306+(AI$5&lt;W$5)*AJ306+(AO$5&lt;W$5)*AP306+(AU$5&lt;W$5)*AV306)))</f>
        <v/>
      </c>
      <c r="Z306">
        <f>IF(X306-Y306&lt;0.005,0,X306-Y306)</f>
        <v/>
      </c>
      <c r="AA306">
        <f>AF305</f>
        <v/>
      </c>
      <c r="AB306">
        <f>AA306*Plan!D10/100/12</f>
        <v/>
      </c>
      <c r="AC306">
        <f>MIN(Plan!E10,AA306+AB306)</f>
        <v/>
      </c>
      <c r="AD306">
        <f>AA306+AB306-AC306</f>
        <v/>
      </c>
      <c r="AE306">
        <f>MIN(AD306,MAX(0,$B306-((E$5&lt;AC$5)*F306+(K$5&lt;AC$5)*L306+(Q$5&lt;AC$5)*R306+(W$5&lt;AC$5)*X306+(AI$5&lt;AC$5)*AJ306+(AO$5&lt;AC$5)*AP306+(AU$5&lt;AC$5)*AV306)))</f>
        <v/>
      </c>
      <c r="AF306">
        <f>IF(AD306-AE306&lt;0.005,0,AD306-AE306)</f>
        <v/>
      </c>
      <c r="AG306">
        <f>AL305</f>
        <v/>
      </c>
      <c r="AH306">
        <f>AG306*Plan!D11/100/12</f>
        <v/>
      </c>
      <c r="AI306">
        <f>MIN(Plan!E11,AG306+AH306)</f>
        <v/>
      </c>
      <c r="AJ306">
        <f>AG306+AH306-AI306</f>
        <v/>
      </c>
      <c r="AK306">
        <f>MIN(AJ306,MAX(0,$B306-((E$5&lt;AI$5)*F306+(K$5&lt;AI$5)*L306+(Q$5&lt;AI$5)*R306+(W$5&lt;AI$5)*X306+(AC$5&lt;AI$5)*AD306+(AO$5&lt;AI$5)*AP306+(AU$5&lt;AI$5)*AV306)))</f>
        <v/>
      </c>
      <c r="AL306">
        <f>IF(AJ306-AK306&lt;0.005,0,AJ306-AK306)</f>
        <v/>
      </c>
      <c r="AM306">
        <f>AR305</f>
        <v/>
      </c>
      <c r="AN306">
        <f>AM306*Plan!D12/100/12</f>
        <v/>
      </c>
      <c r="AO306">
        <f>MIN(Plan!E12,AM306+AN306)</f>
        <v/>
      </c>
      <c r="AP306">
        <f>AM306+AN306-AO306</f>
        <v/>
      </c>
      <c r="AQ306">
        <f>MIN(AP306,MAX(0,$B306-((E$5&lt;AO$5)*F306+(K$5&lt;AO$5)*L306+(Q$5&lt;AO$5)*R306+(W$5&lt;AO$5)*X306+(AC$5&lt;AO$5)*AD306+(AI$5&lt;AO$5)*AJ306+(AU$5&lt;AO$5)*AV306)))</f>
        <v/>
      </c>
      <c r="AR306">
        <f>IF(AP306-AQ306&lt;0.005,0,AP306-AQ306)</f>
        <v/>
      </c>
      <c r="AS306">
        <f>AX305</f>
        <v/>
      </c>
      <c r="AT306">
        <f>AS306*Plan!D13/100/12</f>
        <v/>
      </c>
      <c r="AU306">
        <f>MIN(Plan!E13,AS306+AT306)</f>
        <v/>
      </c>
      <c r="AV306">
        <f>AS306+AT306-AU306</f>
        <v/>
      </c>
      <c r="AW306">
        <f>MIN(AV306,MAX(0,$B306-((E$5&lt;AU$5)*F306+(K$5&lt;AU$5)*L306+(Q$5&lt;AU$5)*R306+(W$5&lt;AU$5)*X306+(AC$5&lt;AU$5)*AD306+(AI$5&lt;AU$5)*AJ306+(AO$5&lt;AU$5)*AP306)))</f>
        <v/>
      </c>
      <c r="AX306">
        <f>IF(AV306-AW306&lt;0.005,0,AV306-AW306)</f>
        <v/>
      </c>
      <c r="BC306">
        <f>H306+N306+T306+Z306+AF306+AL306+AR306+AX306</f>
        <v/>
      </c>
    </row>
    <row r="307">
      <c r="A307" t="n">
        <v>301</v>
      </c>
      <c r="B307" s="19">
        <f>MAX(0,$B$3-(E307+K307+Q307+W307+AC307+AI307+AO307+AU307))</f>
        <v/>
      </c>
      <c r="C307">
        <f>H306</f>
        <v/>
      </c>
      <c r="D307">
        <f>C307*Plan!D6/100/12</f>
        <v/>
      </c>
      <c r="E307">
        <f>MIN(Plan!E6,C307+D307)</f>
        <v/>
      </c>
      <c r="F307">
        <f>C307+D307-E307</f>
        <v/>
      </c>
      <c r="G307">
        <f>MIN(F307,MAX(0,$B307-((K$5&lt;E$5)*L307+(Q$5&lt;E$5)*R307+(W$5&lt;E$5)*X307+(AC$5&lt;E$5)*AD307+(AI$5&lt;E$5)*AJ307+(AO$5&lt;E$5)*AP307+(AU$5&lt;E$5)*AV307)))</f>
        <v/>
      </c>
      <c r="H307">
        <f>IF(F307-G307&lt;0.005,0,F307-G307)</f>
        <v/>
      </c>
      <c r="I307">
        <f>N306</f>
        <v/>
      </c>
      <c r="J307">
        <f>I307*Plan!D7/100/12</f>
        <v/>
      </c>
      <c r="K307">
        <f>MIN(Plan!E7,I307+J307)</f>
        <v/>
      </c>
      <c r="L307">
        <f>I307+J307-K307</f>
        <v/>
      </c>
      <c r="M307">
        <f>MIN(L307,MAX(0,$B307-((E$5&lt;K$5)*F307+(Q$5&lt;K$5)*R307+(W$5&lt;K$5)*X307+(AC$5&lt;K$5)*AD307+(AI$5&lt;K$5)*AJ307+(AO$5&lt;K$5)*AP307+(AU$5&lt;K$5)*AV307)))</f>
        <v/>
      </c>
      <c r="N307">
        <f>IF(L307-M307&lt;0.005,0,L307-M307)</f>
        <v/>
      </c>
      <c r="O307">
        <f>T306</f>
        <v/>
      </c>
      <c r="P307">
        <f>O307*Plan!D8/100/12</f>
        <v/>
      </c>
      <c r="Q307">
        <f>MIN(Plan!E8,O307+P307)</f>
        <v/>
      </c>
      <c r="R307">
        <f>O307+P307-Q307</f>
        <v/>
      </c>
      <c r="S307">
        <f>MIN(R307,MAX(0,$B307-((E$5&lt;Q$5)*F307+(K$5&lt;Q$5)*L307+(W$5&lt;Q$5)*X307+(AC$5&lt;Q$5)*AD307+(AI$5&lt;Q$5)*AJ307+(AO$5&lt;Q$5)*AP307+(AU$5&lt;Q$5)*AV307)))</f>
        <v/>
      </c>
      <c r="T307">
        <f>IF(R307-S307&lt;0.005,0,R307-S307)</f>
        <v/>
      </c>
      <c r="U307">
        <f>Z306</f>
        <v/>
      </c>
      <c r="V307">
        <f>U307*Plan!D9/100/12</f>
        <v/>
      </c>
      <c r="W307">
        <f>MIN(Plan!E9,U307+V307)</f>
        <v/>
      </c>
      <c r="X307">
        <f>U307+V307-W307</f>
        <v/>
      </c>
      <c r="Y307">
        <f>MIN(X307,MAX(0,$B307-((E$5&lt;W$5)*F307+(K$5&lt;W$5)*L307+(Q$5&lt;W$5)*R307+(AC$5&lt;W$5)*AD307+(AI$5&lt;W$5)*AJ307+(AO$5&lt;W$5)*AP307+(AU$5&lt;W$5)*AV307)))</f>
        <v/>
      </c>
      <c r="Z307">
        <f>IF(X307-Y307&lt;0.005,0,X307-Y307)</f>
        <v/>
      </c>
      <c r="AA307">
        <f>AF306</f>
        <v/>
      </c>
      <c r="AB307">
        <f>AA307*Plan!D10/100/12</f>
        <v/>
      </c>
      <c r="AC307">
        <f>MIN(Plan!E10,AA307+AB307)</f>
        <v/>
      </c>
      <c r="AD307">
        <f>AA307+AB307-AC307</f>
        <v/>
      </c>
      <c r="AE307">
        <f>MIN(AD307,MAX(0,$B307-((E$5&lt;AC$5)*F307+(K$5&lt;AC$5)*L307+(Q$5&lt;AC$5)*R307+(W$5&lt;AC$5)*X307+(AI$5&lt;AC$5)*AJ307+(AO$5&lt;AC$5)*AP307+(AU$5&lt;AC$5)*AV307)))</f>
        <v/>
      </c>
      <c r="AF307">
        <f>IF(AD307-AE307&lt;0.005,0,AD307-AE307)</f>
        <v/>
      </c>
      <c r="AG307">
        <f>AL306</f>
        <v/>
      </c>
      <c r="AH307">
        <f>AG307*Plan!D11/100/12</f>
        <v/>
      </c>
      <c r="AI307">
        <f>MIN(Plan!E11,AG307+AH307)</f>
        <v/>
      </c>
      <c r="AJ307">
        <f>AG307+AH307-AI307</f>
        <v/>
      </c>
      <c r="AK307">
        <f>MIN(AJ307,MAX(0,$B307-((E$5&lt;AI$5)*F307+(K$5&lt;AI$5)*L307+(Q$5&lt;AI$5)*R307+(W$5&lt;AI$5)*X307+(AC$5&lt;AI$5)*AD307+(AO$5&lt;AI$5)*AP307+(AU$5&lt;AI$5)*AV307)))</f>
        <v/>
      </c>
      <c r="AL307">
        <f>IF(AJ307-AK307&lt;0.005,0,AJ307-AK307)</f>
        <v/>
      </c>
      <c r="AM307">
        <f>AR306</f>
        <v/>
      </c>
      <c r="AN307">
        <f>AM307*Plan!D12/100/12</f>
        <v/>
      </c>
      <c r="AO307">
        <f>MIN(Plan!E12,AM307+AN307)</f>
        <v/>
      </c>
      <c r="AP307">
        <f>AM307+AN307-AO307</f>
        <v/>
      </c>
      <c r="AQ307">
        <f>MIN(AP307,MAX(0,$B307-((E$5&lt;AO$5)*F307+(K$5&lt;AO$5)*L307+(Q$5&lt;AO$5)*R307+(W$5&lt;AO$5)*X307+(AC$5&lt;AO$5)*AD307+(AI$5&lt;AO$5)*AJ307+(AU$5&lt;AO$5)*AV307)))</f>
        <v/>
      </c>
      <c r="AR307">
        <f>IF(AP307-AQ307&lt;0.005,0,AP307-AQ307)</f>
        <v/>
      </c>
      <c r="AS307">
        <f>AX306</f>
        <v/>
      </c>
      <c r="AT307">
        <f>AS307*Plan!D13/100/12</f>
        <v/>
      </c>
      <c r="AU307">
        <f>MIN(Plan!E13,AS307+AT307)</f>
        <v/>
      </c>
      <c r="AV307">
        <f>AS307+AT307-AU307</f>
        <v/>
      </c>
      <c r="AW307">
        <f>MIN(AV307,MAX(0,$B307-((E$5&lt;AU$5)*F307+(K$5&lt;AU$5)*L307+(Q$5&lt;AU$5)*R307+(W$5&lt;AU$5)*X307+(AC$5&lt;AU$5)*AD307+(AI$5&lt;AU$5)*AJ307+(AO$5&lt;AU$5)*AP307)))</f>
        <v/>
      </c>
      <c r="AX307">
        <f>IF(AV307-AW307&lt;0.005,0,AV307-AW307)</f>
        <v/>
      </c>
      <c r="BC307">
        <f>H307+N307+T307+Z307+AF307+AL307+AR307+AX307</f>
        <v/>
      </c>
    </row>
    <row r="308">
      <c r="A308" t="n">
        <v>302</v>
      </c>
      <c r="B308" s="19">
        <f>MAX(0,$B$3-(E308+K308+Q308+W308+AC308+AI308+AO308+AU308))</f>
        <v/>
      </c>
      <c r="C308">
        <f>H307</f>
        <v/>
      </c>
      <c r="D308">
        <f>C308*Plan!D6/100/12</f>
        <v/>
      </c>
      <c r="E308">
        <f>MIN(Plan!E6,C308+D308)</f>
        <v/>
      </c>
      <c r="F308">
        <f>C308+D308-E308</f>
        <v/>
      </c>
      <c r="G308">
        <f>MIN(F308,MAX(0,$B308-((K$5&lt;E$5)*L308+(Q$5&lt;E$5)*R308+(W$5&lt;E$5)*X308+(AC$5&lt;E$5)*AD308+(AI$5&lt;E$5)*AJ308+(AO$5&lt;E$5)*AP308+(AU$5&lt;E$5)*AV308)))</f>
        <v/>
      </c>
      <c r="H308">
        <f>IF(F308-G308&lt;0.005,0,F308-G308)</f>
        <v/>
      </c>
      <c r="I308">
        <f>N307</f>
        <v/>
      </c>
      <c r="J308">
        <f>I308*Plan!D7/100/12</f>
        <v/>
      </c>
      <c r="K308">
        <f>MIN(Plan!E7,I308+J308)</f>
        <v/>
      </c>
      <c r="L308">
        <f>I308+J308-K308</f>
        <v/>
      </c>
      <c r="M308">
        <f>MIN(L308,MAX(0,$B308-((E$5&lt;K$5)*F308+(Q$5&lt;K$5)*R308+(W$5&lt;K$5)*X308+(AC$5&lt;K$5)*AD308+(AI$5&lt;K$5)*AJ308+(AO$5&lt;K$5)*AP308+(AU$5&lt;K$5)*AV308)))</f>
        <v/>
      </c>
      <c r="N308">
        <f>IF(L308-M308&lt;0.005,0,L308-M308)</f>
        <v/>
      </c>
      <c r="O308">
        <f>T307</f>
        <v/>
      </c>
      <c r="P308">
        <f>O308*Plan!D8/100/12</f>
        <v/>
      </c>
      <c r="Q308">
        <f>MIN(Plan!E8,O308+P308)</f>
        <v/>
      </c>
      <c r="R308">
        <f>O308+P308-Q308</f>
        <v/>
      </c>
      <c r="S308">
        <f>MIN(R308,MAX(0,$B308-((E$5&lt;Q$5)*F308+(K$5&lt;Q$5)*L308+(W$5&lt;Q$5)*X308+(AC$5&lt;Q$5)*AD308+(AI$5&lt;Q$5)*AJ308+(AO$5&lt;Q$5)*AP308+(AU$5&lt;Q$5)*AV308)))</f>
        <v/>
      </c>
      <c r="T308">
        <f>IF(R308-S308&lt;0.005,0,R308-S308)</f>
        <v/>
      </c>
      <c r="U308">
        <f>Z307</f>
        <v/>
      </c>
      <c r="V308">
        <f>U308*Plan!D9/100/12</f>
        <v/>
      </c>
      <c r="W308">
        <f>MIN(Plan!E9,U308+V308)</f>
        <v/>
      </c>
      <c r="X308">
        <f>U308+V308-W308</f>
        <v/>
      </c>
      <c r="Y308">
        <f>MIN(X308,MAX(0,$B308-((E$5&lt;W$5)*F308+(K$5&lt;W$5)*L308+(Q$5&lt;W$5)*R308+(AC$5&lt;W$5)*AD308+(AI$5&lt;W$5)*AJ308+(AO$5&lt;W$5)*AP308+(AU$5&lt;W$5)*AV308)))</f>
        <v/>
      </c>
      <c r="Z308">
        <f>IF(X308-Y308&lt;0.005,0,X308-Y308)</f>
        <v/>
      </c>
      <c r="AA308">
        <f>AF307</f>
        <v/>
      </c>
      <c r="AB308">
        <f>AA308*Plan!D10/100/12</f>
        <v/>
      </c>
      <c r="AC308">
        <f>MIN(Plan!E10,AA308+AB308)</f>
        <v/>
      </c>
      <c r="AD308">
        <f>AA308+AB308-AC308</f>
        <v/>
      </c>
      <c r="AE308">
        <f>MIN(AD308,MAX(0,$B308-((E$5&lt;AC$5)*F308+(K$5&lt;AC$5)*L308+(Q$5&lt;AC$5)*R308+(W$5&lt;AC$5)*X308+(AI$5&lt;AC$5)*AJ308+(AO$5&lt;AC$5)*AP308+(AU$5&lt;AC$5)*AV308)))</f>
        <v/>
      </c>
      <c r="AF308">
        <f>IF(AD308-AE308&lt;0.005,0,AD308-AE308)</f>
        <v/>
      </c>
      <c r="AG308">
        <f>AL307</f>
        <v/>
      </c>
      <c r="AH308">
        <f>AG308*Plan!D11/100/12</f>
        <v/>
      </c>
      <c r="AI308">
        <f>MIN(Plan!E11,AG308+AH308)</f>
        <v/>
      </c>
      <c r="AJ308">
        <f>AG308+AH308-AI308</f>
        <v/>
      </c>
      <c r="AK308">
        <f>MIN(AJ308,MAX(0,$B308-((E$5&lt;AI$5)*F308+(K$5&lt;AI$5)*L308+(Q$5&lt;AI$5)*R308+(W$5&lt;AI$5)*X308+(AC$5&lt;AI$5)*AD308+(AO$5&lt;AI$5)*AP308+(AU$5&lt;AI$5)*AV308)))</f>
        <v/>
      </c>
      <c r="AL308">
        <f>IF(AJ308-AK308&lt;0.005,0,AJ308-AK308)</f>
        <v/>
      </c>
      <c r="AM308">
        <f>AR307</f>
        <v/>
      </c>
      <c r="AN308">
        <f>AM308*Plan!D12/100/12</f>
        <v/>
      </c>
      <c r="AO308">
        <f>MIN(Plan!E12,AM308+AN308)</f>
        <v/>
      </c>
      <c r="AP308">
        <f>AM308+AN308-AO308</f>
        <v/>
      </c>
      <c r="AQ308">
        <f>MIN(AP308,MAX(0,$B308-((E$5&lt;AO$5)*F308+(K$5&lt;AO$5)*L308+(Q$5&lt;AO$5)*R308+(W$5&lt;AO$5)*X308+(AC$5&lt;AO$5)*AD308+(AI$5&lt;AO$5)*AJ308+(AU$5&lt;AO$5)*AV308)))</f>
        <v/>
      </c>
      <c r="AR308">
        <f>IF(AP308-AQ308&lt;0.005,0,AP308-AQ308)</f>
        <v/>
      </c>
      <c r="AS308">
        <f>AX307</f>
        <v/>
      </c>
      <c r="AT308">
        <f>AS308*Plan!D13/100/12</f>
        <v/>
      </c>
      <c r="AU308">
        <f>MIN(Plan!E13,AS308+AT308)</f>
        <v/>
      </c>
      <c r="AV308">
        <f>AS308+AT308-AU308</f>
        <v/>
      </c>
      <c r="AW308">
        <f>MIN(AV308,MAX(0,$B308-((E$5&lt;AU$5)*F308+(K$5&lt;AU$5)*L308+(Q$5&lt;AU$5)*R308+(W$5&lt;AU$5)*X308+(AC$5&lt;AU$5)*AD308+(AI$5&lt;AU$5)*AJ308+(AO$5&lt;AU$5)*AP308)))</f>
        <v/>
      </c>
      <c r="AX308">
        <f>IF(AV308-AW308&lt;0.005,0,AV308-AW308)</f>
        <v/>
      </c>
      <c r="BC308">
        <f>H308+N308+T308+Z308+AF308+AL308+AR308+AX308</f>
        <v/>
      </c>
    </row>
    <row r="309">
      <c r="A309" t="n">
        <v>303</v>
      </c>
      <c r="B309" s="19">
        <f>MAX(0,$B$3-(E309+K309+Q309+W309+AC309+AI309+AO309+AU309))</f>
        <v/>
      </c>
      <c r="C309">
        <f>H308</f>
        <v/>
      </c>
      <c r="D309">
        <f>C309*Plan!D6/100/12</f>
        <v/>
      </c>
      <c r="E309">
        <f>MIN(Plan!E6,C309+D309)</f>
        <v/>
      </c>
      <c r="F309">
        <f>C309+D309-E309</f>
        <v/>
      </c>
      <c r="G309">
        <f>MIN(F309,MAX(0,$B309-((K$5&lt;E$5)*L309+(Q$5&lt;E$5)*R309+(W$5&lt;E$5)*X309+(AC$5&lt;E$5)*AD309+(AI$5&lt;E$5)*AJ309+(AO$5&lt;E$5)*AP309+(AU$5&lt;E$5)*AV309)))</f>
        <v/>
      </c>
      <c r="H309">
        <f>IF(F309-G309&lt;0.005,0,F309-G309)</f>
        <v/>
      </c>
      <c r="I309">
        <f>N308</f>
        <v/>
      </c>
      <c r="J309">
        <f>I309*Plan!D7/100/12</f>
        <v/>
      </c>
      <c r="K309">
        <f>MIN(Plan!E7,I309+J309)</f>
        <v/>
      </c>
      <c r="L309">
        <f>I309+J309-K309</f>
        <v/>
      </c>
      <c r="M309">
        <f>MIN(L309,MAX(0,$B309-((E$5&lt;K$5)*F309+(Q$5&lt;K$5)*R309+(W$5&lt;K$5)*X309+(AC$5&lt;K$5)*AD309+(AI$5&lt;K$5)*AJ309+(AO$5&lt;K$5)*AP309+(AU$5&lt;K$5)*AV309)))</f>
        <v/>
      </c>
      <c r="N309">
        <f>IF(L309-M309&lt;0.005,0,L309-M309)</f>
        <v/>
      </c>
      <c r="O309">
        <f>T308</f>
        <v/>
      </c>
      <c r="P309">
        <f>O309*Plan!D8/100/12</f>
        <v/>
      </c>
      <c r="Q309">
        <f>MIN(Plan!E8,O309+P309)</f>
        <v/>
      </c>
      <c r="R309">
        <f>O309+P309-Q309</f>
        <v/>
      </c>
      <c r="S309">
        <f>MIN(R309,MAX(0,$B309-((E$5&lt;Q$5)*F309+(K$5&lt;Q$5)*L309+(W$5&lt;Q$5)*X309+(AC$5&lt;Q$5)*AD309+(AI$5&lt;Q$5)*AJ309+(AO$5&lt;Q$5)*AP309+(AU$5&lt;Q$5)*AV309)))</f>
        <v/>
      </c>
      <c r="T309">
        <f>IF(R309-S309&lt;0.005,0,R309-S309)</f>
        <v/>
      </c>
      <c r="U309">
        <f>Z308</f>
        <v/>
      </c>
      <c r="V309">
        <f>U309*Plan!D9/100/12</f>
        <v/>
      </c>
      <c r="W309">
        <f>MIN(Plan!E9,U309+V309)</f>
        <v/>
      </c>
      <c r="X309">
        <f>U309+V309-W309</f>
        <v/>
      </c>
      <c r="Y309">
        <f>MIN(X309,MAX(0,$B309-((E$5&lt;W$5)*F309+(K$5&lt;W$5)*L309+(Q$5&lt;W$5)*R309+(AC$5&lt;W$5)*AD309+(AI$5&lt;W$5)*AJ309+(AO$5&lt;W$5)*AP309+(AU$5&lt;W$5)*AV309)))</f>
        <v/>
      </c>
      <c r="Z309">
        <f>IF(X309-Y309&lt;0.005,0,X309-Y309)</f>
        <v/>
      </c>
      <c r="AA309">
        <f>AF308</f>
        <v/>
      </c>
      <c r="AB309">
        <f>AA309*Plan!D10/100/12</f>
        <v/>
      </c>
      <c r="AC309">
        <f>MIN(Plan!E10,AA309+AB309)</f>
        <v/>
      </c>
      <c r="AD309">
        <f>AA309+AB309-AC309</f>
        <v/>
      </c>
      <c r="AE309">
        <f>MIN(AD309,MAX(0,$B309-((E$5&lt;AC$5)*F309+(K$5&lt;AC$5)*L309+(Q$5&lt;AC$5)*R309+(W$5&lt;AC$5)*X309+(AI$5&lt;AC$5)*AJ309+(AO$5&lt;AC$5)*AP309+(AU$5&lt;AC$5)*AV309)))</f>
        <v/>
      </c>
      <c r="AF309">
        <f>IF(AD309-AE309&lt;0.005,0,AD309-AE309)</f>
        <v/>
      </c>
      <c r="AG309">
        <f>AL308</f>
        <v/>
      </c>
      <c r="AH309">
        <f>AG309*Plan!D11/100/12</f>
        <v/>
      </c>
      <c r="AI309">
        <f>MIN(Plan!E11,AG309+AH309)</f>
        <v/>
      </c>
      <c r="AJ309">
        <f>AG309+AH309-AI309</f>
        <v/>
      </c>
      <c r="AK309">
        <f>MIN(AJ309,MAX(0,$B309-((E$5&lt;AI$5)*F309+(K$5&lt;AI$5)*L309+(Q$5&lt;AI$5)*R309+(W$5&lt;AI$5)*X309+(AC$5&lt;AI$5)*AD309+(AO$5&lt;AI$5)*AP309+(AU$5&lt;AI$5)*AV309)))</f>
        <v/>
      </c>
      <c r="AL309">
        <f>IF(AJ309-AK309&lt;0.005,0,AJ309-AK309)</f>
        <v/>
      </c>
      <c r="AM309">
        <f>AR308</f>
        <v/>
      </c>
      <c r="AN309">
        <f>AM309*Plan!D12/100/12</f>
        <v/>
      </c>
      <c r="AO309">
        <f>MIN(Plan!E12,AM309+AN309)</f>
        <v/>
      </c>
      <c r="AP309">
        <f>AM309+AN309-AO309</f>
        <v/>
      </c>
      <c r="AQ309">
        <f>MIN(AP309,MAX(0,$B309-((E$5&lt;AO$5)*F309+(K$5&lt;AO$5)*L309+(Q$5&lt;AO$5)*R309+(W$5&lt;AO$5)*X309+(AC$5&lt;AO$5)*AD309+(AI$5&lt;AO$5)*AJ309+(AU$5&lt;AO$5)*AV309)))</f>
        <v/>
      </c>
      <c r="AR309">
        <f>IF(AP309-AQ309&lt;0.005,0,AP309-AQ309)</f>
        <v/>
      </c>
      <c r="AS309">
        <f>AX308</f>
        <v/>
      </c>
      <c r="AT309">
        <f>AS309*Plan!D13/100/12</f>
        <v/>
      </c>
      <c r="AU309">
        <f>MIN(Plan!E13,AS309+AT309)</f>
        <v/>
      </c>
      <c r="AV309">
        <f>AS309+AT309-AU309</f>
        <v/>
      </c>
      <c r="AW309">
        <f>MIN(AV309,MAX(0,$B309-((E$5&lt;AU$5)*F309+(K$5&lt;AU$5)*L309+(Q$5&lt;AU$5)*R309+(W$5&lt;AU$5)*X309+(AC$5&lt;AU$5)*AD309+(AI$5&lt;AU$5)*AJ309+(AO$5&lt;AU$5)*AP309)))</f>
        <v/>
      </c>
      <c r="AX309">
        <f>IF(AV309-AW309&lt;0.005,0,AV309-AW309)</f>
        <v/>
      </c>
      <c r="BC309">
        <f>H309+N309+T309+Z309+AF309+AL309+AR309+AX309</f>
        <v/>
      </c>
    </row>
    <row r="310">
      <c r="A310" t="n">
        <v>304</v>
      </c>
      <c r="B310" s="19">
        <f>MAX(0,$B$3-(E310+K310+Q310+W310+AC310+AI310+AO310+AU310))</f>
        <v/>
      </c>
      <c r="C310">
        <f>H309</f>
        <v/>
      </c>
      <c r="D310">
        <f>C310*Plan!D6/100/12</f>
        <v/>
      </c>
      <c r="E310">
        <f>MIN(Plan!E6,C310+D310)</f>
        <v/>
      </c>
      <c r="F310">
        <f>C310+D310-E310</f>
        <v/>
      </c>
      <c r="G310">
        <f>MIN(F310,MAX(0,$B310-((K$5&lt;E$5)*L310+(Q$5&lt;E$5)*R310+(W$5&lt;E$5)*X310+(AC$5&lt;E$5)*AD310+(AI$5&lt;E$5)*AJ310+(AO$5&lt;E$5)*AP310+(AU$5&lt;E$5)*AV310)))</f>
        <v/>
      </c>
      <c r="H310">
        <f>IF(F310-G310&lt;0.005,0,F310-G310)</f>
        <v/>
      </c>
      <c r="I310">
        <f>N309</f>
        <v/>
      </c>
      <c r="J310">
        <f>I310*Plan!D7/100/12</f>
        <v/>
      </c>
      <c r="K310">
        <f>MIN(Plan!E7,I310+J310)</f>
        <v/>
      </c>
      <c r="L310">
        <f>I310+J310-K310</f>
        <v/>
      </c>
      <c r="M310">
        <f>MIN(L310,MAX(0,$B310-((E$5&lt;K$5)*F310+(Q$5&lt;K$5)*R310+(W$5&lt;K$5)*X310+(AC$5&lt;K$5)*AD310+(AI$5&lt;K$5)*AJ310+(AO$5&lt;K$5)*AP310+(AU$5&lt;K$5)*AV310)))</f>
        <v/>
      </c>
      <c r="N310">
        <f>IF(L310-M310&lt;0.005,0,L310-M310)</f>
        <v/>
      </c>
      <c r="O310">
        <f>T309</f>
        <v/>
      </c>
      <c r="P310">
        <f>O310*Plan!D8/100/12</f>
        <v/>
      </c>
      <c r="Q310">
        <f>MIN(Plan!E8,O310+P310)</f>
        <v/>
      </c>
      <c r="R310">
        <f>O310+P310-Q310</f>
        <v/>
      </c>
      <c r="S310">
        <f>MIN(R310,MAX(0,$B310-((E$5&lt;Q$5)*F310+(K$5&lt;Q$5)*L310+(W$5&lt;Q$5)*X310+(AC$5&lt;Q$5)*AD310+(AI$5&lt;Q$5)*AJ310+(AO$5&lt;Q$5)*AP310+(AU$5&lt;Q$5)*AV310)))</f>
        <v/>
      </c>
      <c r="T310">
        <f>IF(R310-S310&lt;0.005,0,R310-S310)</f>
        <v/>
      </c>
      <c r="U310">
        <f>Z309</f>
        <v/>
      </c>
      <c r="V310">
        <f>U310*Plan!D9/100/12</f>
        <v/>
      </c>
      <c r="W310">
        <f>MIN(Plan!E9,U310+V310)</f>
        <v/>
      </c>
      <c r="X310">
        <f>U310+V310-W310</f>
        <v/>
      </c>
      <c r="Y310">
        <f>MIN(X310,MAX(0,$B310-((E$5&lt;W$5)*F310+(K$5&lt;W$5)*L310+(Q$5&lt;W$5)*R310+(AC$5&lt;W$5)*AD310+(AI$5&lt;W$5)*AJ310+(AO$5&lt;W$5)*AP310+(AU$5&lt;W$5)*AV310)))</f>
        <v/>
      </c>
      <c r="Z310">
        <f>IF(X310-Y310&lt;0.005,0,X310-Y310)</f>
        <v/>
      </c>
      <c r="AA310">
        <f>AF309</f>
        <v/>
      </c>
      <c r="AB310">
        <f>AA310*Plan!D10/100/12</f>
        <v/>
      </c>
      <c r="AC310">
        <f>MIN(Plan!E10,AA310+AB310)</f>
        <v/>
      </c>
      <c r="AD310">
        <f>AA310+AB310-AC310</f>
        <v/>
      </c>
      <c r="AE310">
        <f>MIN(AD310,MAX(0,$B310-((E$5&lt;AC$5)*F310+(K$5&lt;AC$5)*L310+(Q$5&lt;AC$5)*R310+(W$5&lt;AC$5)*X310+(AI$5&lt;AC$5)*AJ310+(AO$5&lt;AC$5)*AP310+(AU$5&lt;AC$5)*AV310)))</f>
        <v/>
      </c>
      <c r="AF310">
        <f>IF(AD310-AE310&lt;0.005,0,AD310-AE310)</f>
        <v/>
      </c>
      <c r="AG310">
        <f>AL309</f>
        <v/>
      </c>
      <c r="AH310">
        <f>AG310*Plan!D11/100/12</f>
        <v/>
      </c>
      <c r="AI310">
        <f>MIN(Plan!E11,AG310+AH310)</f>
        <v/>
      </c>
      <c r="AJ310">
        <f>AG310+AH310-AI310</f>
        <v/>
      </c>
      <c r="AK310">
        <f>MIN(AJ310,MAX(0,$B310-((E$5&lt;AI$5)*F310+(K$5&lt;AI$5)*L310+(Q$5&lt;AI$5)*R310+(W$5&lt;AI$5)*X310+(AC$5&lt;AI$5)*AD310+(AO$5&lt;AI$5)*AP310+(AU$5&lt;AI$5)*AV310)))</f>
        <v/>
      </c>
      <c r="AL310">
        <f>IF(AJ310-AK310&lt;0.005,0,AJ310-AK310)</f>
        <v/>
      </c>
      <c r="AM310">
        <f>AR309</f>
        <v/>
      </c>
      <c r="AN310">
        <f>AM310*Plan!D12/100/12</f>
        <v/>
      </c>
      <c r="AO310">
        <f>MIN(Plan!E12,AM310+AN310)</f>
        <v/>
      </c>
      <c r="AP310">
        <f>AM310+AN310-AO310</f>
        <v/>
      </c>
      <c r="AQ310">
        <f>MIN(AP310,MAX(0,$B310-((E$5&lt;AO$5)*F310+(K$5&lt;AO$5)*L310+(Q$5&lt;AO$5)*R310+(W$5&lt;AO$5)*X310+(AC$5&lt;AO$5)*AD310+(AI$5&lt;AO$5)*AJ310+(AU$5&lt;AO$5)*AV310)))</f>
        <v/>
      </c>
      <c r="AR310">
        <f>IF(AP310-AQ310&lt;0.005,0,AP310-AQ310)</f>
        <v/>
      </c>
      <c r="AS310">
        <f>AX309</f>
        <v/>
      </c>
      <c r="AT310">
        <f>AS310*Plan!D13/100/12</f>
        <v/>
      </c>
      <c r="AU310">
        <f>MIN(Plan!E13,AS310+AT310)</f>
        <v/>
      </c>
      <c r="AV310">
        <f>AS310+AT310-AU310</f>
        <v/>
      </c>
      <c r="AW310">
        <f>MIN(AV310,MAX(0,$B310-((E$5&lt;AU$5)*F310+(K$5&lt;AU$5)*L310+(Q$5&lt;AU$5)*R310+(W$5&lt;AU$5)*X310+(AC$5&lt;AU$5)*AD310+(AI$5&lt;AU$5)*AJ310+(AO$5&lt;AU$5)*AP310)))</f>
        <v/>
      </c>
      <c r="AX310">
        <f>IF(AV310-AW310&lt;0.005,0,AV310-AW310)</f>
        <v/>
      </c>
      <c r="BC310">
        <f>H310+N310+T310+Z310+AF310+AL310+AR310+AX310</f>
        <v/>
      </c>
    </row>
    <row r="311">
      <c r="A311" t="n">
        <v>305</v>
      </c>
      <c r="B311" s="19">
        <f>MAX(0,$B$3-(E311+K311+Q311+W311+AC311+AI311+AO311+AU311))</f>
        <v/>
      </c>
      <c r="C311">
        <f>H310</f>
        <v/>
      </c>
      <c r="D311">
        <f>C311*Plan!D6/100/12</f>
        <v/>
      </c>
      <c r="E311">
        <f>MIN(Plan!E6,C311+D311)</f>
        <v/>
      </c>
      <c r="F311">
        <f>C311+D311-E311</f>
        <v/>
      </c>
      <c r="G311">
        <f>MIN(F311,MAX(0,$B311-((K$5&lt;E$5)*L311+(Q$5&lt;E$5)*R311+(W$5&lt;E$5)*X311+(AC$5&lt;E$5)*AD311+(AI$5&lt;E$5)*AJ311+(AO$5&lt;E$5)*AP311+(AU$5&lt;E$5)*AV311)))</f>
        <v/>
      </c>
      <c r="H311">
        <f>IF(F311-G311&lt;0.005,0,F311-G311)</f>
        <v/>
      </c>
      <c r="I311">
        <f>N310</f>
        <v/>
      </c>
      <c r="J311">
        <f>I311*Plan!D7/100/12</f>
        <v/>
      </c>
      <c r="K311">
        <f>MIN(Plan!E7,I311+J311)</f>
        <v/>
      </c>
      <c r="L311">
        <f>I311+J311-K311</f>
        <v/>
      </c>
      <c r="M311">
        <f>MIN(L311,MAX(0,$B311-((E$5&lt;K$5)*F311+(Q$5&lt;K$5)*R311+(W$5&lt;K$5)*X311+(AC$5&lt;K$5)*AD311+(AI$5&lt;K$5)*AJ311+(AO$5&lt;K$5)*AP311+(AU$5&lt;K$5)*AV311)))</f>
        <v/>
      </c>
      <c r="N311">
        <f>IF(L311-M311&lt;0.005,0,L311-M311)</f>
        <v/>
      </c>
      <c r="O311">
        <f>T310</f>
        <v/>
      </c>
      <c r="P311">
        <f>O311*Plan!D8/100/12</f>
        <v/>
      </c>
      <c r="Q311">
        <f>MIN(Plan!E8,O311+P311)</f>
        <v/>
      </c>
      <c r="R311">
        <f>O311+P311-Q311</f>
        <v/>
      </c>
      <c r="S311">
        <f>MIN(R311,MAX(0,$B311-((E$5&lt;Q$5)*F311+(K$5&lt;Q$5)*L311+(W$5&lt;Q$5)*X311+(AC$5&lt;Q$5)*AD311+(AI$5&lt;Q$5)*AJ311+(AO$5&lt;Q$5)*AP311+(AU$5&lt;Q$5)*AV311)))</f>
        <v/>
      </c>
      <c r="T311">
        <f>IF(R311-S311&lt;0.005,0,R311-S311)</f>
        <v/>
      </c>
      <c r="U311">
        <f>Z310</f>
        <v/>
      </c>
      <c r="V311">
        <f>U311*Plan!D9/100/12</f>
        <v/>
      </c>
      <c r="W311">
        <f>MIN(Plan!E9,U311+V311)</f>
        <v/>
      </c>
      <c r="X311">
        <f>U311+V311-W311</f>
        <v/>
      </c>
      <c r="Y311">
        <f>MIN(X311,MAX(0,$B311-((E$5&lt;W$5)*F311+(K$5&lt;W$5)*L311+(Q$5&lt;W$5)*R311+(AC$5&lt;W$5)*AD311+(AI$5&lt;W$5)*AJ311+(AO$5&lt;W$5)*AP311+(AU$5&lt;W$5)*AV311)))</f>
        <v/>
      </c>
      <c r="Z311">
        <f>IF(X311-Y311&lt;0.005,0,X311-Y311)</f>
        <v/>
      </c>
      <c r="AA311">
        <f>AF310</f>
        <v/>
      </c>
      <c r="AB311">
        <f>AA311*Plan!D10/100/12</f>
        <v/>
      </c>
      <c r="AC311">
        <f>MIN(Plan!E10,AA311+AB311)</f>
        <v/>
      </c>
      <c r="AD311">
        <f>AA311+AB311-AC311</f>
        <v/>
      </c>
      <c r="AE311">
        <f>MIN(AD311,MAX(0,$B311-((E$5&lt;AC$5)*F311+(K$5&lt;AC$5)*L311+(Q$5&lt;AC$5)*R311+(W$5&lt;AC$5)*X311+(AI$5&lt;AC$5)*AJ311+(AO$5&lt;AC$5)*AP311+(AU$5&lt;AC$5)*AV311)))</f>
        <v/>
      </c>
      <c r="AF311">
        <f>IF(AD311-AE311&lt;0.005,0,AD311-AE311)</f>
        <v/>
      </c>
      <c r="AG311">
        <f>AL310</f>
        <v/>
      </c>
      <c r="AH311">
        <f>AG311*Plan!D11/100/12</f>
        <v/>
      </c>
      <c r="AI311">
        <f>MIN(Plan!E11,AG311+AH311)</f>
        <v/>
      </c>
      <c r="AJ311">
        <f>AG311+AH311-AI311</f>
        <v/>
      </c>
      <c r="AK311">
        <f>MIN(AJ311,MAX(0,$B311-((E$5&lt;AI$5)*F311+(K$5&lt;AI$5)*L311+(Q$5&lt;AI$5)*R311+(W$5&lt;AI$5)*X311+(AC$5&lt;AI$5)*AD311+(AO$5&lt;AI$5)*AP311+(AU$5&lt;AI$5)*AV311)))</f>
        <v/>
      </c>
      <c r="AL311">
        <f>IF(AJ311-AK311&lt;0.005,0,AJ311-AK311)</f>
        <v/>
      </c>
      <c r="AM311">
        <f>AR310</f>
        <v/>
      </c>
      <c r="AN311">
        <f>AM311*Plan!D12/100/12</f>
        <v/>
      </c>
      <c r="AO311">
        <f>MIN(Plan!E12,AM311+AN311)</f>
        <v/>
      </c>
      <c r="AP311">
        <f>AM311+AN311-AO311</f>
        <v/>
      </c>
      <c r="AQ311">
        <f>MIN(AP311,MAX(0,$B311-((E$5&lt;AO$5)*F311+(K$5&lt;AO$5)*L311+(Q$5&lt;AO$5)*R311+(W$5&lt;AO$5)*X311+(AC$5&lt;AO$5)*AD311+(AI$5&lt;AO$5)*AJ311+(AU$5&lt;AO$5)*AV311)))</f>
        <v/>
      </c>
      <c r="AR311">
        <f>IF(AP311-AQ311&lt;0.005,0,AP311-AQ311)</f>
        <v/>
      </c>
      <c r="AS311">
        <f>AX310</f>
        <v/>
      </c>
      <c r="AT311">
        <f>AS311*Plan!D13/100/12</f>
        <v/>
      </c>
      <c r="AU311">
        <f>MIN(Plan!E13,AS311+AT311)</f>
        <v/>
      </c>
      <c r="AV311">
        <f>AS311+AT311-AU311</f>
        <v/>
      </c>
      <c r="AW311">
        <f>MIN(AV311,MAX(0,$B311-((E$5&lt;AU$5)*F311+(K$5&lt;AU$5)*L311+(Q$5&lt;AU$5)*R311+(W$5&lt;AU$5)*X311+(AC$5&lt;AU$5)*AD311+(AI$5&lt;AU$5)*AJ311+(AO$5&lt;AU$5)*AP311)))</f>
        <v/>
      </c>
      <c r="AX311">
        <f>IF(AV311-AW311&lt;0.005,0,AV311-AW311)</f>
        <v/>
      </c>
      <c r="BC311">
        <f>H311+N311+T311+Z311+AF311+AL311+AR311+AX311</f>
        <v/>
      </c>
    </row>
    <row r="312">
      <c r="A312" t="n">
        <v>306</v>
      </c>
      <c r="B312" s="19">
        <f>MAX(0,$B$3-(E312+K312+Q312+W312+AC312+AI312+AO312+AU312))</f>
        <v/>
      </c>
      <c r="C312">
        <f>H311</f>
        <v/>
      </c>
      <c r="D312">
        <f>C312*Plan!D6/100/12</f>
        <v/>
      </c>
      <c r="E312">
        <f>MIN(Plan!E6,C312+D312)</f>
        <v/>
      </c>
      <c r="F312">
        <f>C312+D312-E312</f>
        <v/>
      </c>
      <c r="G312">
        <f>MIN(F312,MAX(0,$B312-((K$5&lt;E$5)*L312+(Q$5&lt;E$5)*R312+(W$5&lt;E$5)*X312+(AC$5&lt;E$5)*AD312+(AI$5&lt;E$5)*AJ312+(AO$5&lt;E$5)*AP312+(AU$5&lt;E$5)*AV312)))</f>
        <v/>
      </c>
      <c r="H312">
        <f>IF(F312-G312&lt;0.005,0,F312-G312)</f>
        <v/>
      </c>
      <c r="I312">
        <f>N311</f>
        <v/>
      </c>
      <c r="J312">
        <f>I312*Plan!D7/100/12</f>
        <v/>
      </c>
      <c r="K312">
        <f>MIN(Plan!E7,I312+J312)</f>
        <v/>
      </c>
      <c r="L312">
        <f>I312+J312-K312</f>
        <v/>
      </c>
      <c r="M312">
        <f>MIN(L312,MAX(0,$B312-((E$5&lt;K$5)*F312+(Q$5&lt;K$5)*R312+(W$5&lt;K$5)*X312+(AC$5&lt;K$5)*AD312+(AI$5&lt;K$5)*AJ312+(AO$5&lt;K$5)*AP312+(AU$5&lt;K$5)*AV312)))</f>
        <v/>
      </c>
      <c r="N312">
        <f>IF(L312-M312&lt;0.005,0,L312-M312)</f>
        <v/>
      </c>
      <c r="O312">
        <f>T311</f>
        <v/>
      </c>
      <c r="P312">
        <f>O312*Plan!D8/100/12</f>
        <v/>
      </c>
      <c r="Q312">
        <f>MIN(Plan!E8,O312+P312)</f>
        <v/>
      </c>
      <c r="R312">
        <f>O312+P312-Q312</f>
        <v/>
      </c>
      <c r="S312">
        <f>MIN(R312,MAX(0,$B312-((E$5&lt;Q$5)*F312+(K$5&lt;Q$5)*L312+(W$5&lt;Q$5)*X312+(AC$5&lt;Q$5)*AD312+(AI$5&lt;Q$5)*AJ312+(AO$5&lt;Q$5)*AP312+(AU$5&lt;Q$5)*AV312)))</f>
        <v/>
      </c>
      <c r="T312">
        <f>IF(R312-S312&lt;0.005,0,R312-S312)</f>
        <v/>
      </c>
      <c r="U312">
        <f>Z311</f>
        <v/>
      </c>
      <c r="V312">
        <f>U312*Plan!D9/100/12</f>
        <v/>
      </c>
      <c r="W312">
        <f>MIN(Plan!E9,U312+V312)</f>
        <v/>
      </c>
      <c r="X312">
        <f>U312+V312-W312</f>
        <v/>
      </c>
      <c r="Y312">
        <f>MIN(X312,MAX(0,$B312-((E$5&lt;W$5)*F312+(K$5&lt;W$5)*L312+(Q$5&lt;W$5)*R312+(AC$5&lt;W$5)*AD312+(AI$5&lt;W$5)*AJ312+(AO$5&lt;W$5)*AP312+(AU$5&lt;W$5)*AV312)))</f>
        <v/>
      </c>
      <c r="Z312">
        <f>IF(X312-Y312&lt;0.005,0,X312-Y312)</f>
        <v/>
      </c>
      <c r="AA312">
        <f>AF311</f>
        <v/>
      </c>
      <c r="AB312">
        <f>AA312*Plan!D10/100/12</f>
        <v/>
      </c>
      <c r="AC312">
        <f>MIN(Plan!E10,AA312+AB312)</f>
        <v/>
      </c>
      <c r="AD312">
        <f>AA312+AB312-AC312</f>
        <v/>
      </c>
      <c r="AE312">
        <f>MIN(AD312,MAX(0,$B312-((E$5&lt;AC$5)*F312+(K$5&lt;AC$5)*L312+(Q$5&lt;AC$5)*R312+(W$5&lt;AC$5)*X312+(AI$5&lt;AC$5)*AJ312+(AO$5&lt;AC$5)*AP312+(AU$5&lt;AC$5)*AV312)))</f>
        <v/>
      </c>
      <c r="AF312">
        <f>IF(AD312-AE312&lt;0.005,0,AD312-AE312)</f>
        <v/>
      </c>
      <c r="AG312">
        <f>AL311</f>
        <v/>
      </c>
      <c r="AH312">
        <f>AG312*Plan!D11/100/12</f>
        <v/>
      </c>
      <c r="AI312">
        <f>MIN(Plan!E11,AG312+AH312)</f>
        <v/>
      </c>
      <c r="AJ312">
        <f>AG312+AH312-AI312</f>
        <v/>
      </c>
      <c r="AK312">
        <f>MIN(AJ312,MAX(0,$B312-((E$5&lt;AI$5)*F312+(K$5&lt;AI$5)*L312+(Q$5&lt;AI$5)*R312+(W$5&lt;AI$5)*X312+(AC$5&lt;AI$5)*AD312+(AO$5&lt;AI$5)*AP312+(AU$5&lt;AI$5)*AV312)))</f>
        <v/>
      </c>
      <c r="AL312">
        <f>IF(AJ312-AK312&lt;0.005,0,AJ312-AK312)</f>
        <v/>
      </c>
      <c r="AM312">
        <f>AR311</f>
        <v/>
      </c>
      <c r="AN312">
        <f>AM312*Plan!D12/100/12</f>
        <v/>
      </c>
      <c r="AO312">
        <f>MIN(Plan!E12,AM312+AN312)</f>
        <v/>
      </c>
      <c r="AP312">
        <f>AM312+AN312-AO312</f>
        <v/>
      </c>
      <c r="AQ312">
        <f>MIN(AP312,MAX(0,$B312-((E$5&lt;AO$5)*F312+(K$5&lt;AO$5)*L312+(Q$5&lt;AO$5)*R312+(W$5&lt;AO$5)*X312+(AC$5&lt;AO$5)*AD312+(AI$5&lt;AO$5)*AJ312+(AU$5&lt;AO$5)*AV312)))</f>
        <v/>
      </c>
      <c r="AR312">
        <f>IF(AP312-AQ312&lt;0.005,0,AP312-AQ312)</f>
        <v/>
      </c>
      <c r="AS312">
        <f>AX311</f>
        <v/>
      </c>
      <c r="AT312">
        <f>AS312*Plan!D13/100/12</f>
        <v/>
      </c>
      <c r="AU312">
        <f>MIN(Plan!E13,AS312+AT312)</f>
        <v/>
      </c>
      <c r="AV312">
        <f>AS312+AT312-AU312</f>
        <v/>
      </c>
      <c r="AW312">
        <f>MIN(AV312,MAX(0,$B312-((E$5&lt;AU$5)*F312+(K$5&lt;AU$5)*L312+(Q$5&lt;AU$5)*R312+(W$5&lt;AU$5)*X312+(AC$5&lt;AU$5)*AD312+(AI$5&lt;AU$5)*AJ312+(AO$5&lt;AU$5)*AP312)))</f>
        <v/>
      </c>
      <c r="AX312">
        <f>IF(AV312-AW312&lt;0.005,0,AV312-AW312)</f>
        <v/>
      </c>
      <c r="BC312">
        <f>H312+N312+T312+Z312+AF312+AL312+AR312+AX312</f>
        <v/>
      </c>
    </row>
    <row r="313">
      <c r="A313" t="n">
        <v>307</v>
      </c>
      <c r="B313" s="19">
        <f>MAX(0,$B$3-(E313+K313+Q313+W313+AC313+AI313+AO313+AU313))</f>
        <v/>
      </c>
      <c r="C313">
        <f>H312</f>
        <v/>
      </c>
      <c r="D313">
        <f>C313*Plan!D6/100/12</f>
        <v/>
      </c>
      <c r="E313">
        <f>MIN(Plan!E6,C313+D313)</f>
        <v/>
      </c>
      <c r="F313">
        <f>C313+D313-E313</f>
        <v/>
      </c>
      <c r="G313">
        <f>MIN(F313,MAX(0,$B313-((K$5&lt;E$5)*L313+(Q$5&lt;E$5)*R313+(W$5&lt;E$5)*X313+(AC$5&lt;E$5)*AD313+(AI$5&lt;E$5)*AJ313+(AO$5&lt;E$5)*AP313+(AU$5&lt;E$5)*AV313)))</f>
        <v/>
      </c>
      <c r="H313">
        <f>IF(F313-G313&lt;0.005,0,F313-G313)</f>
        <v/>
      </c>
      <c r="I313">
        <f>N312</f>
        <v/>
      </c>
      <c r="J313">
        <f>I313*Plan!D7/100/12</f>
        <v/>
      </c>
      <c r="K313">
        <f>MIN(Plan!E7,I313+J313)</f>
        <v/>
      </c>
      <c r="L313">
        <f>I313+J313-K313</f>
        <v/>
      </c>
      <c r="M313">
        <f>MIN(L313,MAX(0,$B313-((E$5&lt;K$5)*F313+(Q$5&lt;K$5)*R313+(W$5&lt;K$5)*X313+(AC$5&lt;K$5)*AD313+(AI$5&lt;K$5)*AJ313+(AO$5&lt;K$5)*AP313+(AU$5&lt;K$5)*AV313)))</f>
        <v/>
      </c>
      <c r="N313">
        <f>IF(L313-M313&lt;0.005,0,L313-M313)</f>
        <v/>
      </c>
      <c r="O313">
        <f>T312</f>
        <v/>
      </c>
      <c r="P313">
        <f>O313*Plan!D8/100/12</f>
        <v/>
      </c>
      <c r="Q313">
        <f>MIN(Plan!E8,O313+P313)</f>
        <v/>
      </c>
      <c r="R313">
        <f>O313+P313-Q313</f>
        <v/>
      </c>
      <c r="S313">
        <f>MIN(R313,MAX(0,$B313-((E$5&lt;Q$5)*F313+(K$5&lt;Q$5)*L313+(W$5&lt;Q$5)*X313+(AC$5&lt;Q$5)*AD313+(AI$5&lt;Q$5)*AJ313+(AO$5&lt;Q$5)*AP313+(AU$5&lt;Q$5)*AV313)))</f>
        <v/>
      </c>
      <c r="T313">
        <f>IF(R313-S313&lt;0.005,0,R313-S313)</f>
        <v/>
      </c>
      <c r="U313">
        <f>Z312</f>
        <v/>
      </c>
      <c r="V313">
        <f>U313*Plan!D9/100/12</f>
        <v/>
      </c>
      <c r="W313">
        <f>MIN(Plan!E9,U313+V313)</f>
        <v/>
      </c>
      <c r="X313">
        <f>U313+V313-W313</f>
        <v/>
      </c>
      <c r="Y313">
        <f>MIN(X313,MAX(0,$B313-((E$5&lt;W$5)*F313+(K$5&lt;W$5)*L313+(Q$5&lt;W$5)*R313+(AC$5&lt;W$5)*AD313+(AI$5&lt;W$5)*AJ313+(AO$5&lt;W$5)*AP313+(AU$5&lt;W$5)*AV313)))</f>
        <v/>
      </c>
      <c r="Z313">
        <f>IF(X313-Y313&lt;0.005,0,X313-Y313)</f>
        <v/>
      </c>
      <c r="AA313">
        <f>AF312</f>
        <v/>
      </c>
      <c r="AB313">
        <f>AA313*Plan!D10/100/12</f>
        <v/>
      </c>
      <c r="AC313">
        <f>MIN(Plan!E10,AA313+AB313)</f>
        <v/>
      </c>
      <c r="AD313">
        <f>AA313+AB313-AC313</f>
        <v/>
      </c>
      <c r="AE313">
        <f>MIN(AD313,MAX(0,$B313-((E$5&lt;AC$5)*F313+(K$5&lt;AC$5)*L313+(Q$5&lt;AC$5)*R313+(W$5&lt;AC$5)*X313+(AI$5&lt;AC$5)*AJ313+(AO$5&lt;AC$5)*AP313+(AU$5&lt;AC$5)*AV313)))</f>
        <v/>
      </c>
      <c r="AF313">
        <f>IF(AD313-AE313&lt;0.005,0,AD313-AE313)</f>
        <v/>
      </c>
      <c r="AG313">
        <f>AL312</f>
        <v/>
      </c>
      <c r="AH313">
        <f>AG313*Plan!D11/100/12</f>
        <v/>
      </c>
      <c r="AI313">
        <f>MIN(Plan!E11,AG313+AH313)</f>
        <v/>
      </c>
      <c r="AJ313">
        <f>AG313+AH313-AI313</f>
        <v/>
      </c>
      <c r="AK313">
        <f>MIN(AJ313,MAX(0,$B313-((E$5&lt;AI$5)*F313+(K$5&lt;AI$5)*L313+(Q$5&lt;AI$5)*R313+(W$5&lt;AI$5)*X313+(AC$5&lt;AI$5)*AD313+(AO$5&lt;AI$5)*AP313+(AU$5&lt;AI$5)*AV313)))</f>
        <v/>
      </c>
      <c r="AL313">
        <f>IF(AJ313-AK313&lt;0.005,0,AJ313-AK313)</f>
        <v/>
      </c>
      <c r="AM313">
        <f>AR312</f>
        <v/>
      </c>
      <c r="AN313">
        <f>AM313*Plan!D12/100/12</f>
        <v/>
      </c>
      <c r="AO313">
        <f>MIN(Plan!E12,AM313+AN313)</f>
        <v/>
      </c>
      <c r="AP313">
        <f>AM313+AN313-AO313</f>
        <v/>
      </c>
      <c r="AQ313">
        <f>MIN(AP313,MAX(0,$B313-((E$5&lt;AO$5)*F313+(K$5&lt;AO$5)*L313+(Q$5&lt;AO$5)*R313+(W$5&lt;AO$5)*X313+(AC$5&lt;AO$5)*AD313+(AI$5&lt;AO$5)*AJ313+(AU$5&lt;AO$5)*AV313)))</f>
        <v/>
      </c>
      <c r="AR313">
        <f>IF(AP313-AQ313&lt;0.005,0,AP313-AQ313)</f>
        <v/>
      </c>
      <c r="AS313">
        <f>AX312</f>
        <v/>
      </c>
      <c r="AT313">
        <f>AS313*Plan!D13/100/12</f>
        <v/>
      </c>
      <c r="AU313">
        <f>MIN(Plan!E13,AS313+AT313)</f>
        <v/>
      </c>
      <c r="AV313">
        <f>AS313+AT313-AU313</f>
        <v/>
      </c>
      <c r="AW313">
        <f>MIN(AV313,MAX(0,$B313-((E$5&lt;AU$5)*F313+(K$5&lt;AU$5)*L313+(Q$5&lt;AU$5)*R313+(W$5&lt;AU$5)*X313+(AC$5&lt;AU$5)*AD313+(AI$5&lt;AU$5)*AJ313+(AO$5&lt;AU$5)*AP313)))</f>
        <v/>
      </c>
      <c r="AX313">
        <f>IF(AV313-AW313&lt;0.005,0,AV313-AW313)</f>
        <v/>
      </c>
      <c r="BC313">
        <f>H313+N313+T313+Z313+AF313+AL313+AR313+AX313</f>
        <v/>
      </c>
    </row>
    <row r="314">
      <c r="A314" t="n">
        <v>308</v>
      </c>
      <c r="B314" s="19">
        <f>MAX(0,$B$3-(E314+K314+Q314+W314+AC314+AI314+AO314+AU314))</f>
        <v/>
      </c>
      <c r="C314">
        <f>H313</f>
        <v/>
      </c>
      <c r="D314">
        <f>C314*Plan!D6/100/12</f>
        <v/>
      </c>
      <c r="E314">
        <f>MIN(Plan!E6,C314+D314)</f>
        <v/>
      </c>
      <c r="F314">
        <f>C314+D314-E314</f>
        <v/>
      </c>
      <c r="G314">
        <f>MIN(F314,MAX(0,$B314-((K$5&lt;E$5)*L314+(Q$5&lt;E$5)*R314+(W$5&lt;E$5)*X314+(AC$5&lt;E$5)*AD314+(AI$5&lt;E$5)*AJ314+(AO$5&lt;E$5)*AP314+(AU$5&lt;E$5)*AV314)))</f>
        <v/>
      </c>
      <c r="H314">
        <f>IF(F314-G314&lt;0.005,0,F314-G314)</f>
        <v/>
      </c>
      <c r="I314">
        <f>N313</f>
        <v/>
      </c>
      <c r="J314">
        <f>I314*Plan!D7/100/12</f>
        <v/>
      </c>
      <c r="K314">
        <f>MIN(Plan!E7,I314+J314)</f>
        <v/>
      </c>
      <c r="L314">
        <f>I314+J314-K314</f>
        <v/>
      </c>
      <c r="M314">
        <f>MIN(L314,MAX(0,$B314-((E$5&lt;K$5)*F314+(Q$5&lt;K$5)*R314+(W$5&lt;K$5)*X314+(AC$5&lt;K$5)*AD314+(AI$5&lt;K$5)*AJ314+(AO$5&lt;K$5)*AP314+(AU$5&lt;K$5)*AV314)))</f>
        <v/>
      </c>
      <c r="N314">
        <f>IF(L314-M314&lt;0.005,0,L314-M314)</f>
        <v/>
      </c>
      <c r="O314">
        <f>T313</f>
        <v/>
      </c>
      <c r="P314">
        <f>O314*Plan!D8/100/12</f>
        <v/>
      </c>
      <c r="Q314">
        <f>MIN(Plan!E8,O314+P314)</f>
        <v/>
      </c>
      <c r="R314">
        <f>O314+P314-Q314</f>
        <v/>
      </c>
      <c r="S314">
        <f>MIN(R314,MAX(0,$B314-((E$5&lt;Q$5)*F314+(K$5&lt;Q$5)*L314+(W$5&lt;Q$5)*X314+(AC$5&lt;Q$5)*AD314+(AI$5&lt;Q$5)*AJ314+(AO$5&lt;Q$5)*AP314+(AU$5&lt;Q$5)*AV314)))</f>
        <v/>
      </c>
      <c r="T314">
        <f>IF(R314-S314&lt;0.005,0,R314-S314)</f>
        <v/>
      </c>
      <c r="U314">
        <f>Z313</f>
        <v/>
      </c>
      <c r="V314">
        <f>U314*Plan!D9/100/12</f>
        <v/>
      </c>
      <c r="W314">
        <f>MIN(Plan!E9,U314+V314)</f>
        <v/>
      </c>
      <c r="X314">
        <f>U314+V314-W314</f>
        <v/>
      </c>
      <c r="Y314">
        <f>MIN(X314,MAX(0,$B314-((E$5&lt;W$5)*F314+(K$5&lt;W$5)*L314+(Q$5&lt;W$5)*R314+(AC$5&lt;W$5)*AD314+(AI$5&lt;W$5)*AJ314+(AO$5&lt;W$5)*AP314+(AU$5&lt;W$5)*AV314)))</f>
        <v/>
      </c>
      <c r="Z314">
        <f>IF(X314-Y314&lt;0.005,0,X314-Y314)</f>
        <v/>
      </c>
      <c r="AA314">
        <f>AF313</f>
        <v/>
      </c>
      <c r="AB314">
        <f>AA314*Plan!D10/100/12</f>
        <v/>
      </c>
      <c r="AC314">
        <f>MIN(Plan!E10,AA314+AB314)</f>
        <v/>
      </c>
      <c r="AD314">
        <f>AA314+AB314-AC314</f>
        <v/>
      </c>
      <c r="AE314">
        <f>MIN(AD314,MAX(0,$B314-((E$5&lt;AC$5)*F314+(K$5&lt;AC$5)*L314+(Q$5&lt;AC$5)*R314+(W$5&lt;AC$5)*X314+(AI$5&lt;AC$5)*AJ314+(AO$5&lt;AC$5)*AP314+(AU$5&lt;AC$5)*AV314)))</f>
        <v/>
      </c>
      <c r="AF314">
        <f>IF(AD314-AE314&lt;0.005,0,AD314-AE314)</f>
        <v/>
      </c>
      <c r="AG314">
        <f>AL313</f>
        <v/>
      </c>
      <c r="AH314">
        <f>AG314*Plan!D11/100/12</f>
        <v/>
      </c>
      <c r="AI314">
        <f>MIN(Plan!E11,AG314+AH314)</f>
        <v/>
      </c>
      <c r="AJ314">
        <f>AG314+AH314-AI314</f>
        <v/>
      </c>
      <c r="AK314">
        <f>MIN(AJ314,MAX(0,$B314-((E$5&lt;AI$5)*F314+(K$5&lt;AI$5)*L314+(Q$5&lt;AI$5)*R314+(W$5&lt;AI$5)*X314+(AC$5&lt;AI$5)*AD314+(AO$5&lt;AI$5)*AP314+(AU$5&lt;AI$5)*AV314)))</f>
        <v/>
      </c>
      <c r="AL314">
        <f>IF(AJ314-AK314&lt;0.005,0,AJ314-AK314)</f>
        <v/>
      </c>
      <c r="AM314">
        <f>AR313</f>
        <v/>
      </c>
      <c r="AN314">
        <f>AM314*Plan!D12/100/12</f>
        <v/>
      </c>
      <c r="AO314">
        <f>MIN(Plan!E12,AM314+AN314)</f>
        <v/>
      </c>
      <c r="AP314">
        <f>AM314+AN314-AO314</f>
        <v/>
      </c>
      <c r="AQ314">
        <f>MIN(AP314,MAX(0,$B314-((E$5&lt;AO$5)*F314+(K$5&lt;AO$5)*L314+(Q$5&lt;AO$5)*R314+(W$5&lt;AO$5)*X314+(AC$5&lt;AO$5)*AD314+(AI$5&lt;AO$5)*AJ314+(AU$5&lt;AO$5)*AV314)))</f>
        <v/>
      </c>
      <c r="AR314">
        <f>IF(AP314-AQ314&lt;0.005,0,AP314-AQ314)</f>
        <v/>
      </c>
      <c r="AS314">
        <f>AX313</f>
        <v/>
      </c>
      <c r="AT314">
        <f>AS314*Plan!D13/100/12</f>
        <v/>
      </c>
      <c r="AU314">
        <f>MIN(Plan!E13,AS314+AT314)</f>
        <v/>
      </c>
      <c r="AV314">
        <f>AS314+AT314-AU314</f>
        <v/>
      </c>
      <c r="AW314">
        <f>MIN(AV314,MAX(0,$B314-((E$5&lt;AU$5)*F314+(K$5&lt;AU$5)*L314+(Q$5&lt;AU$5)*R314+(W$5&lt;AU$5)*X314+(AC$5&lt;AU$5)*AD314+(AI$5&lt;AU$5)*AJ314+(AO$5&lt;AU$5)*AP314)))</f>
        <v/>
      </c>
      <c r="AX314">
        <f>IF(AV314-AW314&lt;0.005,0,AV314-AW314)</f>
        <v/>
      </c>
      <c r="BC314">
        <f>H314+N314+T314+Z314+AF314+AL314+AR314+AX314</f>
        <v/>
      </c>
    </row>
    <row r="315">
      <c r="A315" t="n">
        <v>309</v>
      </c>
      <c r="B315" s="19">
        <f>MAX(0,$B$3-(E315+K315+Q315+W315+AC315+AI315+AO315+AU315))</f>
        <v/>
      </c>
      <c r="C315">
        <f>H314</f>
        <v/>
      </c>
      <c r="D315">
        <f>C315*Plan!D6/100/12</f>
        <v/>
      </c>
      <c r="E315">
        <f>MIN(Plan!E6,C315+D315)</f>
        <v/>
      </c>
      <c r="F315">
        <f>C315+D315-E315</f>
        <v/>
      </c>
      <c r="G315">
        <f>MIN(F315,MAX(0,$B315-((K$5&lt;E$5)*L315+(Q$5&lt;E$5)*R315+(W$5&lt;E$5)*X315+(AC$5&lt;E$5)*AD315+(AI$5&lt;E$5)*AJ315+(AO$5&lt;E$5)*AP315+(AU$5&lt;E$5)*AV315)))</f>
        <v/>
      </c>
      <c r="H315">
        <f>IF(F315-G315&lt;0.005,0,F315-G315)</f>
        <v/>
      </c>
      <c r="I315">
        <f>N314</f>
        <v/>
      </c>
      <c r="J315">
        <f>I315*Plan!D7/100/12</f>
        <v/>
      </c>
      <c r="K315">
        <f>MIN(Plan!E7,I315+J315)</f>
        <v/>
      </c>
      <c r="L315">
        <f>I315+J315-K315</f>
        <v/>
      </c>
      <c r="M315">
        <f>MIN(L315,MAX(0,$B315-((E$5&lt;K$5)*F315+(Q$5&lt;K$5)*R315+(W$5&lt;K$5)*X315+(AC$5&lt;K$5)*AD315+(AI$5&lt;K$5)*AJ315+(AO$5&lt;K$5)*AP315+(AU$5&lt;K$5)*AV315)))</f>
        <v/>
      </c>
      <c r="N315">
        <f>IF(L315-M315&lt;0.005,0,L315-M315)</f>
        <v/>
      </c>
      <c r="O315">
        <f>T314</f>
        <v/>
      </c>
      <c r="P315">
        <f>O315*Plan!D8/100/12</f>
        <v/>
      </c>
      <c r="Q315">
        <f>MIN(Plan!E8,O315+P315)</f>
        <v/>
      </c>
      <c r="R315">
        <f>O315+P315-Q315</f>
        <v/>
      </c>
      <c r="S315">
        <f>MIN(R315,MAX(0,$B315-((E$5&lt;Q$5)*F315+(K$5&lt;Q$5)*L315+(W$5&lt;Q$5)*X315+(AC$5&lt;Q$5)*AD315+(AI$5&lt;Q$5)*AJ315+(AO$5&lt;Q$5)*AP315+(AU$5&lt;Q$5)*AV315)))</f>
        <v/>
      </c>
      <c r="T315">
        <f>IF(R315-S315&lt;0.005,0,R315-S315)</f>
        <v/>
      </c>
      <c r="U315">
        <f>Z314</f>
        <v/>
      </c>
      <c r="V315">
        <f>U315*Plan!D9/100/12</f>
        <v/>
      </c>
      <c r="W315">
        <f>MIN(Plan!E9,U315+V315)</f>
        <v/>
      </c>
      <c r="X315">
        <f>U315+V315-W315</f>
        <v/>
      </c>
      <c r="Y315">
        <f>MIN(X315,MAX(0,$B315-((E$5&lt;W$5)*F315+(K$5&lt;W$5)*L315+(Q$5&lt;W$5)*R315+(AC$5&lt;W$5)*AD315+(AI$5&lt;W$5)*AJ315+(AO$5&lt;W$5)*AP315+(AU$5&lt;W$5)*AV315)))</f>
        <v/>
      </c>
      <c r="Z315">
        <f>IF(X315-Y315&lt;0.005,0,X315-Y315)</f>
        <v/>
      </c>
      <c r="AA315">
        <f>AF314</f>
        <v/>
      </c>
      <c r="AB315">
        <f>AA315*Plan!D10/100/12</f>
        <v/>
      </c>
      <c r="AC315">
        <f>MIN(Plan!E10,AA315+AB315)</f>
        <v/>
      </c>
      <c r="AD315">
        <f>AA315+AB315-AC315</f>
        <v/>
      </c>
      <c r="AE315">
        <f>MIN(AD315,MAX(0,$B315-((E$5&lt;AC$5)*F315+(K$5&lt;AC$5)*L315+(Q$5&lt;AC$5)*R315+(W$5&lt;AC$5)*X315+(AI$5&lt;AC$5)*AJ315+(AO$5&lt;AC$5)*AP315+(AU$5&lt;AC$5)*AV315)))</f>
        <v/>
      </c>
      <c r="AF315">
        <f>IF(AD315-AE315&lt;0.005,0,AD315-AE315)</f>
        <v/>
      </c>
      <c r="AG315">
        <f>AL314</f>
        <v/>
      </c>
      <c r="AH315">
        <f>AG315*Plan!D11/100/12</f>
        <v/>
      </c>
      <c r="AI315">
        <f>MIN(Plan!E11,AG315+AH315)</f>
        <v/>
      </c>
      <c r="AJ315">
        <f>AG315+AH315-AI315</f>
        <v/>
      </c>
      <c r="AK315">
        <f>MIN(AJ315,MAX(0,$B315-((E$5&lt;AI$5)*F315+(K$5&lt;AI$5)*L315+(Q$5&lt;AI$5)*R315+(W$5&lt;AI$5)*X315+(AC$5&lt;AI$5)*AD315+(AO$5&lt;AI$5)*AP315+(AU$5&lt;AI$5)*AV315)))</f>
        <v/>
      </c>
      <c r="AL315">
        <f>IF(AJ315-AK315&lt;0.005,0,AJ315-AK315)</f>
        <v/>
      </c>
      <c r="AM315">
        <f>AR314</f>
        <v/>
      </c>
      <c r="AN315">
        <f>AM315*Plan!D12/100/12</f>
        <v/>
      </c>
      <c r="AO315">
        <f>MIN(Plan!E12,AM315+AN315)</f>
        <v/>
      </c>
      <c r="AP315">
        <f>AM315+AN315-AO315</f>
        <v/>
      </c>
      <c r="AQ315">
        <f>MIN(AP315,MAX(0,$B315-((E$5&lt;AO$5)*F315+(K$5&lt;AO$5)*L315+(Q$5&lt;AO$5)*R315+(W$5&lt;AO$5)*X315+(AC$5&lt;AO$5)*AD315+(AI$5&lt;AO$5)*AJ315+(AU$5&lt;AO$5)*AV315)))</f>
        <v/>
      </c>
      <c r="AR315">
        <f>IF(AP315-AQ315&lt;0.005,0,AP315-AQ315)</f>
        <v/>
      </c>
      <c r="AS315">
        <f>AX314</f>
        <v/>
      </c>
      <c r="AT315">
        <f>AS315*Plan!D13/100/12</f>
        <v/>
      </c>
      <c r="AU315">
        <f>MIN(Plan!E13,AS315+AT315)</f>
        <v/>
      </c>
      <c r="AV315">
        <f>AS315+AT315-AU315</f>
        <v/>
      </c>
      <c r="AW315">
        <f>MIN(AV315,MAX(0,$B315-((E$5&lt;AU$5)*F315+(K$5&lt;AU$5)*L315+(Q$5&lt;AU$5)*R315+(W$5&lt;AU$5)*X315+(AC$5&lt;AU$5)*AD315+(AI$5&lt;AU$5)*AJ315+(AO$5&lt;AU$5)*AP315)))</f>
        <v/>
      </c>
      <c r="AX315">
        <f>IF(AV315-AW315&lt;0.005,0,AV315-AW315)</f>
        <v/>
      </c>
      <c r="BC315">
        <f>H315+N315+T315+Z315+AF315+AL315+AR315+AX315</f>
        <v/>
      </c>
    </row>
    <row r="316">
      <c r="A316" t="n">
        <v>310</v>
      </c>
      <c r="B316" s="19">
        <f>MAX(0,$B$3-(E316+K316+Q316+W316+AC316+AI316+AO316+AU316))</f>
        <v/>
      </c>
      <c r="C316">
        <f>H315</f>
        <v/>
      </c>
      <c r="D316">
        <f>C316*Plan!D6/100/12</f>
        <v/>
      </c>
      <c r="E316">
        <f>MIN(Plan!E6,C316+D316)</f>
        <v/>
      </c>
      <c r="F316">
        <f>C316+D316-E316</f>
        <v/>
      </c>
      <c r="G316">
        <f>MIN(F316,MAX(0,$B316-((K$5&lt;E$5)*L316+(Q$5&lt;E$5)*R316+(W$5&lt;E$5)*X316+(AC$5&lt;E$5)*AD316+(AI$5&lt;E$5)*AJ316+(AO$5&lt;E$5)*AP316+(AU$5&lt;E$5)*AV316)))</f>
        <v/>
      </c>
      <c r="H316">
        <f>IF(F316-G316&lt;0.005,0,F316-G316)</f>
        <v/>
      </c>
      <c r="I316">
        <f>N315</f>
        <v/>
      </c>
      <c r="J316">
        <f>I316*Plan!D7/100/12</f>
        <v/>
      </c>
      <c r="K316">
        <f>MIN(Plan!E7,I316+J316)</f>
        <v/>
      </c>
      <c r="L316">
        <f>I316+J316-K316</f>
        <v/>
      </c>
      <c r="M316">
        <f>MIN(L316,MAX(0,$B316-((E$5&lt;K$5)*F316+(Q$5&lt;K$5)*R316+(W$5&lt;K$5)*X316+(AC$5&lt;K$5)*AD316+(AI$5&lt;K$5)*AJ316+(AO$5&lt;K$5)*AP316+(AU$5&lt;K$5)*AV316)))</f>
        <v/>
      </c>
      <c r="N316">
        <f>IF(L316-M316&lt;0.005,0,L316-M316)</f>
        <v/>
      </c>
      <c r="O316">
        <f>T315</f>
        <v/>
      </c>
      <c r="P316">
        <f>O316*Plan!D8/100/12</f>
        <v/>
      </c>
      <c r="Q316">
        <f>MIN(Plan!E8,O316+P316)</f>
        <v/>
      </c>
      <c r="R316">
        <f>O316+P316-Q316</f>
        <v/>
      </c>
      <c r="S316">
        <f>MIN(R316,MAX(0,$B316-((E$5&lt;Q$5)*F316+(K$5&lt;Q$5)*L316+(W$5&lt;Q$5)*X316+(AC$5&lt;Q$5)*AD316+(AI$5&lt;Q$5)*AJ316+(AO$5&lt;Q$5)*AP316+(AU$5&lt;Q$5)*AV316)))</f>
        <v/>
      </c>
      <c r="T316">
        <f>IF(R316-S316&lt;0.005,0,R316-S316)</f>
        <v/>
      </c>
      <c r="U316">
        <f>Z315</f>
        <v/>
      </c>
      <c r="V316">
        <f>U316*Plan!D9/100/12</f>
        <v/>
      </c>
      <c r="W316">
        <f>MIN(Plan!E9,U316+V316)</f>
        <v/>
      </c>
      <c r="X316">
        <f>U316+V316-W316</f>
        <v/>
      </c>
      <c r="Y316">
        <f>MIN(X316,MAX(0,$B316-((E$5&lt;W$5)*F316+(K$5&lt;W$5)*L316+(Q$5&lt;W$5)*R316+(AC$5&lt;W$5)*AD316+(AI$5&lt;W$5)*AJ316+(AO$5&lt;W$5)*AP316+(AU$5&lt;W$5)*AV316)))</f>
        <v/>
      </c>
      <c r="Z316">
        <f>IF(X316-Y316&lt;0.005,0,X316-Y316)</f>
        <v/>
      </c>
      <c r="AA316">
        <f>AF315</f>
        <v/>
      </c>
      <c r="AB316">
        <f>AA316*Plan!D10/100/12</f>
        <v/>
      </c>
      <c r="AC316">
        <f>MIN(Plan!E10,AA316+AB316)</f>
        <v/>
      </c>
      <c r="AD316">
        <f>AA316+AB316-AC316</f>
        <v/>
      </c>
      <c r="AE316">
        <f>MIN(AD316,MAX(0,$B316-((E$5&lt;AC$5)*F316+(K$5&lt;AC$5)*L316+(Q$5&lt;AC$5)*R316+(W$5&lt;AC$5)*X316+(AI$5&lt;AC$5)*AJ316+(AO$5&lt;AC$5)*AP316+(AU$5&lt;AC$5)*AV316)))</f>
        <v/>
      </c>
      <c r="AF316">
        <f>IF(AD316-AE316&lt;0.005,0,AD316-AE316)</f>
        <v/>
      </c>
      <c r="AG316">
        <f>AL315</f>
        <v/>
      </c>
      <c r="AH316">
        <f>AG316*Plan!D11/100/12</f>
        <v/>
      </c>
      <c r="AI316">
        <f>MIN(Plan!E11,AG316+AH316)</f>
        <v/>
      </c>
      <c r="AJ316">
        <f>AG316+AH316-AI316</f>
        <v/>
      </c>
      <c r="AK316">
        <f>MIN(AJ316,MAX(0,$B316-((E$5&lt;AI$5)*F316+(K$5&lt;AI$5)*L316+(Q$5&lt;AI$5)*R316+(W$5&lt;AI$5)*X316+(AC$5&lt;AI$5)*AD316+(AO$5&lt;AI$5)*AP316+(AU$5&lt;AI$5)*AV316)))</f>
        <v/>
      </c>
      <c r="AL316">
        <f>IF(AJ316-AK316&lt;0.005,0,AJ316-AK316)</f>
        <v/>
      </c>
      <c r="AM316">
        <f>AR315</f>
        <v/>
      </c>
      <c r="AN316">
        <f>AM316*Plan!D12/100/12</f>
        <v/>
      </c>
      <c r="AO316">
        <f>MIN(Plan!E12,AM316+AN316)</f>
        <v/>
      </c>
      <c r="AP316">
        <f>AM316+AN316-AO316</f>
        <v/>
      </c>
      <c r="AQ316">
        <f>MIN(AP316,MAX(0,$B316-((E$5&lt;AO$5)*F316+(K$5&lt;AO$5)*L316+(Q$5&lt;AO$5)*R316+(W$5&lt;AO$5)*X316+(AC$5&lt;AO$5)*AD316+(AI$5&lt;AO$5)*AJ316+(AU$5&lt;AO$5)*AV316)))</f>
        <v/>
      </c>
      <c r="AR316">
        <f>IF(AP316-AQ316&lt;0.005,0,AP316-AQ316)</f>
        <v/>
      </c>
      <c r="AS316">
        <f>AX315</f>
        <v/>
      </c>
      <c r="AT316">
        <f>AS316*Plan!D13/100/12</f>
        <v/>
      </c>
      <c r="AU316">
        <f>MIN(Plan!E13,AS316+AT316)</f>
        <v/>
      </c>
      <c r="AV316">
        <f>AS316+AT316-AU316</f>
        <v/>
      </c>
      <c r="AW316">
        <f>MIN(AV316,MAX(0,$B316-((E$5&lt;AU$5)*F316+(K$5&lt;AU$5)*L316+(Q$5&lt;AU$5)*R316+(W$5&lt;AU$5)*X316+(AC$5&lt;AU$5)*AD316+(AI$5&lt;AU$5)*AJ316+(AO$5&lt;AU$5)*AP316)))</f>
        <v/>
      </c>
      <c r="AX316">
        <f>IF(AV316-AW316&lt;0.005,0,AV316-AW316)</f>
        <v/>
      </c>
      <c r="BC316">
        <f>H316+N316+T316+Z316+AF316+AL316+AR316+AX316</f>
        <v/>
      </c>
    </row>
    <row r="317">
      <c r="A317" t="n">
        <v>311</v>
      </c>
      <c r="B317" s="19">
        <f>MAX(0,$B$3-(E317+K317+Q317+W317+AC317+AI317+AO317+AU317))</f>
        <v/>
      </c>
      <c r="C317">
        <f>H316</f>
        <v/>
      </c>
      <c r="D317">
        <f>C317*Plan!D6/100/12</f>
        <v/>
      </c>
      <c r="E317">
        <f>MIN(Plan!E6,C317+D317)</f>
        <v/>
      </c>
      <c r="F317">
        <f>C317+D317-E317</f>
        <v/>
      </c>
      <c r="G317">
        <f>MIN(F317,MAX(0,$B317-((K$5&lt;E$5)*L317+(Q$5&lt;E$5)*R317+(W$5&lt;E$5)*X317+(AC$5&lt;E$5)*AD317+(AI$5&lt;E$5)*AJ317+(AO$5&lt;E$5)*AP317+(AU$5&lt;E$5)*AV317)))</f>
        <v/>
      </c>
      <c r="H317">
        <f>IF(F317-G317&lt;0.005,0,F317-G317)</f>
        <v/>
      </c>
      <c r="I317">
        <f>N316</f>
        <v/>
      </c>
      <c r="J317">
        <f>I317*Plan!D7/100/12</f>
        <v/>
      </c>
      <c r="K317">
        <f>MIN(Plan!E7,I317+J317)</f>
        <v/>
      </c>
      <c r="L317">
        <f>I317+J317-K317</f>
        <v/>
      </c>
      <c r="M317">
        <f>MIN(L317,MAX(0,$B317-((E$5&lt;K$5)*F317+(Q$5&lt;K$5)*R317+(W$5&lt;K$5)*X317+(AC$5&lt;K$5)*AD317+(AI$5&lt;K$5)*AJ317+(AO$5&lt;K$5)*AP317+(AU$5&lt;K$5)*AV317)))</f>
        <v/>
      </c>
      <c r="N317">
        <f>IF(L317-M317&lt;0.005,0,L317-M317)</f>
        <v/>
      </c>
      <c r="O317">
        <f>T316</f>
        <v/>
      </c>
      <c r="P317">
        <f>O317*Plan!D8/100/12</f>
        <v/>
      </c>
      <c r="Q317">
        <f>MIN(Plan!E8,O317+P317)</f>
        <v/>
      </c>
      <c r="R317">
        <f>O317+P317-Q317</f>
        <v/>
      </c>
      <c r="S317">
        <f>MIN(R317,MAX(0,$B317-((E$5&lt;Q$5)*F317+(K$5&lt;Q$5)*L317+(W$5&lt;Q$5)*X317+(AC$5&lt;Q$5)*AD317+(AI$5&lt;Q$5)*AJ317+(AO$5&lt;Q$5)*AP317+(AU$5&lt;Q$5)*AV317)))</f>
        <v/>
      </c>
      <c r="T317">
        <f>IF(R317-S317&lt;0.005,0,R317-S317)</f>
        <v/>
      </c>
      <c r="U317">
        <f>Z316</f>
        <v/>
      </c>
      <c r="V317">
        <f>U317*Plan!D9/100/12</f>
        <v/>
      </c>
      <c r="W317">
        <f>MIN(Plan!E9,U317+V317)</f>
        <v/>
      </c>
      <c r="X317">
        <f>U317+V317-W317</f>
        <v/>
      </c>
      <c r="Y317">
        <f>MIN(X317,MAX(0,$B317-((E$5&lt;W$5)*F317+(K$5&lt;W$5)*L317+(Q$5&lt;W$5)*R317+(AC$5&lt;W$5)*AD317+(AI$5&lt;W$5)*AJ317+(AO$5&lt;W$5)*AP317+(AU$5&lt;W$5)*AV317)))</f>
        <v/>
      </c>
      <c r="Z317">
        <f>IF(X317-Y317&lt;0.005,0,X317-Y317)</f>
        <v/>
      </c>
      <c r="AA317">
        <f>AF316</f>
        <v/>
      </c>
      <c r="AB317">
        <f>AA317*Plan!D10/100/12</f>
        <v/>
      </c>
      <c r="AC317">
        <f>MIN(Plan!E10,AA317+AB317)</f>
        <v/>
      </c>
      <c r="AD317">
        <f>AA317+AB317-AC317</f>
        <v/>
      </c>
      <c r="AE317">
        <f>MIN(AD317,MAX(0,$B317-((E$5&lt;AC$5)*F317+(K$5&lt;AC$5)*L317+(Q$5&lt;AC$5)*R317+(W$5&lt;AC$5)*X317+(AI$5&lt;AC$5)*AJ317+(AO$5&lt;AC$5)*AP317+(AU$5&lt;AC$5)*AV317)))</f>
        <v/>
      </c>
      <c r="AF317">
        <f>IF(AD317-AE317&lt;0.005,0,AD317-AE317)</f>
        <v/>
      </c>
      <c r="AG317">
        <f>AL316</f>
        <v/>
      </c>
      <c r="AH317">
        <f>AG317*Plan!D11/100/12</f>
        <v/>
      </c>
      <c r="AI317">
        <f>MIN(Plan!E11,AG317+AH317)</f>
        <v/>
      </c>
      <c r="AJ317">
        <f>AG317+AH317-AI317</f>
        <v/>
      </c>
      <c r="AK317">
        <f>MIN(AJ317,MAX(0,$B317-((E$5&lt;AI$5)*F317+(K$5&lt;AI$5)*L317+(Q$5&lt;AI$5)*R317+(W$5&lt;AI$5)*X317+(AC$5&lt;AI$5)*AD317+(AO$5&lt;AI$5)*AP317+(AU$5&lt;AI$5)*AV317)))</f>
        <v/>
      </c>
      <c r="AL317">
        <f>IF(AJ317-AK317&lt;0.005,0,AJ317-AK317)</f>
        <v/>
      </c>
      <c r="AM317">
        <f>AR316</f>
        <v/>
      </c>
      <c r="AN317">
        <f>AM317*Plan!D12/100/12</f>
        <v/>
      </c>
      <c r="AO317">
        <f>MIN(Plan!E12,AM317+AN317)</f>
        <v/>
      </c>
      <c r="AP317">
        <f>AM317+AN317-AO317</f>
        <v/>
      </c>
      <c r="AQ317">
        <f>MIN(AP317,MAX(0,$B317-((E$5&lt;AO$5)*F317+(K$5&lt;AO$5)*L317+(Q$5&lt;AO$5)*R317+(W$5&lt;AO$5)*X317+(AC$5&lt;AO$5)*AD317+(AI$5&lt;AO$5)*AJ317+(AU$5&lt;AO$5)*AV317)))</f>
        <v/>
      </c>
      <c r="AR317">
        <f>IF(AP317-AQ317&lt;0.005,0,AP317-AQ317)</f>
        <v/>
      </c>
      <c r="AS317">
        <f>AX316</f>
        <v/>
      </c>
      <c r="AT317">
        <f>AS317*Plan!D13/100/12</f>
        <v/>
      </c>
      <c r="AU317">
        <f>MIN(Plan!E13,AS317+AT317)</f>
        <v/>
      </c>
      <c r="AV317">
        <f>AS317+AT317-AU317</f>
        <v/>
      </c>
      <c r="AW317">
        <f>MIN(AV317,MAX(0,$B317-((E$5&lt;AU$5)*F317+(K$5&lt;AU$5)*L317+(Q$5&lt;AU$5)*R317+(W$5&lt;AU$5)*X317+(AC$5&lt;AU$5)*AD317+(AI$5&lt;AU$5)*AJ317+(AO$5&lt;AU$5)*AP317)))</f>
        <v/>
      </c>
      <c r="AX317">
        <f>IF(AV317-AW317&lt;0.005,0,AV317-AW317)</f>
        <v/>
      </c>
      <c r="BC317">
        <f>H317+N317+T317+Z317+AF317+AL317+AR317+AX317</f>
        <v/>
      </c>
    </row>
    <row r="318">
      <c r="A318" t="n">
        <v>312</v>
      </c>
      <c r="B318" s="19">
        <f>MAX(0,$B$3-(E318+K318+Q318+W318+AC318+AI318+AO318+AU318))</f>
        <v/>
      </c>
      <c r="C318">
        <f>H317</f>
        <v/>
      </c>
      <c r="D318">
        <f>C318*Plan!D6/100/12</f>
        <v/>
      </c>
      <c r="E318">
        <f>MIN(Plan!E6,C318+D318)</f>
        <v/>
      </c>
      <c r="F318">
        <f>C318+D318-E318</f>
        <v/>
      </c>
      <c r="G318">
        <f>MIN(F318,MAX(0,$B318-((K$5&lt;E$5)*L318+(Q$5&lt;E$5)*R318+(W$5&lt;E$5)*X318+(AC$5&lt;E$5)*AD318+(AI$5&lt;E$5)*AJ318+(AO$5&lt;E$5)*AP318+(AU$5&lt;E$5)*AV318)))</f>
        <v/>
      </c>
      <c r="H318">
        <f>IF(F318-G318&lt;0.005,0,F318-G318)</f>
        <v/>
      </c>
      <c r="I318">
        <f>N317</f>
        <v/>
      </c>
      <c r="J318">
        <f>I318*Plan!D7/100/12</f>
        <v/>
      </c>
      <c r="K318">
        <f>MIN(Plan!E7,I318+J318)</f>
        <v/>
      </c>
      <c r="L318">
        <f>I318+J318-K318</f>
        <v/>
      </c>
      <c r="M318">
        <f>MIN(L318,MAX(0,$B318-((E$5&lt;K$5)*F318+(Q$5&lt;K$5)*R318+(W$5&lt;K$5)*X318+(AC$5&lt;K$5)*AD318+(AI$5&lt;K$5)*AJ318+(AO$5&lt;K$5)*AP318+(AU$5&lt;K$5)*AV318)))</f>
        <v/>
      </c>
      <c r="N318">
        <f>IF(L318-M318&lt;0.005,0,L318-M318)</f>
        <v/>
      </c>
      <c r="O318">
        <f>T317</f>
        <v/>
      </c>
      <c r="P318">
        <f>O318*Plan!D8/100/12</f>
        <v/>
      </c>
      <c r="Q318">
        <f>MIN(Plan!E8,O318+P318)</f>
        <v/>
      </c>
      <c r="R318">
        <f>O318+P318-Q318</f>
        <v/>
      </c>
      <c r="S318">
        <f>MIN(R318,MAX(0,$B318-((E$5&lt;Q$5)*F318+(K$5&lt;Q$5)*L318+(W$5&lt;Q$5)*X318+(AC$5&lt;Q$5)*AD318+(AI$5&lt;Q$5)*AJ318+(AO$5&lt;Q$5)*AP318+(AU$5&lt;Q$5)*AV318)))</f>
        <v/>
      </c>
      <c r="T318">
        <f>IF(R318-S318&lt;0.005,0,R318-S318)</f>
        <v/>
      </c>
      <c r="U318">
        <f>Z317</f>
        <v/>
      </c>
      <c r="V318">
        <f>U318*Plan!D9/100/12</f>
        <v/>
      </c>
      <c r="W318">
        <f>MIN(Plan!E9,U318+V318)</f>
        <v/>
      </c>
      <c r="X318">
        <f>U318+V318-W318</f>
        <v/>
      </c>
      <c r="Y318">
        <f>MIN(X318,MAX(0,$B318-((E$5&lt;W$5)*F318+(K$5&lt;W$5)*L318+(Q$5&lt;W$5)*R318+(AC$5&lt;W$5)*AD318+(AI$5&lt;W$5)*AJ318+(AO$5&lt;W$5)*AP318+(AU$5&lt;W$5)*AV318)))</f>
        <v/>
      </c>
      <c r="Z318">
        <f>IF(X318-Y318&lt;0.005,0,X318-Y318)</f>
        <v/>
      </c>
      <c r="AA318">
        <f>AF317</f>
        <v/>
      </c>
      <c r="AB318">
        <f>AA318*Plan!D10/100/12</f>
        <v/>
      </c>
      <c r="AC318">
        <f>MIN(Plan!E10,AA318+AB318)</f>
        <v/>
      </c>
      <c r="AD318">
        <f>AA318+AB318-AC318</f>
        <v/>
      </c>
      <c r="AE318">
        <f>MIN(AD318,MAX(0,$B318-((E$5&lt;AC$5)*F318+(K$5&lt;AC$5)*L318+(Q$5&lt;AC$5)*R318+(W$5&lt;AC$5)*X318+(AI$5&lt;AC$5)*AJ318+(AO$5&lt;AC$5)*AP318+(AU$5&lt;AC$5)*AV318)))</f>
        <v/>
      </c>
      <c r="AF318">
        <f>IF(AD318-AE318&lt;0.005,0,AD318-AE318)</f>
        <v/>
      </c>
      <c r="AG318">
        <f>AL317</f>
        <v/>
      </c>
      <c r="AH318">
        <f>AG318*Plan!D11/100/12</f>
        <v/>
      </c>
      <c r="AI318">
        <f>MIN(Plan!E11,AG318+AH318)</f>
        <v/>
      </c>
      <c r="AJ318">
        <f>AG318+AH318-AI318</f>
        <v/>
      </c>
      <c r="AK318">
        <f>MIN(AJ318,MAX(0,$B318-((E$5&lt;AI$5)*F318+(K$5&lt;AI$5)*L318+(Q$5&lt;AI$5)*R318+(W$5&lt;AI$5)*X318+(AC$5&lt;AI$5)*AD318+(AO$5&lt;AI$5)*AP318+(AU$5&lt;AI$5)*AV318)))</f>
        <v/>
      </c>
      <c r="AL318">
        <f>IF(AJ318-AK318&lt;0.005,0,AJ318-AK318)</f>
        <v/>
      </c>
      <c r="AM318">
        <f>AR317</f>
        <v/>
      </c>
      <c r="AN318">
        <f>AM318*Plan!D12/100/12</f>
        <v/>
      </c>
      <c r="AO318">
        <f>MIN(Plan!E12,AM318+AN318)</f>
        <v/>
      </c>
      <c r="AP318">
        <f>AM318+AN318-AO318</f>
        <v/>
      </c>
      <c r="AQ318">
        <f>MIN(AP318,MAX(0,$B318-((E$5&lt;AO$5)*F318+(K$5&lt;AO$5)*L318+(Q$5&lt;AO$5)*R318+(W$5&lt;AO$5)*X318+(AC$5&lt;AO$5)*AD318+(AI$5&lt;AO$5)*AJ318+(AU$5&lt;AO$5)*AV318)))</f>
        <v/>
      </c>
      <c r="AR318">
        <f>IF(AP318-AQ318&lt;0.005,0,AP318-AQ318)</f>
        <v/>
      </c>
      <c r="AS318">
        <f>AX317</f>
        <v/>
      </c>
      <c r="AT318">
        <f>AS318*Plan!D13/100/12</f>
        <v/>
      </c>
      <c r="AU318">
        <f>MIN(Plan!E13,AS318+AT318)</f>
        <v/>
      </c>
      <c r="AV318">
        <f>AS318+AT318-AU318</f>
        <v/>
      </c>
      <c r="AW318">
        <f>MIN(AV318,MAX(0,$B318-((E$5&lt;AU$5)*F318+(K$5&lt;AU$5)*L318+(Q$5&lt;AU$5)*R318+(W$5&lt;AU$5)*X318+(AC$5&lt;AU$5)*AD318+(AI$5&lt;AU$5)*AJ318+(AO$5&lt;AU$5)*AP318)))</f>
        <v/>
      </c>
      <c r="AX318">
        <f>IF(AV318-AW318&lt;0.005,0,AV318-AW318)</f>
        <v/>
      </c>
      <c r="BC318">
        <f>H318+N318+T318+Z318+AF318+AL318+AR318+AX318</f>
        <v/>
      </c>
    </row>
    <row r="319">
      <c r="A319" t="n">
        <v>313</v>
      </c>
      <c r="B319" s="19">
        <f>MAX(0,$B$3-(E319+K319+Q319+W319+AC319+AI319+AO319+AU319))</f>
        <v/>
      </c>
      <c r="C319">
        <f>H318</f>
        <v/>
      </c>
      <c r="D319">
        <f>C319*Plan!D6/100/12</f>
        <v/>
      </c>
      <c r="E319">
        <f>MIN(Plan!E6,C319+D319)</f>
        <v/>
      </c>
      <c r="F319">
        <f>C319+D319-E319</f>
        <v/>
      </c>
      <c r="G319">
        <f>MIN(F319,MAX(0,$B319-((K$5&lt;E$5)*L319+(Q$5&lt;E$5)*R319+(W$5&lt;E$5)*X319+(AC$5&lt;E$5)*AD319+(AI$5&lt;E$5)*AJ319+(AO$5&lt;E$5)*AP319+(AU$5&lt;E$5)*AV319)))</f>
        <v/>
      </c>
      <c r="H319">
        <f>IF(F319-G319&lt;0.005,0,F319-G319)</f>
        <v/>
      </c>
      <c r="I319">
        <f>N318</f>
        <v/>
      </c>
      <c r="J319">
        <f>I319*Plan!D7/100/12</f>
        <v/>
      </c>
      <c r="K319">
        <f>MIN(Plan!E7,I319+J319)</f>
        <v/>
      </c>
      <c r="L319">
        <f>I319+J319-K319</f>
        <v/>
      </c>
      <c r="M319">
        <f>MIN(L319,MAX(0,$B319-((E$5&lt;K$5)*F319+(Q$5&lt;K$5)*R319+(W$5&lt;K$5)*X319+(AC$5&lt;K$5)*AD319+(AI$5&lt;K$5)*AJ319+(AO$5&lt;K$5)*AP319+(AU$5&lt;K$5)*AV319)))</f>
        <v/>
      </c>
      <c r="N319">
        <f>IF(L319-M319&lt;0.005,0,L319-M319)</f>
        <v/>
      </c>
      <c r="O319">
        <f>T318</f>
        <v/>
      </c>
      <c r="P319">
        <f>O319*Plan!D8/100/12</f>
        <v/>
      </c>
      <c r="Q319">
        <f>MIN(Plan!E8,O319+P319)</f>
        <v/>
      </c>
      <c r="R319">
        <f>O319+P319-Q319</f>
        <v/>
      </c>
      <c r="S319">
        <f>MIN(R319,MAX(0,$B319-((E$5&lt;Q$5)*F319+(K$5&lt;Q$5)*L319+(W$5&lt;Q$5)*X319+(AC$5&lt;Q$5)*AD319+(AI$5&lt;Q$5)*AJ319+(AO$5&lt;Q$5)*AP319+(AU$5&lt;Q$5)*AV319)))</f>
        <v/>
      </c>
      <c r="T319">
        <f>IF(R319-S319&lt;0.005,0,R319-S319)</f>
        <v/>
      </c>
      <c r="U319">
        <f>Z318</f>
        <v/>
      </c>
      <c r="V319">
        <f>U319*Plan!D9/100/12</f>
        <v/>
      </c>
      <c r="W319">
        <f>MIN(Plan!E9,U319+V319)</f>
        <v/>
      </c>
      <c r="X319">
        <f>U319+V319-W319</f>
        <v/>
      </c>
      <c r="Y319">
        <f>MIN(X319,MAX(0,$B319-((E$5&lt;W$5)*F319+(K$5&lt;W$5)*L319+(Q$5&lt;W$5)*R319+(AC$5&lt;W$5)*AD319+(AI$5&lt;W$5)*AJ319+(AO$5&lt;W$5)*AP319+(AU$5&lt;W$5)*AV319)))</f>
        <v/>
      </c>
      <c r="Z319">
        <f>IF(X319-Y319&lt;0.005,0,X319-Y319)</f>
        <v/>
      </c>
      <c r="AA319">
        <f>AF318</f>
        <v/>
      </c>
      <c r="AB319">
        <f>AA319*Plan!D10/100/12</f>
        <v/>
      </c>
      <c r="AC319">
        <f>MIN(Plan!E10,AA319+AB319)</f>
        <v/>
      </c>
      <c r="AD319">
        <f>AA319+AB319-AC319</f>
        <v/>
      </c>
      <c r="AE319">
        <f>MIN(AD319,MAX(0,$B319-((E$5&lt;AC$5)*F319+(K$5&lt;AC$5)*L319+(Q$5&lt;AC$5)*R319+(W$5&lt;AC$5)*X319+(AI$5&lt;AC$5)*AJ319+(AO$5&lt;AC$5)*AP319+(AU$5&lt;AC$5)*AV319)))</f>
        <v/>
      </c>
      <c r="AF319">
        <f>IF(AD319-AE319&lt;0.005,0,AD319-AE319)</f>
        <v/>
      </c>
      <c r="AG319">
        <f>AL318</f>
        <v/>
      </c>
      <c r="AH319">
        <f>AG319*Plan!D11/100/12</f>
        <v/>
      </c>
      <c r="AI319">
        <f>MIN(Plan!E11,AG319+AH319)</f>
        <v/>
      </c>
      <c r="AJ319">
        <f>AG319+AH319-AI319</f>
        <v/>
      </c>
      <c r="AK319">
        <f>MIN(AJ319,MAX(0,$B319-((E$5&lt;AI$5)*F319+(K$5&lt;AI$5)*L319+(Q$5&lt;AI$5)*R319+(W$5&lt;AI$5)*X319+(AC$5&lt;AI$5)*AD319+(AO$5&lt;AI$5)*AP319+(AU$5&lt;AI$5)*AV319)))</f>
        <v/>
      </c>
      <c r="AL319">
        <f>IF(AJ319-AK319&lt;0.005,0,AJ319-AK319)</f>
        <v/>
      </c>
      <c r="AM319">
        <f>AR318</f>
        <v/>
      </c>
      <c r="AN319">
        <f>AM319*Plan!D12/100/12</f>
        <v/>
      </c>
      <c r="AO319">
        <f>MIN(Plan!E12,AM319+AN319)</f>
        <v/>
      </c>
      <c r="AP319">
        <f>AM319+AN319-AO319</f>
        <v/>
      </c>
      <c r="AQ319">
        <f>MIN(AP319,MAX(0,$B319-((E$5&lt;AO$5)*F319+(K$5&lt;AO$5)*L319+(Q$5&lt;AO$5)*R319+(W$5&lt;AO$5)*X319+(AC$5&lt;AO$5)*AD319+(AI$5&lt;AO$5)*AJ319+(AU$5&lt;AO$5)*AV319)))</f>
        <v/>
      </c>
      <c r="AR319">
        <f>IF(AP319-AQ319&lt;0.005,0,AP319-AQ319)</f>
        <v/>
      </c>
      <c r="AS319">
        <f>AX318</f>
        <v/>
      </c>
      <c r="AT319">
        <f>AS319*Plan!D13/100/12</f>
        <v/>
      </c>
      <c r="AU319">
        <f>MIN(Plan!E13,AS319+AT319)</f>
        <v/>
      </c>
      <c r="AV319">
        <f>AS319+AT319-AU319</f>
        <v/>
      </c>
      <c r="AW319">
        <f>MIN(AV319,MAX(0,$B319-((E$5&lt;AU$5)*F319+(K$5&lt;AU$5)*L319+(Q$5&lt;AU$5)*R319+(W$5&lt;AU$5)*X319+(AC$5&lt;AU$5)*AD319+(AI$5&lt;AU$5)*AJ319+(AO$5&lt;AU$5)*AP319)))</f>
        <v/>
      </c>
      <c r="AX319">
        <f>IF(AV319-AW319&lt;0.005,0,AV319-AW319)</f>
        <v/>
      </c>
      <c r="BC319">
        <f>H319+N319+T319+Z319+AF319+AL319+AR319+AX319</f>
        <v/>
      </c>
    </row>
    <row r="320">
      <c r="A320" t="n">
        <v>314</v>
      </c>
      <c r="B320" s="19">
        <f>MAX(0,$B$3-(E320+K320+Q320+W320+AC320+AI320+AO320+AU320))</f>
        <v/>
      </c>
      <c r="C320">
        <f>H319</f>
        <v/>
      </c>
      <c r="D320">
        <f>C320*Plan!D6/100/12</f>
        <v/>
      </c>
      <c r="E320">
        <f>MIN(Plan!E6,C320+D320)</f>
        <v/>
      </c>
      <c r="F320">
        <f>C320+D320-E320</f>
        <v/>
      </c>
      <c r="G320">
        <f>MIN(F320,MAX(0,$B320-((K$5&lt;E$5)*L320+(Q$5&lt;E$5)*R320+(W$5&lt;E$5)*X320+(AC$5&lt;E$5)*AD320+(AI$5&lt;E$5)*AJ320+(AO$5&lt;E$5)*AP320+(AU$5&lt;E$5)*AV320)))</f>
        <v/>
      </c>
      <c r="H320">
        <f>IF(F320-G320&lt;0.005,0,F320-G320)</f>
        <v/>
      </c>
      <c r="I320">
        <f>N319</f>
        <v/>
      </c>
      <c r="J320">
        <f>I320*Plan!D7/100/12</f>
        <v/>
      </c>
      <c r="K320">
        <f>MIN(Plan!E7,I320+J320)</f>
        <v/>
      </c>
      <c r="L320">
        <f>I320+J320-K320</f>
        <v/>
      </c>
      <c r="M320">
        <f>MIN(L320,MAX(0,$B320-((E$5&lt;K$5)*F320+(Q$5&lt;K$5)*R320+(W$5&lt;K$5)*X320+(AC$5&lt;K$5)*AD320+(AI$5&lt;K$5)*AJ320+(AO$5&lt;K$5)*AP320+(AU$5&lt;K$5)*AV320)))</f>
        <v/>
      </c>
      <c r="N320">
        <f>IF(L320-M320&lt;0.005,0,L320-M320)</f>
        <v/>
      </c>
      <c r="O320">
        <f>T319</f>
        <v/>
      </c>
      <c r="P320">
        <f>O320*Plan!D8/100/12</f>
        <v/>
      </c>
      <c r="Q320">
        <f>MIN(Plan!E8,O320+P320)</f>
        <v/>
      </c>
      <c r="R320">
        <f>O320+P320-Q320</f>
        <v/>
      </c>
      <c r="S320">
        <f>MIN(R320,MAX(0,$B320-((E$5&lt;Q$5)*F320+(K$5&lt;Q$5)*L320+(W$5&lt;Q$5)*X320+(AC$5&lt;Q$5)*AD320+(AI$5&lt;Q$5)*AJ320+(AO$5&lt;Q$5)*AP320+(AU$5&lt;Q$5)*AV320)))</f>
        <v/>
      </c>
      <c r="T320">
        <f>IF(R320-S320&lt;0.005,0,R320-S320)</f>
        <v/>
      </c>
      <c r="U320">
        <f>Z319</f>
        <v/>
      </c>
      <c r="V320">
        <f>U320*Plan!D9/100/12</f>
        <v/>
      </c>
      <c r="W320">
        <f>MIN(Plan!E9,U320+V320)</f>
        <v/>
      </c>
      <c r="X320">
        <f>U320+V320-W320</f>
        <v/>
      </c>
      <c r="Y320">
        <f>MIN(X320,MAX(0,$B320-((E$5&lt;W$5)*F320+(K$5&lt;W$5)*L320+(Q$5&lt;W$5)*R320+(AC$5&lt;W$5)*AD320+(AI$5&lt;W$5)*AJ320+(AO$5&lt;W$5)*AP320+(AU$5&lt;W$5)*AV320)))</f>
        <v/>
      </c>
      <c r="Z320">
        <f>IF(X320-Y320&lt;0.005,0,X320-Y320)</f>
        <v/>
      </c>
      <c r="AA320">
        <f>AF319</f>
        <v/>
      </c>
      <c r="AB320">
        <f>AA320*Plan!D10/100/12</f>
        <v/>
      </c>
      <c r="AC320">
        <f>MIN(Plan!E10,AA320+AB320)</f>
        <v/>
      </c>
      <c r="AD320">
        <f>AA320+AB320-AC320</f>
        <v/>
      </c>
      <c r="AE320">
        <f>MIN(AD320,MAX(0,$B320-((E$5&lt;AC$5)*F320+(K$5&lt;AC$5)*L320+(Q$5&lt;AC$5)*R320+(W$5&lt;AC$5)*X320+(AI$5&lt;AC$5)*AJ320+(AO$5&lt;AC$5)*AP320+(AU$5&lt;AC$5)*AV320)))</f>
        <v/>
      </c>
      <c r="AF320">
        <f>IF(AD320-AE320&lt;0.005,0,AD320-AE320)</f>
        <v/>
      </c>
      <c r="AG320">
        <f>AL319</f>
        <v/>
      </c>
      <c r="AH320">
        <f>AG320*Plan!D11/100/12</f>
        <v/>
      </c>
      <c r="AI320">
        <f>MIN(Plan!E11,AG320+AH320)</f>
        <v/>
      </c>
      <c r="AJ320">
        <f>AG320+AH320-AI320</f>
        <v/>
      </c>
      <c r="AK320">
        <f>MIN(AJ320,MAX(0,$B320-((E$5&lt;AI$5)*F320+(K$5&lt;AI$5)*L320+(Q$5&lt;AI$5)*R320+(W$5&lt;AI$5)*X320+(AC$5&lt;AI$5)*AD320+(AO$5&lt;AI$5)*AP320+(AU$5&lt;AI$5)*AV320)))</f>
        <v/>
      </c>
      <c r="AL320">
        <f>IF(AJ320-AK320&lt;0.005,0,AJ320-AK320)</f>
        <v/>
      </c>
      <c r="AM320">
        <f>AR319</f>
        <v/>
      </c>
      <c r="AN320">
        <f>AM320*Plan!D12/100/12</f>
        <v/>
      </c>
      <c r="AO320">
        <f>MIN(Plan!E12,AM320+AN320)</f>
        <v/>
      </c>
      <c r="AP320">
        <f>AM320+AN320-AO320</f>
        <v/>
      </c>
      <c r="AQ320">
        <f>MIN(AP320,MAX(0,$B320-((E$5&lt;AO$5)*F320+(K$5&lt;AO$5)*L320+(Q$5&lt;AO$5)*R320+(W$5&lt;AO$5)*X320+(AC$5&lt;AO$5)*AD320+(AI$5&lt;AO$5)*AJ320+(AU$5&lt;AO$5)*AV320)))</f>
        <v/>
      </c>
      <c r="AR320">
        <f>IF(AP320-AQ320&lt;0.005,0,AP320-AQ320)</f>
        <v/>
      </c>
      <c r="AS320">
        <f>AX319</f>
        <v/>
      </c>
      <c r="AT320">
        <f>AS320*Plan!D13/100/12</f>
        <v/>
      </c>
      <c r="AU320">
        <f>MIN(Plan!E13,AS320+AT320)</f>
        <v/>
      </c>
      <c r="AV320">
        <f>AS320+AT320-AU320</f>
        <v/>
      </c>
      <c r="AW320">
        <f>MIN(AV320,MAX(0,$B320-((E$5&lt;AU$5)*F320+(K$5&lt;AU$5)*L320+(Q$5&lt;AU$5)*R320+(W$5&lt;AU$5)*X320+(AC$5&lt;AU$5)*AD320+(AI$5&lt;AU$5)*AJ320+(AO$5&lt;AU$5)*AP320)))</f>
        <v/>
      </c>
      <c r="AX320">
        <f>IF(AV320-AW320&lt;0.005,0,AV320-AW320)</f>
        <v/>
      </c>
      <c r="BC320">
        <f>H320+N320+T320+Z320+AF320+AL320+AR320+AX320</f>
        <v/>
      </c>
    </row>
    <row r="321">
      <c r="A321" t="n">
        <v>315</v>
      </c>
      <c r="B321" s="19">
        <f>MAX(0,$B$3-(E321+K321+Q321+W321+AC321+AI321+AO321+AU321))</f>
        <v/>
      </c>
      <c r="C321">
        <f>H320</f>
        <v/>
      </c>
      <c r="D321">
        <f>C321*Plan!D6/100/12</f>
        <v/>
      </c>
      <c r="E321">
        <f>MIN(Plan!E6,C321+D321)</f>
        <v/>
      </c>
      <c r="F321">
        <f>C321+D321-E321</f>
        <v/>
      </c>
      <c r="G321">
        <f>MIN(F321,MAX(0,$B321-((K$5&lt;E$5)*L321+(Q$5&lt;E$5)*R321+(W$5&lt;E$5)*X321+(AC$5&lt;E$5)*AD321+(AI$5&lt;E$5)*AJ321+(AO$5&lt;E$5)*AP321+(AU$5&lt;E$5)*AV321)))</f>
        <v/>
      </c>
      <c r="H321">
        <f>IF(F321-G321&lt;0.005,0,F321-G321)</f>
        <v/>
      </c>
      <c r="I321">
        <f>N320</f>
        <v/>
      </c>
      <c r="J321">
        <f>I321*Plan!D7/100/12</f>
        <v/>
      </c>
      <c r="K321">
        <f>MIN(Plan!E7,I321+J321)</f>
        <v/>
      </c>
      <c r="L321">
        <f>I321+J321-K321</f>
        <v/>
      </c>
      <c r="M321">
        <f>MIN(L321,MAX(0,$B321-((E$5&lt;K$5)*F321+(Q$5&lt;K$5)*R321+(W$5&lt;K$5)*X321+(AC$5&lt;K$5)*AD321+(AI$5&lt;K$5)*AJ321+(AO$5&lt;K$5)*AP321+(AU$5&lt;K$5)*AV321)))</f>
        <v/>
      </c>
      <c r="N321">
        <f>IF(L321-M321&lt;0.005,0,L321-M321)</f>
        <v/>
      </c>
      <c r="O321">
        <f>T320</f>
        <v/>
      </c>
      <c r="P321">
        <f>O321*Plan!D8/100/12</f>
        <v/>
      </c>
      <c r="Q321">
        <f>MIN(Plan!E8,O321+P321)</f>
        <v/>
      </c>
      <c r="R321">
        <f>O321+P321-Q321</f>
        <v/>
      </c>
      <c r="S321">
        <f>MIN(R321,MAX(0,$B321-((E$5&lt;Q$5)*F321+(K$5&lt;Q$5)*L321+(W$5&lt;Q$5)*X321+(AC$5&lt;Q$5)*AD321+(AI$5&lt;Q$5)*AJ321+(AO$5&lt;Q$5)*AP321+(AU$5&lt;Q$5)*AV321)))</f>
        <v/>
      </c>
      <c r="T321">
        <f>IF(R321-S321&lt;0.005,0,R321-S321)</f>
        <v/>
      </c>
      <c r="U321">
        <f>Z320</f>
        <v/>
      </c>
      <c r="V321">
        <f>U321*Plan!D9/100/12</f>
        <v/>
      </c>
      <c r="W321">
        <f>MIN(Plan!E9,U321+V321)</f>
        <v/>
      </c>
      <c r="X321">
        <f>U321+V321-W321</f>
        <v/>
      </c>
      <c r="Y321">
        <f>MIN(X321,MAX(0,$B321-((E$5&lt;W$5)*F321+(K$5&lt;W$5)*L321+(Q$5&lt;W$5)*R321+(AC$5&lt;W$5)*AD321+(AI$5&lt;W$5)*AJ321+(AO$5&lt;W$5)*AP321+(AU$5&lt;W$5)*AV321)))</f>
        <v/>
      </c>
      <c r="Z321">
        <f>IF(X321-Y321&lt;0.005,0,X321-Y321)</f>
        <v/>
      </c>
      <c r="AA321">
        <f>AF320</f>
        <v/>
      </c>
      <c r="AB321">
        <f>AA321*Plan!D10/100/12</f>
        <v/>
      </c>
      <c r="AC321">
        <f>MIN(Plan!E10,AA321+AB321)</f>
        <v/>
      </c>
      <c r="AD321">
        <f>AA321+AB321-AC321</f>
        <v/>
      </c>
      <c r="AE321">
        <f>MIN(AD321,MAX(0,$B321-((E$5&lt;AC$5)*F321+(K$5&lt;AC$5)*L321+(Q$5&lt;AC$5)*R321+(W$5&lt;AC$5)*X321+(AI$5&lt;AC$5)*AJ321+(AO$5&lt;AC$5)*AP321+(AU$5&lt;AC$5)*AV321)))</f>
        <v/>
      </c>
      <c r="AF321">
        <f>IF(AD321-AE321&lt;0.005,0,AD321-AE321)</f>
        <v/>
      </c>
      <c r="AG321">
        <f>AL320</f>
        <v/>
      </c>
      <c r="AH321">
        <f>AG321*Plan!D11/100/12</f>
        <v/>
      </c>
      <c r="AI321">
        <f>MIN(Plan!E11,AG321+AH321)</f>
        <v/>
      </c>
      <c r="AJ321">
        <f>AG321+AH321-AI321</f>
        <v/>
      </c>
      <c r="AK321">
        <f>MIN(AJ321,MAX(0,$B321-((E$5&lt;AI$5)*F321+(K$5&lt;AI$5)*L321+(Q$5&lt;AI$5)*R321+(W$5&lt;AI$5)*X321+(AC$5&lt;AI$5)*AD321+(AO$5&lt;AI$5)*AP321+(AU$5&lt;AI$5)*AV321)))</f>
        <v/>
      </c>
      <c r="AL321">
        <f>IF(AJ321-AK321&lt;0.005,0,AJ321-AK321)</f>
        <v/>
      </c>
      <c r="AM321">
        <f>AR320</f>
        <v/>
      </c>
      <c r="AN321">
        <f>AM321*Plan!D12/100/12</f>
        <v/>
      </c>
      <c r="AO321">
        <f>MIN(Plan!E12,AM321+AN321)</f>
        <v/>
      </c>
      <c r="AP321">
        <f>AM321+AN321-AO321</f>
        <v/>
      </c>
      <c r="AQ321">
        <f>MIN(AP321,MAX(0,$B321-((E$5&lt;AO$5)*F321+(K$5&lt;AO$5)*L321+(Q$5&lt;AO$5)*R321+(W$5&lt;AO$5)*X321+(AC$5&lt;AO$5)*AD321+(AI$5&lt;AO$5)*AJ321+(AU$5&lt;AO$5)*AV321)))</f>
        <v/>
      </c>
      <c r="AR321">
        <f>IF(AP321-AQ321&lt;0.005,0,AP321-AQ321)</f>
        <v/>
      </c>
      <c r="AS321">
        <f>AX320</f>
        <v/>
      </c>
      <c r="AT321">
        <f>AS321*Plan!D13/100/12</f>
        <v/>
      </c>
      <c r="AU321">
        <f>MIN(Plan!E13,AS321+AT321)</f>
        <v/>
      </c>
      <c r="AV321">
        <f>AS321+AT321-AU321</f>
        <v/>
      </c>
      <c r="AW321">
        <f>MIN(AV321,MAX(0,$B321-((E$5&lt;AU$5)*F321+(K$5&lt;AU$5)*L321+(Q$5&lt;AU$5)*R321+(W$5&lt;AU$5)*X321+(AC$5&lt;AU$5)*AD321+(AI$5&lt;AU$5)*AJ321+(AO$5&lt;AU$5)*AP321)))</f>
        <v/>
      </c>
      <c r="AX321">
        <f>IF(AV321-AW321&lt;0.005,0,AV321-AW321)</f>
        <v/>
      </c>
      <c r="BC321">
        <f>H321+N321+T321+Z321+AF321+AL321+AR321+AX321</f>
        <v/>
      </c>
    </row>
    <row r="322">
      <c r="A322" t="n">
        <v>316</v>
      </c>
      <c r="B322" s="19">
        <f>MAX(0,$B$3-(E322+K322+Q322+W322+AC322+AI322+AO322+AU322))</f>
        <v/>
      </c>
      <c r="C322">
        <f>H321</f>
        <v/>
      </c>
      <c r="D322">
        <f>C322*Plan!D6/100/12</f>
        <v/>
      </c>
      <c r="E322">
        <f>MIN(Plan!E6,C322+D322)</f>
        <v/>
      </c>
      <c r="F322">
        <f>C322+D322-E322</f>
        <v/>
      </c>
      <c r="G322">
        <f>MIN(F322,MAX(0,$B322-((K$5&lt;E$5)*L322+(Q$5&lt;E$5)*R322+(W$5&lt;E$5)*X322+(AC$5&lt;E$5)*AD322+(AI$5&lt;E$5)*AJ322+(AO$5&lt;E$5)*AP322+(AU$5&lt;E$5)*AV322)))</f>
        <v/>
      </c>
      <c r="H322">
        <f>IF(F322-G322&lt;0.005,0,F322-G322)</f>
        <v/>
      </c>
      <c r="I322">
        <f>N321</f>
        <v/>
      </c>
      <c r="J322">
        <f>I322*Plan!D7/100/12</f>
        <v/>
      </c>
      <c r="K322">
        <f>MIN(Plan!E7,I322+J322)</f>
        <v/>
      </c>
      <c r="L322">
        <f>I322+J322-K322</f>
        <v/>
      </c>
      <c r="M322">
        <f>MIN(L322,MAX(0,$B322-((E$5&lt;K$5)*F322+(Q$5&lt;K$5)*R322+(W$5&lt;K$5)*X322+(AC$5&lt;K$5)*AD322+(AI$5&lt;K$5)*AJ322+(AO$5&lt;K$5)*AP322+(AU$5&lt;K$5)*AV322)))</f>
        <v/>
      </c>
      <c r="N322">
        <f>IF(L322-M322&lt;0.005,0,L322-M322)</f>
        <v/>
      </c>
      <c r="O322">
        <f>T321</f>
        <v/>
      </c>
      <c r="P322">
        <f>O322*Plan!D8/100/12</f>
        <v/>
      </c>
      <c r="Q322">
        <f>MIN(Plan!E8,O322+P322)</f>
        <v/>
      </c>
      <c r="R322">
        <f>O322+P322-Q322</f>
        <v/>
      </c>
      <c r="S322">
        <f>MIN(R322,MAX(0,$B322-((E$5&lt;Q$5)*F322+(K$5&lt;Q$5)*L322+(W$5&lt;Q$5)*X322+(AC$5&lt;Q$5)*AD322+(AI$5&lt;Q$5)*AJ322+(AO$5&lt;Q$5)*AP322+(AU$5&lt;Q$5)*AV322)))</f>
        <v/>
      </c>
      <c r="T322">
        <f>IF(R322-S322&lt;0.005,0,R322-S322)</f>
        <v/>
      </c>
      <c r="U322">
        <f>Z321</f>
        <v/>
      </c>
      <c r="V322">
        <f>U322*Plan!D9/100/12</f>
        <v/>
      </c>
      <c r="W322">
        <f>MIN(Plan!E9,U322+V322)</f>
        <v/>
      </c>
      <c r="X322">
        <f>U322+V322-W322</f>
        <v/>
      </c>
      <c r="Y322">
        <f>MIN(X322,MAX(0,$B322-((E$5&lt;W$5)*F322+(K$5&lt;W$5)*L322+(Q$5&lt;W$5)*R322+(AC$5&lt;W$5)*AD322+(AI$5&lt;W$5)*AJ322+(AO$5&lt;W$5)*AP322+(AU$5&lt;W$5)*AV322)))</f>
        <v/>
      </c>
      <c r="Z322">
        <f>IF(X322-Y322&lt;0.005,0,X322-Y322)</f>
        <v/>
      </c>
      <c r="AA322">
        <f>AF321</f>
        <v/>
      </c>
      <c r="AB322">
        <f>AA322*Plan!D10/100/12</f>
        <v/>
      </c>
      <c r="AC322">
        <f>MIN(Plan!E10,AA322+AB322)</f>
        <v/>
      </c>
      <c r="AD322">
        <f>AA322+AB322-AC322</f>
        <v/>
      </c>
      <c r="AE322">
        <f>MIN(AD322,MAX(0,$B322-((E$5&lt;AC$5)*F322+(K$5&lt;AC$5)*L322+(Q$5&lt;AC$5)*R322+(W$5&lt;AC$5)*X322+(AI$5&lt;AC$5)*AJ322+(AO$5&lt;AC$5)*AP322+(AU$5&lt;AC$5)*AV322)))</f>
        <v/>
      </c>
      <c r="AF322">
        <f>IF(AD322-AE322&lt;0.005,0,AD322-AE322)</f>
        <v/>
      </c>
      <c r="AG322">
        <f>AL321</f>
        <v/>
      </c>
      <c r="AH322">
        <f>AG322*Plan!D11/100/12</f>
        <v/>
      </c>
      <c r="AI322">
        <f>MIN(Plan!E11,AG322+AH322)</f>
        <v/>
      </c>
      <c r="AJ322">
        <f>AG322+AH322-AI322</f>
        <v/>
      </c>
      <c r="AK322">
        <f>MIN(AJ322,MAX(0,$B322-((E$5&lt;AI$5)*F322+(K$5&lt;AI$5)*L322+(Q$5&lt;AI$5)*R322+(W$5&lt;AI$5)*X322+(AC$5&lt;AI$5)*AD322+(AO$5&lt;AI$5)*AP322+(AU$5&lt;AI$5)*AV322)))</f>
        <v/>
      </c>
      <c r="AL322">
        <f>IF(AJ322-AK322&lt;0.005,0,AJ322-AK322)</f>
        <v/>
      </c>
      <c r="AM322">
        <f>AR321</f>
        <v/>
      </c>
      <c r="AN322">
        <f>AM322*Plan!D12/100/12</f>
        <v/>
      </c>
      <c r="AO322">
        <f>MIN(Plan!E12,AM322+AN322)</f>
        <v/>
      </c>
      <c r="AP322">
        <f>AM322+AN322-AO322</f>
        <v/>
      </c>
      <c r="AQ322">
        <f>MIN(AP322,MAX(0,$B322-((E$5&lt;AO$5)*F322+(K$5&lt;AO$5)*L322+(Q$5&lt;AO$5)*R322+(W$5&lt;AO$5)*X322+(AC$5&lt;AO$5)*AD322+(AI$5&lt;AO$5)*AJ322+(AU$5&lt;AO$5)*AV322)))</f>
        <v/>
      </c>
      <c r="AR322">
        <f>IF(AP322-AQ322&lt;0.005,0,AP322-AQ322)</f>
        <v/>
      </c>
      <c r="AS322">
        <f>AX321</f>
        <v/>
      </c>
      <c r="AT322">
        <f>AS322*Plan!D13/100/12</f>
        <v/>
      </c>
      <c r="AU322">
        <f>MIN(Plan!E13,AS322+AT322)</f>
        <v/>
      </c>
      <c r="AV322">
        <f>AS322+AT322-AU322</f>
        <v/>
      </c>
      <c r="AW322">
        <f>MIN(AV322,MAX(0,$B322-((E$5&lt;AU$5)*F322+(K$5&lt;AU$5)*L322+(Q$5&lt;AU$5)*R322+(W$5&lt;AU$5)*X322+(AC$5&lt;AU$5)*AD322+(AI$5&lt;AU$5)*AJ322+(AO$5&lt;AU$5)*AP322)))</f>
        <v/>
      </c>
      <c r="AX322">
        <f>IF(AV322-AW322&lt;0.005,0,AV322-AW322)</f>
        <v/>
      </c>
      <c r="BC322">
        <f>H322+N322+T322+Z322+AF322+AL322+AR322+AX322</f>
        <v/>
      </c>
    </row>
    <row r="323">
      <c r="A323" t="n">
        <v>317</v>
      </c>
      <c r="B323" s="19">
        <f>MAX(0,$B$3-(E323+K323+Q323+W323+AC323+AI323+AO323+AU323))</f>
        <v/>
      </c>
      <c r="C323">
        <f>H322</f>
        <v/>
      </c>
      <c r="D323">
        <f>C323*Plan!D6/100/12</f>
        <v/>
      </c>
      <c r="E323">
        <f>MIN(Plan!E6,C323+D323)</f>
        <v/>
      </c>
      <c r="F323">
        <f>C323+D323-E323</f>
        <v/>
      </c>
      <c r="G323">
        <f>MIN(F323,MAX(0,$B323-((K$5&lt;E$5)*L323+(Q$5&lt;E$5)*R323+(W$5&lt;E$5)*X323+(AC$5&lt;E$5)*AD323+(AI$5&lt;E$5)*AJ323+(AO$5&lt;E$5)*AP323+(AU$5&lt;E$5)*AV323)))</f>
        <v/>
      </c>
      <c r="H323">
        <f>IF(F323-G323&lt;0.005,0,F323-G323)</f>
        <v/>
      </c>
      <c r="I323">
        <f>N322</f>
        <v/>
      </c>
      <c r="J323">
        <f>I323*Plan!D7/100/12</f>
        <v/>
      </c>
      <c r="K323">
        <f>MIN(Plan!E7,I323+J323)</f>
        <v/>
      </c>
      <c r="L323">
        <f>I323+J323-K323</f>
        <v/>
      </c>
      <c r="M323">
        <f>MIN(L323,MAX(0,$B323-((E$5&lt;K$5)*F323+(Q$5&lt;K$5)*R323+(W$5&lt;K$5)*X323+(AC$5&lt;K$5)*AD323+(AI$5&lt;K$5)*AJ323+(AO$5&lt;K$5)*AP323+(AU$5&lt;K$5)*AV323)))</f>
        <v/>
      </c>
      <c r="N323">
        <f>IF(L323-M323&lt;0.005,0,L323-M323)</f>
        <v/>
      </c>
      <c r="O323">
        <f>T322</f>
        <v/>
      </c>
      <c r="P323">
        <f>O323*Plan!D8/100/12</f>
        <v/>
      </c>
      <c r="Q323">
        <f>MIN(Plan!E8,O323+P323)</f>
        <v/>
      </c>
      <c r="R323">
        <f>O323+P323-Q323</f>
        <v/>
      </c>
      <c r="S323">
        <f>MIN(R323,MAX(0,$B323-((E$5&lt;Q$5)*F323+(K$5&lt;Q$5)*L323+(W$5&lt;Q$5)*X323+(AC$5&lt;Q$5)*AD323+(AI$5&lt;Q$5)*AJ323+(AO$5&lt;Q$5)*AP323+(AU$5&lt;Q$5)*AV323)))</f>
        <v/>
      </c>
      <c r="T323">
        <f>IF(R323-S323&lt;0.005,0,R323-S323)</f>
        <v/>
      </c>
      <c r="U323">
        <f>Z322</f>
        <v/>
      </c>
      <c r="V323">
        <f>U323*Plan!D9/100/12</f>
        <v/>
      </c>
      <c r="W323">
        <f>MIN(Plan!E9,U323+V323)</f>
        <v/>
      </c>
      <c r="X323">
        <f>U323+V323-W323</f>
        <v/>
      </c>
      <c r="Y323">
        <f>MIN(X323,MAX(0,$B323-((E$5&lt;W$5)*F323+(K$5&lt;W$5)*L323+(Q$5&lt;W$5)*R323+(AC$5&lt;W$5)*AD323+(AI$5&lt;W$5)*AJ323+(AO$5&lt;W$5)*AP323+(AU$5&lt;W$5)*AV323)))</f>
        <v/>
      </c>
      <c r="Z323">
        <f>IF(X323-Y323&lt;0.005,0,X323-Y323)</f>
        <v/>
      </c>
      <c r="AA323">
        <f>AF322</f>
        <v/>
      </c>
      <c r="AB323">
        <f>AA323*Plan!D10/100/12</f>
        <v/>
      </c>
      <c r="AC323">
        <f>MIN(Plan!E10,AA323+AB323)</f>
        <v/>
      </c>
      <c r="AD323">
        <f>AA323+AB323-AC323</f>
        <v/>
      </c>
      <c r="AE323">
        <f>MIN(AD323,MAX(0,$B323-((E$5&lt;AC$5)*F323+(K$5&lt;AC$5)*L323+(Q$5&lt;AC$5)*R323+(W$5&lt;AC$5)*X323+(AI$5&lt;AC$5)*AJ323+(AO$5&lt;AC$5)*AP323+(AU$5&lt;AC$5)*AV323)))</f>
        <v/>
      </c>
      <c r="AF323">
        <f>IF(AD323-AE323&lt;0.005,0,AD323-AE323)</f>
        <v/>
      </c>
      <c r="AG323">
        <f>AL322</f>
        <v/>
      </c>
      <c r="AH323">
        <f>AG323*Plan!D11/100/12</f>
        <v/>
      </c>
      <c r="AI323">
        <f>MIN(Plan!E11,AG323+AH323)</f>
        <v/>
      </c>
      <c r="AJ323">
        <f>AG323+AH323-AI323</f>
        <v/>
      </c>
      <c r="AK323">
        <f>MIN(AJ323,MAX(0,$B323-((E$5&lt;AI$5)*F323+(K$5&lt;AI$5)*L323+(Q$5&lt;AI$5)*R323+(W$5&lt;AI$5)*X323+(AC$5&lt;AI$5)*AD323+(AO$5&lt;AI$5)*AP323+(AU$5&lt;AI$5)*AV323)))</f>
        <v/>
      </c>
      <c r="AL323">
        <f>IF(AJ323-AK323&lt;0.005,0,AJ323-AK323)</f>
        <v/>
      </c>
      <c r="AM323">
        <f>AR322</f>
        <v/>
      </c>
      <c r="AN323">
        <f>AM323*Plan!D12/100/12</f>
        <v/>
      </c>
      <c r="AO323">
        <f>MIN(Plan!E12,AM323+AN323)</f>
        <v/>
      </c>
      <c r="AP323">
        <f>AM323+AN323-AO323</f>
        <v/>
      </c>
      <c r="AQ323">
        <f>MIN(AP323,MAX(0,$B323-((E$5&lt;AO$5)*F323+(K$5&lt;AO$5)*L323+(Q$5&lt;AO$5)*R323+(W$5&lt;AO$5)*X323+(AC$5&lt;AO$5)*AD323+(AI$5&lt;AO$5)*AJ323+(AU$5&lt;AO$5)*AV323)))</f>
        <v/>
      </c>
      <c r="AR323">
        <f>IF(AP323-AQ323&lt;0.005,0,AP323-AQ323)</f>
        <v/>
      </c>
      <c r="AS323">
        <f>AX322</f>
        <v/>
      </c>
      <c r="AT323">
        <f>AS323*Plan!D13/100/12</f>
        <v/>
      </c>
      <c r="AU323">
        <f>MIN(Plan!E13,AS323+AT323)</f>
        <v/>
      </c>
      <c r="AV323">
        <f>AS323+AT323-AU323</f>
        <v/>
      </c>
      <c r="AW323">
        <f>MIN(AV323,MAX(0,$B323-((E$5&lt;AU$5)*F323+(K$5&lt;AU$5)*L323+(Q$5&lt;AU$5)*R323+(W$5&lt;AU$5)*X323+(AC$5&lt;AU$5)*AD323+(AI$5&lt;AU$5)*AJ323+(AO$5&lt;AU$5)*AP323)))</f>
        <v/>
      </c>
      <c r="AX323">
        <f>IF(AV323-AW323&lt;0.005,0,AV323-AW323)</f>
        <v/>
      </c>
      <c r="BC323">
        <f>H323+N323+T323+Z323+AF323+AL323+AR323+AX323</f>
        <v/>
      </c>
    </row>
    <row r="324">
      <c r="A324" t="n">
        <v>318</v>
      </c>
      <c r="B324" s="19">
        <f>MAX(0,$B$3-(E324+K324+Q324+W324+AC324+AI324+AO324+AU324))</f>
        <v/>
      </c>
      <c r="C324">
        <f>H323</f>
        <v/>
      </c>
      <c r="D324">
        <f>C324*Plan!D6/100/12</f>
        <v/>
      </c>
      <c r="E324">
        <f>MIN(Plan!E6,C324+D324)</f>
        <v/>
      </c>
      <c r="F324">
        <f>C324+D324-E324</f>
        <v/>
      </c>
      <c r="G324">
        <f>MIN(F324,MAX(0,$B324-((K$5&lt;E$5)*L324+(Q$5&lt;E$5)*R324+(W$5&lt;E$5)*X324+(AC$5&lt;E$5)*AD324+(AI$5&lt;E$5)*AJ324+(AO$5&lt;E$5)*AP324+(AU$5&lt;E$5)*AV324)))</f>
        <v/>
      </c>
      <c r="H324">
        <f>IF(F324-G324&lt;0.005,0,F324-G324)</f>
        <v/>
      </c>
      <c r="I324">
        <f>N323</f>
        <v/>
      </c>
      <c r="J324">
        <f>I324*Plan!D7/100/12</f>
        <v/>
      </c>
      <c r="K324">
        <f>MIN(Plan!E7,I324+J324)</f>
        <v/>
      </c>
      <c r="L324">
        <f>I324+J324-K324</f>
        <v/>
      </c>
      <c r="M324">
        <f>MIN(L324,MAX(0,$B324-((E$5&lt;K$5)*F324+(Q$5&lt;K$5)*R324+(W$5&lt;K$5)*X324+(AC$5&lt;K$5)*AD324+(AI$5&lt;K$5)*AJ324+(AO$5&lt;K$5)*AP324+(AU$5&lt;K$5)*AV324)))</f>
        <v/>
      </c>
      <c r="N324">
        <f>IF(L324-M324&lt;0.005,0,L324-M324)</f>
        <v/>
      </c>
      <c r="O324">
        <f>T323</f>
        <v/>
      </c>
      <c r="P324">
        <f>O324*Plan!D8/100/12</f>
        <v/>
      </c>
      <c r="Q324">
        <f>MIN(Plan!E8,O324+P324)</f>
        <v/>
      </c>
      <c r="R324">
        <f>O324+P324-Q324</f>
        <v/>
      </c>
      <c r="S324">
        <f>MIN(R324,MAX(0,$B324-((E$5&lt;Q$5)*F324+(K$5&lt;Q$5)*L324+(W$5&lt;Q$5)*X324+(AC$5&lt;Q$5)*AD324+(AI$5&lt;Q$5)*AJ324+(AO$5&lt;Q$5)*AP324+(AU$5&lt;Q$5)*AV324)))</f>
        <v/>
      </c>
      <c r="T324">
        <f>IF(R324-S324&lt;0.005,0,R324-S324)</f>
        <v/>
      </c>
      <c r="U324">
        <f>Z323</f>
        <v/>
      </c>
      <c r="V324">
        <f>U324*Plan!D9/100/12</f>
        <v/>
      </c>
      <c r="W324">
        <f>MIN(Plan!E9,U324+V324)</f>
        <v/>
      </c>
      <c r="X324">
        <f>U324+V324-W324</f>
        <v/>
      </c>
      <c r="Y324">
        <f>MIN(X324,MAX(0,$B324-((E$5&lt;W$5)*F324+(K$5&lt;W$5)*L324+(Q$5&lt;W$5)*R324+(AC$5&lt;W$5)*AD324+(AI$5&lt;W$5)*AJ324+(AO$5&lt;W$5)*AP324+(AU$5&lt;W$5)*AV324)))</f>
        <v/>
      </c>
      <c r="Z324">
        <f>IF(X324-Y324&lt;0.005,0,X324-Y324)</f>
        <v/>
      </c>
      <c r="AA324">
        <f>AF323</f>
        <v/>
      </c>
      <c r="AB324">
        <f>AA324*Plan!D10/100/12</f>
        <v/>
      </c>
      <c r="AC324">
        <f>MIN(Plan!E10,AA324+AB324)</f>
        <v/>
      </c>
      <c r="AD324">
        <f>AA324+AB324-AC324</f>
        <v/>
      </c>
      <c r="AE324">
        <f>MIN(AD324,MAX(0,$B324-((E$5&lt;AC$5)*F324+(K$5&lt;AC$5)*L324+(Q$5&lt;AC$5)*R324+(W$5&lt;AC$5)*X324+(AI$5&lt;AC$5)*AJ324+(AO$5&lt;AC$5)*AP324+(AU$5&lt;AC$5)*AV324)))</f>
        <v/>
      </c>
      <c r="AF324">
        <f>IF(AD324-AE324&lt;0.005,0,AD324-AE324)</f>
        <v/>
      </c>
      <c r="AG324">
        <f>AL323</f>
        <v/>
      </c>
      <c r="AH324">
        <f>AG324*Plan!D11/100/12</f>
        <v/>
      </c>
      <c r="AI324">
        <f>MIN(Plan!E11,AG324+AH324)</f>
        <v/>
      </c>
      <c r="AJ324">
        <f>AG324+AH324-AI324</f>
        <v/>
      </c>
      <c r="AK324">
        <f>MIN(AJ324,MAX(0,$B324-((E$5&lt;AI$5)*F324+(K$5&lt;AI$5)*L324+(Q$5&lt;AI$5)*R324+(W$5&lt;AI$5)*X324+(AC$5&lt;AI$5)*AD324+(AO$5&lt;AI$5)*AP324+(AU$5&lt;AI$5)*AV324)))</f>
        <v/>
      </c>
      <c r="AL324">
        <f>IF(AJ324-AK324&lt;0.005,0,AJ324-AK324)</f>
        <v/>
      </c>
      <c r="AM324">
        <f>AR323</f>
        <v/>
      </c>
      <c r="AN324">
        <f>AM324*Plan!D12/100/12</f>
        <v/>
      </c>
      <c r="AO324">
        <f>MIN(Plan!E12,AM324+AN324)</f>
        <v/>
      </c>
      <c r="AP324">
        <f>AM324+AN324-AO324</f>
        <v/>
      </c>
      <c r="AQ324">
        <f>MIN(AP324,MAX(0,$B324-((E$5&lt;AO$5)*F324+(K$5&lt;AO$5)*L324+(Q$5&lt;AO$5)*R324+(W$5&lt;AO$5)*X324+(AC$5&lt;AO$5)*AD324+(AI$5&lt;AO$5)*AJ324+(AU$5&lt;AO$5)*AV324)))</f>
        <v/>
      </c>
      <c r="AR324">
        <f>IF(AP324-AQ324&lt;0.005,0,AP324-AQ324)</f>
        <v/>
      </c>
      <c r="AS324">
        <f>AX323</f>
        <v/>
      </c>
      <c r="AT324">
        <f>AS324*Plan!D13/100/12</f>
        <v/>
      </c>
      <c r="AU324">
        <f>MIN(Plan!E13,AS324+AT324)</f>
        <v/>
      </c>
      <c r="AV324">
        <f>AS324+AT324-AU324</f>
        <v/>
      </c>
      <c r="AW324">
        <f>MIN(AV324,MAX(0,$B324-((E$5&lt;AU$5)*F324+(K$5&lt;AU$5)*L324+(Q$5&lt;AU$5)*R324+(W$5&lt;AU$5)*X324+(AC$5&lt;AU$5)*AD324+(AI$5&lt;AU$5)*AJ324+(AO$5&lt;AU$5)*AP324)))</f>
        <v/>
      </c>
      <c r="AX324">
        <f>IF(AV324-AW324&lt;0.005,0,AV324-AW324)</f>
        <v/>
      </c>
      <c r="BC324">
        <f>H324+N324+T324+Z324+AF324+AL324+AR324+AX324</f>
        <v/>
      </c>
    </row>
    <row r="325">
      <c r="A325" t="n">
        <v>319</v>
      </c>
      <c r="B325" s="19">
        <f>MAX(0,$B$3-(E325+K325+Q325+W325+AC325+AI325+AO325+AU325))</f>
        <v/>
      </c>
      <c r="C325">
        <f>H324</f>
        <v/>
      </c>
      <c r="D325">
        <f>C325*Plan!D6/100/12</f>
        <v/>
      </c>
      <c r="E325">
        <f>MIN(Plan!E6,C325+D325)</f>
        <v/>
      </c>
      <c r="F325">
        <f>C325+D325-E325</f>
        <v/>
      </c>
      <c r="G325">
        <f>MIN(F325,MAX(0,$B325-((K$5&lt;E$5)*L325+(Q$5&lt;E$5)*R325+(W$5&lt;E$5)*X325+(AC$5&lt;E$5)*AD325+(AI$5&lt;E$5)*AJ325+(AO$5&lt;E$5)*AP325+(AU$5&lt;E$5)*AV325)))</f>
        <v/>
      </c>
      <c r="H325">
        <f>IF(F325-G325&lt;0.005,0,F325-G325)</f>
        <v/>
      </c>
      <c r="I325">
        <f>N324</f>
        <v/>
      </c>
      <c r="J325">
        <f>I325*Plan!D7/100/12</f>
        <v/>
      </c>
      <c r="K325">
        <f>MIN(Plan!E7,I325+J325)</f>
        <v/>
      </c>
      <c r="L325">
        <f>I325+J325-K325</f>
        <v/>
      </c>
      <c r="M325">
        <f>MIN(L325,MAX(0,$B325-((E$5&lt;K$5)*F325+(Q$5&lt;K$5)*R325+(W$5&lt;K$5)*X325+(AC$5&lt;K$5)*AD325+(AI$5&lt;K$5)*AJ325+(AO$5&lt;K$5)*AP325+(AU$5&lt;K$5)*AV325)))</f>
        <v/>
      </c>
      <c r="N325">
        <f>IF(L325-M325&lt;0.005,0,L325-M325)</f>
        <v/>
      </c>
      <c r="O325">
        <f>T324</f>
        <v/>
      </c>
      <c r="P325">
        <f>O325*Plan!D8/100/12</f>
        <v/>
      </c>
      <c r="Q325">
        <f>MIN(Plan!E8,O325+P325)</f>
        <v/>
      </c>
      <c r="R325">
        <f>O325+P325-Q325</f>
        <v/>
      </c>
      <c r="S325">
        <f>MIN(R325,MAX(0,$B325-((E$5&lt;Q$5)*F325+(K$5&lt;Q$5)*L325+(W$5&lt;Q$5)*X325+(AC$5&lt;Q$5)*AD325+(AI$5&lt;Q$5)*AJ325+(AO$5&lt;Q$5)*AP325+(AU$5&lt;Q$5)*AV325)))</f>
        <v/>
      </c>
      <c r="T325">
        <f>IF(R325-S325&lt;0.005,0,R325-S325)</f>
        <v/>
      </c>
      <c r="U325">
        <f>Z324</f>
        <v/>
      </c>
      <c r="V325">
        <f>U325*Plan!D9/100/12</f>
        <v/>
      </c>
      <c r="W325">
        <f>MIN(Plan!E9,U325+V325)</f>
        <v/>
      </c>
      <c r="X325">
        <f>U325+V325-W325</f>
        <v/>
      </c>
      <c r="Y325">
        <f>MIN(X325,MAX(0,$B325-((E$5&lt;W$5)*F325+(K$5&lt;W$5)*L325+(Q$5&lt;W$5)*R325+(AC$5&lt;W$5)*AD325+(AI$5&lt;W$5)*AJ325+(AO$5&lt;W$5)*AP325+(AU$5&lt;W$5)*AV325)))</f>
        <v/>
      </c>
      <c r="Z325">
        <f>IF(X325-Y325&lt;0.005,0,X325-Y325)</f>
        <v/>
      </c>
      <c r="AA325">
        <f>AF324</f>
        <v/>
      </c>
      <c r="AB325">
        <f>AA325*Plan!D10/100/12</f>
        <v/>
      </c>
      <c r="AC325">
        <f>MIN(Plan!E10,AA325+AB325)</f>
        <v/>
      </c>
      <c r="AD325">
        <f>AA325+AB325-AC325</f>
        <v/>
      </c>
      <c r="AE325">
        <f>MIN(AD325,MAX(0,$B325-((E$5&lt;AC$5)*F325+(K$5&lt;AC$5)*L325+(Q$5&lt;AC$5)*R325+(W$5&lt;AC$5)*X325+(AI$5&lt;AC$5)*AJ325+(AO$5&lt;AC$5)*AP325+(AU$5&lt;AC$5)*AV325)))</f>
        <v/>
      </c>
      <c r="AF325">
        <f>IF(AD325-AE325&lt;0.005,0,AD325-AE325)</f>
        <v/>
      </c>
      <c r="AG325">
        <f>AL324</f>
        <v/>
      </c>
      <c r="AH325">
        <f>AG325*Plan!D11/100/12</f>
        <v/>
      </c>
      <c r="AI325">
        <f>MIN(Plan!E11,AG325+AH325)</f>
        <v/>
      </c>
      <c r="AJ325">
        <f>AG325+AH325-AI325</f>
        <v/>
      </c>
      <c r="AK325">
        <f>MIN(AJ325,MAX(0,$B325-((E$5&lt;AI$5)*F325+(K$5&lt;AI$5)*L325+(Q$5&lt;AI$5)*R325+(W$5&lt;AI$5)*X325+(AC$5&lt;AI$5)*AD325+(AO$5&lt;AI$5)*AP325+(AU$5&lt;AI$5)*AV325)))</f>
        <v/>
      </c>
      <c r="AL325">
        <f>IF(AJ325-AK325&lt;0.005,0,AJ325-AK325)</f>
        <v/>
      </c>
      <c r="AM325">
        <f>AR324</f>
        <v/>
      </c>
      <c r="AN325">
        <f>AM325*Plan!D12/100/12</f>
        <v/>
      </c>
      <c r="AO325">
        <f>MIN(Plan!E12,AM325+AN325)</f>
        <v/>
      </c>
      <c r="AP325">
        <f>AM325+AN325-AO325</f>
        <v/>
      </c>
      <c r="AQ325">
        <f>MIN(AP325,MAX(0,$B325-((E$5&lt;AO$5)*F325+(K$5&lt;AO$5)*L325+(Q$5&lt;AO$5)*R325+(W$5&lt;AO$5)*X325+(AC$5&lt;AO$5)*AD325+(AI$5&lt;AO$5)*AJ325+(AU$5&lt;AO$5)*AV325)))</f>
        <v/>
      </c>
      <c r="AR325">
        <f>IF(AP325-AQ325&lt;0.005,0,AP325-AQ325)</f>
        <v/>
      </c>
      <c r="AS325">
        <f>AX324</f>
        <v/>
      </c>
      <c r="AT325">
        <f>AS325*Plan!D13/100/12</f>
        <v/>
      </c>
      <c r="AU325">
        <f>MIN(Plan!E13,AS325+AT325)</f>
        <v/>
      </c>
      <c r="AV325">
        <f>AS325+AT325-AU325</f>
        <v/>
      </c>
      <c r="AW325">
        <f>MIN(AV325,MAX(0,$B325-((E$5&lt;AU$5)*F325+(K$5&lt;AU$5)*L325+(Q$5&lt;AU$5)*R325+(W$5&lt;AU$5)*X325+(AC$5&lt;AU$5)*AD325+(AI$5&lt;AU$5)*AJ325+(AO$5&lt;AU$5)*AP325)))</f>
        <v/>
      </c>
      <c r="AX325">
        <f>IF(AV325-AW325&lt;0.005,0,AV325-AW325)</f>
        <v/>
      </c>
      <c r="BC325">
        <f>H325+N325+T325+Z325+AF325+AL325+AR325+AX325</f>
        <v/>
      </c>
    </row>
    <row r="326">
      <c r="A326" t="n">
        <v>320</v>
      </c>
      <c r="B326" s="19">
        <f>MAX(0,$B$3-(E326+K326+Q326+W326+AC326+AI326+AO326+AU326))</f>
        <v/>
      </c>
      <c r="C326">
        <f>H325</f>
        <v/>
      </c>
      <c r="D326">
        <f>C326*Plan!D6/100/12</f>
        <v/>
      </c>
      <c r="E326">
        <f>MIN(Plan!E6,C326+D326)</f>
        <v/>
      </c>
      <c r="F326">
        <f>C326+D326-E326</f>
        <v/>
      </c>
      <c r="G326">
        <f>MIN(F326,MAX(0,$B326-((K$5&lt;E$5)*L326+(Q$5&lt;E$5)*R326+(W$5&lt;E$5)*X326+(AC$5&lt;E$5)*AD326+(AI$5&lt;E$5)*AJ326+(AO$5&lt;E$5)*AP326+(AU$5&lt;E$5)*AV326)))</f>
        <v/>
      </c>
      <c r="H326">
        <f>IF(F326-G326&lt;0.005,0,F326-G326)</f>
        <v/>
      </c>
      <c r="I326">
        <f>N325</f>
        <v/>
      </c>
      <c r="J326">
        <f>I326*Plan!D7/100/12</f>
        <v/>
      </c>
      <c r="K326">
        <f>MIN(Plan!E7,I326+J326)</f>
        <v/>
      </c>
      <c r="L326">
        <f>I326+J326-K326</f>
        <v/>
      </c>
      <c r="M326">
        <f>MIN(L326,MAX(0,$B326-((E$5&lt;K$5)*F326+(Q$5&lt;K$5)*R326+(W$5&lt;K$5)*X326+(AC$5&lt;K$5)*AD326+(AI$5&lt;K$5)*AJ326+(AO$5&lt;K$5)*AP326+(AU$5&lt;K$5)*AV326)))</f>
        <v/>
      </c>
      <c r="N326">
        <f>IF(L326-M326&lt;0.005,0,L326-M326)</f>
        <v/>
      </c>
      <c r="O326">
        <f>T325</f>
        <v/>
      </c>
      <c r="P326">
        <f>O326*Plan!D8/100/12</f>
        <v/>
      </c>
      <c r="Q326">
        <f>MIN(Plan!E8,O326+P326)</f>
        <v/>
      </c>
      <c r="R326">
        <f>O326+P326-Q326</f>
        <v/>
      </c>
      <c r="S326">
        <f>MIN(R326,MAX(0,$B326-((E$5&lt;Q$5)*F326+(K$5&lt;Q$5)*L326+(W$5&lt;Q$5)*X326+(AC$5&lt;Q$5)*AD326+(AI$5&lt;Q$5)*AJ326+(AO$5&lt;Q$5)*AP326+(AU$5&lt;Q$5)*AV326)))</f>
        <v/>
      </c>
      <c r="T326">
        <f>IF(R326-S326&lt;0.005,0,R326-S326)</f>
        <v/>
      </c>
      <c r="U326">
        <f>Z325</f>
        <v/>
      </c>
      <c r="V326">
        <f>U326*Plan!D9/100/12</f>
        <v/>
      </c>
      <c r="W326">
        <f>MIN(Plan!E9,U326+V326)</f>
        <v/>
      </c>
      <c r="X326">
        <f>U326+V326-W326</f>
        <v/>
      </c>
      <c r="Y326">
        <f>MIN(X326,MAX(0,$B326-((E$5&lt;W$5)*F326+(K$5&lt;W$5)*L326+(Q$5&lt;W$5)*R326+(AC$5&lt;W$5)*AD326+(AI$5&lt;W$5)*AJ326+(AO$5&lt;W$5)*AP326+(AU$5&lt;W$5)*AV326)))</f>
        <v/>
      </c>
      <c r="Z326">
        <f>IF(X326-Y326&lt;0.005,0,X326-Y326)</f>
        <v/>
      </c>
      <c r="AA326">
        <f>AF325</f>
        <v/>
      </c>
      <c r="AB326">
        <f>AA326*Plan!D10/100/12</f>
        <v/>
      </c>
      <c r="AC326">
        <f>MIN(Plan!E10,AA326+AB326)</f>
        <v/>
      </c>
      <c r="AD326">
        <f>AA326+AB326-AC326</f>
        <v/>
      </c>
      <c r="AE326">
        <f>MIN(AD326,MAX(0,$B326-((E$5&lt;AC$5)*F326+(K$5&lt;AC$5)*L326+(Q$5&lt;AC$5)*R326+(W$5&lt;AC$5)*X326+(AI$5&lt;AC$5)*AJ326+(AO$5&lt;AC$5)*AP326+(AU$5&lt;AC$5)*AV326)))</f>
        <v/>
      </c>
      <c r="AF326">
        <f>IF(AD326-AE326&lt;0.005,0,AD326-AE326)</f>
        <v/>
      </c>
      <c r="AG326">
        <f>AL325</f>
        <v/>
      </c>
      <c r="AH326">
        <f>AG326*Plan!D11/100/12</f>
        <v/>
      </c>
      <c r="AI326">
        <f>MIN(Plan!E11,AG326+AH326)</f>
        <v/>
      </c>
      <c r="AJ326">
        <f>AG326+AH326-AI326</f>
        <v/>
      </c>
      <c r="AK326">
        <f>MIN(AJ326,MAX(0,$B326-((E$5&lt;AI$5)*F326+(K$5&lt;AI$5)*L326+(Q$5&lt;AI$5)*R326+(W$5&lt;AI$5)*X326+(AC$5&lt;AI$5)*AD326+(AO$5&lt;AI$5)*AP326+(AU$5&lt;AI$5)*AV326)))</f>
        <v/>
      </c>
      <c r="AL326">
        <f>IF(AJ326-AK326&lt;0.005,0,AJ326-AK326)</f>
        <v/>
      </c>
      <c r="AM326">
        <f>AR325</f>
        <v/>
      </c>
      <c r="AN326">
        <f>AM326*Plan!D12/100/12</f>
        <v/>
      </c>
      <c r="AO326">
        <f>MIN(Plan!E12,AM326+AN326)</f>
        <v/>
      </c>
      <c r="AP326">
        <f>AM326+AN326-AO326</f>
        <v/>
      </c>
      <c r="AQ326">
        <f>MIN(AP326,MAX(0,$B326-((E$5&lt;AO$5)*F326+(K$5&lt;AO$5)*L326+(Q$5&lt;AO$5)*R326+(W$5&lt;AO$5)*X326+(AC$5&lt;AO$5)*AD326+(AI$5&lt;AO$5)*AJ326+(AU$5&lt;AO$5)*AV326)))</f>
        <v/>
      </c>
      <c r="AR326">
        <f>IF(AP326-AQ326&lt;0.005,0,AP326-AQ326)</f>
        <v/>
      </c>
      <c r="AS326">
        <f>AX325</f>
        <v/>
      </c>
      <c r="AT326">
        <f>AS326*Plan!D13/100/12</f>
        <v/>
      </c>
      <c r="AU326">
        <f>MIN(Plan!E13,AS326+AT326)</f>
        <v/>
      </c>
      <c r="AV326">
        <f>AS326+AT326-AU326</f>
        <v/>
      </c>
      <c r="AW326">
        <f>MIN(AV326,MAX(0,$B326-((E$5&lt;AU$5)*F326+(K$5&lt;AU$5)*L326+(Q$5&lt;AU$5)*R326+(W$5&lt;AU$5)*X326+(AC$5&lt;AU$5)*AD326+(AI$5&lt;AU$5)*AJ326+(AO$5&lt;AU$5)*AP326)))</f>
        <v/>
      </c>
      <c r="AX326">
        <f>IF(AV326-AW326&lt;0.005,0,AV326-AW326)</f>
        <v/>
      </c>
      <c r="BC326">
        <f>H326+N326+T326+Z326+AF326+AL326+AR326+AX326</f>
        <v/>
      </c>
    </row>
    <row r="327">
      <c r="A327" t="n">
        <v>321</v>
      </c>
      <c r="B327" s="19">
        <f>MAX(0,$B$3-(E327+K327+Q327+W327+AC327+AI327+AO327+AU327))</f>
        <v/>
      </c>
      <c r="C327">
        <f>H326</f>
        <v/>
      </c>
      <c r="D327">
        <f>C327*Plan!D6/100/12</f>
        <v/>
      </c>
      <c r="E327">
        <f>MIN(Plan!E6,C327+D327)</f>
        <v/>
      </c>
      <c r="F327">
        <f>C327+D327-E327</f>
        <v/>
      </c>
      <c r="G327">
        <f>MIN(F327,MAX(0,$B327-((K$5&lt;E$5)*L327+(Q$5&lt;E$5)*R327+(W$5&lt;E$5)*X327+(AC$5&lt;E$5)*AD327+(AI$5&lt;E$5)*AJ327+(AO$5&lt;E$5)*AP327+(AU$5&lt;E$5)*AV327)))</f>
        <v/>
      </c>
      <c r="H327">
        <f>IF(F327-G327&lt;0.005,0,F327-G327)</f>
        <v/>
      </c>
      <c r="I327">
        <f>N326</f>
        <v/>
      </c>
      <c r="J327">
        <f>I327*Plan!D7/100/12</f>
        <v/>
      </c>
      <c r="K327">
        <f>MIN(Plan!E7,I327+J327)</f>
        <v/>
      </c>
      <c r="L327">
        <f>I327+J327-K327</f>
        <v/>
      </c>
      <c r="M327">
        <f>MIN(L327,MAX(0,$B327-((E$5&lt;K$5)*F327+(Q$5&lt;K$5)*R327+(W$5&lt;K$5)*X327+(AC$5&lt;K$5)*AD327+(AI$5&lt;K$5)*AJ327+(AO$5&lt;K$5)*AP327+(AU$5&lt;K$5)*AV327)))</f>
        <v/>
      </c>
      <c r="N327">
        <f>IF(L327-M327&lt;0.005,0,L327-M327)</f>
        <v/>
      </c>
      <c r="O327">
        <f>T326</f>
        <v/>
      </c>
      <c r="P327">
        <f>O327*Plan!D8/100/12</f>
        <v/>
      </c>
      <c r="Q327">
        <f>MIN(Plan!E8,O327+P327)</f>
        <v/>
      </c>
      <c r="R327">
        <f>O327+P327-Q327</f>
        <v/>
      </c>
      <c r="S327">
        <f>MIN(R327,MAX(0,$B327-((E$5&lt;Q$5)*F327+(K$5&lt;Q$5)*L327+(W$5&lt;Q$5)*X327+(AC$5&lt;Q$5)*AD327+(AI$5&lt;Q$5)*AJ327+(AO$5&lt;Q$5)*AP327+(AU$5&lt;Q$5)*AV327)))</f>
        <v/>
      </c>
      <c r="T327">
        <f>IF(R327-S327&lt;0.005,0,R327-S327)</f>
        <v/>
      </c>
      <c r="U327">
        <f>Z326</f>
        <v/>
      </c>
      <c r="V327">
        <f>U327*Plan!D9/100/12</f>
        <v/>
      </c>
      <c r="W327">
        <f>MIN(Plan!E9,U327+V327)</f>
        <v/>
      </c>
      <c r="X327">
        <f>U327+V327-W327</f>
        <v/>
      </c>
      <c r="Y327">
        <f>MIN(X327,MAX(0,$B327-((E$5&lt;W$5)*F327+(K$5&lt;W$5)*L327+(Q$5&lt;W$5)*R327+(AC$5&lt;W$5)*AD327+(AI$5&lt;W$5)*AJ327+(AO$5&lt;W$5)*AP327+(AU$5&lt;W$5)*AV327)))</f>
        <v/>
      </c>
      <c r="Z327">
        <f>IF(X327-Y327&lt;0.005,0,X327-Y327)</f>
        <v/>
      </c>
      <c r="AA327">
        <f>AF326</f>
        <v/>
      </c>
      <c r="AB327">
        <f>AA327*Plan!D10/100/12</f>
        <v/>
      </c>
      <c r="AC327">
        <f>MIN(Plan!E10,AA327+AB327)</f>
        <v/>
      </c>
      <c r="AD327">
        <f>AA327+AB327-AC327</f>
        <v/>
      </c>
      <c r="AE327">
        <f>MIN(AD327,MAX(0,$B327-((E$5&lt;AC$5)*F327+(K$5&lt;AC$5)*L327+(Q$5&lt;AC$5)*R327+(W$5&lt;AC$5)*X327+(AI$5&lt;AC$5)*AJ327+(AO$5&lt;AC$5)*AP327+(AU$5&lt;AC$5)*AV327)))</f>
        <v/>
      </c>
      <c r="AF327">
        <f>IF(AD327-AE327&lt;0.005,0,AD327-AE327)</f>
        <v/>
      </c>
      <c r="AG327">
        <f>AL326</f>
        <v/>
      </c>
      <c r="AH327">
        <f>AG327*Plan!D11/100/12</f>
        <v/>
      </c>
      <c r="AI327">
        <f>MIN(Plan!E11,AG327+AH327)</f>
        <v/>
      </c>
      <c r="AJ327">
        <f>AG327+AH327-AI327</f>
        <v/>
      </c>
      <c r="AK327">
        <f>MIN(AJ327,MAX(0,$B327-((E$5&lt;AI$5)*F327+(K$5&lt;AI$5)*L327+(Q$5&lt;AI$5)*R327+(W$5&lt;AI$5)*X327+(AC$5&lt;AI$5)*AD327+(AO$5&lt;AI$5)*AP327+(AU$5&lt;AI$5)*AV327)))</f>
        <v/>
      </c>
      <c r="AL327">
        <f>IF(AJ327-AK327&lt;0.005,0,AJ327-AK327)</f>
        <v/>
      </c>
      <c r="AM327">
        <f>AR326</f>
        <v/>
      </c>
      <c r="AN327">
        <f>AM327*Plan!D12/100/12</f>
        <v/>
      </c>
      <c r="AO327">
        <f>MIN(Plan!E12,AM327+AN327)</f>
        <v/>
      </c>
      <c r="AP327">
        <f>AM327+AN327-AO327</f>
        <v/>
      </c>
      <c r="AQ327">
        <f>MIN(AP327,MAX(0,$B327-((E$5&lt;AO$5)*F327+(K$5&lt;AO$5)*L327+(Q$5&lt;AO$5)*R327+(W$5&lt;AO$5)*X327+(AC$5&lt;AO$5)*AD327+(AI$5&lt;AO$5)*AJ327+(AU$5&lt;AO$5)*AV327)))</f>
        <v/>
      </c>
      <c r="AR327">
        <f>IF(AP327-AQ327&lt;0.005,0,AP327-AQ327)</f>
        <v/>
      </c>
      <c r="AS327">
        <f>AX326</f>
        <v/>
      </c>
      <c r="AT327">
        <f>AS327*Plan!D13/100/12</f>
        <v/>
      </c>
      <c r="AU327">
        <f>MIN(Plan!E13,AS327+AT327)</f>
        <v/>
      </c>
      <c r="AV327">
        <f>AS327+AT327-AU327</f>
        <v/>
      </c>
      <c r="AW327">
        <f>MIN(AV327,MAX(0,$B327-((E$5&lt;AU$5)*F327+(K$5&lt;AU$5)*L327+(Q$5&lt;AU$5)*R327+(W$5&lt;AU$5)*X327+(AC$5&lt;AU$5)*AD327+(AI$5&lt;AU$5)*AJ327+(AO$5&lt;AU$5)*AP327)))</f>
        <v/>
      </c>
      <c r="AX327">
        <f>IF(AV327-AW327&lt;0.005,0,AV327-AW327)</f>
        <v/>
      </c>
      <c r="BC327">
        <f>H327+N327+T327+Z327+AF327+AL327+AR327+AX327</f>
        <v/>
      </c>
    </row>
    <row r="328">
      <c r="A328" t="n">
        <v>322</v>
      </c>
      <c r="B328" s="19">
        <f>MAX(0,$B$3-(E328+K328+Q328+W328+AC328+AI328+AO328+AU328))</f>
        <v/>
      </c>
      <c r="C328">
        <f>H327</f>
        <v/>
      </c>
      <c r="D328">
        <f>C328*Plan!D6/100/12</f>
        <v/>
      </c>
      <c r="E328">
        <f>MIN(Plan!E6,C328+D328)</f>
        <v/>
      </c>
      <c r="F328">
        <f>C328+D328-E328</f>
        <v/>
      </c>
      <c r="G328">
        <f>MIN(F328,MAX(0,$B328-((K$5&lt;E$5)*L328+(Q$5&lt;E$5)*R328+(W$5&lt;E$5)*X328+(AC$5&lt;E$5)*AD328+(AI$5&lt;E$5)*AJ328+(AO$5&lt;E$5)*AP328+(AU$5&lt;E$5)*AV328)))</f>
        <v/>
      </c>
      <c r="H328">
        <f>IF(F328-G328&lt;0.005,0,F328-G328)</f>
        <v/>
      </c>
      <c r="I328">
        <f>N327</f>
        <v/>
      </c>
      <c r="J328">
        <f>I328*Plan!D7/100/12</f>
        <v/>
      </c>
      <c r="K328">
        <f>MIN(Plan!E7,I328+J328)</f>
        <v/>
      </c>
      <c r="L328">
        <f>I328+J328-K328</f>
        <v/>
      </c>
      <c r="M328">
        <f>MIN(L328,MAX(0,$B328-((E$5&lt;K$5)*F328+(Q$5&lt;K$5)*R328+(W$5&lt;K$5)*X328+(AC$5&lt;K$5)*AD328+(AI$5&lt;K$5)*AJ328+(AO$5&lt;K$5)*AP328+(AU$5&lt;K$5)*AV328)))</f>
        <v/>
      </c>
      <c r="N328">
        <f>IF(L328-M328&lt;0.005,0,L328-M328)</f>
        <v/>
      </c>
      <c r="O328">
        <f>T327</f>
        <v/>
      </c>
      <c r="P328">
        <f>O328*Plan!D8/100/12</f>
        <v/>
      </c>
      <c r="Q328">
        <f>MIN(Plan!E8,O328+P328)</f>
        <v/>
      </c>
      <c r="R328">
        <f>O328+P328-Q328</f>
        <v/>
      </c>
      <c r="S328">
        <f>MIN(R328,MAX(0,$B328-((E$5&lt;Q$5)*F328+(K$5&lt;Q$5)*L328+(W$5&lt;Q$5)*X328+(AC$5&lt;Q$5)*AD328+(AI$5&lt;Q$5)*AJ328+(AO$5&lt;Q$5)*AP328+(AU$5&lt;Q$5)*AV328)))</f>
        <v/>
      </c>
      <c r="T328">
        <f>IF(R328-S328&lt;0.005,0,R328-S328)</f>
        <v/>
      </c>
      <c r="U328">
        <f>Z327</f>
        <v/>
      </c>
      <c r="V328">
        <f>U328*Plan!D9/100/12</f>
        <v/>
      </c>
      <c r="W328">
        <f>MIN(Plan!E9,U328+V328)</f>
        <v/>
      </c>
      <c r="X328">
        <f>U328+V328-W328</f>
        <v/>
      </c>
      <c r="Y328">
        <f>MIN(X328,MAX(0,$B328-((E$5&lt;W$5)*F328+(K$5&lt;W$5)*L328+(Q$5&lt;W$5)*R328+(AC$5&lt;W$5)*AD328+(AI$5&lt;W$5)*AJ328+(AO$5&lt;W$5)*AP328+(AU$5&lt;W$5)*AV328)))</f>
        <v/>
      </c>
      <c r="Z328">
        <f>IF(X328-Y328&lt;0.005,0,X328-Y328)</f>
        <v/>
      </c>
      <c r="AA328">
        <f>AF327</f>
        <v/>
      </c>
      <c r="AB328">
        <f>AA328*Plan!D10/100/12</f>
        <v/>
      </c>
      <c r="AC328">
        <f>MIN(Plan!E10,AA328+AB328)</f>
        <v/>
      </c>
      <c r="AD328">
        <f>AA328+AB328-AC328</f>
        <v/>
      </c>
      <c r="AE328">
        <f>MIN(AD328,MAX(0,$B328-((E$5&lt;AC$5)*F328+(K$5&lt;AC$5)*L328+(Q$5&lt;AC$5)*R328+(W$5&lt;AC$5)*X328+(AI$5&lt;AC$5)*AJ328+(AO$5&lt;AC$5)*AP328+(AU$5&lt;AC$5)*AV328)))</f>
        <v/>
      </c>
      <c r="AF328">
        <f>IF(AD328-AE328&lt;0.005,0,AD328-AE328)</f>
        <v/>
      </c>
      <c r="AG328">
        <f>AL327</f>
        <v/>
      </c>
      <c r="AH328">
        <f>AG328*Plan!D11/100/12</f>
        <v/>
      </c>
      <c r="AI328">
        <f>MIN(Plan!E11,AG328+AH328)</f>
        <v/>
      </c>
      <c r="AJ328">
        <f>AG328+AH328-AI328</f>
        <v/>
      </c>
      <c r="AK328">
        <f>MIN(AJ328,MAX(0,$B328-((E$5&lt;AI$5)*F328+(K$5&lt;AI$5)*L328+(Q$5&lt;AI$5)*R328+(W$5&lt;AI$5)*X328+(AC$5&lt;AI$5)*AD328+(AO$5&lt;AI$5)*AP328+(AU$5&lt;AI$5)*AV328)))</f>
        <v/>
      </c>
      <c r="AL328">
        <f>IF(AJ328-AK328&lt;0.005,0,AJ328-AK328)</f>
        <v/>
      </c>
      <c r="AM328">
        <f>AR327</f>
        <v/>
      </c>
      <c r="AN328">
        <f>AM328*Plan!D12/100/12</f>
        <v/>
      </c>
      <c r="AO328">
        <f>MIN(Plan!E12,AM328+AN328)</f>
        <v/>
      </c>
      <c r="AP328">
        <f>AM328+AN328-AO328</f>
        <v/>
      </c>
      <c r="AQ328">
        <f>MIN(AP328,MAX(0,$B328-((E$5&lt;AO$5)*F328+(K$5&lt;AO$5)*L328+(Q$5&lt;AO$5)*R328+(W$5&lt;AO$5)*X328+(AC$5&lt;AO$5)*AD328+(AI$5&lt;AO$5)*AJ328+(AU$5&lt;AO$5)*AV328)))</f>
        <v/>
      </c>
      <c r="AR328">
        <f>IF(AP328-AQ328&lt;0.005,0,AP328-AQ328)</f>
        <v/>
      </c>
      <c r="AS328">
        <f>AX327</f>
        <v/>
      </c>
      <c r="AT328">
        <f>AS328*Plan!D13/100/12</f>
        <v/>
      </c>
      <c r="AU328">
        <f>MIN(Plan!E13,AS328+AT328)</f>
        <v/>
      </c>
      <c r="AV328">
        <f>AS328+AT328-AU328</f>
        <v/>
      </c>
      <c r="AW328">
        <f>MIN(AV328,MAX(0,$B328-((E$5&lt;AU$5)*F328+(K$5&lt;AU$5)*L328+(Q$5&lt;AU$5)*R328+(W$5&lt;AU$5)*X328+(AC$5&lt;AU$5)*AD328+(AI$5&lt;AU$5)*AJ328+(AO$5&lt;AU$5)*AP328)))</f>
        <v/>
      </c>
      <c r="AX328">
        <f>IF(AV328-AW328&lt;0.005,0,AV328-AW328)</f>
        <v/>
      </c>
      <c r="BC328">
        <f>H328+N328+T328+Z328+AF328+AL328+AR328+AX328</f>
        <v/>
      </c>
    </row>
    <row r="329">
      <c r="A329" t="n">
        <v>323</v>
      </c>
      <c r="B329" s="19">
        <f>MAX(0,$B$3-(E329+K329+Q329+W329+AC329+AI329+AO329+AU329))</f>
        <v/>
      </c>
      <c r="C329">
        <f>H328</f>
        <v/>
      </c>
      <c r="D329">
        <f>C329*Plan!D6/100/12</f>
        <v/>
      </c>
      <c r="E329">
        <f>MIN(Plan!E6,C329+D329)</f>
        <v/>
      </c>
      <c r="F329">
        <f>C329+D329-E329</f>
        <v/>
      </c>
      <c r="G329">
        <f>MIN(F329,MAX(0,$B329-((K$5&lt;E$5)*L329+(Q$5&lt;E$5)*R329+(W$5&lt;E$5)*X329+(AC$5&lt;E$5)*AD329+(AI$5&lt;E$5)*AJ329+(AO$5&lt;E$5)*AP329+(AU$5&lt;E$5)*AV329)))</f>
        <v/>
      </c>
      <c r="H329">
        <f>IF(F329-G329&lt;0.005,0,F329-G329)</f>
        <v/>
      </c>
      <c r="I329">
        <f>N328</f>
        <v/>
      </c>
      <c r="J329">
        <f>I329*Plan!D7/100/12</f>
        <v/>
      </c>
      <c r="K329">
        <f>MIN(Plan!E7,I329+J329)</f>
        <v/>
      </c>
      <c r="L329">
        <f>I329+J329-K329</f>
        <v/>
      </c>
      <c r="M329">
        <f>MIN(L329,MAX(0,$B329-((E$5&lt;K$5)*F329+(Q$5&lt;K$5)*R329+(W$5&lt;K$5)*X329+(AC$5&lt;K$5)*AD329+(AI$5&lt;K$5)*AJ329+(AO$5&lt;K$5)*AP329+(AU$5&lt;K$5)*AV329)))</f>
        <v/>
      </c>
      <c r="N329">
        <f>IF(L329-M329&lt;0.005,0,L329-M329)</f>
        <v/>
      </c>
      <c r="O329">
        <f>T328</f>
        <v/>
      </c>
      <c r="P329">
        <f>O329*Plan!D8/100/12</f>
        <v/>
      </c>
      <c r="Q329">
        <f>MIN(Plan!E8,O329+P329)</f>
        <v/>
      </c>
      <c r="R329">
        <f>O329+P329-Q329</f>
        <v/>
      </c>
      <c r="S329">
        <f>MIN(R329,MAX(0,$B329-((E$5&lt;Q$5)*F329+(K$5&lt;Q$5)*L329+(W$5&lt;Q$5)*X329+(AC$5&lt;Q$5)*AD329+(AI$5&lt;Q$5)*AJ329+(AO$5&lt;Q$5)*AP329+(AU$5&lt;Q$5)*AV329)))</f>
        <v/>
      </c>
      <c r="T329">
        <f>IF(R329-S329&lt;0.005,0,R329-S329)</f>
        <v/>
      </c>
      <c r="U329">
        <f>Z328</f>
        <v/>
      </c>
      <c r="V329">
        <f>U329*Plan!D9/100/12</f>
        <v/>
      </c>
      <c r="W329">
        <f>MIN(Plan!E9,U329+V329)</f>
        <v/>
      </c>
      <c r="X329">
        <f>U329+V329-W329</f>
        <v/>
      </c>
      <c r="Y329">
        <f>MIN(X329,MAX(0,$B329-((E$5&lt;W$5)*F329+(K$5&lt;W$5)*L329+(Q$5&lt;W$5)*R329+(AC$5&lt;W$5)*AD329+(AI$5&lt;W$5)*AJ329+(AO$5&lt;W$5)*AP329+(AU$5&lt;W$5)*AV329)))</f>
        <v/>
      </c>
      <c r="Z329">
        <f>IF(X329-Y329&lt;0.005,0,X329-Y329)</f>
        <v/>
      </c>
      <c r="AA329">
        <f>AF328</f>
        <v/>
      </c>
      <c r="AB329">
        <f>AA329*Plan!D10/100/12</f>
        <v/>
      </c>
      <c r="AC329">
        <f>MIN(Plan!E10,AA329+AB329)</f>
        <v/>
      </c>
      <c r="AD329">
        <f>AA329+AB329-AC329</f>
        <v/>
      </c>
      <c r="AE329">
        <f>MIN(AD329,MAX(0,$B329-((E$5&lt;AC$5)*F329+(K$5&lt;AC$5)*L329+(Q$5&lt;AC$5)*R329+(W$5&lt;AC$5)*X329+(AI$5&lt;AC$5)*AJ329+(AO$5&lt;AC$5)*AP329+(AU$5&lt;AC$5)*AV329)))</f>
        <v/>
      </c>
      <c r="AF329">
        <f>IF(AD329-AE329&lt;0.005,0,AD329-AE329)</f>
        <v/>
      </c>
      <c r="AG329">
        <f>AL328</f>
        <v/>
      </c>
      <c r="AH329">
        <f>AG329*Plan!D11/100/12</f>
        <v/>
      </c>
      <c r="AI329">
        <f>MIN(Plan!E11,AG329+AH329)</f>
        <v/>
      </c>
      <c r="AJ329">
        <f>AG329+AH329-AI329</f>
        <v/>
      </c>
      <c r="AK329">
        <f>MIN(AJ329,MAX(0,$B329-((E$5&lt;AI$5)*F329+(K$5&lt;AI$5)*L329+(Q$5&lt;AI$5)*R329+(W$5&lt;AI$5)*X329+(AC$5&lt;AI$5)*AD329+(AO$5&lt;AI$5)*AP329+(AU$5&lt;AI$5)*AV329)))</f>
        <v/>
      </c>
      <c r="AL329">
        <f>IF(AJ329-AK329&lt;0.005,0,AJ329-AK329)</f>
        <v/>
      </c>
      <c r="AM329">
        <f>AR328</f>
        <v/>
      </c>
      <c r="AN329">
        <f>AM329*Plan!D12/100/12</f>
        <v/>
      </c>
      <c r="AO329">
        <f>MIN(Plan!E12,AM329+AN329)</f>
        <v/>
      </c>
      <c r="AP329">
        <f>AM329+AN329-AO329</f>
        <v/>
      </c>
      <c r="AQ329">
        <f>MIN(AP329,MAX(0,$B329-((E$5&lt;AO$5)*F329+(K$5&lt;AO$5)*L329+(Q$5&lt;AO$5)*R329+(W$5&lt;AO$5)*X329+(AC$5&lt;AO$5)*AD329+(AI$5&lt;AO$5)*AJ329+(AU$5&lt;AO$5)*AV329)))</f>
        <v/>
      </c>
      <c r="AR329">
        <f>IF(AP329-AQ329&lt;0.005,0,AP329-AQ329)</f>
        <v/>
      </c>
      <c r="AS329">
        <f>AX328</f>
        <v/>
      </c>
      <c r="AT329">
        <f>AS329*Plan!D13/100/12</f>
        <v/>
      </c>
      <c r="AU329">
        <f>MIN(Plan!E13,AS329+AT329)</f>
        <v/>
      </c>
      <c r="AV329">
        <f>AS329+AT329-AU329</f>
        <v/>
      </c>
      <c r="AW329">
        <f>MIN(AV329,MAX(0,$B329-((E$5&lt;AU$5)*F329+(K$5&lt;AU$5)*L329+(Q$5&lt;AU$5)*R329+(W$5&lt;AU$5)*X329+(AC$5&lt;AU$5)*AD329+(AI$5&lt;AU$5)*AJ329+(AO$5&lt;AU$5)*AP329)))</f>
        <v/>
      </c>
      <c r="AX329">
        <f>IF(AV329-AW329&lt;0.005,0,AV329-AW329)</f>
        <v/>
      </c>
      <c r="BC329">
        <f>H329+N329+T329+Z329+AF329+AL329+AR329+AX329</f>
        <v/>
      </c>
    </row>
    <row r="330">
      <c r="A330" t="n">
        <v>324</v>
      </c>
      <c r="B330" s="19">
        <f>MAX(0,$B$3-(E330+K330+Q330+W330+AC330+AI330+AO330+AU330))</f>
        <v/>
      </c>
      <c r="C330">
        <f>H329</f>
        <v/>
      </c>
      <c r="D330">
        <f>C330*Plan!D6/100/12</f>
        <v/>
      </c>
      <c r="E330">
        <f>MIN(Plan!E6,C330+D330)</f>
        <v/>
      </c>
      <c r="F330">
        <f>C330+D330-E330</f>
        <v/>
      </c>
      <c r="G330">
        <f>MIN(F330,MAX(0,$B330-((K$5&lt;E$5)*L330+(Q$5&lt;E$5)*R330+(W$5&lt;E$5)*X330+(AC$5&lt;E$5)*AD330+(AI$5&lt;E$5)*AJ330+(AO$5&lt;E$5)*AP330+(AU$5&lt;E$5)*AV330)))</f>
        <v/>
      </c>
      <c r="H330">
        <f>IF(F330-G330&lt;0.005,0,F330-G330)</f>
        <v/>
      </c>
      <c r="I330">
        <f>N329</f>
        <v/>
      </c>
      <c r="J330">
        <f>I330*Plan!D7/100/12</f>
        <v/>
      </c>
      <c r="K330">
        <f>MIN(Plan!E7,I330+J330)</f>
        <v/>
      </c>
      <c r="L330">
        <f>I330+J330-K330</f>
        <v/>
      </c>
      <c r="M330">
        <f>MIN(L330,MAX(0,$B330-((E$5&lt;K$5)*F330+(Q$5&lt;K$5)*R330+(W$5&lt;K$5)*X330+(AC$5&lt;K$5)*AD330+(AI$5&lt;K$5)*AJ330+(AO$5&lt;K$5)*AP330+(AU$5&lt;K$5)*AV330)))</f>
        <v/>
      </c>
      <c r="N330">
        <f>IF(L330-M330&lt;0.005,0,L330-M330)</f>
        <v/>
      </c>
      <c r="O330">
        <f>T329</f>
        <v/>
      </c>
      <c r="P330">
        <f>O330*Plan!D8/100/12</f>
        <v/>
      </c>
      <c r="Q330">
        <f>MIN(Plan!E8,O330+P330)</f>
        <v/>
      </c>
      <c r="R330">
        <f>O330+P330-Q330</f>
        <v/>
      </c>
      <c r="S330">
        <f>MIN(R330,MAX(0,$B330-((E$5&lt;Q$5)*F330+(K$5&lt;Q$5)*L330+(W$5&lt;Q$5)*X330+(AC$5&lt;Q$5)*AD330+(AI$5&lt;Q$5)*AJ330+(AO$5&lt;Q$5)*AP330+(AU$5&lt;Q$5)*AV330)))</f>
        <v/>
      </c>
      <c r="T330">
        <f>IF(R330-S330&lt;0.005,0,R330-S330)</f>
        <v/>
      </c>
      <c r="U330">
        <f>Z329</f>
        <v/>
      </c>
      <c r="V330">
        <f>U330*Plan!D9/100/12</f>
        <v/>
      </c>
      <c r="W330">
        <f>MIN(Plan!E9,U330+V330)</f>
        <v/>
      </c>
      <c r="X330">
        <f>U330+V330-W330</f>
        <v/>
      </c>
      <c r="Y330">
        <f>MIN(X330,MAX(0,$B330-((E$5&lt;W$5)*F330+(K$5&lt;W$5)*L330+(Q$5&lt;W$5)*R330+(AC$5&lt;W$5)*AD330+(AI$5&lt;W$5)*AJ330+(AO$5&lt;W$5)*AP330+(AU$5&lt;W$5)*AV330)))</f>
        <v/>
      </c>
      <c r="Z330">
        <f>IF(X330-Y330&lt;0.005,0,X330-Y330)</f>
        <v/>
      </c>
      <c r="AA330">
        <f>AF329</f>
        <v/>
      </c>
      <c r="AB330">
        <f>AA330*Plan!D10/100/12</f>
        <v/>
      </c>
      <c r="AC330">
        <f>MIN(Plan!E10,AA330+AB330)</f>
        <v/>
      </c>
      <c r="AD330">
        <f>AA330+AB330-AC330</f>
        <v/>
      </c>
      <c r="AE330">
        <f>MIN(AD330,MAX(0,$B330-((E$5&lt;AC$5)*F330+(K$5&lt;AC$5)*L330+(Q$5&lt;AC$5)*R330+(W$5&lt;AC$5)*X330+(AI$5&lt;AC$5)*AJ330+(AO$5&lt;AC$5)*AP330+(AU$5&lt;AC$5)*AV330)))</f>
        <v/>
      </c>
      <c r="AF330">
        <f>IF(AD330-AE330&lt;0.005,0,AD330-AE330)</f>
        <v/>
      </c>
      <c r="AG330">
        <f>AL329</f>
        <v/>
      </c>
      <c r="AH330">
        <f>AG330*Plan!D11/100/12</f>
        <v/>
      </c>
      <c r="AI330">
        <f>MIN(Plan!E11,AG330+AH330)</f>
        <v/>
      </c>
      <c r="AJ330">
        <f>AG330+AH330-AI330</f>
        <v/>
      </c>
      <c r="AK330">
        <f>MIN(AJ330,MAX(0,$B330-((E$5&lt;AI$5)*F330+(K$5&lt;AI$5)*L330+(Q$5&lt;AI$5)*R330+(W$5&lt;AI$5)*X330+(AC$5&lt;AI$5)*AD330+(AO$5&lt;AI$5)*AP330+(AU$5&lt;AI$5)*AV330)))</f>
        <v/>
      </c>
      <c r="AL330">
        <f>IF(AJ330-AK330&lt;0.005,0,AJ330-AK330)</f>
        <v/>
      </c>
      <c r="AM330">
        <f>AR329</f>
        <v/>
      </c>
      <c r="AN330">
        <f>AM330*Plan!D12/100/12</f>
        <v/>
      </c>
      <c r="AO330">
        <f>MIN(Plan!E12,AM330+AN330)</f>
        <v/>
      </c>
      <c r="AP330">
        <f>AM330+AN330-AO330</f>
        <v/>
      </c>
      <c r="AQ330">
        <f>MIN(AP330,MAX(0,$B330-((E$5&lt;AO$5)*F330+(K$5&lt;AO$5)*L330+(Q$5&lt;AO$5)*R330+(W$5&lt;AO$5)*X330+(AC$5&lt;AO$5)*AD330+(AI$5&lt;AO$5)*AJ330+(AU$5&lt;AO$5)*AV330)))</f>
        <v/>
      </c>
      <c r="AR330">
        <f>IF(AP330-AQ330&lt;0.005,0,AP330-AQ330)</f>
        <v/>
      </c>
      <c r="AS330">
        <f>AX329</f>
        <v/>
      </c>
      <c r="AT330">
        <f>AS330*Plan!D13/100/12</f>
        <v/>
      </c>
      <c r="AU330">
        <f>MIN(Plan!E13,AS330+AT330)</f>
        <v/>
      </c>
      <c r="AV330">
        <f>AS330+AT330-AU330</f>
        <v/>
      </c>
      <c r="AW330">
        <f>MIN(AV330,MAX(0,$B330-((E$5&lt;AU$5)*F330+(K$5&lt;AU$5)*L330+(Q$5&lt;AU$5)*R330+(W$5&lt;AU$5)*X330+(AC$5&lt;AU$5)*AD330+(AI$5&lt;AU$5)*AJ330+(AO$5&lt;AU$5)*AP330)))</f>
        <v/>
      </c>
      <c r="AX330">
        <f>IF(AV330-AW330&lt;0.005,0,AV330-AW330)</f>
        <v/>
      </c>
      <c r="BC330">
        <f>H330+N330+T330+Z330+AF330+AL330+AR330+AX330</f>
        <v/>
      </c>
    </row>
    <row r="331">
      <c r="A331" t="n">
        <v>325</v>
      </c>
      <c r="B331" s="19">
        <f>MAX(0,$B$3-(E331+K331+Q331+W331+AC331+AI331+AO331+AU331))</f>
        <v/>
      </c>
      <c r="C331">
        <f>H330</f>
        <v/>
      </c>
      <c r="D331">
        <f>C331*Plan!D6/100/12</f>
        <v/>
      </c>
      <c r="E331">
        <f>MIN(Plan!E6,C331+D331)</f>
        <v/>
      </c>
      <c r="F331">
        <f>C331+D331-E331</f>
        <v/>
      </c>
      <c r="G331">
        <f>MIN(F331,MAX(0,$B331-((K$5&lt;E$5)*L331+(Q$5&lt;E$5)*R331+(W$5&lt;E$5)*X331+(AC$5&lt;E$5)*AD331+(AI$5&lt;E$5)*AJ331+(AO$5&lt;E$5)*AP331+(AU$5&lt;E$5)*AV331)))</f>
        <v/>
      </c>
      <c r="H331">
        <f>IF(F331-G331&lt;0.005,0,F331-G331)</f>
        <v/>
      </c>
      <c r="I331">
        <f>N330</f>
        <v/>
      </c>
      <c r="J331">
        <f>I331*Plan!D7/100/12</f>
        <v/>
      </c>
      <c r="K331">
        <f>MIN(Plan!E7,I331+J331)</f>
        <v/>
      </c>
      <c r="L331">
        <f>I331+J331-K331</f>
        <v/>
      </c>
      <c r="M331">
        <f>MIN(L331,MAX(0,$B331-((E$5&lt;K$5)*F331+(Q$5&lt;K$5)*R331+(W$5&lt;K$5)*X331+(AC$5&lt;K$5)*AD331+(AI$5&lt;K$5)*AJ331+(AO$5&lt;K$5)*AP331+(AU$5&lt;K$5)*AV331)))</f>
        <v/>
      </c>
      <c r="N331">
        <f>IF(L331-M331&lt;0.005,0,L331-M331)</f>
        <v/>
      </c>
      <c r="O331">
        <f>T330</f>
        <v/>
      </c>
      <c r="P331">
        <f>O331*Plan!D8/100/12</f>
        <v/>
      </c>
      <c r="Q331">
        <f>MIN(Plan!E8,O331+P331)</f>
        <v/>
      </c>
      <c r="R331">
        <f>O331+P331-Q331</f>
        <v/>
      </c>
      <c r="S331">
        <f>MIN(R331,MAX(0,$B331-((E$5&lt;Q$5)*F331+(K$5&lt;Q$5)*L331+(W$5&lt;Q$5)*X331+(AC$5&lt;Q$5)*AD331+(AI$5&lt;Q$5)*AJ331+(AO$5&lt;Q$5)*AP331+(AU$5&lt;Q$5)*AV331)))</f>
        <v/>
      </c>
      <c r="T331">
        <f>IF(R331-S331&lt;0.005,0,R331-S331)</f>
        <v/>
      </c>
      <c r="U331">
        <f>Z330</f>
        <v/>
      </c>
      <c r="V331">
        <f>U331*Plan!D9/100/12</f>
        <v/>
      </c>
      <c r="W331">
        <f>MIN(Plan!E9,U331+V331)</f>
        <v/>
      </c>
      <c r="X331">
        <f>U331+V331-W331</f>
        <v/>
      </c>
      <c r="Y331">
        <f>MIN(X331,MAX(0,$B331-((E$5&lt;W$5)*F331+(K$5&lt;W$5)*L331+(Q$5&lt;W$5)*R331+(AC$5&lt;W$5)*AD331+(AI$5&lt;W$5)*AJ331+(AO$5&lt;W$5)*AP331+(AU$5&lt;W$5)*AV331)))</f>
        <v/>
      </c>
      <c r="Z331">
        <f>IF(X331-Y331&lt;0.005,0,X331-Y331)</f>
        <v/>
      </c>
      <c r="AA331">
        <f>AF330</f>
        <v/>
      </c>
      <c r="AB331">
        <f>AA331*Plan!D10/100/12</f>
        <v/>
      </c>
      <c r="AC331">
        <f>MIN(Plan!E10,AA331+AB331)</f>
        <v/>
      </c>
      <c r="AD331">
        <f>AA331+AB331-AC331</f>
        <v/>
      </c>
      <c r="AE331">
        <f>MIN(AD331,MAX(0,$B331-((E$5&lt;AC$5)*F331+(K$5&lt;AC$5)*L331+(Q$5&lt;AC$5)*R331+(W$5&lt;AC$5)*X331+(AI$5&lt;AC$5)*AJ331+(AO$5&lt;AC$5)*AP331+(AU$5&lt;AC$5)*AV331)))</f>
        <v/>
      </c>
      <c r="AF331">
        <f>IF(AD331-AE331&lt;0.005,0,AD331-AE331)</f>
        <v/>
      </c>
      <c r="AG331">
        <f>AL330</f>
        <v/>
      </c>
      <c r="AH331">
        <f>AG331*Plan!D11/100/12</f>
        <v/>
      </c>
      <c r="AI331">
        <f>MIN(Plan!E11,AG331+AH331)</f>
        <v/>
      </c>
      <c r="AJ331">
        <f>AG331+AH331-AI331</f>
        <v/>
      </c>
      <c r="AK331">
        <f>MIN(AJ331,MAX(0,$B331-((E$5&lt;AI$5)*F331+(K$5&lt;AI$5)*L331+(Q$5&lt;AI$5)*R331+(W$5&lt;AI$5)*X331+(AC$5&lt;AI$5)*AD331+(AO$5&lt;AI$5)*AP331+(AU$5&lt;AI$5)*AV331)))</f>
        <v/>
      </c>
      <c r="AL331">
        <f>IF(AJ331-AK331&lt;0.005,0,AJ331-AK331)</f>
        <v/>
      </c>
      <c r="AM331">
        <f>AR330</f>
        <v/>
      </c>
      <c r="AN331">
        <f>AM331*Plan!D12/100/12</f>
        <v/>
      </c>
      <c r="AO331">
        <f>MIN(Plan!E12,AM331+AN331)</f>
        <v/>
      </c>
      <c r="AP331">
        <f>AM331+AN331-AO331</f>
        <v/>
      </c>
      <c r="AQ331">
        <f>MIN(AP331,MAX(0,$B331-((E$5&lt;AO$5)*F331+(K$5&lt;AO$5)*L331+(Q$5&lt;AO$5)*R331+(W$5&lt;AO$5)*X331+(AC$5&lt;AO$5)*AD331+(AI$5&lt;AO$5)*AJ331+(AU$5&lt;AO$5)*AV331)))</f>
        <v/>
      </c>
      <c r="AR331">
        <f>IF(AP331-AQ331&lt;0.005,0,AP331-AQ331)</f>
        <v/>
      </c>
      <c r="AS331">
        <f>AX330</f>
        <v/>
      </c>
      <c r="AT331">
        <f>AS331*Plan!D13/100/12</f>
        <v/>
      </c>
      <c r="AU331">
        <f>MIN(Plan!E13,AS331+AT331)</f>
        <v/>
      </c>
      <c r="AV331">
        <f>AS331+AT331-AU331</f>
        <v/>
      </c>
      <c r="AW331">
        <f>MIN(AV331,MAX(0,$B331-((E$5&lt;AU$5)*F331+(K$5&lt;AU$5)*L331+(Q$5&lt;AU$5)*R331+(W$5&lt;AU$5)*X331+(AC$5&lt;AU$5)*AD331+(AI$5&lt;AU$5)*AJ331+(AO$5&lt;AU$5)*AP331)))</f>
        <v/>
      </c>
      <c r="AX331">
        <f>IF(AV331-AW331&lt;0.005,0,AV331-AW331)</f>
        <v/>
      </c>
      <c r="BC331">
        <f>H331+N331+T331+Z331+AF331+AL331+AR331+AX331</f>
        <v/>
      </c>
    </row>
    <row r="332">
      <c r="A332" t="n">
        <v>326</v>
      </c>
      <c r="B332" s="19">
        <f>MAX(0,$B$3-(E332+K332+Q332+W332+AC332+AI332+AO332+AU332))</f>
        <v/>
      </c>
      <c r="C332">
        <f>H331</f>
        <v/>
      </c>
      <c r="D332">
        <f>C332*Plan!D6/100/12</f>
        <v/>
      </c>
      <c r="E332">
        <f>MIN(Plan!E6,C332+D332)</f>
        <v/>
      </c>
      <c r="F332">
        <f>C332+D332-E332</f>
        <v/>
      </c>
      <c r="G332">
        <f>MIN(F332,MAX(0,$B332-((K$5&lt;E$5)*L332+(Q$5&lt;E$5)*R332+(W$5&lt;E$5)*X332+(AC$5&lt;E$5)*AD332+(AI$5&lt;E$5)*AJ332+(AO$5&lt;E$5)*AP332+(AU$5&lt;E$5)*AV332)))</f>
        <v/>
      </c>
      <c r="H332">
        <f>IF(F332-G332&lt;0.005,0,F332-G332)</f>
        <v/>
      </c>
      <c r="I332">
        <f>N331</f>
        <v/>
      </c>
      <c r="J332">
        <f>I332*Plan!D7/100/12</f>
        <v/>
      </c>
      <c r="K332">
        <f>MIN(Plan!E7,I332+J332)</f>
        <v/>
      </c>
      <c r="L332">
        <f>I332+J332-K332</f>
        <v/>
      </c>
      <c r="M332">
        <f>MIN(L332,MAX(0,$B332-((E$5&lt;K$5)*F332+(Q$5&lt;K$5)*R332+(W$5&lt;K$5)*X332+(AC$5&lt;K$5)*AD332+(AI$5&lt;K$5)*AJ332+(AO$5&lt;K$5)*AP332+(AU$5&lt;K$5)*AV332)))</f>
        <v/>
      </c>
      <c r="N332">
        <f>IF(L332-M332&lt;0.005,0,L332-M332)</f>
        <v/>
      </c>
      <c r="O332">
        <f>T331</f>
        <v/>
      </c>
      <c r="P332">
        <f>O332*Plan!D8/100/12</f>
        <v/>
      </c>
      <c r="Q332">
        <f>MIN(Plan!E8,O332+P332)</f>
        <v/>
      </c>
      <c r="R332">
        <f>O332+P332-Q332</f>
        <v/>
      </c>
      <c r="S332">
        <f>MIN(R332,MAX(0,$B332-((E$5&lt;Q$5)*F332+(K$5&lt;Q$5)*L332+(W$5&lt;Q$5)*X332+(AC$5&lt;Q$5)*AD332+(AI$5&lt;Q$5)*AJ332+(AO$5&lt;Q$5)*AP332+(AU$5&lt;Q$5)*AV332)))</f>
        <v/>
      </c>
      <c r="T332">
        <f>IF(R332-S332&lt;0.005,0,R332-S332)</f>
        <v/>
      </c>
      <c r="U332">
        <f>Z331</f>
        <v/>
      </c>
      <c r="V332">
        <f>U332*Plan!D9/100/12</f>
        <v/>
      </c>
      <c r="W332">
        <f>MIN(Plan!E9,U332+V332)</f>
        <v/>
      </c>
      <c r="X332">
        <f>U332+V332-W332</f>
        <v/>
      </c>
      <c r="Y332">
        <f>MIN(X332,MAX(0,$B332-((E$5&lt;W$5)*F332+(K$5&lt;W$5)*L332+(Q$5&lt;W$5)*R332+(AC$5&lt;W$5)*AD332+(AI$5&lt;W$5)*AJ332+(AO$5&lt;W$5)*AP332+(AU$5&lt;W$5)*AV332)))</f>
        <v/>
      </c>
      <c r="Z332">
        <f>IF(X332-Y332&lt;0.005,0,X332-Y332)</f>
        <v/>
      </c>
      <c r="AA332">
        <f>AF331</f>
        <v/>
      </c>
      <c r="AB332">
        <f>AA332*Plan!D10/100/12</f>
        <v/>
      </c>
      <c r="AC332">
        <f>MIN(Plan!E10,AA332+AB332)</f>
        <v/>
      </c>
      <c r="AD332">
        <f>AA332+AB332-AC332</f>
        <v/>
      </c>
      <c r="AE332">
        <f>MIN(AD332,MAX(0,$B332-((E$5&lt;AC$5)*F332+(K$5&lt;AC$5)*L332+(Q$5&lt;AC$5)*R332+(W$5&lt;AC$5)*X332+(AI$5&lt;AC$5)*AJ332+(AO$5&lt;AC$5)*AP332+(AU$5&lt;AC$5)*AV332)))</f>
        <v/>
      </c>
      <c r="AF332">
        <f>IF(AD332-AE332&lt;0.005,0,AD332-AE332)</f>
        <v/>
      </c>
      <c r="AG332">
        <f>AL331</f>
        <v/>
      </c>
      <c r="AH332">
        <f>AG332*Plan!D11/100/12</f>
        <v/>
      </c>
      <c r="AI332">
        <f>MIN(Plan!E11,AG332+AH332)</f>
        <v/>
      </c>
      <c r="AJ332">
        <f>AG332+AH332-AI332</f>
        <v/>
      </c>
      <c r="AK332">
        <f>MIN(AJ332,MAX(0,$B332-((E$5&lt;AI$5)*F332+(K$5&lt;AI$5)*L332+(Q$5&lt;AI$5)*R332+(W$5&lt;AI$5)*X332+(AC$5&lt;AI$5)*AD332+(AO$5&lt;AI$5)*AP332+(AU$5&lt;AI$5)*AV332)))</f>
        <v/>
      </c>
      <c r="AL332">
        <f>IF(AJ332-AK332&lt;0.005,0,AJ332-AK332)</f>
        <v/>
      </c>
      <c r="AM332">
        <f>AR331</f>
        <v/>
      </c>
      <c r="AN332">
        <f>AM332*Plan!D12/100/12</f>
        <v/>
      </c>
      <c r="AO332">
        <f>MIN(Plan!E12,AM332+AN332)</f>
        <v/>
      </c>
      <c r="AP332">
        <f>AM332+AN332-AO332</f>
        <v/>
      </c>
      <c r="AQ332">
        <f>MIN(AP332,MAX(0,$B332-((E$5&lt;AO$5)*F332+(K$5&lt;AO$5)*L332+(Q$5&lt;AO$5)*R332+(W$5&lt;AO$5)*X332+(AC$5&lt;AO$5)*AD332+(AI$5&lt;AO$5)*AJ332+(AU$5&lt;AO$5)*AV332)))</f>
        <v/>
      </c>
      <c r="AR332">
        <f>IF(AP332-AQ332&lt;0.005,0,AP332-AQ332)</f>
        <v/>
      </c>
      <c r="AS332">
        <f>AX331</f>
        <v/>
      </c>
      <c r="AT332">
        <f>AS332*Plan!D13/100/12</f>
        <v/>
      </c>
      <c r="AU332">
        <f>MIN(Plan!E13,AS332+AT332)</f>
        <v/>
      </c>
      <c r="AV332">
        <f>AS332+AT332-AU332</f>
        <v/>
      </c>
      <c r="AW332">
        <f>MIN(AV332,MAX(0,$B332-((E$5&lt;AU$5)*F332+(K$5&lt;AU$5)*L332+(Q$5&lt;AU$5)*R332+(W$5&lt;AU$5)*X332+(AC$5&lt;AU$5)*AD332+(AI$5&lt;AU$5)*AJ332+(AO$5&lt;AU$5)*AP332)))</f>
        <v/>
      </c>
      <c r="AX332">
        <f>IF(AV332-AW332&lt;0.005,0,AV332-AW332)</f>
        <v/>
      </c>
      <c r="BC332">
        <f>H332+N332+T332+Z332+AF332+AL332+AR332+AX332</f>
        <v/>
      </c>
    </row>
    <row r="333">
      <c r="A333" t="n">
        <v>327</v>
      </c>
      <c r="B333" s="19">
        <f>MAX(0,$B$3-(E333+K333+Q333+W333+AC333+AI333+AO333+AU333))</f>
        <v/>
      </c>
      <c r="C333">
        <f>H332</f>
        <v/>
      </c>
      <c r="D333">
        <f>C333*Plan!D6/100/12</f>
        <v/>
      </c>
      <c r="E333">
        <f>MIN(Plan!E6,C333+D333)</f>
        <v/>
      </c>
      <c r="F333">
        <f>C333+D333-E333</f>
        <v/>
      </c>
      <c r="G333">
        <f>MIN(F333,MAX(0,$B333-((K$5&lt;E$5)*L333+(Q$5&lt;E$5)*R333+(W$5&lt;E$5)*X333+(AC$5&lt;E$5)*AD333+(AI$5&lt;E$5)*AJ333+(AO$5&lt;E$5)*AP333+(AU$5&lt;E$5)*AV333)))</f>
        <v/>
      </c>
      <c r="H333">
        <f>IF(F333-G333&lt;0.005,0,F333-G333)</f>
        <v/>
      </c>
      <c r="I333">
        <f>N332</f>
        <v/>
      </c>
      <c r="J333">
        <f>I333*Plan!D7/100/12</f>
        <v/>
      </c>
      <c r="K333">
        <f>MIN(Plan!E7,I333+J333)</f>
        <v/>
      </c>
      <c r="L333">
        <f>I333+J333-K333</f>
        <v/>
      </c>
      <c r="M333">
        <f>MIN(L333,MAX(0,$B333-((E$5&lt;K$5)*F333+(Q$5&lt;K$5)*R333+(W$5&lt;K$5)*X333+(AC$5&lt;K$5)*AD333+(AI$5&lt;K$5)*AJ333+(AO$5&lt;K$5)*AP333+(AU$5&lt;K$5)*AV333)))</f>
        <v/>
      </c>
      <c r="N333">
        <f>IF(L333-M333&lt;0.005,0,L333-M333)</f>
        <v/>
      </c>
      <c r="O333">
        <f>T332</f>
        <v/>
      </c>
      <c r="P333">
        <f>O333*Plan!D8/100/12</f>
        <v/>
      </c>
      <c r="Q333">
        <f>MIN(Plan!E8,O333+P333)</f>
        <v/>
      </c>
      <c r="R333">
        <f>O333+P333-Q333</f>
        <v/>
      </c>
      <c r="S333">
        <f>MIN(R333,MAX(0,$B333-((E$5&lt;Q$5)*F333+(K$5&lt;Q$5)*L333+(W$5&lt;Q$5)*X333+(AC$5&lt;Q$5)*AD333+(AI$5&lt;Q$5)*AJ333+(AO$5&lt;Q$5)*AP333+(AU$5&lt;Q$5)*AV333)))</f>
        <v/>
      </c>
      <c r="T333">
        <f>IF(R333-S333&lt;0.005,0,R333-S333)</f>
        <v/>
      </c>
      <c r="U333">
        <f>Z332</f>
        <v/>
      </c>
      <c r="V333">
        <f>U333*Plan!D9/100/12</f>
        <v/>
      </c>
      <c r="W333">
        <f>MIN(Plan!E9,U333+V333)</f>
        <v/>
      </c>
      <c r="X333">
        <f>U333+V333-W333</f>
        <v/>
      </c>
      <c r="Y333">
        <f>MIN(X333,MAX(0,$B333-((E$5&lt;W$5)*F333+(K$5&lt;W$5)*L333+(Q$5&lt;W$5)*R333+(AC$5&lt;W$5)*AD333+(AI$5&lt;W$5)*AJ333+(AO$5&lt;W$5)*AP333+(AU$5&lt;W$5)*AV333)))</f>
        <v/>
      </c>
      <c r="Z333">
        <f>IF(X333-Y333&lt;0.005,0,X333-Y333)</f>
        <v/>
      </c>
      <c r="AA333">
        <f>AF332</f>
        <v/>
      </c>
      <c r="AB333">
        <f>AA333*Plan!D10/100/12</f>
        <v/>
      </c>
      <c r="AC333">
        <f>MIN(Plan!E10,AA333+AB333)</f>
        <v/>
      </c>
      <c r="AD333">
        <f>AA333+AB333-AC333</f>
        <v/>
      </c>
      <c r="AE333">
        <f>MIN(AD333,MAX(0,$B333-((E$5&lt;AC$5)*F333+(K$5&lt;AC$5)*L333+(Q$5&lt;AC$5)*R333+(W$5&lt;AC$5)*X333+(AI$5&lt;AC$5)*AJ333+(AO$5&lt;AC$5)*AP333+(AU$5&lt;AC$5)*AV333)))</f>
        <v/>
      </c>
      <c r="AF333">
        <f>IF(AD333-AE333&lt;0.005,0,AD333-AE333)</f>
        <v/>
      </c>
      <c r="AG333">
        <f>AL332</f>
        <v/>
      </c>
      <c r="AH333">
        <f>AG333*Plan!D11/100/12</f>
        <v/>
      </c>
      <c r="AI333">
        <f>MIN(Plan!E11,AG333+AH333)</f>
        <v/>
      </c>
      <c r="AJ333">
        <f>AG333+AH333-AI333</f>
        <v/>
      </c>
      <c r="AK333">
        <f>MIN(AJ333,MAX(0,$B333-((E$5&lt;AI$5)*F333+(K$5&lt;AI$5)*L333+(Q$5&lt;AI$5)*R333+(W$5&lt;AI$5)*X333+(AC$5&lt;AI$5)*AD333+(AO$5&lt;AI$5)*AP333+(AU$5&lt;AI$5)*AV333)))</f>
        <v/>
      </c>
      <c r="AL333">
        <f>IF(AJ333-AK333&lt;0.005,0,AJ333-AK333)</f>
        <v/>
      </c>
      <c r="AM333">
        <f>AR332</f>
        <v/>
      </c>
      <c r="AN333">
        <f>AM333*Plan!D12/100/12</f>
        <v/>
      </c>
      <c r="AO333">
        <f>MIN(Plan!E12,AM333+AN333)</f>
        <v/>
      </c>
      <c r="AP333">
        <f>AM333+AN333-AO333</f>
        <v/>
      </c>
      <c r="AQ333">
        <f>MIN(AP333,MAX(0,$B333-((E$5&lt;AO$5)*F333+(K$5&lt;AO$5)*L333+(Q$5&lt;AO$5)*R333+(W$5&lt;AO$5)*X333+(AC$5&lt;AO$5)*AD333+(AI$5&lt;AO$5)*AJ333+(AU$5&lt;AO$5)*AV333)))</f>
        <v/>
      </c>
      <c r="AR333">
        <f>IF(AP333-AQ333&lt;0.005,0,AP333-AQ333)</f>
        <v/>
      </c>
      <c r="AS333">
        <f>AX332</f>
        <v/>
      </c>
      <c r="AT333">
        <f>AS333*Plan!D13/100/12</f>
        <v/>
      </c>
      <c r="AU333">
        <f>MIN(Plan!E13,AS333+AT333)</f>
        <v/>
      </c>
      <c r="AV333">
        <f>AS333+AT333-AU333</f>
        <v/>
      </c>
      <c r="AW333">
        <f>MIN(AV333,MAX(0,$B333-((E$5&lt;AU$5)*F333+(K$5&lt;AU$5)*L333+(Q$5&lt;AU$5)*R333+(W$5&lt;AU$5)*X333+(AC$5&lt;AU$5)*AD333+(AI$5&lt;AU$5)*AJ333+(AO$5&lt;AU$5)*AP333)))</f>
        <v/>
      </c>
      <c r="AX333">
        <f>IF(AV333-AW333&lt;0.005,0,AV333-AW333)</f>
        <v/>
      </c>
      <c r="BC333">
        <f>H333+N333+T333+Z333+AF333+AL333+AR333+AX333</f>
        <v/>
      </c>
    </row>
    <row r="334">
      <c r="A334" t="n">
        <v>328</v>
      </c>
      <c r="B334" s="19">
        <f>MAX(0,$B$3-(E334+K334+Q334+W334+AC334+AI334+AO334+AU334))</f>
        <v/>
      </c>
      <c r="C334">
        <f>H333</f>
        <v/>
      </c>
      <c r="D334">
        <f>C334*Plan!D6/100/12</f>
        <v/>
      </c>
      <c r="E334">
        <f>MIN(Plan!E6,C334+D334)</f>
        <v/>
      </c>
      <c r="F334">
        <f>C334+D334-E334</f>
        <v/>
      </c>
      <c r="G334">
        <f>MIN(F334,MAX(0,$B334-((K$5&lt;E$5)*L334+(Q$5&lt;E$5)*R334+(W$5&lt;E$5)*X334+(AC$5&lt;E$5)*AD334+(AI$5&lt;E$5)*AJ334+(AO$5&lt;E$5)*AP334+(AU$5&lt;E$5)*AV334)))</f>
        <v/>
      </c>
      <c r="H334">
        <f>IF(F334-G334&lt;0.005,0,F334-G334)</f>
        <v/>
      </c>
      <c r="I334">
        <f>N333</f>
        <v/>
      </c>
      <c r="J334">
        <f>I334*Plan!D7/100/12</f>
        <v/>
      </c>
      <c r="K334">
        <f>MIN(Plan!E7,I334+J334)</f>
        <v/>
      </c>
      <c r="L334">
        <f>I334+J334-K334</f>
        <v/>
      </c>
      <c r="M334">
        <f>MIN(L334,MAX(0,$B334-((E$5&lt;K$5)*F334+(Q$5&lt;K$5)*R334+(W$5&lt;K$5)*X334+(AC$5&lt;K$5)*AD334+(AI$5&lt;K$5)*AJ334+(AO$5&lt;K$5)*AP334+(AU$5&lt;K$5)*AV334)))</f>
        <v/>
      </c>
      <c r="N334">
        <f>IF(L334-M334&lt;0.005,0,L334-M334)</f>
        <v/>
      </c>
      <c r="O334">
        <f>T333</f>
        <v/>
      </c>
      <c r="P334">
        <f>O334*Plan!D8/100/12</f>
        <v/>
      </c>
      <c r="Q334">
        <f>MIN(Plan!E8,O334+P334)</f>
        <v/>
      </c>
      <c r="R334">
        <f>O334+P334-Q334</f>
        <v/>
      </c>
      <c r="S334">
        <f>MIN(R334,MAX(0,$B334-((E$5&lt;Q$5)*F334+(K$5&lt;Q$5)*L334+(W$5&lt;Q$5)*X334+(AC$5&lt;Q$5)*AD334+(AI$5&lt;Q$5)*AJ334+(AO$5&lt;Q$5)*AP334+(AU$5&lt;Q$5)*AV334)))</f>
        <v/>
      </c>
      <c r="T334">
        <f>IF(R334-S334&lt;0.005,0,R334-S334)</f>
        <v/>
      </c>
      <c r="U334">
        <f>Z333</f>
        <v/>
      </c>
      <c r="V334">
        <f>U334*Plan!D9/100/12</f>
        <v/>
      </c>
      <c r="W334">
        <f>MIN(Plan!E9,U334+V334)</f>
        <v/>
      </c>
      <c r="X334">
        <f>U334+V334-W334</f>
        <v/>
      </c>
      <c r="Y334">
        <f>MIN(X334,MAX(0,$B334-((E$5&lt;W$5)*F334+(K$5&lt;W$5)*L334+(Q$5&lt;W$5)*R334+(AC$5&lt;W$5)*AD334+(AI$5&lt;W$5)*AJ334+(AO$5&lt;W$5)*AP334+(AU$5&lt;W$5)*AV334)))</f>
        <v/>
      </c>
      <c r="Z334">
        <f>IF(X334-Y334&lt;0.005,0,X334-Y334)</f>
        <v/>
      </c>
      <c r="AA334">
        <f>AF333</f>
        <v/>
      </c>
      <c r="AB334">
        <f>AA334*Plan!D10/100/12</f>
        <v/>
      </c>
      <c r="AC334">
        <f>MIN(Plan!E10,AA334+AB334)</f>
        <v/>
      </c>
      <c r="AD334">
        <f>AA334+AB334-AC334</f>
        <v/>
      </c>
      <c r="AE334">
        <f>MIN(AD334,MAX(0,$B334-((E$5&lt;AC$5)*F334+(K$5&lt;AC$5)*L334+(Q$5&lt;AC$5)*R334+(W$5&lt;AC$5)*X334+(AI$5&lt;AC$5)*AJ334+(AO$5&lt;AC$5)*AP334+(AU$5&lt;AC$5)*AV334)))</f>
        <v/>
      </c>
      <c r="AF334">
        <f>IF(AD334-AE334&lt;0.005,0,AD334-AE334)</f>
        <v/>
      </c>
      <c r="AG334">
        <f>AL333</f>
        <v/>
      </c>
      <c r="AH334">
        <f>AG334*Plan!D11/100/12</f>
        <v/>
      </c>
      <c r="AI334">
        <f>MIN(Plan!E11,AG334+AH334)</f>
        <v/>
      </c>
      <c r="AJ334">
        <f>AG334+AH334-AI334</f>
        <v/>
      </c>
      <c r="AK334">
        <f>MIN(AJ334,MAX(0,$B334-((E$5&lt;AI$5)*F334+(K$5&lt;AI$5)*L334+(Q$5&lt;AI$5)*R334+(W$5&lt;AI$5)*X334+(AC$5&lt;AI$5)*AD334+(AO$5&lt;AI$5)*AP334+(AU$5&lt;AI$5)*AV334)))</f>
        <v/>
      </c>
      <c r="AL334">
        <f>IF(AJ334-AK334&lt;0.005,0,AJ334-AK334)</f>
        <v/>
      </c>
      <c r="AM334">
        <f>AR333</f>
        <v/>
      </c>
      <c r="AN334">
        <f>AM334*Plan!D12/100/12</f>
        <v/>
      </c>
      <c r="AO334">
        <f>MIN(Plan!E12,AM334+AN334)</f>
        <v/>
      </c>
      <c r="AP334">
        <f>AM334+AN334-AO334</f>
        <v/>
      </c>
      <c r="AQ334">
        <f>MIN(AP334,MAX(0,$B334-((E$5&lt;AO$5)*F334+(K$5&lt;AO$5)*L334+(Q$5&lt;AO$5)*R334+(W$5&lt;AO$5)*X334+(AC$5&lt;AO$5)*AD334+(AI$5&lt;AO$5)*AJ334+(AU$5&lt;AO$5)*AV334)))</f>
        <v/>
      </c>
      <c r="AR334">
        <f>IF(AP334-AQ334&lt;0.005,0,AP334-AQ334)</f>
        <v/>
      </c>
      <c r="AS334">
        <f>AX333</f>
        <v/>
      </c>
      <c r="AT334">
        <f>AS334*Plan!D13/100/12</f>
        <v/>
      </c>
      <c r="AU334">
        <f>MIN(Plan!E13,AS334+AT334)</f>
        <v/>
      </c>
      <c r="AV334">
        <f>AS334+AT334-AU334</f>
        <v/>
      </c>
      <c r="AW334">
        <f>MIN(AV334,MAX(0,$B334-((E$5&lt;AU$5)*F334+(K$5&lt;AU$5)*L334+(Q$5&lt;AU$5)*R334+(W$5&lt;AU$5)*X334+(AC$5&lt;AU$5)*AD334+(AI$5&lt;AU$5)*AJ334+(AO$5&lt;AU$5)*AP334)))</f>
        <v/>
      </c>
      <c r="AX334">
        <f>IF(AV334-AW334&lt;0.005,0,AV334-AW334)</f>
        <v/>
      </c>
      <c r="BC334">
        <f>H334+N334+T334+Z334+AF334+AL334+AR334+AX334</f>
        <v/>
      </c>
    </row>
    <row r="335">
      <c r="A335" t="n">
        <v>329</v>
      </c>
      <c r="B335" s="19">
        <f>MAX(0,$B$3-(E335+K335+Q335+W335+AC335+AI335+AO335+AU335))</f>
        <v/>
      </c>
      <c r="C335">
        <f>H334</f>
        <v/>
      </c>
      <c r="D335">
        <f>C335*Plan!D6/100/12</f>
        <v/>
      </c>
      <c r="E335">
        <f>MIN(Plan!E6,C335+D335)</f>
        <v/>
      </c>
      <c r="F335">
        <f>C335+D335-E335</f>
        <v/>
      </c>
      <c r="G335">
        <f>MIN(F335,MAX(0,$B335-((K$5&lt;E$5)*L335+(Q$5&lt;E$5)*R335+(W$5&lt;E$5)*X335+(AC$5&lt;E$5)*AD335+(AI$5&lt;E$5)*AJ335+(AO$5&lt;E$5)*AP335+(AU$5&lt;E$5)*AV335)))</f>
        <v/>
      </c>
      <c r="H335">
        <f>IF(F335-G335&lt;0.005,0,F335-G335)</f>
        <v/>
      </c>
      <c r="I335">
        <f>N334</f>
        <v/>
      </c>
      <c r="J335">
        <f>I335*Plan!D7/100/12</f>
        <v/>
      </c>
      <c r="K335">
        <f>MIN(Plan!E7,I335+J335)</f>
        <v/>
      </c>
      <c r="L335">
        <f>I335+J335-K335</f>
        <v/>
      </c>
      <c r="M335">
        <f>MIN(L335,MAX(0,$B335-((E$5&lt;K$5)*F335+(Q$5&lt;K$5)*R335+(W$5&lt;K$5)*X335+(AC$5&lt;K$5)*AD335+(AI$5&lt;K$5)*AJ335+(AO$5&lt;K$5)*AP335+(AU$5&lt;K$5)*AV335)))</f>
        <v/>
      </c>
      <c r="N335">
        <f>IF(L335-M335&lt;0.005,0,L335-M335)</f>
        <v/>
      </c>
      <c r="O335">
        <f>T334</f>
        <v/>
      </c>
      <c r="P335">
        <f>O335*Plan!D8/100/12</f>
        <v/>
      </c>
      <c r="Q335">
        <f>MIN(Plan!E8,O335+P335)</f>
        <v/>
      </c>
      <c r="R335">
        <f>O335+P335-Q335</f>
        <v/>
      </c>
      <c r="S335">
        <f>MIN(R335,MAX(0,$B335-((E$5&lt;Q$5)*F335+(K$5&lt;Q$5)*L335+(W$5&lt;Q$5)*X335+(AC$5&lt;Q$5)*AD335+(AI$5&lt;Q$5)*AJ335+(AO$5&lt;Q$5)*AP335+(AU$5&lt;Q$5)*AV335)))</f>
        <v/>
      </c>
      <c r="T335">
        <f>IF(R335-S335&lt;0.005,0,R335-S335)</f>
        <v/>
      </c>
      <c r="U335">
        <f>Z334</f>
        <v/>
      </c>
      <c r="V335">
        <f>U335*Plan!D9/100/12</f>
        <v/>
      </c>
      <c r="W335">
        <f>MIN(Plan!E9,U335+V335)</f>
        <v/>
      </c>
      <c r="X335">
        <f>U335+V335-W335</f>
        <v/>
      </c>
      <c r="Y335">
        <f>MIN(X335,MAX(0,$B335-((E$5&lt;W$5)*F335+(K$5&lt;W$5)*L335+(Q$5&lt;W$5)*R335+(AC$5&lt;W$5)*AD335+(AI$5&lt;W$5)*AJ335+(AO$5&lt;W$5)*AP335+(AU$5&lt;W$5)*AV335)))</f>
        <v/>
      </c>
      <c r="Z335">
        <f>IF(X335-Y335&lt;0.005,0,X335-Y335)</f>
        <v/>
      </c>
      <c r="AA335">
        <f>AF334</f>
        <v/>
      </c>
      <c r="AB335">
        <f>AA335*Plan!D10/100/12</f>
        <v/>
      </c>
      <c r="AC335">
        <f>MIN(Plan!E10,AA335+AB335)</f>
        <v/>
      </c>
      <c r="AD335">
        <f>AA335+AB335-AC335</f>
        <v/>
      </c>
      <c r="AE335">
        <f>MIN(AD335,MAX(0,$B335-((E$5&lt;AC$5)*F335+(K$5&lt;AC$5)*L335+(Q$5&lt;AC$5)*R335+(W$5&lt;AC$5)*X335+(AI$5&lt;AC$5)*AJ335+(AO$5&lt;AC$5)*AP335+(AU$5&lt;AC$5)*AV335)))</f>
        <v/>
      </c>
      <c r="AF335">
        <f>IF(AD335-AE335&lt;0.005,0,AD335-AE335)</f>
        <v/>
      </c>
      <c r="AG335">
        <f>AL334</f>
        <v/>
      </c>
      <c r="AH335">
        <f>AG335*Plan!D11/100/12</f>
        <v/>
      </c>
      <c r="AI335">
        <f>MIN(Plan!E11,AG335+AH335)</f>
        <v/>
      </c>
      <c r="AJ335">
        <f>AG335+AH335-AI335</f>
        <v/>
      </c>
      <c r="AK335">
        <f>MIN(AJ335,MAX(0,$B335-((E$5&lt;AI$5)*F335+(K$5&lt;AI$5)*L335+(Q$5&lt;AI$5)*R335+(W$5&lt;AI$5)*X335+(AC$5&lt;AI$5)*AD335+(AO$5&lt;AI$5)*AP335+(AU$5&lt;AI$5)*AV335)))</f>
        <v/>
      </c>
      <c r="AL335">
        <f>IF(AJ335-AK335&lt;0.005,0,AJ335-AK335)</f>
        <v/>
      </c>
      <c r="AM335">
        <f>AR334</f>
        <v/>
      </c>
      <c r="AN335">
        <f>AM335*Plan!D12/100/12</f>
        <v/>
      </c>
      <c r="AO335">
        <f>MIN(Plan!E12,AM335+AN335)</f>
        <v/>
      </c>
      <c r="AP335">
        <f>AM335+AN335-AO335</f>
        <v/>
      </c>
      <c r="AQ335">
        <f>MIN(AP335,MAX(0,$B335-((E$5&lt;AO$5)*F335+(K$5&lt;AO$5)*L335+(Q$5&lt;AO$5)*R335+(W$5&lt;AO$5)*X335+(AC$5&lt;AO$5)*AD335+(AI$5&lt;AO$5)*AJ335+(AU$5&lt;AO$5)*AV335)))</f>
        <v/>
      </c>
      <c r="AR335">
        <f>IF(AP335-AQ335&lt;0.005,0,AP335-AQ335)</f>
        <v/>
      </c>
      <c r="AS335">
        <f>AX334</f>
        <v/>
      </c>
      <c r="AT335">
        <f>AS335*Plan!D13/100/12</f>
        <v/>
      </c>
      <c r="AU335">
        <f>MIN(Plan!E13,AS335+AT335)</f>
        <v/>
      </c>
      <c r="AV335">
        <f>AS335+AT335-AU335</f>
        <v/>
      </c>
      <c r="AW335">
        <f>MIN(AV335,MAX(0,$B335-((E$5&lt;AU$5)*F335+(K$5&lt;AU$5)*L335+(Q$5&lt;AU$5)*R335+(W$5&lt;AU$5)*X335+(AC$5&lt;AU$5)*AD335+(AI$5&lt;AU$5)*AJ335+(AO$5&lt;AU$5)*AP335)))</f>
        <v/>
      </c>
      <c r="AX335">
        <f>IF(AV335-AW335&lt;0.005,0,AV335-AW335)</f>
        <v/>
      </c>
      <c r="BC335">
        <f>H335+N335+T335+Z335+AF335+AL335+AR335+AX335</f>
        <v/>
      </c>
    </row>
    <row r="336">
      <c r="A336" t="n">
        <v>330</v>
      </c>
      <c r="B336" s="19">
        <f>MAX(0,$B$3-(E336+K336+Q336+W336+AC336+AI336+AO336+AU336))</f>
        <v/>
      </c>
      <c r="C336">
        <f>H335</f>
        <v/>
      </c>
      <c r="D336">
        <f>C336*Plan!D6/100/12</f>
        <v/>
      </c>
      <c r="E336">
        <f>MIN(Plan!E6,C336+D336)</f>
        <v/>
      </c>
      <c r="F336">
        <f>C336+D336-E336</f>
        <v/>
      </c>
      <c r="G336">
        <f>MIN(F336,MAX(0,$B336-((K$5&lt;E$5)*L336+(Q$5&lt;E$5)*R336+(W$5&lt;E$5)*X336+(AC$5&lt;E$5)*AD336+(AI$5&lt;E$5)*AJ336+(AO$5&lt;E$5)*AP336+(AU$5&lt;E$5)*AV336)))</f>
        <v/>
      </c>
      <c r="H336">
        <f>IF(F336-G336&lt;0.005,0,F336-G336)</f>
        <v/>
      </c>
      <c r="I336">
        <f>N335</f>
        <v/>
      </c>
      <c r="J336">
        <f>I336*Plan!D7/100/12</f>
        <v/>
      </c>
      <c r="K336">
        <f>MIN(Plan!E7,I336+J336)</f>
        <v/>
      </c>
      <c r="L336">
        <f>I336+J336-K336</f>
        <v/>
      </c>
      <c r="M336">
        <f>MIN(L336,MAX(0,$B336-((E$5&lt;K$5)*F336+(Q$5&lt;K$5)*R336+(W$5&lt;K$5)*X336+(AC$5&lt;K$5)*AD336+(AI$5&lt;K$5)*AJ336+(AO$5&lt;K$5)*AP336+(AU$5&lt;K$5)*AV336)))</f>
        <v/>
      </c>
      <c r="N336">
        <f>IF(L336-M336&lt;0.005,0,L336-M336)</f>
        <v/>
      </c>
      <c r="O336">
        <f>T335</f>
        <v/>
      </c>
      <c r="P336">
        <f>O336*Plan!D8/100/12</f>
        <v/>
      </c>
      <c r="Q336">
        <f>MIN(Plan!E8,O336+P336)</f>
        <v/>
      </c>
      <c r="R336">
        <f>O336+P336-Q336</f>
        <v/>
      </c>
      <c r="S336">
        <f>MIN(R336,MAX(0,$B336-((E$5&lt;Q$5)*F336+(K$5&lt;Q$5)*L336+(W$5&lt;Q$5)*X336+(AC$5&lt;Q$5)*AD336+(AI$5&lt;Q$5)*AJ336+(AO$5&lt;Q$5)*AP336+(AU$5&lt;Q$5)*AV336)))</f>
        <v/>
      </c>
      <c r="T336">
        <f>IF(R336-S336&lt;0.005,0,R336-S336)</f>
        <v/>
      </c>
      <c r="U336">
        <f>Z335</f>
        <v/>
      </c>
      <c r="V336">
        <f>U336*Plan!D9/100/12</f>
        <v/>
      </c>
      <c r="W336">
        <f>MIN(Plan!E9,U336+V336)</f>
        <v/>
      </c>
      <c r="X336">
        <f>U336+V336-W336</f>
        <v/>
      </c>
      <c r="Y336">
        <f>MIN(X336,MAX(0,$B336-((E$5&lt;W$5)*F336+(K$5&lt;W$5)*L336+(Q$5&lt;W$5)*R336+(AC$5&lt;W$5)*AD336+(AI$5&lt;W$5)*AJ336+(AO$5&lt;W$5)*AP336+(AU$5&lt;W$5)*AV336)))</f>
        <v/>
      </c>
      <c r="Z336">
        <f>IF(X336-Y336&lt;0.005,0,X336-Y336)</f>
        <v/>
      </c>
      <c r="AA336">
        <f>AF335</f>
        <v/>
      </c>
      <c r="AB336">
        <f>AA336*Plan!D10/100/12</f>
        <v/>
      </c>
      <c r="AC336">
        <f>MIN(Plan!E10,AA336+AB336)</f>
        <v/>
      </c>
      <c r="AD336">
        <f>AA336+AB336-AC336</f>
        <v/>
      </c>
      <c r="AE336">
        <f>MIN(AD336,MAX(0,$B336-((E$5&lt;AC$5)*F336+(K$5&lt;AC$5)*L336+(Q$5&lt;AC$5)*R336+(W$5&lt;AC$5)*X336+(AI$5&lt;AC$5)*AJ336+(AO$5&lt;AC$5)*AP336+(AU$5&lt;AC$5)*AV336)))</f>
        <v/>
      </c>
      <c r="AF336">
        <f>IF(AD336-AE336&lt;0.005,0,AD336-AE336)</f>
        <v/>
      </c>
      <c r="AG336">
        <f>AL335</f>
        <v/>
      </c>
      <c r="AH336">
        <f>AG336*Plan!D11/100/12</f>
        <v/>
      </c>
      <c r="AI336">
        <f>MIN(Plan!E11,AG336+AH336)</f>
        <v/>
      </c>
      <c r="AJ336">
        <f>AG336+AH336-AI336</f>
        <v/>
      </c>
      <c r="AK336">
        <f>MIN(AJ336,MAX(0,$B336-((E$5&lt;AI$5)*F336+(K$5&lt;AI$5)*L336+(Q$5&lt;AI$5)*R336+(W$5&lt;AI$5)*X336+(AC$5&lt;AI$5)*AD336+(AO$5&lt;AI$5)*AP336+(AU$5&lt;AI$5)*AV336)))</f>
        <v/>
      </c>
      <c r="AL336">
        <f>IF(AJ336-AK336&lt;0.005,0,AJ336-AK336)</f>
        <v/>
      </c>
      <c r="AM336">
        <f>AR335</f>
        <v/>
      </c>
      <c r="AN336">
        <f>AM336*Plan!D12/100/12</f>
        <v/>
      </c>
      <c r="AO336">
        <f>MIN(Plan!E12,AM336+AN336)</f>
        <v/>
      </c>
      <c r="AP336">
        <f>AM336+AN336-AO336</f>
        <v/>
      </c>
      <c r="AQ336">
        <f>MIN(AP336,MAX(0,$B336-((E$5&lt;AO$5)*F336+(K$5&lt;AO$5)*L336+(Q$5&lt;AO$5)*R336+(W$5&lt;AO$5)*X336+(AC$5&lt;AO$5)*AD336+(AI$5&lt;AO$5)*AJ336+(AU$5&lt;AO$5)*AV336)))</f>
        <v/>
      </c>
      <c r="AR336">
        <f>IF(AP336-AQ336&lt;0.005,0,AP336-AQ336)</f>
        <v/>
      </c>
      <c r="AS336">
        <f>AX335</f>
        <v/>
      </c>
      <c r="AT336">
        <f>AS336*Plan!D13/100/12</f>
        <v/>
      </c>
      <c r="AU336">
        <f>MIN(Plan!E13,AS336+AT336)</f>
        <v/>
      </c>
      <c r="AV336">
        <f>AS336+AT336-AU336</f>
        <v/>
      </c>
      <c r="AW336">
        <f>MIN(AV336,MAX(0,$B336-((E$5&lt;AU$5)*F336+(K$5&lt;AU$5)*L336+(Q$5&lt;AU$5)*R336+(W$5&lt;AU$5)*X336+(AC$5&lt;AU$5)*AD336+(AI$5&lt;AU$5)*AJ336+(AO$5&lt;AU$5)*AP336)))</f>
        <v/>
      </c>
      <c r="AX336">
        <f>IF(AV336-AW336&lt;0.005,0,AV336-AW336)</f>
        <v/>
      </c>
      <c r="BC336">
        <f>H336+N336+T336+Z336+AF336+AL336+AR336+AX336</f>
        <v/>
      </c>
    </row>
    <row r="337">
      <c r="A337" t="n">
        <v>331</v>
      </c>
      <c r="B337" s="19">
        <f>MAX(0,$B$3-(E337+K337+Q337+W337+AC337+AI337+AO337+AU337))</f>
        <v/>
      </c>
      <c r="C337">
        <f>H336</f>
        <v/>
      </c>
      <c r="D337">
        <f>C337*Plan!D6/100/12</f>
        <v/>
      </c>
      <c r="E337">
        <f>MIN(Plan!E6,C337+D337)</f>
        <v/>
      </c>
      <c r="F337">
        <f>C337+D337-E337</f>
        <v/>
      </c>
      <c r="G337">
        <f>MIN(F337,MAX(0,$B337-((K$5&lt;E$5)*L337+(Q$5&lt;E$5)*R337+(W$5&lt;E$5)*X337+(AC$5&lt;E$5)*AD337+(AI$5&lt;E$5)*AJ337+(AO$5&lt;E$5)*AP337+(AU$5&lt;E$5)*AV337)))</f>
        <v/>
      </c>
      <c r="H337">
        <f>IF(F337-G337&lt;0.005,0,F337-G337)</f>
        <v/>
      </c>
      <c r="I337">
        <f>N336</f>
        <v/>
      </c>
      <c r="J337">
        <f>I337*Plan!D7/100/12</f>
        <v/>
      </c>
      <c r="K337">
        <f>MIN(Plan!E7,I337+J337)</f>
        <v/>
      </c>
      <c r="L337">
        <f>I337+J337-K337</f>
        <v/>
      </c>
      <c r="M337">
        <f>MIN(L337,MAX(0,$B337-((E$5&lt;K$5)*F337+(Q$5&lt;K$5)*R337+(W$5&lt;K$5)*X337+(AC$5&lt;K$5)*AD337+(AI$5&lt;K$5)*AJ337+(AO$5&lt;K$5)*AP337+(AU$5&lt;K$5)*AV337)))</f>
        <v/>
      </c>
      <c r="N337">
        <f>IF(L337-M337&lt;0.005,0,L337-M337)</f>
        <v/>
      </c>
      <c r="O337">
        <f>T336</f>
        <v/>
      </c>
      <c r="P337">
        <f>O337*Plan!D8/100/12</f>
        <v/>
      </c>
      <c r="Q337">
        <f>MIN(Plan!E8,O337+P337)</f>
        <v/>
      </c>
      <c r="R337">
        <f>O337+P337-Q337</f>
        <v/>
      </c>
      <c r="S337">
        <f>MIN(R337,MAX(0,$B337-((E$5&lt;Q$5)*F337+(K$5&lt;Q$5)*L337+(W$5&lt;Q$5)*X337+(AC$5&lt;Q$5)*AD337+(AI$5&lt;Q$5)*AJ337+(AO$5&lt;Q$5)*AP337+(AU$5&lt;Q$5)*AV337)))</f>
        <v/>
      </c>
      <c r="T337">
        <f>IF(R337-S337&lt;0.005,0,R337-S337)</f>
        <v/>
      </c>
      <c r="U337">
        <f>Z336</f>
        <v/>
      </c>
      <c r="V337">
        <f>U337*Plan!D9/100/12</f>
        <v/>
      </c>
      <c r="W337">
        <f>MIN(Plan!E9,U337+V337)</f>
        <v/>
      </c>
      <c r="X337">
        <f>U337+V337-W337</f>
        <v/>
      </c>
      <c r="Y337">
        <f>MIN(X337,MAX(0,$B337-((E$5&lt;W$5)*F337+(K$5&lt;W$5)*L337+(Q$5&lt;W$5)*R337+(AC$5&lt;W$5)*AD337+(AI$5&lt;W$5)*AJ337+(AO$5&lt;W$5)*AP337+(AU$5&lt;W$5)*AV337)))</f>
        <v/>
      </c>
      <c r="Z337">
        <f>IF(X337-Y337&lt;0.005,0,X337-Y337)</f>
        <v/>
      </c>
      <c r="AA337">
        <f>AF336</f>
        <v/>
      </c>
      <c r="AB337">
        <f>AA337*Plan!D10/100/12</f>
        <v/>
      </c>
      <c r="AC337">
        <f>MIN(Plan!E10,AA337+AB337)</f>
        <v/>
      </c>
      <c r="AD337">
        <f>AA337+AB337-AC337</f>
        <v/>
      </c>
      <c r="AE337">
        <f>MIN(AD337,MAX(0,$B337-((E$5&lt;AC$5)*F337+(K$5&lt;AC$5)*L337+(Q$5&lt;AC$5)*R337+(W$5&lt;AC$5)*X337+(AI$5&lt;AC$5)*AJ337+(AO$5&lt;AC$5)*AP337+(AU$5&lt;AC$5)*AV337)))</f>
        <v/>
      </c>
      <c r="AF337">
        <f>IF(AD337-AE337&lt;0.005,0,AD337-AE337)</f>
        <v/>
      </c>
      <c r="AG337">
        <f>AL336</f>
        <v/>
      </c>
      <c r="AH337">
        <f>AG337*Plan!D11/100/12</f>
        <v/>
      </c>
      <c r="AI337">
        <f>MIN(Plan!E11,AG337+AH337)</f>
        <v/>
      </c>
      <c r="AJ337">
        <f>AG337+AH337-AI337</f>
        <v/>
      </c>
      <c r="AK337">
        <f>MIN(AJ337,MAX(0,$B337-((E$5&lt;AI$5)*F337+(K$5&lt;AI$5)*L337+(Q$5&lt;AI$5)*R337+(W$5&lt;AI$5)*X337+(AC$5&lt;AI$5)*AD337+(AO$5&lt;AI$5)*AP337+(AU$5&lt;AI$5)*AV337)))</f>
        <v/>
      </c>
      <c r="AL337">
        <f>IF(AJ337-AK337&lt;0.005,0,AJ337-AK337)</f>
        <v/>
      </c>
      <c r="AM337">
        <f>AR336</f>
        <v/>
      </c>
      <c r="AN337">
        <f>AM337*Plan!D12/100/12</f>
        <v/>
      </c>
      <c r="AO337">
        <f>MIN(Plan!E12,AM337+AN337)</f>
        <v/>
      </c>
      <c r="AP337">
        <f>AM337+AN337-AO337</f>
        <v/>
      </c>
      <c r="AQ337">
        <f>MIN(AP337,MAX(0,$B337-((E$5&lt;AO$5)*F337+(K$5&lt;AO$5)*L337+(Q$5&lt;AO$5)*R337+(W$5&lt;AO$5)*X337+(AC$5&lt;AO$5)*AD337+(AI$5&lt;AO$5)*AJ337+(AU$5&lt;AO$5)*AV337)))</f>
        <v/>
      </c>
      <c r="AR337">
        <f>IF(AP337-AQ337&lt;0.005,0,AP337-AQ337)</f>
        <v/>
      </c>
      <c r="AS337">
        <f>AX336</f>
        <v/>
      </c>
      <c r="AT337">
        <f>AS337*Plan!D13/100/12</f>
        <v/>
      </c>
      <c r="AU337">
        <f>MIN(Plan!E13,AS337+AT337)</f>
        <v/>
      </c>
      <c r="AV337">
        <f>AS337+AT337-AU337</f>
        <v/>
      </c>
      <c r="AW337">
        <f>MIN(AV337,MAX(0,$B337-((E$5&lt;AU$5)*F337+(K$5&lt;AU$5)*L337+(Q$5&lt;AU$5)*R337+(W$5&lt;AU$5)*X337+(AC$5&lt;AU$5)*AD337+(AI$5&lt;AU$5)*AJ337+(AO$5&lt;AU$5)*AP337)))</f>
        <v/>
      </c>
      <c r="AX337">
        <f>IF(AV337-AW337&lt;0.005,0,AV337-AW337)</f>
        <v/>
      </c>
      <c r="BC337">
        <f>H337+N337+T337+Z337+AF337+AL337+AR337+AX337</f>
        <v/>
      </c>
    </row>
    <row r="338">
      <c r="A338" t="n">
        <v>332</v>
      </c>
      <c r="B338" s="19">
        <f>MAX(0,$B$3-(E338+K338+Q338+W338+AC338+AI338+AO338+AU338))</f>
        <v/>
      </c>
      <c r="C338">
        <f>H337</f>
        <v/>
      </c>
      <c r="D338">
        <f>C338*Plan!D6/100/12</f>
        <v/>
      </c>
      <c r="E338">
        <f>MIN(Plan!E6,C338+D338)</f>
        <v/>
      </c>
      <c r="F338">
        <f>C338+D338-E338</f>
        <v/>
      </c>
      <c r="G338">
        <f>MIN(F338,MAX(0,$B338-((K$5&lt;E$5)*L338+(Q$5&lt;E$5)*R338+(W$5&lt;E$5)*X338+(AC$5&lt;E$5)*AD338+(AI$5&lt;E$5)*AJ338+(AO$5&lt;E$5)*AP338+(AU$5&lt;E$5)*AV338)))</f>
        <v/>
      </c>
      <c r="H338">
        <f>IF(F338-G338&lt;0.005,0,F338-G338)</f>
        <v/>
      </c>
      <c r="I338">
        <f>N337</f>
        <v/>
      </c>
      <c r="J338">
        <f>I338*Plan!D7/100/12</f>
        <v/>
      </c>
      <c r="K338">
        <f>MIN(Plan!E7,I338+J338)</f>
        <v/>
      </c>
      <c r="L338">
        <f>I338+J338-K338</f>
        <v/>
      </c>
      <c r="M338">
        <f>MIN(L338,MAX(0,$B338-((E$5&lt;K$5)*F338+(Q$5&lt;K$5)*R338+(W$5&lt;K$5)*X338+(AC$5&lt;K$5)*AD338+(AI$5&lt;K$5)*AJ338+(AO$5&lt;K$5)*AP338+(AU$5&lt;K$5)*AV338)))</f>
        <v/>
      </c>
      <c r="N338">
        <f>IF(L338-M338&lt;0.005,0,L338-M338)</f>
        <v/>
      </c>
      <c r="O338">
        <f>T337</f>
        <v/>
      </c>
      <c r="P338">
        <f>O338*Plan!D8/100/12</f>
        <v/>
      </c>
      <c r="Q338">
        <f>MIN(Plan!E8,O338+P338)</f>
        <v/>
      </c>
      <c r="R338">
        <f>O338+P338-Q338</f>
        <v/>
      </c>
      <c r="S338">
        <f>MIN(R338,MAX(0,$B338-((E$5&lt;Q$5)*F338+(K$5&lt;Q$5)*L338+(W$5&lt;Q$5)*X338+(AC$5&lt;Q$5)*AD338+(AI$5&lt;Q$5)*AJ338+(AO$5&lt;Q$5)*AP338+(AU$5&lt;Q$5)*AV338)))</f>
        <v/>
      </c>
      <c r="T338">
        <f>IF(R338-S338&lt;0.005,0,R338-S338)</f>
        <v/>
      </c>
      <c r="U338">
        <f>Z337</f>
        <v/>
      </c>
      <c r="V338">
        <f>U338*Plan!D9/100/12</f>
        <v/>
      </c>
      <c r="W338">
        <f>MIN(Plan!E9,U338+V338)</f>
        <v/>
      </c>
      <c r="X338">
        <f>U338+V338-W338</f>
        <v/>
      </c>
      <c r="Y338">
        <f>MIN(X338,MAX(0,$B338-((E$5&lt;W$5)*F338+(K$5&lt;W$5)*L338+(Q$5&lt;W$5)*R338+(AC$5&lt;W$5)*AD338+(AI$5&lt;W$5)*AJ338+(AO$5&lt;W$5)*AP338+(AU$5&lt;W$5)*AV338)))</f>
        <v/>
      </c>
      <c r="Z338">
        <f>IF(X338-Y338&lt;0.005,0,X338-Y338)</f>
        <v/>
      </c>
      <c r="AA338">
        <f>AF337</f>
        <v/>
      </c>
      <c r="AB338">
        <f>AA338*Plan!D10/100/12</f>
        <v/>
      </c>
      <c r="AC338">
        <f>MIN(Plan!E10,AA338+AB338)</f>
        <v/>
      </c>
      <c r="AD338">
        <f>AA338+AB338-AC338</f>
        <v/>
      </c>
      <c r="AE338">
        <f>MIN(AD338,MAX(0,$B338-((E$5&lt;AC$5)*F338+(K$5&lt;AC$5)*L338+(Q$5&lt;AC$5)*R338+(W$5&lt;AC$5)*X338+(AI$5&lt;AC$5)*AJ338+(AO$5&lt;AC$5)*AP338+(AU$5&lt;AC$5)*AV338)))</f>
        <v/>
      </c>
      <c r="AF338">
        <f>IF(AD338-AE338&lt;0.005,0,AD338-AE338)</f>
        <v/>
      </c>
      <c r="AG338">
        <f>AL337</f>
        <v/>
      </c>
      <c r="AH338">
        <f>AG338*Plan!D11/100/12</f>
        <v/>
      </c>
      <c r="AI338">
        <f>MIN(Plan!E11,AG338+AH338)</f>
        <v/>
      </c>
      <c r="AJ338">
        <f>AG338+AH338-AI338</f>
        <v/>
      </c>
      <c r="AK338">
        <f>MIN(AJ338,MAX(0,$B338-((E$5&lt;AI$5)*F338+(K$5&lt;AI$5)*L338+(Q$5&lt;AI$5)*R338+(W$5&lt;AI$5)*X338+(AC$5&lt;AI$5)*AD338+(AO$5&lt;AI$5)*AP338+(AU$5&lt;AI$5)*AV338)))</f>
        <v/>
      </c>
      <c r="AL338">
        <f>IF(AJ338-AK338&lt;0.005,0,AJ338-AK338)</f>
        <v/>
      </c>
      <c r="AM338">
        <f>AR337</f>
        <v/>
      </c>
      <c r="AN338">
        <f>AM338*Plan!D12/100/12</f>
        <v/>
      </c>
      <c r="AO338">
        <f>MIN(Plan!E12,AM338+AN338)</f>
        <v/>
      </c>
      <c r="AP338">
        <f>AM338+AN338-AO338</f>
        <v/>
      </c>
      <c r="AQ338">
        <f>MIN(AP338,MAX(0,$B338-((E$5&lt;AO$5)*F338+(K$5&lt;AO$5)*L338+(Q$5&lt;AO$5)*R338+(W$5&lt;AO$5)*X338+(AC$5&lt;AO$5)*AD338+(AI$5&lt;AO$5)*AJ338+(AU$5&lt;AO$5)*AV338)))</f>
        <v/>
      </c>
      <c r="AR338">
        <f>IF(AP338-AQ338&lt;0.005,0,AP338-AQ338)</f>
        <v/>
      </c>
      <c r="AS338">
        <f>AX337</f>
        <v/>
      </c>
      <c r="AT338">
        <f>AS338*Plan!D13/100/12</f>
        <v/>
      </c>
      <c r="AU338">
        <f>MIN(Plan!E13,AS338+AT338)</f>
        <v/>
      </c>
      <c r="AV338">
        <f>AS338+AT338-AU338</f>
        <v/>
      </c>
      <c r="AW338">
        <f>MIN(AV338,MAX(0,$B338-((E$5&lt;AU$5)*F338+(K$5&lt;AU$5)*L338+(Q$5&lt;AU$5)*R338+(W$5&lt;AU$5)*X338+(AC$5&lt;AU$5)*AD338+(AI$5&lt;AU$5)*AJ338+(AO$5&lt;AU$5)*AP338)))</f>
        <v/>
      </c>
      <c r="AX338">
        <f>IF(AV338-AW338&lt;0.005,0,AV338-AW338)</f>
        <v/>
      </c>
      <c r="BC338">
        <f>H338+N338+T338+Z338+AF338+AL338+AR338+AX338</f>
        <v/>
      </c>
    </row>
    <row r="339">
      <c r="A339" t="n">
        <v>333</v>
      </c>
      <c r="B339" s="19">
        <f>MAX(0,$B$3-(E339+K339+Q339+W339+AC339+AI339+AO339+AU339))</f>
        <v/>
      </c>
      <c r="C339">
        <f>H338</f>
        <v/>
      </c>
      <c r="D339">
        <f>C339*Plan!D6/100/12</f>
        <v/>
      </c>
      <c r="E339">
        <f>MIN(Plan!E6,C339+D339)</f>
        <v/>
      </c>
      <c r="F339">
        <f>C339+D339-E339</f>
        <v/>
      </c>
      <c r="G339">
        <f>MIN(F339,MAX(0,$B339-((K$5&lt;E$5)*L339+(Q$5&lt;E$5)*R339+(W$5&lt;E$5)*X339+(AC$5&lt;E$5)*AD339+(AI$5&lt;E$5)*AJ339+(AO$5&lt;E$5)*AP339+(AU$5&lt;E$5)*AV339)))</f>
        <v/>
      </c>
      <c r="H339">
        <f>IF(F339-G339&lt;0.005,0,F339-G339)</f>
        <v/>
      </c>
      <c r="I339">
        <f>N338</f>
        <v/>
      </c>
      <c r="J339">
        <f>I339*Plan!D7/100/12</f>
        <v/>
      </c>
      <c r="K339">
        <f>MIN(Plan!E7,I339+J339)</f>
        <v/>
      </c>
      <c r="L339">
        <f>I339+J339-K339</f>
        <v/>
      </c>
      <c r="M339">
        <f>MIN(L339,MAX(0,$B339-((E$5&lt;K$5)*F339+(Q$5&lt;K$5)*R339+(W$5&lt;K$5)*X339+(AC$5&lt;K$5)*AD339+(AI$5&lt;K$5)*AJ339+(AO$5&lt;K$5)*AP339+(AU$5&lt;K$5)*AV339)))</f>
        <v/>
      </c>
      <c r="N339">
        <f>IF(L339-M339&lt;0.005,0,L339-M339)</f>
        <v/>
      </c>
      <c r="O339">
        <f>T338</f>
        <v/>
      </c>
      <c r="P339">
        <f>O339*Plan!D8/100/12</f>
        <v/>
      </c>
      <c r="Q339">
        <f>MIN(Plan!E8,O339+P339)</f>
        <v/>
      </c>
      <c r="R339">
        <f>O339+P339-Q339</f>
        <v/>
      </c>
      <c r="S339">
        <f>MIN(R339,MAX(0,$B339-((E$5&lt;Q$5)*F339+(K$5&lt;Q$5)*L339+(W$5&lt;Q$5)*X339+(AC$5&lt;Q$5)*AD339+(AI$5&lt;Q$5)*AJ339+(AO$5&lt;Q$5)*AP339+(AU$5&lt;Q$5)*AV339)))</f>
        <v/>
      </c>
      <c r="T339">
        <f>IF(R339-S339&lt;0.005,0,R339-S339)</f>
        <v/>
      </c>
      <c r="U339">
        <f>Z338</f>
        <v/>
      </c>
      <c r="V339">
        <f>U339*Plan!D9/100/12</f>
        <v/>
      </c>
      <c r="W339">
        <f>MIN(Plan!E9,U339+V339)</f>
        <v/>
      </c>
      <c r="X339">
        <f>U339+V339-W339</f>
        <v/>
      </c>
      <c r="Y339">
        <f>MIN(X339,MAX(0,$B339-((E$5&lt;W$5)*F339+(K$5&lt;W$5)*L339+(Q$5&lt;W$5)*R339+(AC$5&lt;W$5)*AD339+(AI$5&lt;W$5)*AJ339+(AO$5&lt;W$5)*AP339+(AU$5&lt;W$5)*AV339)))</f>
        <v/>
      </c>
      <c r="Z339">
        <f>IF(X339-Y339&lt;0.005,0,X339-Y339)</f>
        <v/>
      </c>
      <c r="AA339">
        <f>AF338</f>
        <v/>
      </c>
      <c r="AB339">
        <f>AA339*Plan!D10/100/12</f>
        <v/>
      </c>
      <c r="AC339">
        <f>MIN(Plan!E10,AA339+AB339)</f>
        <v/>
      </c>
      <c r="AD339">
        <f>AA339+AB339-AC339</f>
        <v/>
      </c>
      <c r="AE339">
        <f>MIN(AD339,MAX(0,$B339-((E$5&lt;AC$5)*F339+(K$5&lt;AC$5)*L339+(Q$5&lt;AC$5)*R339+(W$5&lt;AC$5)*X339+(AI$5&lt;AC$5)*AJ339+(AO$5&lt;AC$5)*AP339+(AU$5&lt;AC$5)*AV339)))</f>
        <v/>
      </c>
      <c r="AF339">
        <f>IF(AD339-AE339&lt;0.005,0,AD339-AE339)</f>
        <v/>
      </c>
      <c r="AG339">
        <f>AL338</f>
        <v/>
      </c>
      <c r="AH339">
        <f>AG339*Plan!D11/100/12</f>
        <v/>
      </c>
      <c r="AI339">
        <f>MIN(Plan!E11,AG339+AH339)</f>
        <v/>
      </c>
      <c r="AJ339">
        <f>AG339+AH339-AI339</f>
        <v/>
      </c>
      <c r="AK339">
        <f>MIN(AJ339,MAX(0,$B339-((E$5&lt;AI$5)*F339+(K$5&lt;AI$5)*L339+(Q$5&lt;AI$5)*R339+(W$5&lt;AI$5)*X339+(AC$5&lt;AI$5)*AD339+(AO$5&lt;AI$5)*AP339+(AU$5&lt;AI$5)*AV339)))</f>
        <v/>
      </c>
      <c r="AL339">
        <f>IF(AJ339-AK339&lt;0.005,0,AJ339-AK339)</f>
        <v/>
      </c>
      <c r="AM339">
        <f>AR338</f>
        <v/>
      </c>
      <c r="AN339">
        <f>AM339*Plan!D12/100/12</f>
        <v/>
      </c>
      <c r="AO339">
        <f>MIN(Plan!E12,AM339+AN339)</f>
        <v/>
      </c>
      <c r="AP339">
        <f>AM339+AN339-AO339</f>
        <v/>
      </c>
      <c r="AQ339">
        <f>MIN(AP339,MAX(0,$B339-((E$5&lt;AO$5)*F339+(K$5&lt;AO$5)*L339+(Q$5&lt;AO$5)*R339+(W$5&lt;AO$5)*X339+(AC$5&lt;AO$5)*AD339+(AI$5&lt;AO$5)*AJ339+(AU$5&lt;AO$5)*AV339)))</f>
        <v/>
      </c>
      <c r="AR339">
        <f>IF(AP339-AQ339&lt;0.005,0,AP339-AQ339)</f>
        <v/>
      </c>
      <c r="AS339">
        <f>AX338</f>
        <v/>
      </c>
      <c r="AT339">
        <f>AS339*Plan!D13/100/12</f>
        <v/>
      </c>
      <c r="AU339">
        <f>MIN(Plan!E13,AS339+AT339)</f>
        <v/>
      </c>
      <c r="AV339">
        <f>AS339+AT339-AU339</f>
        <v/>
      </c>
      <c r="AW339">
        <f>MIN(AV339,MAX(0,$B339-((E$5&lt;AU$5)*F339+(K$5&lt;AU$5)*L339+(Q$5&lt;AU$5)*R339+(W$5&lt;AU$5)*X339+(AC$5&lt;AU$5)*AD339+(AI$5&lt;AU$5)*AJ339+(AO$5&lt;AU$5)*AP339)))</f>
        <v/>
      </c>
      <c r="AX339">
        <f>IF(AV339-AW339&lt;0.005,0,AV339-AW339)</f>
        <v/>
      </c>
      <c r="BC339">
        <f>H339+N339+T339+Z339+AF339+AL339+AR339+AX339</f>
        <v/>
      </c>
    </row>
    <row r="340">
      <c r="A340" t="n">
        <v>334</v>
      </c>
      <c r="B340" s="19">
        <f>MAX(0,$B$3-(E340+K340+Q340+W340+AC340+AI340+AO340+AU340))</f>
        <v/>
      </c>
      <c r="C340">
        <f>H339</f>
        <v/>
      </c>
      <c r="D340">
        <f>C340*Plan!D6/100/12</f>
        <v/>
      </c>
      <c r="E340">
        <f>MIN(Plan!E6,C340+D340)</f>
        <v/>
      </c>
      <c r="F340">
        <f>C340+D340-E340</f>
        <v/>
      </c>
      <c r="G340">
        <f>MIN(F340,MAX(0,$B340-((K$5&lt;E$5)*L340+(Q$5&lt;E$5)*R340+(W$5&lt;E$5)*X340+(AC$5&lt;E$5)*AD340+(AI$5&lt;E$5)*AJ340+(AO$5&lt;E$5)*AP340+(AU$5&lt;E$5)*AV340)))</f>
        <v/>
      </c>
      <c r="H340">
        <f>IF(F340-G340&lt;0.005,0,F340-G340)</f>
        <v/>
      </c>
      <c r="I340">
        <f>N339</f>
        <v/>
      </c>
      <c r="J340">
        <f>I340*Plan!D7/100/12</f>
        <v/>
      </c>
      <c r="K340">
        <f>MIN(Plan!E7,I340+J340)</f>
        <v/>
      </c>
      <c r="L340">
        <f>I340+J340-K340</f>
        <v/>
      </c>
      <c r="M340">
        <f>MIN(L340,MAX(0,$B340-((E$5&lt;K$5)*F340+(Q$5&lt;K$5)*R340+(W$5&lt;K$5)*X340+(AC$5&lt;K$5)*AD340+(AI$5&lt;K$5)*AJ340+(AO$5&lt;K$5)*AP340+(AU$5&lt;K$5)*AV340)))</f>
        <v/>
      </c>
      <c r="N340">
        <f>IF(L340-M340&lt;0.005,0,L340-M340)</f>
        <v/>
      </c>
      <c r="O340">
        <f>T339</f>
        <v/>
      </c>
      <c r="P340">
        <f>O340*Plan!D8/100/12</f>
        <v/>
      </c>
      <c r="Q340">
        <f>MIN(Plan!E8,O340+P340)</f>
        <v/>
      </c>
      <c r="R340">
        <f>O340+P340-Q340</f>
        <v/>
      </c>
      <c r="S340">
        <f>MIN(R340,MAX(0,$B340-((E$5&lt;Q$5)*F340+(K$5&lt;Q$5)*L340+(W$5&lt;Q$5)*X340+(AC$5&lt;Q$5)*AD340+(AI$5&lt;Q$5)*AJ340+(AO$5&lt;Q$5)*AP340+(AU$5&lt;Q$5)*AV340)))</f>
        <v/>
      </c>
      <c r="T340">
        <f>IF(R340-S340&lt;0.005,0,R340-S340)</f>
        <v/>
      </c>
      <c r="U340">
        <f>Z339</f>
        <v/>
      </c>
      <c r="V340">
        <f>U340*Plan!D9/100/12</f>
        <v/>
      </c>
      <c r="W340">
        <f>MIN(Plan!E9,U340+V340)</f>
        <v/>
      </c>
      <c r="X340">
        <f>U340+V340-W340</f>
        <v/>
      </c>
      <c r="Y340">
        <f>MIN(X340,MAX(0,$B340-((E$5&lt;W$5)*F340+(K$5&lt;W$5)*L340+(Q$5&lt;W$5)*R340+(AC$5&lt;W$5)*AD340+(AI$5&lt;W$5)*AJ340+(AO$5&lt;W$5)*AP340+(AU$5&lt;W$5)*AV340)))</f>
        <v/>
      </c>
      <c r="Z340">
        <f>IF(X340-Y340&lt;0.005,0,X340-Y340)</f>
        <v/>
      </c>
      <c r="AA340">
        <f>AF339</f>
        <v/>
      </c>
      <c r="AB340">
        <f>AA340*Plan!D10/100/12</f>
        <v/>
      </c>
      <c r="AC340">
        <f>MIN(Plan!E10,AA340+AB340)</f>
        <v/>
      </c>
      <c r="AD340">
        <f>AA340+AB340-AC340</f>
        <v/>
      </c>
      <c r="AE340">
        <f>MIN(AD340,MAX(0,$B340-((E$5&lt;AC$5)*F340+(K$5&lt;AC$5)*L340+(Q$5&lt;AC$5)*R340+(W$5&lt;AC$5)*X340+(AI$5&lt;AC$5)*AJ340+(AO$5&lt;AC$5)*AP340+(AU$5&lt;AC$5)*AV340)))</f>
        <v/>
      </c>
      <c r="AF340">
        <f>IF(AD340-AE340&lt;0.005,0,AD340-AE340)</f>
        <v/>
      </c>
      <c r="AG340">
        <f>AL339</f>
        <v/>
      </c>
      <c r="AH340">
        <f>AG340*Plan!D11/100/12</f>
        <v/>
      </c>
      <c r="AI340">
        <f>MIN(Plan!E11,AG340+AH340)</f>
        <v/>
      </c>
      <c r="AJ340">
        <f>AG340+AH340-AI340</f>
        <v/>
      </c>
      <c r="AK340">
        <f>MIN(AJ340,MAX(0,$B340-((E$5&lt;AI$5)*F340+(K$5&lt;AI$5)*L340+(Q$5&lt;AI$5)*R340+(W$5&lt;AI$5)*X340+(AC$5&lt;AI$5)*AD340+(AO$5&lt;AI$5)*AP340+(AU$5&lt;AI$5)*AV340)))</f>
        <v/>
      </c>
      <c r="AL340">
        <f>IF(AJ340-AK340&lt;0.005,0,AJ340-AK340)</f>
        <v/>
      </c>
      <c r="AM340">
        <f>AR339</f>
        <v/>
      </c>
      <c r="AN340">
        <f>AM340*Plan!D12/100/12</f>
        <v/>
      </c>
      <c r="AO340">
        <f>MIN(Plan!E12,AM340+AN340)</f>
        <v/>
      </c>
      <c r="AP340">
        <f>AM340+AN340-AO340</f>
        <v/>
      </c>
      <c r="AQ340">
        <f>MIN(AP340,MAX(0,$B340-((E$5&lt;AO$5)*F340+(K$5&lt;AO$5)*L340+(Q$5&lt;AO$5)*R340+(W$5&lt;AO$5)*X340+(AC$5&lt;AO$5)*AD340+(AI$5&lt;AO$5)*AJ340+(AU$5&lt;AO$5)*AV340)))</f>
        <v/>
      </c>
      <c r="AR340">
        <f>IF(AP340-AQ340&lt;0.005,0,AP340-AQ340)</f>
        <v/>
      </c>
      <c r="AS340">
        <f>AX339</f>
        <v/>
      </c>
      <c r="AT340">
        <f>AS340*Plan!D13/100/12</f>
        <v/>
      </c>
      <c r="AU340">
        <f>MIN(Plan!E13,AS340+AT340)</f>
        <v/>
      </c>
      <c r="AV340">
        <f>AS340+AT340-AU340</f>
        <v/>
      </c>
      <c r="AW340">
        <f>MIN(AV340,MAX(0,$B340-((E$5&lt;AU$5)*F340+(K$5&lt;AU$5)*L340+(Q$5&lt;AU$5)*R340+(W$5&lt;AU$5)*X340+(AC$5&lt;AU$5)*AD340+(AI$5&lt;AU$5)*AJ340+(AO$5&lt;AU$5)*AP340)))</f>
        <v/>
      </c>
      <c r="AX340">
        <f>IF(AV340-AW340&lt;0.005,0,AV340-AW340)</f>
        <v/>
      </c>
      <c r="BC340">
        <f>H340+N340+T340+Z340+AF340+AL340+AR340+AX340</f>
        <v/>
      </c>
    </row>
    <row r="341">
      <c r="A341" t="n">
        <v>335</v>
      </c>
      <c r="B341" s="19">
        <f>MAX(0,$B$3-(E341+K341+Q341+W341+AC341+AI341+AO341+AU341))</f>
        <v/>
      </c>
      <c r="C341">
        <f>H340</f>
        <v/>
      </c>
      <c r="D341">
        <f>C341*Plan!D6/100/12</f>
        <v/>
      </c>
      <c r="E341">
        <f>MIN(Plan!E6,C341+D341)</f>
        <v/>
      </c>
      <c r="F341">
        <f>C341+D341-E341</f>
        <v/>
      </c>
      <c r="G341">
        <f>MIN(F341,MAX(0,$B341-((K$5&lt;E$5)*L341+(Q$5&lt;E$5)*R341+(W$5&lt;E$5)*X341+(AC$5&lt;E$5)*AD341+(AI$5&lt;E$5)*AJ341+(AO$5&lt;E$5)*AP341+(AU$5&lt;E$5)*AV341)))</f>
        <v/>
      </c>
      <c r="H341">
        <f>IF(F341-G341&lt;0.005,0,F341-G341)</f>
        <v/>
      </c>
      <c r="I341">
        <f>N340</f>
        <v/>
      </c>
      <c r="J341">
        <f>I341*Plan!D7/100/12</f>
        <v/>
      </c>
      <c r="K341">
        <f>MIN(Plan!E7,I341+J341)</f>
        <v/>
      </c>
      <c r="L341">
        <f>I341+J341-K341</f>
        <v/>
      </c>
      <c r="M341">
        <f>MIN(L341,MAX(0,$B341-((E$5&lt;K$5)*F341+(Q$5&lt;K$5)*R341+(W$5&lt;K$5)*X341+(AC$5&lt;K$5)*AD341+(AI$5&lt;K$5)*AJ341+(AO$5&lt;K$5)*AP341+(AU$5&lt;K$5)*AV341)))</f>
        <v/>
      </c>
      <c r="N341">
        <f>IF(L341-M341&lt;0.005,0,L341-M341)</f>
        <v/>
      </c>
      <c r="O341">
        <f>T340</f>
        <v/>
      </c>
      <c r="P341">
        <f>O341*Plan!D8/100/12</f>
        <v/>
      </c>
      <c r="Q341">
        <f>MIN(Plan!E8,O341+P341)</f>
        <v/>
      </c>
      <c r="R341">
        <f>O341+P341-Q341</f>
        <v/>
      </c>
      <c r="S341">
        <f>MIN(R341,MAX(0,$B341-((E$5&lt;Q$5)*F341+(K$5&lt;Q$5)*L341+(W$5&lt;Q$5)*X341+(AC$5&lt;Q$5)*AD341+(AI$5&lt;Q$5)*AJ341+(AO$5&lt;Q$5)*AP341+(AU$5&lt;Q$5)*AV341)))</f>
        <v/>
      </c>
      <c r="T341">
        <f>IF(R341-S341&lt;0.005,0,R341-S341)</f>
        <v/>
      </c>
      <c r="U341">
        <f>Z340</f>
        <v/>
      </c>
      <c r="V341">
        <f>U341*Plan!D9/100/12</f>
        <v/>
      </c>
      <c r="W341">
        <f>MIN(Plan!E9,U341+V341)</f>
        <v/>
      </c>
      <c r="X341">
        <f>U341+V341-W341</f>
        <v/>
      </c>
      <c r="Y341">
        <f>MIN(X341,MAX(0,$B341-((E$5&lt;W$5)*F341+(K$5&lt;W$5)*L341+(Q$5&lt;W$5)*R341+(AC$5&lt;W$5)*AD341+(AI$5&lt;W$5)*AJ341+(AO$5&lt;W$5)*AP341+(AU$5&lt;W$5)*AV341)))</f>
        <v/>
      </c>
      <c r="Z341">
        <f>IF(X341-Y341&lt;0.005,0,X341-Y341)</f>
        <v/>
      </c>
      <c r="AA341">
        <f>AF340</f>
        <v/>
      </c>
      <c r="AB341">
        <f>AA341*Plan!D10/100/12</f>
        <v/>
      </c>
      <c r="AC341">
        <f>MIN(Plan!E10,AA341+AB341)</f>
        <v/>
      </c>
      <c r="AD341">
        <f>AA341+AB341-AC341</f>
        <v/>
      </c>
      <c r="AE341">
        <f>MIN(AD341,MAX(0,$B341-((E$5&lt;AC$5)*F341+(K$5&lt;AC$5)*L341+(Q$5&lt;AC$5)*R341+(W$5&lt;AC$5)*X341+(AI$5&lt;AC$5)*AJ341+(AO$5&lt;AC$5)*AP341+(AU$5&lt;AC$5)*AV341)))</f>
        <v/>
      </c>
      <c r="AF341">
        <f>IF(AD341-AE341&lt;0.005,0,AD341-AE341)</f>
        <v/>
      </c>
      <c r="AG341">
        <f>AL340</f>
        <v/>
      </c>
      <c r="AH341">
        <f>AG341*Plan!D11/100/12</f>
        <v/>
      </c>
      <c r="AI341">
        <f>MIN(Plan!E11,AG341+AH341)</f>
        <v/>
      </c>
      <c r="AJ341">
        <f>AG341+AH341-AI341</f>
        <v/>
      </c>
      <c r="AK341">
        <f>MIN(AJ341,MAX(0,$B341-((E$5&lt;AI$5)*F341+(K$5&lt;AI$5)*L341+(Q$5&lt;AI$5)*R341+(W$5&lt;AI$5)*X341+(AC$5&lt;AI$5)*AD341+(AO$5&lt;AI$5)*AP341+(AU$5&lt;AI$5)*AV341)))</f>
        <v/>
      </c>
      <c r="AL341">
        <f>IF(AJ341-AK341&lt;0.005,0,AJ341-AK341)</f>
        <v/>
      </c>
      <c r="AM341">
        <f>AR340</f>
        <v/>
      </c>
      <c r="AN341">
        <f>AM341*Plan!D12/100/12</f>
        <v/>
      </c>
      <c r="AO341">
        <f>MIN(Plan!E12,AM341+AN341)</f>
        <v/>
      </c>
      <c r="AP341">
        <f>AM341+AN341-AO341</f>
        <v/>
      </c>
      <c r="AQ341">
        <f>MIN(AP341,MAX(0,$B341-((E$5&lt;AO$5)*F341+(K$5&lt;AO$5)*L341+(Q$5&lt;AO$5)*R341+(W$5&lt;AO$5)*X341+(AC$5&lt;AO$5)*AD341+(AI$5&lt;AO$5)*AJ341+(AU$5&lt;AO$5)*AV341)))</f>
        <v/>
      </c>
      <c r="AR341">
        <f>IF(AP341-AQ341&lt;0.005,0,AP341-AQ341)</f>
        <v/>
      </c>
      <c r="AS341">
        <f>AX340</f>
        <v/>
      </c>
      <c r="AT341">
        <f>AS341*Plan!D13/100/12</f>
        <v/>
      </c>
      <c r="AU341">
        <f>MIN(Plan!E13,AS341+AT341)</f>
        <v/>
      </c>
      <c r="AV341">
        <f>AS341+AT341-AU341</f>
        <v/>
      </c>
      <c r="AW341">
        <f>MIN(AV341,MAX(0,$B341-((E$5&lt;AU$5)*F341+(K$5&lt;AU$5)*L341+(Q$5&lt;AU$5)*R341+(W$5&lt;AU$5)*X341+(AC$5&lt;AU$5)*AD341+(AI$5&lt;AU$5)*AJ341+(AO$5&lt;AU$5)*AP341)))</f>
        <v/>
      </c>
      <c r="AX341">
        <f>IF(AV341-AW341&lt;0.005,0,AV341-AW341)</f>
        <v/>
      </c>
      <c r="BC341">
        <f>H341+N341+T341+Z341+AF341+AL341+AR341+AX341</f>
        <v/>
      </c>
    </row>
    <row r="342">
      <c r="A342" t="n">
        <v>336</v>
      </c>
      <c r="B342" s="19">
        <f>MAX(0,$B$3-(E342+K342+Q342+W342+AC342+AI342+AO342+AU342))</f>
        <v/>
      </c>
      <c r="C342">
        <f>H341</f>
        <v/>
      </c>
      <c r="D342">
        <f>C342*Plan!D6/100/12</f>
        <v/>
      </c>
      <c r="E342">
        <f>MIN(Plan!E6,C342+D342)</f>
        <v/>
      </c>
      <c r="F342">
        <f>C342+D342-E342</f>
        <v/>
      </c>
      <c r="G342">
        <f>MIN(F342,MAX(0,$B342-((K$5&lt;E$5)*L342+(Q$5&lt;E$5)*R342+(W$5&lt;E$5)*X342+(AC$5&lt;E$5)*AD342+(AI$5&lt;E$5)*AJ342+(AO$5&lt;E$5)*AP342+(AU$5&lt;E$5)*AV342)))</f>
        <v/>
      </c>
      <c r="H342">
        <f>IF(F342-G342&lt;0.005,0,F342-G342)</f>
        <v/>
      </c>
      <c r="I342">
        <f>N341</f>
        <v/>
      </c>
      <c r="J342">
        <f>I342*Plan!D7/100/12</f>
        <v/>
      </c>
      <c r="K342">
        <f>MIN(Plan!E7,I342+J342)</f>
        <v/>
      </c>
      <c r="L342">
        <f>I342+J342-K342</f>
        <v/>
      </c>
      <c r="M342">
        <f>MIN(L342,MAX(0,$B342-((E$5&lt;K$5)*F342+(Q$5&lt;K$5)*R342+(W$5&lt;K$5)*X342+(AC$5&lt;K$5)*AD342+(AI$5&lt;K$5)*AJ342+(AO$5&lt;K$5)*AP342+(AU$5&lt;K$5)*AV342)))</f>
        <v/>
      </c>
      <c r="N342">
        <f>IF(L342-M342&lt;0.005,0,L342-M342)</f>
        <v/>
      </c>
      <c r="O342">
        <f>T341</f>
        <v/>
      </c>
      <c r="P342">
        <f>O342*Plan!D8/100/12</f>
        <v/>
      </c>
      <c r="Q342">
        <f>MIN(Plan!E8,O342+P342)</f>
        <v/>
      </c>
      <c r="R342">
        <f>O342+P342-Q342</f>
        <v/>
      </c>
      <c r="S342">
        <f>MIN(R342,MAX(0,$B342-((E$5&lt;Q$5)*F342+(K$5&lt;Q$5)*L342+(W$5&lt;Q$5)*X342+(AC$5&lt;Q$5)*AD342+(AI$5&lt;Q$5)*AJ342+(AO$5&lt;Q$5)*AP342+(AU$5&lt;Q$5)*AV342)))</f>
        <v/>
      </c>
      <c r="T342">
        <f>IF(R342-S342&lt;0.005,0,R342-S342)</f>
        <v/>
      </c>
      <c r="U342">
        <f>Z341</f>
        <v/>
      </c>
      <c r="V342">
        <f>U342*Plan!D9/100/12</f>
        <v/>
      </c>
      <c r="W342">
        <f>MIN(Plan!E9,U342+V342)</f>
        <v/>
      </c>
      <c r="X342">
        <f>U342+V342-W342</f>
        <v/>
      </c>
      <c r="Y342">
        <f>MIN(X342,MAX(0,$B342-((E$5&lt;W$5)*F342+(K$5&lt;W$5)*L342+(Q$5&lt;W$5)*R342+(AC$5&lt;W$5)*AD342+(AI$5&lt;W$5)*AJ342+(AO$5&lt;W$5)*AP342+(AU$5&lt;W$5)*AV342)))</f>
        <v/>
      </c>
      <c r="Z342">
        <f>IF(X342-Y342&lt;0.005,0,X342-Y342)</f>
        <v/>
      </c>
      <c r="AA342">
        <f>AF341</f>
        <v/>
      </c>
      <c r="AB342">
        <f>AA342*Plan!D10/100/12</f>
        <v/>
      </c>
      <c r="AC342">
        <f>MIN(Plan!E10,AA342+AB342)</f>
        <v/>
      </c>
      <c r="AD342">
        <f>AA342+AB342-AC342</f>
        <v/>
      </c>
      <c r="AE342">
        <f>MIN(AD342,MAX(0,$B342-((E$5&lt;AC$5)*F342+(K$5&lt;AC$5)*L342+(Q$5&lt;AC$5)*R342+(W$5&lt;AC$5)*X342+(AI$5&lt;AC$5)*AJ342+(AO$5&lt;AC$5)*AP342+(AU$5&lt;AC$5)*AV342)))</f>
        <v/>
      </c>
      <c r="AF342">
        <f>IF(AD342-AE342&lt;0.005,0,AD342-AE342)</f>
        <v/>
      </c>
      <c r="AG342">
        <f>AL341</f>
        <v/>
      </c>
      <c r="AH342">
        <f>AG342*Plan!D11/100/12</f>
        <v/>
      </c>
      <c r="AI342">
        <f>MIN(Plan!E11,AG342+AH342)</f>
        <v/>
      </c>
      <c r="AJ342">
        <f>AG342+AH342-AI342</f>
        <v/>
      </c>
      <c r="AK342">
        <f>MIN(AJ342,MAX(0,$B342-((E$5&lt;AI$5)*F342+(K$5&lt;AI$5)*L342+(Q$5&lt;AI$5)*R342+(W$5&lt;AI$5)*X342+(AC$5&lt;AI$5)*AD342+(AO$5&lt;AI$5)*AP342+(AU$5&lt;AI$5)*AV342)))</f>
        <v/>
      </c>
      <c r="AL342">
        <f>IF(AJ342-AK342&lt;0.005,0,AJ342-AK342)</f>
        <v/>
      </c>
      <c r="AM342">
        <f>AR341</f>
        <v/>
      </c>
      <c r="AN342">
        <f>AM342*Plan!D12/100/12</f>
        <v/>
      </c>
      <c r="AO342">
        <f>MIN(Plan!E12,AM342+AN342)</f>
        <v/>
      </c>
      <c r="AP342">
        <f>AM342+AN342-AO342</f>
        <v/>
      </c>
      <c r="AQ342">
        <f>MIN(AP342,MAX(0,$B342-((E$5&lt;AO$5)*F342+(K$5&lt;AO$5)*L342+(Q$5&lt;AO$5)*R342+(W$5&lt;AO$5)*X342+(AC$5&lt;AO$5)*AD342+(AI$5&lt;AO$5)*AJ342+(AU$5&lt;AO$5)*AV342)))</f>
        <v/>
      </c>
      <c r="AR342">
        <f>IF(AP342-AQ342&lt;0.005,0,AP342-AQ342)</f>
        <v/>
      </c>
      <c r="AS342">
        <f>AX341</f>
        <v/>
      </c>
      <c r="AT342">
        <f>AS342*Plan!D13/100/12</f>
        <v/>
      </c>
      <c r="AU342">
        <f>MIN(Plan!E13,AS342+AT342)</f>
        <v/>
      </c>
      <c r="AV342">
        <f>AS342+AT342-AU342</f>
        <v/>
      </c>
      <c r="AW342">
        <f>MIN(AV342,MAX(0,$B342-((E$5&lt;AU$5)*F342+(K$5&lt;AU$5)*L342+(Q$5&lt;AU$5)*R342+(W$5&lt;AU$5)*X342+(AC$5&lt;AU$5)*AD342+(AI$5&lt;AU$5)*AJ342+(AO$5&lt;AU$5)*AP342)))</f>
        <v/>
      </c>
      <c r="AX342">
        <f>IF(AV342-AW342&lt;0.005,0,AV342-AW342)</f>
        <v/>
      </c>
      <c r="BC342">
        <f>H342+N342+T342+Z342+AF342+AL342+AR342+AX342</f>
        <v/>
      </c>
    </row>
    <row r="343">
      <c r="A343" t="n">
        <v>337</v>
      </c>
      <c r="B343" s="19">
        <f>MAX(0,$B$3-(E343+K343+Q343+W343+AC343+AI343+AO343+AU343))</f>
        <v/>
      </c>
      <c r="C343">
        <f>H342</f>
        <v/>
      </c>
      <c r="D343">
        <f>C343*Plan!D6/100/12</f>
        <v/>
      </c>
      <c r="E343">
        <f>MIN(Plan!E6,C343+D343)</f>
        <v/>
      </c>
      <c r="F343">
        <f>C343+D343-E343</f>
        <v/>
      </c>
      <c r="G343">
        <f>MIN(F343,MAX(0,$B343-((K$5&lt;E$5)*L343+(Q$5&lt;E$5)*R343+(W$5&lt;E$5)*X343+(AC$5&lt;E$5)*AD343+(AI$5&lt;E$5)*AJ343+(AO$5&lt;E$5)*AP343+(AU$5&lt;E$5)*AV343)))</f>
        <v/>
      </c>
      <c r="H343">
        <f>IF(F343-G343&lt;0.005,0,F343-G343)</f>
        <v/>
      </c>
      <c r="I343">
        <f>N342</f>
        <v/>
      </c>
      <c r="J343">
        <f>I343*Plan!D7/100/12</f>
        <v/>
      </c>
      <c r="K343">
        <f>MIN(Plan!E7,I343+J343)</f>
        <v/>
      </c>
      <c r="L343">
        <f>I343+J343-K343</f>
        <v/>
      </c>
      <c r="M343">
        <f>MIN(L343,MAX(0,$B343-((E$5&lt;K$5)*F343+(Q$5&lt;K$5)*R343+(W$5&lt;K$5)*X343+(AC$5&lt;K$5)*AD343+(AI$5&lt;K$5)*AJ343+(AO$5&lt;K$5)*AP343+(AU$5&lt;K$5)*AV343)))</f>
        <v/>
      </c>
      <c r="N343">
        <f>IF(L343-M343&lt;0.005,0,L343-M343)</f>
        <v/>
      </c>
      <c r="O343">
        <f>T342</f>
        <v/>
      </c>
      <c r="P343">
        <f>O343*Plan!D8/100/12</f>
        <v/>
      </c>
      <c r="Q343">
        <f>MIN(Plan!E8,O343+P343)</f>
        <v/>
      </c>
      <c r="R343">
        <f>O343+P343-Q343</f>
        <v/>
      </c>
      <c r="S343">
        <f>MIN(R343,MAX(0,$B343-((E$5&lt;Q$5)*F343+(K$5&lt;Q$5)*L343+(W$5&lt;Q$5)*X343+(AC$5&lt;Q$5)*AD343+(AI$5&lt;Q$5)*AJ343+(AO$5&lt;Q$5)*AP343+(AU$5&lt;Q$5)*AV343)))</f>
        <v/>
      </c>
      <c r="T343">
        <f>IF(R343-S343&lt;0.005,0,R343-S343)</f>
        <v/>
      </c>
      <c r="U343">
        <f>Z342</f>
        <v/>
      </c>
      <c r="V343">
        <f>U343*Plan!D9/100/12</f>
        <v/>
      </c>
      <c r="W343">
        <f>MIN(Plan!E9,U343+V343)</f>
        <v/>
      </c>
      <c r="X343">
        <f>U343+V343-W343</f>
        <v/>
      </c>
      <c r="Y343">
        <f>MIN(X343,MAX(0,$B343-((E$5&lt;W$5)*F343+(K$5&lt;W$5)*L343+(Q$5&lt;W$5)*R343+(AC$5&lt;W$5)*AD343+(AI$5&lt;W$5)*AJ343+(AO$5&lt;W$5)*AP343+(AU$5&lt;W$5)*AV343)))</f>
        <v/>
      </c>
      <c r="Z343">
        <f>IF(X343-Y343&lt;0.005,0,X343-Y343)</f>
        <v/>
      </c>
      <c r="AA343">
        <f>AF342</f>
        <v/>
      </c>
      <c r="AB343">
        <f>AA343*Plan!D10/100/12</f>
        <v/>
      </c>
      <c r="AC343">
        <f>MIN(Plan!E10,AA343+AB343)</f>
        <v/>
      </c>
      <c r="AD343">
        <f>AA343+AB343-AC343</f>
        <v/>
      </c>
      <c r="AE343">
        <f>MIN(AD343,MAX(0,$B343-((E$5&lt;AC$5)*F343+(K$5&lt;AC$5)*L343+(Q$5&lt;AC$5)*R343+(W$5&lt;AC$5)*X343+(AI$5&lt;AC$5)*AJ343+(AO$5&lt;AC$5)*AP343+(AU$5&lt;AC$5)*AV343)))</f>
        <v/>
      </c>
      <c r="AF343">
        <f>IF(AD343-AE343&lt;0.005,0,AD343-AE343)</f>
        <v/>
      </c>
      <c r="AG343">
        <f>AL342</f>
        <v/>
      </c>
      <c r="AH343">
        <f>AG343*Plan!D11/100/12</f>
        <v/>
      </c>
      <c r="AI343">
        <f>MIN(Plan!E11,AG343+AH343)</f>
        <v/>
      </c>
      <c r="AJ343">
        <f>AG343+AH343-AI343</f>
        <v/>
      </c>
      <c r="AK343">
        <f>MIN(AJ343,MAX(0,$B343-((E$5&lt;AI$5)*F343+(K$5&lt;AI$5)*L343+(Q$5&lt;AI$5)*R343+(W$5&lt;AI$5)*X343+(AC$5&lt;AI$5)*AD343+(AO$5&lt;AI$5)*AP343+(AU$5&lt;AI$5)*AV343)))</f>
        <v/>
      </c>
      <c r="AL343">
        <f>IF(AJ343-AK343&lt;0.005,0,AJ343-AK343)</f>
        <v/>
      </c>
      <c r="AM343">
        <f>AR342</f>
        <v/>
      </c>
      <c r="AN343">
        <f>AM343*Plan!D12/100/12</f>
        <v/>
      </c>
      <c r="AO343">
        <f>MIN(Plan!E12,AM343+AN343)</f>
        <v/>
      </c>
      <c r="AP343">
        <f>AM343+AN343-AO343</f>
        <v/>
      </c>
      <c r="AQ343">
        <f>MIN(AP343,MAX(0,$B343-((E$5&lt;AO$5)*F343+(K$5&lt;AO$5)*L343+(Q$5&lt;AO$5)*R343+(W$5&lt;AO$5)*X343+(AC$5&lt;AO$5)*AD343+(AI$5&lt;AO$5)*AJ343+(AU$5&lt;AO$5)*AV343)))</f>
        <v/>
      </c>
      <c r="AR343">
        <f>IF(AP343-AQ343&lt;0.005,0,AP343-AQ343)</f>
        <v/>
      </c>
      <c r="AS343">
        <f>AX342</f>
        <v/>
      </c>
      <c r="AT343">
        <f>AS343*Plan!D13/100/12</f>
        <v/>
      </c>
      <c r="AU343">
        <f>MIN(Plan!E13,AS343+AT343)</f>
        <v/>
      </c>
      <c r="AV343">
        <f>AS343+AT343-AU343</f>
        <v/>
      </c>
      <c r="AW343">
        <f>MIN(AV343,MAX(0,$B343-((E$5&lt;AU$5)*F343+(K$5&lt;AU$5)*L343+(Q$5&lt;AU$5)*R343+(W$5&lt;AU$5)*X343+(AC$5&lt;AU$5)*AD343+(AI$5&lt;AU$5)*AJ343+(AO$5&lt;AU$5)*AP343)))</f>
        <v/>
      </c>
      <c r="AX343">
        <f>IF(AV343-AW343&lt;0.005,0,AV343-AW343)</f>
        <v/>
      </c>
      <c r="BC343">
        <f>H343+N343+T343+Z343+AF343+AL343+AR343+AX343</f>
        <v/>
      </c>
    </row>
    <row r="344">
      <c r="A344" t="n">
        <v>338</v>
      </c>
      <c r="B344" s="19">
        <f>MAX(0,$B$3-(E344+K344+Q344+W344+AC344+AI344+AO344+AU344))</f>
        <v/>
      </c>
      <c r="C344">
        <f>H343</f>
        <v/>
      </c>
      <c r="D344">
        <f>C344*Plan!D6/100/12</f>
        <v/>
      </c>
      <c r="E344">
        <f>MIN(Plan!E6,C344+D344)</f>
        <v/>
      </c>
      <c r="F344">
        <f>C344+D344-E344</f>
        <v/>
      </c>
      <c r="G344">
        <f>MIN(F344,MAX(0,$B344-((K$5&lt;E$5)*L344+(Q$5&lt;E$5)*R344+(W$5&lt;E$5)*X344+(AC$5&lt;E$5)*AD344+(AI$5&lt;E$5)*AJ344+(AO$5&lt;E$5)*AP344+(AU$5&lt;E$5)*AV344)))</f>
        <v/>
      </c>
      <c r="H344">
        <f>IF(F344-G344&lt;0.005,0,F344-G344)</f>
        <v/>
      </c>
      <c r="I344">
        <f>N343</f>
        <v/>
      </c>
      <c r="J344">
        <f>I344*Plan!D7/100/12</f>
        <v/>
      </c>
      <c r="K344">
        <f>MIN(Plan!E7,I344+J344)</f>
        <v/>
      </c>
      <c r="L344">
        <f>I344+J344-K344</f>
        <v/>
      </c>
      <c r="M344">
        <f>MIN(L344,MAX(0,$B344-((E$5&lt;K$5)*F344+(Q$5&lt;K$5)*R344+(W$5&lt;K$5)*X344+(AC$5&lt;K$5)*AD344+(AI$5&lt;K$5)*AJ344+(AO$5&lt;K$5)*AP344+(AU$5&lt;K$5)*AV344)))</f>
        <v/>
      </c>
      <c r="N344">
        <f>IF(L344-M344&lt;0.005,0,L344-M344)</f>
        <v/>
      </c>
      <c r="O344">
        <f>T343</f>
        <v/>
      </c>
      <c r="P344">
        <f>O344*Plan!D8/100/12</f>
        <v/>
      </c>
      <c r="Q344">
        <f>MIN(Plan!E8,O344+P344)</f>
        <v/>
      </c>
      <c r="R344">
        <f>O344+P344-Q344</f>
        <v/>
      </c>
      <c r="S344">
        <f>MIN(R344,MAX(0,$B344-((E$5&lt;Q$5)*F344+(K$5&lt;Q$5)*L344+(W$5&lt;Q$5)*X344+(AC$5&lt;Q$5)*AD344+(AI$5&lt;Q$5)*AJ344+(AO$5&lt;Q$5)*AP344+(AU$5&lt;Q$5)*AV344)))</f>
        <v/>
      </c>
      <c r="T344">
        <f>IF(R344-S344&lt;0.005,0,R344-S344)</f>
        <v/>
      </c>
      <c r="U344">
        <f>Z343</f>
        <v/>
      </c>
      <c r="V344">
        <f>U344*Plan!D9/100/12</f>
        <v/>
      </c>
      <c r="W344">
        <f>MIN(Plan!E9,U344+V344)</f>
        <v/>
      </c>
      <c r="X344">
        <f>U344+V344-W344</f>
        <v/>
      </c>
      <c r="Y344">
        <f>MIN(X344,MAX(0,$B344-((E$5&lt;W$5)*F344+(K$5&lt;W$5)*L344+(Q$5&lt;W$5)*R344+(AC$5&lt;W$5)*AD344+(AI$5&lt;W$5)*AJ344+(AO$5&lt;W$5)*AP344+(AU$5&lt;W$5)*AV344)))</f>
        <v/>
      </c>
      <c r="Z344">
        <f>IF(X344-Y344&lt;0.005,0,X344-Y344)</f>
        <v/>
      </c>
      <c r="AA344">
        <f>AF343</f>
        <v/>
      </c>
      <c r="AB344">
        <f>AA344*Plan!D10/100/12</f>
        <v/>
      </c>
      <c r="AC344">
        <f>MIN(Plan!E10,AA344+AB344)</f>
        <v/>
      </c>
      <c r="AD344">
        <f>AA344+AB344-AC344</f>
        <v/>
      </c>
      <c r="AE344">
        <f>MIN(AD344,MAX(0,$B344-((E$5&lt;AC$5)*F344+(K$5&lt;AC$5)*L344+(Q$5&lt;AC$5)*R344+(W$5&lt;AC$5)*X344+(AI$5&lt;AC$5)*AJ344+(AO$5&lt;AC$5)*AP344+(AU$5&lt;AC$5)*AV344)))</f>
        <v/>
      </c>
      <c r="AF344">
        <f>IF(AD344-AE344&lt;0.005,0,AD344-AE344)</f>
        <v/>
      </c>
      <c r="AG344">
        <f>AL343</f>
        <v/>
      </c>
      <c r="AH344">
        <f>AG344*Plan!D11/100/12</f>
        <v/>
      </c>
      <c r="AI344">
        <f>MIN(Plan!E11,AG344+AH344)</f>
        <v/>
      </c>
      <c r="AJ344">
        <f>AG344+AH344-AI344</f>
        <v/>
      </c>
      <c r="AK344">
        <f>MIN(AJ344,MAX(0,$B344-((E$5&lt;AI$5)*F344+(K$5&lt;AI$5)*L344+(Q$5&lt;AI$5)*R344+(W$5&lt;AI$5)*X344+(AC$5&lt;AI$5)*AD344+(AO$5&lt;AI$5)*AP344+(AU$5&lt;AI$5)*AV344)))</f>
        <v/>
      </c>
      <c r="AL344">
        <f>IF(AJ344-AK344&lt;0.005,0,AJ344-AK344)</f>
        <v/>
      </c>
      <c r="AM344">
        <f>AR343</f>
        <v/>
      </c>
      <c r="AN344">
        <f>AM344*Plan!D12/100/12</f>
        <v/>
      </c>
      <c r="AO344">
        <f>MIN(Plan!E12,AM344+AN344)</f>
        <v/>
      </c>
      <c r="AP344">
        <f>AM344+AN344-AO344</f>
        <v/>
      </c>
      <c r="AQ344">
        <f>MIN(AP344,MAX(0,$B344-((E$5&lt;AO$5)*F344+(K$5&lt;AO$5)*L344+(Q$5&lt;AO$5)*R344+(W$5&lt;AO$5)*X344+(AC$5&lt;AO$5)*AD344+(AI$5&lt;AO$5)*AJ344+(AU$5&lt;AO$5)*AV344)))</f>
        <v/>
      </c>
      <c r="AR344">
        <f>IF(AP344-AQ344&lt;0.005,0,AP344-AQ344)</f>
        <v/>
      </c>
      <c r="AS344">
        <f>AX343</f>
        <v/>
      </c>
      <c r="AT344">
        <f>AS344*Plan!D13/100/12</f>
        <v/>
      </c>
      <c r="AU344">
        <f>MIN(Plan!E13,AS344+AT344)</f>
        <v/>
      </c>
      <c r="AV344">
        <f>AS344+AT344-AU344</f>
        <v/>
      </c>
      <c r="AW344">
        <f>MIN(AV344,MAX(0,$B344-((E$5&lt;AU$5)*F344+(K$5&lt;AU$5)*L344+(Q$5&lt;AU$5)*R344+(W$5&lt;AU$5)*X344+(AC$5&lt;AU$5)*AD344+(AI$5&lt;AU$5)*AJ344+(AO$5&lt;AU$5)*AP344)))</f>
        <v/>
      </c>
      <c r="AX344">
        <f>IF(AV344-AW344&lt;0.005,0,AV344-AW344)</f>
        <v/>
      </c>
      <c r="BC344">
        <f>H344+N344+T344+Z344+AF344+AL344+AR344+AX344</f>
        <v/>
      </c>
    </row>
    <row r="345">
      <c r="A345" t="n">
        <v>339</v>
      </c>
      <c r="B345" s="19">
        <f>MAX(0,$B$3-(E345+K345+Q345+W345+AC345+AI345+AO345+AU345))</f>
        <v/>
      </c>
      <c r="C345">
        <f>H344</f>
        <v/>
      </c>
      <c r="D345">
        <f>C345*Plan!D6/100/12</f>
        <v/>
      </c>
      <c r="E345">
        <f>MIN(Plan!E6,C345+D345)</f>
        <v/>
      </c>
      <c r="F345">
        <f>C345+D345-E345</f>
        <v/>
      </c>
      <c r="G345">
        <f>MIN(F345,MAX(0,$B345-((K$5&lt;E$5)*L345+(Q$5&lt;E$5)*R345+(W$5&lt;E$5)*X345+(AC$5&lt;E$5)*AD345+(AI$5&lt;E$5)*AJ345+(AO$5&lt;E$5)*AP345+(AU$5&lt;E$5)*AV345)))</f>
        <v/>
      </c>
      <c r="H345">
        <f>IF(F345-G345&lt;0.005,0,F345-G345)</f>
        <v/>
      </c>
      <c r="I345">
        <f>N344</f>
        <v/>
      </c>
      <c r="J345">
        <f>I345*Plan!D7/100/12</f>
        <v/>
      </c>
      <c r="K345">
        <f>MIN(Plan!E7,I345+J345)</f>
        <v/>
      </c>
      <c r="L345">
        <f>I345+J345-K345</f>
        <v/>
      </c>
      <c r="M345">
        <f>MIN(L345,MAX(0,$B345-((E$5&lt;K$5)*F345+(Q$5&lt;K$5)*R345+(W$5&lt;K$5)*X345+(AC$5&lt;K$5)*AD345+(AI$5&lt;K$5)*AJ345+(AO$5&lt;K$5)*AP345+(AU$5&lt;K$5)*AV345)))</f>
        <v/>
      </c>
      <c r="N345">
        <f>IF(L345-M345&lt;0.005,0,L345-M345)</f>
        <v/>
      </c>
      <c r="O345">
        <f>T344</f>
        <v/>
      </c>
      <c r="P345">
        <f>O345*Plan!D8/100/12</f>
        <v/>
      </c>
      <c r="Q345">
        <f>MIN(Plan!E8,O345+P345)</f>
        <v/>
      </c>
      <c r="R345">
        <f>O345+P345-Q345</f>
        <v/>
      </c>
      <c r="S345">
        <f>MIN(R345,MAX(0,$B345-((E$5&lt;Q$5)*F345+(K$5&lt;Q$5)*L345+(W$5&lt;Q$5)*X345+(AC$5&lt;Q$5)*AD345+(AI$5&lt;Q$5)*AJ345+(AO$5&lt;Q$5)*AP345+(AU$5&lt;Q$5)*AV345)))</f>
        <v/>
      </c>
      <c r="T345">
        <f>IF(R345-S345&lt;0.005,0,R345-S345)</f>
        <v/>
      </c>
      <c r="U345">
        <f>Z344</f>
        <v/>
      </c>
      <c r="V345">
        <f>U345*Plan!D9/100/12</f>
        <v/>
      </c>
      <c r="W345">
        <f>MIN(Plan!E9,U345+V345)</f>
        <v/>
      </c>
      <c r="X345">
        <f>U345+V345-W345</f>
        <v/>
      </c>
      <c r="Y345">
        <f>MIN(X345,MAX(0,$B345-((E$5&lt;W$5)*F345+(K$5&lt;W$5)*L345+(Q$5&lt;W$5)*R345+(AC$5&lt;W$5)*AD345+(AI$5&lt;W$5)*AJ345+(AO$5&lt;W$5)*AP345+(AU$5&lt;W$5)*AV345)))</f>
        <v/>
      </c>
      <c r="Z345">
        <f>IF(X345-Y345&lt;0.005,0,X345-Y345)</f>
        <v/>
      </c>
      <c r="AA345">
        <f>AF344</f>
        <v/>
      </c>
      <c r="AB345">
        <f>AA345*Plan!D10/100/12</f>
        <v/>
      </c>
      <c r="AC345">
        <f>MIN(Plan!E10,AA345+AB345)</f>
        <v/>
      </c>
      <c r="AD345">
        <f>AA345+AB345-AC345</f>
        <v/>
      </c>
      <c r="AE345">
        <f>MIN(AD345,MAX(0,$B345-((E$5&lt;AC$5)*F345+(K$5&lt;AC$5)*L345+(Q$5&lt;AC$5)*R345+(W$5&lt;AC$5)*X345+(AI$5&lt;AC$5)*AJ345+(AO$5&lt;AC$5)*AP345+(AU$5&lt;AC$5)*AV345)))</f>
        <v/>
      </c>
      <c r="AF345">
        <f>IF(AD345-AE345&lt;0.005,0,AD345-AE345)</f>
        <v/>
      </c>
      <c r="AG345">
        <f>AL344</f>
        <v/>
      </c>
      <c r="AH345">
        <f>AG345*Plan!D11/100/12</f>
        <v/>
      </c>
      <c r="AI345">
        <f>MIN(Plan!E11,AG345+AH345)</f>
        <v/>
      </c>
      <c r="AJ345">
        <f>AG345+AH345-AI345</f>
        <v/>
      </c>
      <c r="AK345">
        <f>MIN(AJ345,MAX(0,$B345-((E$5&lt;AI$5)*F345+(K$5&lt;AI$5)*L345+(Q$5&lt;AI$5)*R345+(W$5&lt;AI$5)*X345+(AC$5&lt;AI$5)*AD345+(AO$5&lt;AI$5)*AP345+(AU$5&lt;AI$5)*AV345)))</f>
        <v/>
      </c>
      <c r="AL345">
        <f>IF(AJ345-AK345&lt;0.005,0,AJ345-AK345)</f>
        <v/>
      </c>
      <c r="AM345">
        <f>AR344</f>
        <v/>
      </c>
      <c r="AN345">
        <f>AM345*Plan!D12/100/12</f>
        <v/>
      </c>
      <c r="AO345">
        <f>MIN(Plan!E12,AM345+AN345)</f>
        <v/>
      </c>
      <c r="AP345">
        <f>AM345+AN345-AO345</f>
        <v/>
      </c>
      <c r="AQ345">
        <f>MIN(AP345,MAX(0,$B345-((E$5&lt;AO$5)*F345+(K$5&lt;AO$5)*L345+(Q$5&lt;AO$5)*R345+(W$5&lt;AO$5)*X345+(AC$5&lt;AO$5)*AD345+(AI$5&lt;AO$5)*AJ345+(AU$5&lt;AO$5)*AV345)))</f>
        <v/>
      </c>
      <c r="AR345">
        <f>IF(AP345-AQ345&lt;0.005,0,AP345-AQ345)</f>
        <v/>
      </c>
      <c r="AS345">
        <f>AX344</f>
        <v/>
      </c>
      <c r="AT345">
        <f>AS345*Plan!D13/100/12</f>
        <v/>
      </c>
      <c r="AU345">
        <f>MIN(Plan!E13,AS345+AT345)</f>
        <v/>
      </c>
      <c r="AV345">
        <f>AS345+AT345-AU345</f>
        <v/>
      </c>
      <c r="AW345">
        <f>MIN(AV345,MAX(0,$B345-((E$5&lt;AU$5)*F345+(K$5&lt;AU$5)*L345+(Q$5&lt;AU$5)*R345+(W$5&lt;AU$5)*X345+(AC$5&lt;AU$5)*AD345+(AI$5&lt;AU$5)*AJ345+(AO$5&lt;AU$5)*AP345)))</f>
        <v/>
      </c>
      <c r="AX345">
        <f>IF(AV345-AW345&lt;0.005,0,AV345-AW345)</f>
        <v/>
      </c>
      <c r="BC345">
        <f>H345+N345+T345+Z345+AF345+AL345+AR345+AX345</f>
        <v/>
      </c>
    </row>
    <row r="346">
      <c r="A346" t="n">
        <v>340</v>
      </c>
      <c r="B346" s="19">
        <f>MAX(0,$B$3-(E346+K346+Q346+W346+AC346+AI346+AO346+AU346))</f>
        <v/>
      </c>
      <c r="C346">
        <f>H345</f>
        <v/>
      </c>
      <c r="D346">
        <f>C346*Plan!D6/100/12</f>
        <v/>
      </c>
      <c r="E346">
        <f>MIN(Plan!E6,C346+D346)</f>
        <v/>
      </c>
      <c r="F346">
        <f>C346+D346-E346</f>
        <v/>
      </c>
      <c r="G346">
        <f>MIN(F346,MAX(0,$B346-((K$5&lt;E$5)*L346+(Q$5&lt;E$5)*R346+(W$5&lt;E$5)*X346+(AC$5&lt;E$5)*AD346+(AI$5&lt;E$5)*AJ346+(AO$5&lt;E$5)*AP346+(AU$5&lt;E$5)*AV346)))</f>
        <v/>
      </c>
      <c r="H346">
        <f>IF(F346-G346&lt;0.005,0,F346-G346)</f>
        <v/>
      </c>
      <c r="I346">
        <f>N345</f>
        <v/>
      </c>
      <c r="J346">
        <f>I346*Plan!D7/100/12</f>
        <v/>
      </c>
      <c r="K346">
        <f>MIN(Plan!E7,I346+J346)</f>
        <v/>
      </c>
      <c r="L346">
        <f>I346+J346-K346</f>
        <v/>
      </c>
      <c r="M346">
        <f>MIN(L346,MAX(0,$B346-((E$5&lt;K$5)*F346+(Q$5&lt;K$5)*R346+(W$5&lt;K$5)*X346+(AC$5&lt;K$5)*AD346+(AI$5&lt;K$5)*AJ346+(AO$5&lt;K$5)*AP346+(AU$5&lt;K$5)*AV346)))</f>
        <v/>
      </c>
      <c r="N346">
        <f>IF(L346-M346&lt;0.005,0,L346-M346)</f>
        <v/>
      </c>
      <c r="O346">
        <f>T345</f>
        <v/>
      </c>
      <c r="P346">
        <f>O346*Plan!D8/100/12</f>
        <v/>
      </c>
      <c r="Q346">
        <f>MIN(Plan!E8,O346+P346)</f>
        <v/>
      </c>
      <c r="R346">
        <f>O346+P346-Q346</f>
        <v/>
      </c>
      <c r="S346">
        <f>MIN(R346,MAX(0,$B346-((E$5&lt;Q$5)*F346+(K$5&lt;Q$5)*L346+(W$5&lt;Q$5)*X346+(AC$5&lt;Q$5)*AD346+(AI$5&lt;Q$5)*AJ346+(AO$5&lt;Q$5)*AP346+(AU$5&lt;Q$5)*AV346)))</f>
        <v/>
      </c>
      <c r="T346">
        <f>IF(R346-S346&lt;0.005,0,R346-S346)</f>
        <v/>
      </c>
      <c r="U346">
        <f>Z345</f>
        <v/>
      </c>
      <c r="V346">
        <f>U346*Plan!D9/100/12</f>
        <v/>
      </c>
      <c r="W346">
        <f>MIN(Plan!E9,U346+V346)</f>
        <v/>
      </c>
      <c r="X346">
        <f>U346+V346-W346</f>
        <v/>
      </c>
      <c r="Y346">
        <f>MIN(X346,MAX(0,$B346-((E$5&lt;W$5)*F346+(K$5&lt;W$5)*L346+(Q$5&lt;W$5)*R346+(AC$5&lt;W$5)*AD346+(AI$5&lt;W$5)*AJ346+(AO$5&lt;W$5)*AP346+(AU$5&lt;W$5)*AV346)))</f>
        <v/>
      </c>
      <c r="Z346">
        <f>IF(X346-Y346&lt;0.005,0,X346-Y346)</f>
        <v/>
      </c>
      <c r="AA346">
        <f>AF345</f>
        <v/>
      </c>
      <c r="AB346">
        <f>AA346*Plan!D10/100/12</f>
        <v/>
      </c>
      <c r="AC346">
        <f>MIN(Plan!E10,AA346+AB346)</f>
        <v/>
      </c>
      <c r="AD346">
        <f>AA346+AB346-AC346</f>
        <v/>
      </c>
      <c r="AE346">
        <f>MIN(AD346,MAX(0,$B346-((E$5&lt;AC$5)*F346+(K$5&lt;AC$5)*L346+(Q$5&lt;AC$5)*R346+(W$5&lt;AC$5)*X346+(AI$5&lt;AC$5)*AJ346+(AO$5&lt;AC$5)*AP346+(AU$5&lt;AC$5)*AV346)))</f>
        <v/>
      </c>
      <c r="AF346">
        <f>IF(AD346-AE346&lt;0.005,0,AD346-AE346)</f>
        <v/>
      </c>
      <c r="AG346">
        <f>AL345</f>
        <v/>
      </c>
      <c r="AH346">
        <f>AG346*Plan!D11/100/12</f>
        <v/>
      </c>
      <c r="AI346">
        <f>MIN(Plan!E11,AG346+AH346)</f>
        <v/>
      </c>
      <c r="AJ346">
        <f>AG346+AH346-AI346</f>
        <v/>
      </c>
      <c r="AK346">
        <f>MIN(AJ346,MAX(0,$B346-((E$5&lt;AI$5)*F346+(K$5&lt;AI$5)*L346+(Q$5&lt;AI$5)*R346+(W$5&lt;AI$5)*X346+(AC$5&lt;AI$5)*AD346+(AO$5&lt;AI$5)*AP346+(AU$5&lt;AI$5)*AV346)))</f>
        <v/>
      </c>
      <c r="AL346">
        <f>IF(AJ346-AK346&lt;0.005,0,AJ346-AK346)</f>
        <v/>
      </c>
      <c r="AM346">
        <f>AR345</f>
        <v/>
      </c>
      <c r="AN346">
        <f>AM346*Plan!D12/100/12</f>
        <v/>
      </c>
      <c r="AO346">
        <f>MIN(Plan!E12,AM346+AN346)</f>
        <v/>
      </c>
      <c r="AP346">
        <f>AM346+AN346-AO346</f>
        <v/>
      </c>
      <c r="AQ346">
        <f>MIN(AP346,MAX(0,$B346-((E$5&lt;AO$5)*F346+(K$5&lt;AO$5)*L346+(Q$5&lt;AO$5)*R346+(W$5&lt;AO$5)*X346+(AC$5&lt;AO$5)*AD346+(AI$5&lt;AO$5)*AJ346+(AU$5&lt;AO$5)*AV346)))</f>
        <v/>
      </c>
      <c r="AR346">
        <f>IF(AP346-AQ346&lt;0.005,0,AP346-AQ346)</f>
        <v/>
      </c>
      <c r="AS346">
        <f>AX345</f>
        <v/>
      </c>
      <c r="AT346">
        <f>AS346*Plan!D13/100/12</f>
        <v/>
      </c>
      <c r="AU346">
        <f>MIN(Plan!E13,AS346+AT346)</f>
        <v/>
      </c>
      <c r="AV346">
        <f>AS346+AT346-AU346</f>
        <v/>
      </c>
      <c r="AW346">
        <f>MIN(AV346,MAX(0,$B346-((E$5&lt;AU$5)*F346+(K$5&lt;AU$5)*L346+(Q$5&lt;AU$5)*R346+(W$5&lt;AU$5)*X346+(AC$5&lt;AU$5)*AD346+(AI$5&lt;AU$5)*AJ346+(AO$5&lt;AU$5)*AP346)))</f>
        <v/>
      </c>
      <c r="AX346">
        <f>IF(AV346-AW346&lt;0.005,0,AV346-AW346)</f>
        <v/>
      </c>
      <c r="BC346">
        <f>H346+N346+T346+Z346+AF346+AL346+AR346+AX346</f>
        <v/>
      </c>
    </row>
    <row r="347">
      <c r="A347" t="n">
        <v>341</v>
      </c>
      <c r="B347" s="19">
        <f>MAX(0,$B$3-(E347+K347+Q347+W347+AC347+AI347+AO347+AU347))</f>
        <v/>
      </c>
      <c r="C347">
        <f>H346</f>
        <v/>
      </c>
      <c r="D347">
        <f>C347*Plan!D6/100/12</f>
        <v/>
      </c>
      <c r="E347">
        <f>MIN(Plan!E6,C347+D347)</f>
        <v/>
      </c>
      <c r="F347">
        <f>C347+D347-E347</f>
        <v/>
      </c>
      <c r="G347">
        <f>MIN(F347,MAX(0,$B347-((K$5&lt;E$5)*L347+(Q$5&lt;E$5)*R347+(W$5&lt;E$5)*X347+(AC$5&lt;E$5)*AD347+(AI$5&lt;E$5)*AJ347+(AO$5&lt;E$5)*AP347+(AU$5&lt;E$5)*AV347)))</f>
        <v/>
      </c>
      <c r="H347">
        <f>IF(F347-G347&lt;0.005,0,F347-G347)</f>
        <v/>
      </c>
      <c r="I347">
        <f>N346</f>
        <v/>
      </c>
      <c r="J347">
        <f>I347*Plan!D7/100/12</f>
        <v/>
      </c>
      <c r="K347">
        <f>MIN(Plan!E7,I347+J347)</f>
        <v/>
      </c>
      <c r="L347">
        <f>I347+J347-K347</f>
        <v/>
      </c>
      <c r="M347">
        <f>MIN(L347,MAX(0,$B347-((E$5&lt;K$5)*F347+(Q$5&lt;K$5)*R347+(W$5&lt;K$5)*X347+(AC$5&lt;K$5)*AD347+(AI$5&lt;K$5)*AJ347+(AO$5&lt;K$5)*AP347+(AU$5&lt;K$5)*AV347)))</f>
        <v/>
      </c>
      <c r="N347">
        <f>IF(L347-M347&lt;0.005,0,L347-M347)</f>
        <v/>
      </c>
      <c r="O347">
        <f>T346</f>
        <v/>
      </c>
      <c r="P347">
        <f>O347*Plan!D8/100/12</f>
        <v/>
      </c>
      <c r="Q347">
        <f>MIN(Plan!E8,O347+P347)</f>
        <v/>
      </c>
      <c r="R347">
        <f>O347+P347-Q347</f>
        <v/>
      </c>
      <c r="S347">
        <f>MIN(R347,MAX(0,$B347-((E$5&lt;Q$5)*F347+(K$5&lt;Q$5)*L347+(W$5&lt;Q$5)*X347+(AC$5&lt;Q$5)*AD347+(AI$5&lt;Q$5)*AJ347+(AO$5&lt;Q$5)*AP347+(AU$5&lt;Q$5)*AV347)))</f>
        <v/>
      </c>
      <c r="T347">
        <f>IF(R347-S347&lt;0.005,0,R347-S347)</f>
        <v/>
      </c>
      <c r="U347">
        <f>Z346</f>
        <v/>
      </c>
      <c r="V347">
        <f>U347*Plan!D9/100/12</f>
        <v/>
      </c>
      <c r="W347">
        <f>MIN(Plan!E9,U347+V347)</f>
        <v/>
      </c>
      <c r="X347">
        <f>U347+V347-W347</f>
        <v/>
      </c>
      <c r="Y347">
        <f>MIN(X347,MAX(0,$B347-((E$5&lt;W$5)*F347+(K$5&lt;W$5)*L347+(Q$5&lt;W$5)*R347+(AC$5&lt;W$5)*AD347+(AI$5&lt;W$5)*AJ347+(AO$5&lt;W$5)*AP347+(AU$5&lt;W$5)*AV347)))</f>
        <v/>
      </c>
      <c r="Z347">
        <f>IF(X347-Y347&lt;0.005,0,X347-Y347)</f>
        <v/>
      </c>
      <c r="AA347">
        <f>AF346</f>
        <v/>
      </c>
      <c r="AB347">
        <f>AA347*Plan!D10/100/12</f>
        <v/>
      </c>
      <c r="AC347">
        <f>MIN(Plan!E10,AA347+AB347)</f>
        <v/>
      </c>
      <c r="AD347">
        <f>AA347+AB347-AC347</f>
        <v/>
      </c>
      <c r="AE347">
        <f>MIN(AD347,MAX(0,$B347-((E$5&lt;AC$5)*F347+(K$5&lt;AC$5)*L347+(Q$5&lt;AC$5)*R347+(W$5&lt;AC$5)*X347+(AI$5&lt;AC$5)*AJ347+(AO$5&lt;AC$5)*AP347+(AU$5&lt;AC$5)*AV347)))</f>
        <v/>
      </c>
      <c r="AF347">
        <f>IF(AD347-AE347&lt;0.005,0,AD347-AE347)</f>
        <v/>
      </c>
      <c r="AG347">
        <f>AL346</f>
        <v/>
      </c>
      <c r="AH347">
        <f>AG347*Plan!D11/100/12</f>
        <v/>
      </c>
      <c r="AI347">
        <f>MIN(Plan!E11,AG347+AH347)</f>
        <v/>
      </c>
      <c r="AJ347">
        <f>AG347+AH347-AI347</f>
        <v/>
      </c>
      <c r="AK347">
        <f>MIN(AJ347,MAX(0,$B347-((E$5&lt;AI$5)*F347+(K$5&lt;AI$5)*L347+(Q$5&lt;AI$5)*R347+(W$5&lt;AI$5)*X347+(AC$5&lt;AI$5)*AD347+(AO$5&lt;AI$5)*AP347+(AU$5&lt;AI$5)*AV347)))</f>
        <v/>
      </c>
      <c r="AL347">
        <f>IF(AJ347-AK347&lt;0.005,0,AJ347-AK347)</f>
        <v/>
      </c>
      <c r="AM347">
        <f>AR346</f>
        <v/>
      </c>
      <c r="AN347">
        <f>AM347*Plan!D12/100/12</f>
        <v/>
      </c>
      <c r="AO347">
        <f>MIN(Plan!E12,AM347+AN347)</f>
        <v/>
      </c>
      <c r="AP347">
        <f>AM347+AN347-AO347</f>
        <v/>
      </c>
      <c r="AQ347">
        <f>MIN(AP347,MAX(0,$B347-((E$5&lt;AO$5)*F347+(K$5&lt;AO$5)*L347+(Q$5&lt;AO$5)*R347+(W$5&lt;AO$5)*X347+(AC$5&lt;AO$5)*AD347+(AI$5&lt;AO$5)*AJ347+(AU$5&lt;AO$5)*AV347)))</f>
        <v/>
      </c>
      <c r="AR347">
        <f>IF(AP347-AQ347&lt;0.005,0,AP347-AQ347)</f>
        <v/>
      </c>
      <c r="AS347">
        <f>AX346</f>
        <v/>
      </c>
      <c r="AT347">
        <f>AS347*Plan!D13/100/12</f>
        <v/>
      </c>
      <c r="AU347">
        <f>MIN(Plan!E13,AS347+AT347)</f>
        <v/>
      </c>
      <c r="AV347">
        <f>AS347+AT347-AU347</f>
        <v/>
      </c>
      <c r="AW347">
        <f>MIN(AV347,MAX(0,$B347-((E$5&lt;AU$5)*F347+(K$5&lt;AU$5)*L347+(Q$5&lt;AU$5)*R347+(W$5&lt;AU$5)*X347+(AC$5&lt;AU$5)*AD347+(AI$5&lt;AU$5)*AJ347+(AO$5&lt;AU$5)*AP347)))</f>
        <v/>
      </c>
      <c r="AX347">
        <f>IF(AV347-AW347&lt;0.005,0,AV347-AW347)</f>
        <v/>
      </c>
      <c r="BC347">
        <f>H347+N347+T347+Z347+AF347+AL347+AR347+AX347</f>
        <v/>
      </c>
    </row>
    <row r="348">
      <c r="A348" t="n">
        <v>342</v>
      </c>
      <c r="B348" s="19">
        <f>MAX(0,$B$3-(E348+K348+Q348+W348+AC348+AI348+AO348+AU348))</f>
        <v/>
      </c>
      <c r="C348">
        <f>H347</f>
        <v/>
      </c>
      <c r="D348">
        <f>C348*Plan!D6/100/12</f>
        <v/>
      </c>
      <c r="E348">
        <f>MIN(Plan!E6,C348+D348)</f>
        <v/>
      </c>
      <c r="F348">
        <f>C348+D348-E348</f>
        <v/>
      </c>
      <c r="G348">
        <f>MIN(F348,MAX(0,$B348-((K$5&lt;E$5)*L348+(Q$5&lt;E$5)*R348+(W$5&lt;E$5)*X348+(AC$5&lt;E$5)*AD348+(AI$5&lt;E$5)*AJ348+(AO$5&lt;E$5)*AP348+(AU$5&lt;E$5)*AV348)))</f>
        <v/>
      </c>
      <c r="H348">
        <f>IF(F348-G348&lt;0.005,0,F348-G348)</f>
        <v/>
      </c>
      <c r="I348">
        <f>N347</f>
        <v/>
      </c>
      <c r="J348">
        <f>I348*Plan!D7/100/12</f>
        <v/>
      </c>
      <c r="K348">
        <f>MIN(Plan!E7,I348+J348)</f>
        <v/>
      </c>
      <c r="L348">
        <f>I348+J348-K348</f>
        <v/>
      </c>
      <c r="M348">
        <f>MIN(L348,MAX(0,$B348-((E$5&lt;K$5)*F348+(Q$5&lt;K$5)*R348+(W$5&lt;K$5)*X348+(AC$5&lt;K$5)*AD348+(AI$5&lt;K$5)*AJ348+(AO$5&lt;K$5)*AP348+(AU$5&lt;K$5)*AV348)))</f>
        <v/>
      </c>
      <c r="N348">
        <f>IF(L348-M348&lt;0.005,0,L348-M348)</f>
        <v/>
      </c>
      <c r="O348">
        <f>T347</f>
        <v/>
      </c>
      <c r="P348">
        <f>O348*Plan!D8/100/12</f>
        <v/>
      </c>
      <c r="Q348">
        <f>MIN(Plan!E8,O348+P348)</f>
        <v/>
      </c>
      <c r="R348">
        <f>O348+P348-Q348</f>
        <v/>
      </c>
      <c r="S348">
        <f>MIN(R348,MAX(0,$B348-((E$5&lt;Q$5)*F348+(K$5&lt;Q$5)*L348+(W$5&lt;Q$5)*X348+(AC$5&lt;Q$5)*AD348+(AI$5&lt;Q$5)*AJ348+(AO$5&lt;Q$5)*AP348+(AU$5&lt;Q$5)*AV348)))</f>
        <v/>
      </c>
      <c r="T348">
        <f>IF(R348-S348&lt;0.005,0,R348-S348)</f>
        <v/>
      </c>
      <c r="U348">
        <f>Z347</f>
        <v/>
      </c>
      <c r="V348">
        <f>U348*Plan!D9/100/12</f>
        <v/>
      </c>
      <c r="W348">
        <f>MIN(Plan!E9,U348+V348)</f>
        <v/>
      </c>
      <c r="X348">
        <f>U348+V348-W348</f>
        <v/>
      </c>
      <c r="Y348">
        <f>MIN(X348,MAX(0,$B348-((E$5&lt;W$5)*F348+(K$5&lt;W$5)*L348+(Q$5&lt;W$5)*R348+(AC$5&lt;W$5)*AD348+(AI$5&lt;W$5)*AJ348+(AO$5&lt;W$5)*AP348+(AU$5&lt;W$5)*AV348)))</f>
        <v/>
      </c>
      <c r="Z348">
        <f>IF(X348-Y348&lt;0.005,0,X348-Y348)</f>
        <v/>
      </c>
      <c r="AA348">
        <f>AF347</f>
        <v/>
      </c>
      <c r="AB348">
        <f>AA348*Plan!D10/100/12</f>
        <v/>
      </c>
      <c r="AC348">
        <f>MIN(Plan!E10,AA348+AB348)</f>
        <v/>
      </c>
      <c r="AD348">
        <f>AA348+AB348-AC348</f>
        <v/>
      </c>
      <c r="AE348">
        <f>MIN(AD348,MAX(0,$B348-((E$5&lt;AC$5)*F348+(K$5&lt;AC$5)*L348+(Q$5&lt;AC$5)*R348+(W$5&lt;AC$5)*X348+(AI$5&lt;AC$5)*AJ348+(AO$5&lt;AC$5)*AP348+(AU$5&lt;AC$5)*AV348)))</f>
        <v/>
      </c>
      <c r="AF348">
        <f>IF(AD348-AE348&lt;0.005,0,AD348-AE348)</f>
        <v/>
      </c>
      <c r="AG348">
        <f>AL347</f>
        <v/>
      </c>
      <c r="AH348">
        <f>AG348*Plan!D11/100/12</f>
        <v/>
      </c>
      <c r="AI348">
        <f>MIN(Plan!E11,AG348+AH348)</f>
        <v/>
      </c>
      <c r="AJ348">
        <f>AG348+AH348-AI348</f>
        <v/>
      </c>
      <c r="AK348">
        <f>MIN(AJ348,MAX(0,$B348-((E$5&lt;AI$5)*F348+(K$5&lt;AI$5)*L348+(Q$5&lt;AI$5)*R348+(W$5&lt;AI$5)*X348+(AC$5&lt;AI$5)*AD348+(AO$5&lt;AI$5)*AP348+(AU$5&lt;AI$5)*AV348)))</f>
        <v/>
      </c>
      <c r="AL348">
        <f>IF(AJ348-AK348&lt;0.005,0,AJ348-AK348)</f>
        <v/>
      </c>
      <c r="AM348">
        <f>AR347</f>
        <v/>
      </c>
      <c r="AN348">
        <f>AM348*Plan!D12/100/12</f>
        <v/>
      </c>
      <c r="AO348">
        <f>MIN(Plan!E12,AM348+AN348)</f>
        <v/>
      </c>
      <c r="AP348">
        <f>AM348+AN348-AO348</f>
        <v/>
      </c>
      <c r="AQ348">
        <f>MIN(AP348,MAX(0,$B348-((E$5&lt;AO$5)*F348+(K$5&lt;AO$5)*L348+(Q$5&lt;AO$5)*R348+(W$5&lt;AO$5)*X348+(AC$5&lt;AO$5)*AD348+(AI$5&lt;AO$5)*AJ348+(AU$5&lt;AO$5)*AV348)))</f>
        <v/>
      </c>
      <c r="AR348">
        <f>IF(AP348-AQ348&lt;0.005,0,AP348-AQ348)</f>
        <v/>
      </c>
      <c r="AS348">
        <f>AX347</f>
        <v/>
      </c>
      <c r="AT348">
        <f>AS348*Plan!D13/100/12</f>
        <v/>
      </c>
      <c r="AU348">
        <f>MIN(Plan!E13,AS348+AT348)</f>
        <v/>
      </c>
      <c r="AV348">
        <f>AS348+AT348-AU348</f>
        <v/>
      </c>
      <c r="AW348">
        <f>MIN(AV348,MAX(0,$B348-((E$5&lt;AU$5)*F348+(K$5&lt;AU$5)*L348+(Q$5&lt;AU$5)*R348+(W$5&lt;AU$5)*X348+(AC$5&lt;AU$5)*AD348+(AI$5&lt;AU$5)*AJ348+(AO$5&lt;AU$5)*AP348)))</f>
        <v/>
      </c>
      <c r="AX348">
        <f>IF(AV348-AW348&lt;0.005,0,AV348-AW348)</f>
        <v/>
      </c>
      <c r="BC348">
        <f>H348+N348+T348+Z348+AF348+AL348+AR348+AX348</f>
        <v/>
      </c>
    </row>
    <row r="349">
      <c r="A349" t="n">
        <v>343</v>
      </c>
      <c r="B349" s="19">
        <f>MAX(0,$B$3-(E349+K349+Q349+W349+AC349+AI349+AO349+AU349))</f>
        <v/>
      </c>
      <c r="C349">
        <f>H348</f>
        <v/>
      </c>
      <c r="D349">
        <f>C349*Plan!D6/100/12</f>
        <v/>
      </c>
      <c r="E349">
        <f>MIN(Plan!E6,C349+D349)</f>
        <v/>
      </c>
      <c r="F349">
        <f>C349+D349-E349</f>
        <v/>
      </c>
      <c r="G349">
        <f>MIN(F349,MAX(0,$B349-((K$5&lt;E$5)*L349+(Q$5&lt;E$5)*R349+(W$5&lt;E$5)*X349+(AC$5&lt;E$5)*AD349+(AI$5&lt;E$5)*AJ349+(AO$5&lt;E$5)*AP349+(AU$5&lt;E$5)*AV349)))</f>
        <v/>
      </c>
      <c r="H349">
        <f>IF(F349-G349&lt;0.005,0,F349-G349)</f>
        <v/>
      </c>
      <c r="I349">
        <f>N348</f>
        <v/>
      </c>
      <c r="J349">
        <f>I349*Plan!D7/100/12</f>
        <v/>
      </c>
      <c r="K349">
        <f>MIN(Plan!E7,I349+J349)</f>
        <v/>
      </c>
      <c r="L349">
        <f>I349+J349-K349</f>
        <v/>
      </c>
      <c r="M349">
        <f>MIN(L349,MAX(0,$B349-((E$5&lt;K$5)*F349+(Q$5&lt;K$5)*R349+(W$5&lt;K$5)*X349+(AC$5&lt;K$5)*AD349+(AI$5&lt;K$5)*AJ349+(AO$5&lt;K$5)*AP349+(AU$5&lt;K$5)*AV349)))</f>
        <v/>
      </c>
      <c r="N349">
        <f>IF(L349-M349&lt;0.005,0,L349-M349)</f>
        <v/>
      </c>
      <c r="O349">
        <f>T348</f>
        <v/>
      </c>
      <c r="P349">
        <f>O349*Plan!D8/100/12</f>
        <v/>
      </c>
      <c r="Q349">
        <f>MIN(Plan!E8,O349+P349)</f>
        <v/>
      </c>
      <c r="R349">
        <f>O349+P349-Q349</f>
        <v/>
      </c>
      <c r="S349">
        <f>MIN(R349,MAX(0,$B349-((E$5&lt;Q$5)*F349+(K$5&lt;Q$5)*L349+(W$5&lt;Q$5)*X349+(AC$5&lt;Q$5)*AD349+(AI$5&lt;Q$5)*AJ349+(AO$5&lt;Q$5)*AP349+(AU$5&lt;Q$5)*AV349)))</f>
        <v/>
      </c>
      <c r="T349">
        <f>IF(R349-S349&lt;0.005,0,R349-S349)</f>
        <v/>
      </c>
      <c r="U349">
        <f>Z348</f>
        <v/>
      </c>
      <c r="V349">
        <f>U349*Plan!D9/100/12</f>
        <v/>
      </c>
      <c r="W349">
        <f>MIN(Plan!E9,U349+V349)</f>
        <v/>
      </c>
      <c r="X349">
        <f>U349+V349-W349</f>
        <v/>
      </c>
      <c r="Y349">
        <f>MIN(X349,MAX(0,$B349-((E$5&lt;W$5)*F349+(K$5&lt;W$5)*L349+(Q$5&lt;W$5)*R349+(AC$5&lt;W$5)*AD349+(AI$5&lt;W$5)*AJ349+(AO$5&lt;W$5)*AP349+(AU$5&lt;W$5)*AV349)))</f>
        <v/>
      </c>
      <c r="Z349">
        <f>IF(X349-Y349&lt;0.005,0,X349-Y349)</f>
        <v/>
      </c>
      <c r="AA349">
        <f>AF348</f>
        <v/>
      </c>
      <c r="AB349">
        <f>AA349*Plan!D10/100/12</f>
        <v/>
      </c>
      <c r="AC349">
        <f>MIN(Plan!E10,AA349+AB349)</f>
        <v/>
      </c>
      <c r="AD349">
        <f>AA349+AB349-AC349</f>
        <v/>
      </c>
      <c r="AE349">
        <f>MIN(AD349,MAX(0,$B349-((E$5&lt;AC$5)*F349+(K$5&lt;AC$5)*L349+(Q$5&lt;AC$5)*R349+(W$5&lt;AC$5)*X349+(AI$5&lt;AC$5)*AJ349+(AO$5&lt;AC$5)*AP349+(AU$5&lt;AC$5)*AV349)))</f>
        <v/>
      </c>
      <c r="AF349">
        <f>IF(AD349-AE349&lt;0.005,0,AD349-AE349)</f>
        <v/>
      </c>
      <c r="AG349">
        <f>AL348</f>
        <v/>
      </c>
      <c r="AH349">
        <f>AG349*Plan!D11/100/12</f>
        <v/>
      </c>
      <c r="AI349">
        <f>MIN(Plan!E11,AG349+AH349)</f>
        <v/>
      </c>
      <c r="AJ349">
        <f>AG349+AH349-AI349</f>
        <v/>
      </c>
      <c r="AK349">
        <f>MIN(AJ349,MAX(0,$B349-((E$5&lt;AI$5)*F349+(K$5&lt;AI$5)*L349+(Q$5&lt;AI$5)*R349+(W$5&lt;AI$5)*X349+(AC$5&lt;AI$5)*AD349+(AO$5&lt;AI$5)*AP349+(AU$5&lt;AI$5)*AV349)))</f>
        <v/>
      </c>
      <c r="AL349">
        <f>IF(AJ349-AK349&lt;0.005,0,AJ349-AK349)</f>
        <v/>
      </c>
      <c r="AM349">
        <f>AR348</f>
        <v/>
      </c>
      <c r="AN349">
        <f>AM349*Plan!D12/100/12</f>
        <v/>
      </c>
      <c r="AO349">
        <f>MIN(Plan!E12,AM349+AN349)</f>
        <v/>
      </c>
      <c r="AP349">
        <f>AM349+AN349-AO349</f>
        <v/>
      </c>
      <c r="AQ349">
        <f>MIN(AP349,MAX(0,$B349-((E$5&lt;AO$5)*F349+(K$5&lt;AO$5)*L349+(Q$5&lt;AO$5)*R349+(W$5&lt;AO$5)*X349+(AC$5&lt;AO$5)*AD349+(AI$5&lt;AO$5)*AJ349+(AU$5&lt;AO$5)*AV349)))</f>
        <v/>
      </c>
      <c r="AR349">
        <f>IF(AP349-AQ349&lt;0.005,0,AP349-AQ349)</f>
        <v/>
      </c>
      <c r="AS349">
        <f>AX348</f>
        <v/>
      </c>
      <c r="AT349">
        <f>AS349*Plan!D13/100/12</f>
        <v/>
      </c>
      <c r="AU349">
        <f>MIN(Plan!E13,AS349+AT349)</f>
        <v/>
      </c>
      <c r="AV349">
        <f>AS349+AT349-AU349</f>
        <v/>
      </c>
      <c r="AW349">
        <f>MIN(AV349,MAX(0,$B349-((E$5&lt;AU$5)*F349+(K$5&lt;AU$5)*L349+(Q$5&lt;AU$5)*R349+(W$5&lt;AU$5)*X349+(AC$5&lt;AU$5)*AD349+(AI$5&lt;AU$5)*AJ349+(AO$5&lt;AU$5)*AP349)))</f>
        <v/>
      </c>
      <c r="AX349">
        <f>IF(AV349-AW349&lt;0.005,0,AV349-AW349)</f>
        <v/>
      </c>
      <c r="BC349">
        <f>H349+N349+T349+Z349+AF349+AL349+AR349+AX349</f>
        <v/>
      </c>
    </row>
    <row r="350">
      <c r="A350" t="n">
        <v>344</v>
      </c>
      <c r="B350" s="19">
        <f>MAX(0,$B$3-(E350+K350+Q350+W350+AC350+AI350+AO350+AU350))</f>
        <v/>
      </c>
      <c r="C350">
        <f>H349</f>
        <v/>
      </c>
      <c r="D350">
        <f>C350*Plan!D6/100/12</f>
        <v/>
      </c>
      <c r="E350">
        <f>MIN(Plan!E6,C350+D350)</f>
        <v/>
      </c>
      <c r="F350">
        <f>C350+D350-E350</f>
        <v/>
      </c>
      <c r="G350">
        <f>MIN(F350,MAX(0,$B350-((K$5&lt;E$5)*L350+(Q$5&lt;E$5)*R350+(W$5&lt;E$5)*X350+(AC$5&lt;E$5)*AD350+(AI$5&lt;E$5)*AJ350+(AO$5&lt;E$5)*AP350+(AU$5&lt;E$5)*AV350)))</f>
        <v/>
      </c>
      <c r="H350">
        <f>IF(F350-G350&lt;0.005,0,F350-G350)</f>
        <v/>
      </c>
      <c r="I350">
        <f>N349</f>
        <v/>
      </c>
      <c r="J350">
        <f>I350*Plan!D7/100/12</f>
        <v/>
      </c>
      <c r="K350">
        <f>MIN(Plan!E7,I350+J350)</f>
        <v/>
      </c>
      <c r="L350">
        <f>I350+J350-K350</f>
        <v/>
      </c>
      <c r="M350">
        <f>MIN(L350,MAX(0,$B350-((E$5&lt;K$5)*F350+(Q$5&lt;K$5)*R350+(W$5&lt;K$5)*X350+(AC$5&lt;K$5)*AD350+(AI$5&lt;K$5)*AJ350+(AO$5&lt;K$5)*AP350+(AU$5&lt;K$5)*AV350)))</f>
        <v/>
      </c>
      <c r="N350">
        <f>IF(L350-M350&lt;0.005,0,L350-M350)</f>
        <v/>
      </c>
      <c r="O350">
        <f>T349</f>
        <v/>
      </c>
      <c r="P350">
        <f>O350*Plan!D8/100/12</f>
        <v/>
      </c>
      <c r="Q350">
        <f>MIN(Plan!E8,O350+P350)</f>
        <v/>
      </c>
      <c r="R350">
        <f>O350+P350-Q350</f>
        <v/>
      </c>
      <c r="S350">
        <f>MIN(R350,MAX(0,$B350-((E$5&lt;Q$5)*F350+(K$5&lt;Q$5)*L350+(W$5&lt;Q$5)*X350+(AC$5&lt;Q$5)*AD350+(AI$5&lt;Q$5)*AJ350+(AO$5&lt;Q$5)*AP350+(AU$5&lt;Q$5)*AV350)))</f>
        <v/>
      </c>
      <c r="T350">
        <f>IF(R350-S350&lt;0.005,0,R350-S350)</f>
        <v/>
      </c>
      <c r="U350">
        <f>Z349</f>
        <v/>
      </c>
      <c r="V350">
        <f>U350*Plan!D9/100/12</f>
        <v/>
      </c>
      <c r="W350">
        <f>MIN(Plan!E9,U350+V350)</f>
        <v/>
      </c>
      <c r="X350">
        <f>U350+V350-W350</f>
        <v/>
      </c>
      <c r="Y350">
        <f>MIN(X350,MAX(0,$B350-((E$5&lt;W$5)*F350+(K$5&lt;W$5)*L350+(Q$5&lt;W$5)*R350+(AC$5&lt;W$5)*AD350+(AI$5&lt;W$5)*AJ350+(AO$5&lt;W$5)*AP350+(AU$5&lt;W$5)*AV350)))</f>
        <v/>
      </c>
      <c r="Z350">
        <f>IF(X350-Y350&lt;0.005,0,X350-Y350)</f>
        <v/>
      </c>
      <c r="AA350">
        <f>AF349</f>
        <v/>
      </c>
      <c r="AB350">
        <f>AA350*Plan!D10/100/12</f>
        <v/>
      </c>
      <c r="AC350">
        <f>MIN(Plan!E10,AA350+AB350)</f>
        <v/>
      </c>
      <c r="AD350">
        <f>AA350+AB350-AC350</f>
        <v/>
      </c>
      <c r="AE350">
        <f>MIN(AD350,MAX(0,$B350-((E$5&lt;AC$5)*F350+(K$5&lt;AC$5)*L350+(Q$5&lt;AC$5)*R350+(W$5&lt;AC$5)*X350+(AI$5&lt;AC$5)*AJ350+(AO$5&lt;AC$5)*AP350+(AU$5&lt;AC$5)*AV350)))</f>
        <v/>
      </c>
      <c r="AF350">
        <f>IF(AD350-AE350&lt;0.005,0,AD350-AE350)</f>
        <v/>
      </c>
      <c r="AG350">
        <f>AL349</f>
        <v/>
      </c>
      <c r="AH350">
        <f>AG350*Plan!D11/100/12</f>
        <v/>
      </c>
      <c r="AI350">
        <f>MIN(Plan!E11,AG350+AH350)</f>
        <v/>
      </c>
      <c r="AJ350">
        <f>AG350+AH350-AI350</f>
        <v/>
      </c>
      <c r="AK350">
        <f>MIN(AJ350,MAX(0,$B350-((E$5&lt;AI$5)*F350+(K$5&lt;AI$5)*L350+(Q$5&lt;AI$5)*R350+(W$5&lt;AI$5)*X350+(AC$5&lt;AI$5)*AD350+(AO$5&lt;AI$5)*AP350+(AU$5&lt;AI$5)*AV350)))</f>
        <v/>
      </c>
      <c r="AL350">
        <f>IF(AJ350-AK350&lt;0.005,0,AJ350-AK350)</f>
        <v/>
      </c>
      <c r="AM350">
        <f>AR349</f>
        <v/>
      </c>
      <c r="AN350">
        <f>AM350*Plan!D12/100/12</f>
        <v/>
      </c>
      <c r="AO350">
        <f>MIN(Plan!E12,AM350+AN350)</f>
        <v/>
      </c>
      <c r="AP350">
        <f>AM350+AN350-AO350</f>
        <v/>
      </c>
      <c r="AQ350">
        <f>MIN(AP350,MAX(0,$B350-((E$5&lt;AO$5)*F350+(K$5&lt;AO$5)*L350+(Q$5&lt;AO$5)*R350+(W$5&lt;AO$5)*X350+(AC$5&lt;AO$5)*AD350+(AI$5&lt;AO$5)*AJ350+(AU$5&lt;AO$5)*AV350)))</f>
        <v/>
      </c>
      <c r="AR350">
        <f>IF(AP350-AQ350&lt;0.005,0,AP350-AQ350)</f>
        <v/>
      </c>
      <c r="AS350">
        <f>AX349</f>
        <v/>
      </c>
      <c r="AT350">
        <f>AS350*Plan!D13/100/12</f>
        <v/>
      </c>
      <c r="AU350">
        <f>MIN(Plan!E13,AS350+AT350)</f>
        <v/>
      </c>
      <c r="AV350">
        <f>AS350+AT350-AU350</f>
        <v/>
      </c>
      <c r="AW350">
        <f>MIN(AV350,MAX(0,$B350-((E$5&lt;AU$5)*F350+(K$5&lt;AU$5)*L350+(Q$5&lt;AU$5)*R350+(W$5&lt;AU$5)*X350+(AC$5&lt;AU$5)*AD350+(AI$5&lt;AU$5)*AJ350+(AO$5&lt;AU$5)*AP350)))</f>
        <v/>
      </c>
      <c r="AX350">
        <f>IF(AV350-AW350&lt;0.005,0,AV350-AW350)</f>
        <v/>
      </c>
      <c r="BC350">
        <f>H350+N350+T350+Z350+AF350+AL350+AR350+AX350</f>
        <v/>
      </c>
    </row>
    <row r="351">
      <c r="A351" t="n">
        <v>345</v>
      </c>
      <c r="B351" s="19">
        <f>MAX(0,$B$3-(E351+K351+Q351+W351+AC351+AI351+AO351+AU351))</f>
        <v/>
      </c>
      <c r="C351">
        <f>H350</f>
        <v/>
      </c>
      <c r="D351">
        <f>C351*Plan!D6/100/12</f>
        <v/>
      </c>
      <c r="E351">
        <f>MIN(Plan!E6,C351+D351)</f>
        <v/>
      </c>
      <c r="F351">
        <f>C351+D351-E351</f>
        <v/>
      </c>
      <c r="G351">
        <f>MIN(F351,MAX(0,$B351-((K$5&lt;E$5)*L351+(Q$5&lt;E$5)*R351+(W$5&lt;E$5)*X351+(AC$5&lt;E$5)*AD351+(AI$5&lt;E$5)*AJ351+(AO$5&lt;E$5)*AP351+(AU$5&lt;E$5)*AV351)))</f>
        <v/>
      </c>
      <c r="H351">
        <f>IF(F351-G351&lt;0.005,0,F351-G351)</f>
        <v/>
      </c>
      <c r="I351">
        <f>N350</f>
        <v/>
      </c>
      <c r="J351">
        <f>I351*Plan!D7/100/12</f>
        <v/>
      </c>
      <c r="K351">
        <f>MIN(Plan!E7,I351+J351)</f>
        <v/>
      </c>
      <c r="L351">
        <f>I351+J351-K351</f>
        <v/>
      </c>
      <c r="M351">
        <f>MIN(L351,MAX(0,$B351-((E$5&lt;K$5)*F351+(Q$5&lt;K$5)*R351+(W$5&lt;K$5)*X351+(AC$5&lt;K$5)*AD351+(AI$5&lt;K$5)*AJ351+(AO$5&lt;K$5)*AP351+(AU$5&lt;K$5)*AV351)))</f>
        <v/>
      </c>
      <c r="N351">
        <f>IF(L351-M351&lt;0.005,0,L351-M351)</f>
        <v/>
      </c>
      <c r="O351">
        <f>T350</f>
        <v/>
      </c>
      <c r="P351">
        <f>O351*Plan!D8/100/12</f>
        <v/>
      </c>
      <c r="Q351">
        <f>MIN(Plan!E8,O351+P351)</f>
        <v/>
      </c>
      <c r="R351">
        <f>O351+P351-Q351</f>
        <v/>
      </c>
      <c r="S351">
        <f>MIN(R351,MAX(0,$B351-((E$5&lt;Q$5)*F351+(K$5&lt;Q$5)*L351+(W$5&lt;Q$5)*X351+(AC$5&lt;Q$5)*AD351+(AI$5&lt;Q$5)*AJ351+(AO$5&lt;Q$5)*AP351+(AU$5&lt;Q$5)*AV351)))</f>
        <v/>
      </c>
      <c r="T351">
        <f>IF(R351-S351&lt;0.005,0,R351-S351)</f>
        <v/>
      </c>
      <c r="U351">
        <f>Z350</f>
        <v/>
      </c>
      <c r="V351">
        <f>U351*Plan!D9/100/12</f>
        <v/>
      </c>
      <c r="W351">
        <f>MIN(Plan!E9,U351+V351)</f>
        <v/>
      </c>
      <c r="X351">
        <f>U351+V351-W351</f>
        <v/>
      </c>
      <c r="Y351">
        <f>MIN(X351,MAX(0,$B351-((E$5&lt;W$5)*F351+(K$5&lt;W$5)*L351+(Q$5&lt;W$5)*R351+(AC$5&lt;W$5)*AD351+(AI$5&lt;W$5)*AJ351+(AO$5&lt;W$5)*AP351+(AU$5&lt;W$5)*AV351)))</f>
        <v/>
      </c>
      <c r="Z351">
        <f>IF(X351-Y351&lt;0.005,0,X351-Y351)</f>
        <v/>
      </c>
      <c r="AA351">
        <f>AF350</f>
        <v/>
      </c>
      <c r="AB351">
        <f>AA351*Plan!D10/100/12</f>
        <v/>
      </c>
      <c r="AC351">
        <f>MIN(Plan!E10,AA351+AB351)</f>
        <v/>
      </c>
      <c r="AD351">
        <f>AA351+AB351-AC351</f>
        <v/>
      </c>
      <c r="AE351">
        <f>MIN(AD351,MAX(0,$B351-((E$5&lt;AC$5)*F351+(K$5&lt;AC$5)*L351+(Q$5&lt;AC$5)*R351+(W$5&lt;AC$5)*X351+(AI$5&lt;AC$5)*AJ351+(AO$5&lt;AC$5)*AP351+(AU$5&lt;AC$5)*AV351)))</f>
        <v/>
      </c>
      <c r="AF351">
        <f>IF(AD351-AE351&lt;0.005,0,AD351-AE351)</f>
        <v/>
      </c>
      <c r="AG351">
        <f>AL350</f>
        <v/>
      </c>
      <c r="AH351">
        <f>AG351*Plan!D11/100/12</f>
        <v/>
      </c>
      <c r="AI351">
        <f>MIN(Plan!E11,AG351+AH351)</f>
        <v/>
      </c>
      <c r="AJ351">
        <f>AG351+AH351-AI351</f>
        <v/>
      </c>
      <c r="AK351">
        <f>MIN(AJ351,MAX(0,$B351-((E$5&lt;AI$5)*F351+(K$5&lt;AI$5)*L351+(Q$5&lt;AI$5)*R351+(W$5&lt;AI$5)*X351+(AC$5&lt;AI$5)*AD351+(AO$5&lt;AI$5)*AP351+(AU$5&lt;AI$5)*AV351)))</f>
        <v/>
      </c>
      <c r="AL351">
        <f>IF(AJ351-AK351&lt;0.005,0,AJ351-AK351)</f>
        <v/>
      </c>
      <c r="AM351">
        <f>AR350</f>
        <v/>
      </c>
      <c r="AN351">
        <f>AM351*Plan!D12/100/12</f>
        <v/>
      </c>
      <c r="AO351">
        <f>MIN(Plan!E12,AM351+AN351)</f>
        <v/>
      </c>
      <c r="AP351">
        <f>AM351+AN351-AO351</f>
        <v/>
      </c>
      <c r="AQ351">
        <f>MIN(AP351,MAX(0,$B351-((E$5&lt;AO$5)*F351+(K$5&lt;AO$5)*L351+(Q$5&lt;AO$5)*R351+(W$5&lt;AO$5)*X351+(AC$5&lt;AO$5)*AD351+(AI$5&lt;AO$5)*AJ351+(AU$5&lt;AO$5)*AV351)))</f>
        <v/>
      </c>
      <c r="AR351">
        <f>IF(AP351-AQ351&lt;0.005,0,AP351-AQ351)</f>
        <v/>
      </c>
      <c r="AS351">
        <f>AX350</f>
        <v/>
      </c>
      <c r="AT351">
        <f>AS351*Plan!D13/100/12</f>
        <v/>
      </c>
      <c r="AU351">
        <f>MIN(Plan!E13,AS351+AT351)</f>
        <v/>
      </c>
      <c r="AV351">
        <f>AS351+AT351-AU351</f>
        <v/>
      </c>
      <c r="AW351">
        <f>MIN(AV351,MAX(0,$B351-((E$5&lt;AU$5)*F351+(K$5&lt;AU$5)*L351+(Q$5&lt;AU$5)*R351+(W$5&lt;AU$5)*X351+(AC$5&lt;AU$5)*AD351+(AI$5&lt;AU$5)*AJ351+(AO$5&lt;AU$5)*AP351)))</f>
        <v/>
      </c>
      <c r="AX351">
        <f>IF(AV351-AW351&lt;0.005,0,AV351-AW351)</f>
        <v/>
      </c>
      <c r="BC351">
        <f>H351+N351+T351+Z351+AF351+AL351+AR351+AX351</f>
        <v/>
      </c>
    </row>
    <row r="352">
      <c r="A352" t="n">
        <v>346</v>
      </c>
      <c r="B352" s="19">
        <f>MAX(0,$B$3-(E352+K352+Q352+W352+AC352+AI352+AO352+AU352))</f>
        <v/>
      </c>
      <c r="C352">
        <f>H351</f>
        <v/>
      </c>
      <c r="D352">
        <f>C352*Plan!D6/100/12</f>
        <v/>
      </c>
      <c r="E352">
        <f>MIN(Plan!E6,C352+D352)</f>
        <v/>
      </c>
      <c r="F352">
        <f>C352+D352-E352</f>
        <v/>
      </c>
      <c r="G352">
        <f>MIN(F352,MAX(0,$B352-((K$5&lt;E$5)*L352+(Q$5&lt;E$5)*R352+(W$5&lt;E$5)*X352+(AC$5&lt;E$5)*AD352+(AI$5&lt;E$5)*AJ352+(AO$5&lt;E$5)*AP352+(AU$5&lt;E$5)*AV352)))</f>
        <v/>
      </c>
      <c r="H352">
        <f>IF(F352-G352&lt;0.005,0,F352-G352)</f>
        <v/>
      </c>
      <c r="I352">
        <f>N351</f>
        <v/>
      </c>
      <c r="J352">
        <f>I352*Plan!D7/100/12</f>
        <v/>
      </c>
      <c r="K352">
        <f>MIN(Plan!E7,I352+J352)</f>
        <v/>
      </c>
      <c r="L352">
        <f>I352+J352-K352</f>
        <v/>
      </c>
      <c r="M352">
        <f>MIN(L352,MAX(0,$B352-((E$5&lt;K$5)*F352+(Q$5&lt;K$5)*R352+(W$5&lt;K$5)*X352+(AC$5&lt;K$5)*AD352+(AI$5&lt;K$5)*AJ352+(AO$5&lt;K$5)*AP352+(AU$5&lt;K$5)*AV352)))</f>
        <v/>
      </c>
      <c r="N352">
        <f>IF(L352-M352&lt;0.005,0,L352-M352)</f>
        <v/>
      </c>
      <c r="O352">
        <f>T351</f>
        <v/>
      </c>
      <c r="P352">
        <f>O352*Plan!D8/100/12</f>
        <v/>
      </c>
      <c r="Q352">
        <f>MIN(Plan!E8,O352+P352)</f>
        <v/>
      </c>
      <c r="R352">
        <f>O352+P352-Q352</f>
        <v/>
      </c>
      <c r="S352">
        <f>MIN(R352,MAX(0,$B352-((E$5&lt;Q$5)*F352+(K$5&lt;Q$5)*L352+(W$5&lt;Q$5)*X352+(AC$5&lt;Q$5)*AD352+(AI$5&lt;Q$5)*AJ352+(AO$5&lt;Q$5)*AP352+(AU$5&lt;Q$5)*AV352)))</f>
        <v/>
      </c>
      <c r="T352">
        <f>IF(R352-S352&lt;0.005,0,R352-S352)</f>
        <v/>
      </c>
      <c r="U352">
        <f>Z351</f>
        <v/>
      </c>
      <c r="V352">
        <f>U352*Plan!D9/100/12</f>
        <v/>
      </c>
      <c r="W352">
        <f>MIN(Plan!E9,U352+V352)</f>
        <v/>
      </c>
      <c r="X352">
        <f>U352+V352-W352</f>
        <v/>
      </c>
      <c r="Y352">
        <f>MIN(X352,MAX(0,$B352-((E$5&lt;W$5)*F352+(K$5&lt;W$5)*L352+(Q$5&lt;W$5)*R352+(AC$5&lt;W$5)*AD352+(AI$5&lt;W$5)*AJ352+(AO$5&lt;W$5)*AP352+(AU$5&lt;W$5)*AV352)))</f>
        <v/>
      </c>
      <c r="Z352">
        <f>IF(X352-Y352&lt;0.005,0,X352-Y352)</f>
        <v/>
      </c>
      <c r="AA352">
        <f>AF351</f>
        <v/>
      </c>
      <c r="AB352">
        <f>AA352*Plan!D10/100/12</f>
        <v/>
      </c>
      <c r="AC352">
        <f>MIN(Plan!E10,AA352+AB352)</f>
        <v/>
      </c>
      <c r="AD352">
        <f>AA352+AB352-AC352</f>
        <v/>
      </c>
      <c r="AE352">
        <f>MIN(AD352,MAX(0,$B352-((E$5&lt;AC$5)*F352+(K$5&lt;AC$5)*L352+(Q$5&lt;AC$5)*R352+(W$5&lt;AC$5)*X352+(AI$5&lt;AC$5)*AJ352+(AO$5&lt;AC$5)*AP352+(AU$5&lt;AC$5)*AV352)))</f>
        <v/>
      </c>
      <c r="AF352">
        <f>IF(AD352-AE352&lt;0.005,0,AD352-AE352)</f>
        <v/>
      </c>
      <c r="AG352">
        <f>AL351</f>
        <v/>
      </c>
      <c r="AH352">
        <f>AG352*Plan!D11/100/12</f>
        <v/>
      </c>
      <c r="AI352">
        <f>MIN(Plan!E11,AG352+AH352)</f>
        <v/>
      </c>
      <c r="AJ352">
        <f>AG352+AH352-AI352</f>
        <v/>
      </c>
      <c r="AK352">
        <f>MIN(AJ352,MAX(0,$B352-((E$5&lt;AI$5)*F352+(K$5&lt;AI$5)*L352+(Q$5&lt;AI$5)*R352+(W$5&lt;AI$5)*X352+(AC$5&lt;AI$5)*AD352+(AO$5&lt;AI$5)*AP352+(AU$5&lt;AI$5)*AV352)))</f>
        <v/>
      </c>
      <c r="AL352">
        <f>IF(AJ352-AK352&lt;0.005,0,AJ352-AK352)</f>
        <v/>
      </c>
      <c r="AM352">
        <f>AR351</f>
        <v/>
      </c>
      <c r="AN352">
        <f>AM352*Plan!D12/100/12</f>
        <v/>
      </c>
      <c r="AO352">
        <f>MIN(Plan!E12,AM352+AN352)</f>
        <v/>
      </c>
      <c r="AP352">
        <f>AM352+AN352-AO352</f>
        <v/>
      </c>
      <c r="AQ352">
        <f>MIN(AP352,MAX(0,$B352-((E$5&lt;AO$5)*F352+(K$5&lt;AO$5)*L352+(Q$5&lt;AO$5)*R352+(W$5&lt;AO$5)*X352+(AC$5&lt;AO$5)*AD352+(AI$5&lt;AO$5)*AJ352+(AU$5&lt;AO$5)*AV352)))</f>
        <v/>
      </c>
      <c r="AR352">
        <f>IF(AP352-AQ352&lt;0.005,0,AP352-AQ352)</f>
        <v/>
      </c>
      <c r="AS352">
        <f>AX351</f>
        <v/>
      </c>
      <c r="AT352">
        <f>AS352*Plan!D13/100/12</f>
        <v/>
      </c>
      <c r="AU352">
        <f>MIN(Plan!E13,AS352+AT352)</f>
        <v/>
      </c>
      <c r="AV352">
        <f>AS352+AT352-AU352</f>
        <v/>
      </c>
      <c r="AW352">
        <f>MIN(AV352,MAX(0,$B352-((E$5&lt;AU$5)*F352+(K$5&lt;AU$5)*L352+(Q$5&lt;AU$5)*R352+(W$5&lt;AU$5)*X352+(AC$5&lt;AU$5)*AD352+(AI$5&lt;AU$5)*AJ352+(AO$5&lt;AU$5)*AP352)))</f>
        <v/>
      </c>
      <c r="AX352">
        <f>IF(AV352-AW352&lt;0.005,0,AV352-AW352)</f>
        <v/>
      </c>
      <c r="BC352">
        <f>H352+N352+T352+Z352+AF352+AL352+AR352+AX352</f>
        <v/>
      </c>
    </row>
    <row r="353">
      <c r="A353" t="n">
        <v>347</v>
      </c>
      <c r="B353" s="19">
        <f>MAX(0,$B$3-(E353+K353+Q353+W353+AC353+AI353+AO353+AU353))</f>
        <v/>
      </c>
      <c r="C353">
        <f>H352</f>
        <v/>
      </c>
      <c r="D353">
        <f>C353*Plan!D6/100/12</f>
        <v/>
      </c>
      <c r="E353">
        <f>MIN(Plan!E6,C353+D353)</f>
        <v/>
      </c>
      <c r="F353">
        <f>C353+D353-E353</f>
        <v/>
      </c>
      <c r="G353">
        <f>MIN(F353,MAX(0,$B353-((K$5&lt;E$5)*L353+(Q$5&lt;E$5)*R353+(W$5&lt;E$5)*X353+(AC$5&lt;E$5)*AD353+(AI$5&lt;E$5)*AJ353+(AO$5&lt;E$5)*AP353+(AU$5&lt;E$5)*AV353)))</f>
        <v/>
      </c>
      <c r="H353">
        <f>IF(F353-G353&lt;0.005,0,F353-G353)</f>
        <v/>
      </c>
      <c r="I353">
        <f>N352</f>
        <v/>
      </c>
      <c r="J353">
        <f>I353*Plan!D7/100/12</f>
        <v/>
      </c>
      <c r="K353">
        <f>MIN(Plan!E7,I353+J353)</f>
        <v/>
      </c>
      <c r="L353">
        <f>I353+J353-K353</f>
        <v/>
      </c>
      <c r="M353">
        <f>MIN(L353,MAX(0,$B353-((E$5&lt;K$5)*F353+(Q$5&lt;K$5)*R353+(W$5&lt;K$5)*X353+(AC$5&lt;K$5)*AD353+(AI$5&lt;K$5)*AJ353+(AO$5&lt;K$5)*AP353+(AU$5&lt;K$5)*AV353)))</f>
        <v/>
      </c>
      <c r="N353">
        <f>IF(L353-M353&lt;0.005,0,L353-M353)</f>
        <v/>
      </c>
      <c r="O353">
        <f>T352</f>
        <v/>
      </c>
      <c r="P353">
        <f>O353*Plan!D8/100/12</f>
        <v/>
      </c>
      <c r="Q353">
        <f>MIN(Plan!E8,O353+P353)</f>
        <v/>
      </c>
      <c r="R353">
        <f>O353+P353-Q353</f>
        <v/>
      </c>
      <c r="S353">
        <f>MIN(R353,MAX(0,$B353-((E$5&lt;Q$5)*F353+(K$5&lt;Q$5)*L353+(W$5&lt;Q$5)*X353+(AC$5&lt;Q$5)*AD353+(AI$5&lt;Q$5)*AJ353+(AO$5&lt;Q$5)*AP353+(AU$5&lt;Q$5)*AV353)))</f>
        <v/>
      </c>
      <c r="T353">
        <f>IF(R353-S353&lt;0.005,0,R353-S353)</f>
        <v/>
      </c>
      <c r="U353">
        <f>Z352</f>
        <v/>
      </c>
      <c r="V353">
        <f>U353*Plan!D9/100/12</f>
        <v/>
      </c>
      <c r="W353">
        <f>MIN(Plan!E9,U353+V353)</f>
        <v/>
      </c>
      <c r="X353">
        <f>U353+V353-W353</f>
        <v/>
      </c>
      <c r="Y353">
        <f>MIN(X353,MAX(0,$B353-((E$5&lt;W$5)*F353+(K$5&lt;W$5)*L353+(Q$5&lt;W$5)*R353+(AC$5&lt;W$5)*AD353+(AI$5&lt;W$5)*AJ353+(AO$5&lt;W$5)*AP353+(AU$5&lt;W$5)*AV353)))</f>
        <v/>
      </c>
      <c r="Z353">
        <f>IF(X353-Y353&lt;0.005,0,X353-Y353)</f>
        <v/>
      </c>
      <c r="AA353">
        <f>AF352</f>
        <v/>
      </c>
      <c r="AB353">
        <f>AA353*Plan!D10/100/12</f>
        <v/>
      </c>
      <c r="AC353">
        <f>MIN(Plan!E10,AA353+AB353)</f>
        <v/>
      </c>
      <c r="AD353">
        <f>AA353+AB353-AC353</f>
        <v/>
      </c>
      <c r="AE353">
        <f>MIN(AD353,MAX(0,$B353-((E$5&lt;AC$5)*F353+(K$5&lt;AC$5)*L353+(Q$5&lt;AC$5)*R353+(W$5&lt;AC$5)*X353+(AI$5&lt;AC$5)*AJ353+(AO$5&lt;AC$5)*AP353+(AU$5&lt;AC$5)*AV353)))</f>
        <v/>
      </c>
      <c r="AF353">
        <f>IF(AD353-AE353&lt;0.005,0,AD353-AE353)</f>
        <v/>
      </c>
      <c r="AG353">
        <f>AL352</f>
        <v/>
      </c>
      <c r="AH353">
        <f>AG353*Plan!D11/100/12</f>
        <v/>
      </c>
      <c r="AI353">
        <f>MIN(Plan!E11,AG353+AH353)</f>
        <v/>
      </c>
      <c r="AJ353">
        <f>AG353+AH353-AI353</f>
        <v/>
      </c>
      <c r="AK353">
        <f>MIN(AJ353,MAX(0,$B353-((E$5&lt;AI$5)*F353+(K$5&lt;AI$5)*L353+(Q$5&lt;AI$5)*R353+(W$5&lt;AI$5)*X353+(AC$5&lt;AI$5)*AD353+(AO$5&lt;AI$5)*AP353+(AU$5&lt;AI$5)*AV353)))</f>
        <v/>
      </c>
      <c r="AL353">
        <f>IF(AJ353-AK353&lt;0.005,0,AJ353-AK353)</f>
        <v/>
      </c>
      <c r="AM353">
        <f>AR352</f>
        <v/>
      </c>
      <c r="AN353">
        <f>AM353*Plan!D12/100/12</f>
        <v/>
      </c>
      <c r="AO353">
        <f>MIN(Plan!E12,AM353+AN353)</f>
        <v/>
      </c>
      <c r="AP353">
        <f>AM353+AN353-AO353</f>
        <v/>
      </c>
      <c r="AQ353">
        <f>MIN(AP353,MAX(0,$B353-((E$5&lt;AO$5)*F353+(K$5&lt;AO$5)*L353+(Q$5&lt;AO$5)*R353+(W$5&lt;AO$5)*X353+(AC$5&lt;AO$5)*AD353+(AI$5&lt;AO$5)*AJ353+(AU$5&lt;AO$5)*AV353)))</f>
        <v/>
      </c>
      <c r="AR353">
        <f>IF(AP353-AQ353&lt;0.005,0,AP353-AQ353)</f>
        <v/>
      </c>
      <c r="AS353">
        <f>AX352</f>
        <v/>
      </c>
      <c r="AT353">
        <f>AS353*Plan!D13/100/12</f>
        <v/>
      </c>
      <c r="AU353">
        <f>MIN(Plan!E13,AS353+AT353)</f>
        <v/>
      </c>
      <c r="AV353">
        <f>AS353+AT353-AU353</f>
        <v/>
      </c>
      <c r="AW353">
        <f>MIN(AV353,MAX(0,$B353-((E$5&lt;AU$5)*F353+(K$5&lt;AU$5)*L353+(Q$5&lt;AU$5)*R353+(W$5&lt;AU$5)*X353+(AC$5&lt;AU$5)*AD353+(AI$5&lt;AU$5)*AJ353+(AO$5&lt;AU$5)*AP353)))</f>
        <v/>
      </c>
      <c r="AX353">
        <f>IF(AV353-AW353&lt;0.005,0,AV353-AW353)</f>
        <v/>
      </c>
      <c r="BC353">
        <f>H353+N353+T353+Z353+AF353+AL353+AR353+AX353</f>
        <v/>
      </c>
    </row>
    <row r="354">
      <c r="A354" t="n">
        <v>348</v>
      </c>
      <c r="B354" s="19">
        <f>MAX(0,$B$3-(E354+K354+Q354+W354+AC354+AI354+AO354+AU354))</f>
        <v/>
      </c>
      <c r="C354">
        <f>H353</f>
        <v/>
      </c>
      <c r="D354">
        <f>C354*Plan!D6/100/12</f>
        <v/>
      </c>
      <c r="E354">
        <f>MIN(Plan!E6,C354+D354)</f>
        <v/>
      </c>
      <c r="F354">
        <f>C354+D354-E354</f>
        <v/>
      </c>
      <c r="G354">
        <f>MIN(F354,MAX(0,$B354-((K$5&lt;E$5)*L354+(Q$5&lt;E$5)*R354+(W$5&lt;E$5)*X354+(AC$5&lt;E$5)*AD354+(AI$5&lt;E$5)*AJ354+(AO$5&lt;E$5)*AP354+(AU$5&lt;E$5)*AV354)))</f>
        <v/>
      </c>
      <c r="H354">
        <f>IF(F354-G354&lt;0.005,0,F354-G354)</f>
        <v/>
      </c>
      <c r="I354">
        <f>N353</f>
        <v/>
      </c>
      <c r="J354">
        <f>I354*Plan!D7/100/12</f>
        <v/>
      </c>
      <c r="K354">
        <f>MIN(Plan!E7,I354+J354)</f>
        <v/>
      </c>
      <c r="L354">
        <f>I354+J354-K354</f>
        <v/>
      </c>
      <c r="M354">
        <f>MIN(L354,MAX(0,$B354-((E$5&lt;K$5)*F354+(Q$5&lt;K$5)*R354+(W$5&lt;K$5)*X354+(AC$5&lt;K$5)*AD354+(AI$5&lt;K$5)*AJ354+(AO$5&lt;K$5)*AP354+(AU$5&lt;K$5)*AV354)))</f>
        <v/>
      </c>
      <c r="N354">
        <f>IF(L354-M354&lt;0.005,0,L354-M354)</f>
        <v/>
      </c>
      <c r="O354">
        <f>T353</f>
        <v/>
      </c>
      <c r="P354">
        <f>O354*Plan!D8/100/12</f>
        <v/>
      </c>
      <c r="Q354">
        <f>MIN(Plan!E8,O354+P354)</f>
        <v/>
      </c>
      <c r="R354">
        <f>O354+P354-Q354</f>
        <v/>
      </c>
      <c r="S354">
        <f>MIN(R354,MAX(0,$B354-((E$5&lt;Q$5)*F354+(K$5&lt;Q$5)*L354+(W$5&lt;Q$5)*X354+(AC$5&lt;Q$5)*AD354+(AI$5&lt;Q$5)*AJ354+(AO$5&lt;Q$5)*AP354+(AU$5&lt;Q$5)*AV354)))</f>
        <v/>
      </c>
      <c r="T354">
        <f>IF(R354-S354&lt;0.005,0,R354-S354)</f>
        <v/>
      </c>
      <c r="U354">
        <f>Z353</f>
        <v/>
      </c>
      <c r="V354">
        <f>U354*Plan!D9/100/12</f>
        <v/>
      </c>
      <c r="W354">
        <f>MIN(Plan!E9,U354+V354)</f>
        <v/>
      </c>
      <c r="X354">
        <f>U354+V354-W354</f>
        <v/>
      </c>
      <c r="Y354">
        <f>MIN(X354,MAX(0,$B354-((E$5&lt;W$5)*F354+(K$5&lt;W$5)*L354+(Q$5&lt;W$5)*R354+(AC$5&lt;W$5)*AD354+(AI$5&lt;W$5)*AJ354+(AO$5&lt;W$5)*AP354+(AU$5&lt;W$5)*AV354)))</f>
        <v/>
      </c>
      <c r="Z354">
        <f>IF(X354-Y354&lt;0.005,0,X354-Y354)</f>
        <v/>
      </c>
      <c r="AA354">
        <f>AF353</f>
        <v/>
      </c>
      <c r="AB354">
        <f>AA354*Plan!D10/100/12</f>
        <v/>
      </c>
      <c r="AC354">
        <f>MIN(Plan!E10,AA354+AB354)</f>
        <v/>
      </c>
      <c r="AD354">
        <f>AA354+AB354-AC354</f>
        <v/>
      </c>
      <c r="AE354">
        <f>MIN(AD354,MAX(0,$B354-((E$5&lt;AC$5)*F354+(K$5&lt;AC$5)*L354+(Q$5&lt;AC$5)*R354+(W$5&lt;AC$5)*X354+(AI$5&lt;AC$5)*AJ354+(AO$5&lt;AC$5)*AP354+(AU$5&lt;AC$5)*AV354)))</f>
        <v/>
      </c>
      <c r="AF354">
        <f>IF(AD354-AE354&lt;0.005,0,AD354-AE354)</f>
        <v/>
      </c>
      <c r="AG354">
        <f>AL353</f>
        <v/>
      </c>
      <c r="AH354">
        <f>AG354*Plan!D11/100/12</f>
        <v/>
      </c>
      <c r="AI354">
        <f>MIN(Plan!E11,AG354+AH354)</f>
        <v/>
      </c>
      <c r="AJ354">
        <f>AG354+AH354-AI354</f>
        <v/>
      </c>
      <c r="AK354">
        <f>MIN(AJ354,MAX(0,$B354-((E$5&lt;AI$5)*F354+(K$5&lt;AI$5)*L354+(Q$5&lt;AI$5)*R354+(W$5&lt;AI$5)*X354+(AC$5&lt;AI$5)*AD354+(AO$5&lt;AI$5)*AP354+(AU$5&lt;AI$5)*AV354)))</f>
        <v/>
      </c>
      <c r="AL354">
        <f>IF(AJ354-AK354&lt;0.005,0,AJ354-AK354)</f>
        <v/>
      </c>
      <c r="AM354">
        <f>AR353</f>
        <v/>
      </c>
      <c r="AN354">
        <f>AM354*Plan!D12/100/12</f>
        <v/>
      </c>
      <c r="AO354">
        <f>MIN(Plan!E12,AM354+AN354)</f>
        <v/>
      </c>
      <c r="AP354">
        <f>AM354+AN354-AO354</f>
        <v/>
      </c>
      <c r="AQ354">
        <f>MIN(AP354,MAX(0,$B354-((E$5&lt;AO$5)*F354+(K$5&lt;AO$5)*L354+(Q$5&lt;AO$5)*R354+(W$5&lt;AO$5)*X354+(AC$5&lt;AO$5)*AD354+(AI$5&lt;AO$5)*AJ354+(AU$5&lt;AO$5)*AV354)))</f>
        <v/>
      </c>
      <c r="AR354">
        <f>IF(AP354-AQ354&lt;0.005,0,AP354-AQ354)</f>
        <v/>
      </c>
      <c r="AS354">
        <f>AX353</f>
        <v/>
      </c>
      <c r="AT354">
        <f>AS354*Plan!D13/100/12</f>
        <v/>
      </c>
      <c r="AU354">
        <f>MIN(Plan!E13,AS354+AT354)</f>
        <v/>
      </c>
      <c r="AV354">
        <f>AS354+AT354-AU354</f>
        <v/>
      </c>
      <c r="AW354">
        <f>MIN(AV354,MAX(0,$B354-((E$5&lt;AU$5)*F354+(K$5&lt;AU$5)*L354+(Q$5&lt;AU$5)*R354+(W$5&lt;AU$5)*X354+(AC$5&lt;AU$5)*AD354+(AI$5&lt;AU$5)*AJ354+(AO$5&lt;AU$5)*AP354)))</f>
        <v/>
      </c>
      <c r="AX354">
        <f>IF(AV354-AW354&lt;0.005,0,AV354-AW354)</f>
        <v/>
      </c>
      <c r="BC354">
        <f>H354+N354+T354+Z354+AF354+AL354+AR354+AX354</f>
        <v/>
      </c>
    </row>
    <row r="355">
      <c r="A355" t="n">
        <v>349</v>
      </c>
      <c r="B355" s="19">
        <f>MAX(0,$B$3-(E355+K355+Q355+W355+AC355+AI355+AO355+AU355))</f>
        <v/>
      </c>
      <c r="C355">
        <f>H354</f>
        <v/>
      </c>
      <c r="D355">
        <f>C355*Plan!D6/100/12</f>
        <v/>
      </c>
      <c r="E355">
        <f>MIN(Plan!E6,C355+D355)</f>
        <v/>
      </c>
      <c r="F355">
        <f>C355+D355-E355</f>
        <v/>
      </c>
      <c r="G355">
        <f>MIN(F355,MAX(0,$B355-((K$5&lt;E$5)*L355+(Q$5&lt;E$5)*R355+(W$5&lt;E$5)*X355+(AC$5&lt;E$5)*AD355+(AI$5&lt;E$5)*AJ355+(AO$5&lt;E$5)*AP355+(AU$5&lt;E$5)*AV355)))</f>
        <v/>
      </c>
      <c r="H355">
        <f>IF(F355-G355&lt;0.005,0,F355-G355)</f>
        <v/>
      </c>
      <c r="I355">
        <f>N354</f>
        <v/>
      </c>
      <c r="J355">
        <f>I355*Plan!D7/100/12</f>
        <v/>
      </c>
      <c r="K355">
        <f>MIN(Plan!E7,I355+J355)</f>
        <v/>
      </c>
      <c r="L355">
        <f>I355+J355-K355</f>
        <v/>
      </c>
      <c r="M355">
        <f>MIN(L355,MAX(0,$B355-((E$5&lt;K$5)*F355+(Q$5&lt;K$5)*R355+(W$5&lt;K$5)*X355+(AC$5&lt;K$5)*AD355+(AI$5&lt;K$5)*AJ355+(AO$5&lt;K$5)*AP355+(AU$5&lt;K$5)*AV355)))</f>
        <v/>
      </c>
      <c r="N355">
        <f>IF(L355-M355&lt;0.005,0,L355-M355)</f>
        <v/>
      </c>
      <c r="O355">
        <f>T354</f>
        <v/>
      </c>
      <c r="P355">
        <f>O355*Plan!D8/100/12</f>
        <v/>
      </c>
      <c r="Q355">
        <f>MIN(Plan!E8,O355+P355)</f>
        <v/>
      </c>
      <c r="R355">
        <f>O355+P355-Q355</f>
        <v/>
      </c>
      <c r="S355">
        <f>MIN(R355,MAX(0,$B355-((E$5&lt;Q$5)*F355+(K$5&lt;Q$5)*L355+(W$5&lt;Q$5)*X355+(AC$5&lt;Q$5)*AD355+(AI$5&lt;Q$5)*AJ355+(AO$5&lt;Q$5)*AP355+(AU$5&lt;Q$5)*AV355)))</f>
        <v/>
      </c>
      <c r="T355">
        <f>IF(R355-S355&lt;0.005,0,R355-S355)</f>
        <v/>
      </c>
      <c r="U355">
        <f>Z354</f>
        <v/>
      </c>
      <c r="V355">
        <f>U355*Plan!D9/100/12</f>
        <v/>
      </c>
      <c r="W355">
        <f>MIN(Plan!E9,U355+V355)</f>
        <v/>
      </c>
      <c r="X355">
        <f>U355+V355-W355</f>
        <v/>
      </c>
      <c r="Y355">
        <f>MIN(X355,MAX(0,$B355-((E$5&lt;W$5)*F355+(K$5&lt;W$5)*L355+(Q$5&lt;W$5)*R355+(AC$5&lt;W$5)*AD355+(AI$5&lt;W$5)*AJ355+(AO$5&lt;W$5)*AP355+(AU$5&lt;W$5)*AV355)))</f>
        <v/>
      </c>
      <c r="Z355">
        <f>IF(X355-Y355&lt;0.005,0,X355-Y355)</f>
        <v/>
      </c>
      <c r="AA355">
        <f>AF354</f>
        <v/>
      </c>
      <c r="AB355">
        <f>AA355*Plan!D10/100/12</f>
        <v/>
      </c>
      <c r="AC355">
        <f>MIN(Plan!E10,AA355+AB355)</f>
        <v/>
      </c>
      <c r="AD355">
        <f>AA355+AB355-AC355</f>
        <v/>
      </c>
      <c r="AE355">
        <f>MIN(AD355,MAX(0,$B355-((E$5&lt;AC$5)*F355+(K$5&lt;AC$5)*L355+(Q$5&lt;AC$5)*R355+(W$5&lt;AC$5)*X355+(AI$5&lt;AC$5)*AJ355+(AO$5&lt;AC$5)*AP355+(AU$5&lt;AC$5)*AV355)))</f>
        <v/>
      </c>
      <c r="AF355">
        <f>IF(AD355-AE355&lt;0.005,0,AD355-AE355)</f>
        <v/>
      </c>
      <c r="AG355">
        <f>AL354</f>
        <v/>
      </c>
      <c r="AH355">
        <f>AG355*Plan!D11/100/12</f>
        <v/>
      </c>
      <c r="AI355">
        <f>MIN(Plan!E11,AG355+AH355)</f>
        <v/>
      </c>
      <c r="AJ355">
        <f>AG355+AH355-AI355</f>
        <v/>
      </c>
      <c r="AK355">
        <f>MIN(AJ355,MAX(0,$B355-((E$5&lt;AI$5)*F355+(K$5&lt;AI$5)*L355+(Q$5&lt;AI$5)*R355+(W$5&lt;AI$5)*X355+(AC$5&lt;AI$5)*AD355+(AO$5&lt;AI$5)*AP355+(AU$5&lt;AI$5)*AV355)))</f>
        <v/>
      </c>
      <c r="AL355">
        <f>IF(AJ355-AK355&lt;0.005,0,AJ355-AK355)</f>
        <v/>
      </c>
      <c r="AM355">
        <f>AR354</f>
        <v/>
      </c>
      <c r="AN355">
        <f>AM355*Plan!D12/100/12</f>
        <v/>
      </c>
      <c r="AO355">
        <f>MIN(Plan!E12,AM355+AN355)</f>
        <v/>
      </c>
      <c r="AP355">
        <f>AM355+AN355-AO355</f>
        <v/>
      </c>
      <c r="AQ355">
        <f>MIN(AP355,MAX(0,$B355-((E$5&lt;AO$5)*F355+(K$5&lt;AO$5)*L355+(Q$5&lt;AO$5)*R355+(W$5&lt;AO$5)*X355+(AC$5&lt;AO$5)*AD355+(AI$5&lt;AO$5)*AJ355+(AU$5&lt;AO$5)*AV355)))</f>
        <v/>
      </c>
      <c r="AR355">
        <f>IF(AP355-AQ355&lt;0.005,0,AP355-AQ355)</f>
        <v/>
      </c>
      <c r="AS355">
        <f>AX354</f>
        <v/>
      </c>
      <c r="AT355">
        <f>AS355*Plan!D13/100/12</f>
        <v/>
      </c>
      <c r="AU355">
        <f>MIN(Plan!E13,AS355+AT355)</f>
        <v/>
      </c>
      <c r="AV355">
        <f>AS355+AT355-AU355</f>
        <v/>
      </c>
      <c r="AW355">
        <f>MIN(AV355,MAX(0,$B355-((E$5&lt;AU$5)*F355+(K$5&lt;AU$5)*L355+(Q$5&lt;AU$5)*R355+(W$5&lt;AU$5)*X355+(AC$5&lt;AU$5)*AD355+(AI$5&lt;AU$5)*AJ355+(AO$5&lt;AU$5)*AP355)))</f>
        <v/>
      </c>
      <c r="AX355">
        <f>IF(AV355-AW355&lt;0.005,0,AV355-AW355)</f>
        <v/>
      </c>
      <c r="BC355">
        <f>H355+N355+T355+Z355+AF355+AL355+AR355+AX355</f>
        <v/>
      </c>
    </row>
    <row r="356">
      <c r="A356" t="n">
        <v>350</v>
      </c>
      <c r="B356" s="19">
        <f>MAX(0,$B$3-(E356+K356+Q356+W356+AC356+AI356+AO356+AU356))</f>
        <v/>
      </c>
      <c r="C356">
        <f>H355</f>
        <v/>
      </c>
      <c r="D356">
        <f>C356*Plan!D6/100/12</f>
        <v/>
      </c>
      <c r="E356">
        <f>MIN(Plan!E6,C356+D356)</f>
        <v/>
      </c>
      <c r="F356">
        <f>C356+D356-E356</f>
        <v/>
      </c>
      <c r="G356">
        <f>MIN(F356,MAX(0,$B356-((K$5&lt;E$5)*L356+(Q$5&lt;E$5)*R356+(W$5&lt;E$5)*X356+(AC$5&lt;E$5)*AD356+(AI$5&lt;E$5)*AJ356+(AO$5&lt;E$5)*AP356+(AU$5&lt;E$5)*AV356)))</f>
        <v/>
      </c>
      <c r="H356">
        <f>IF(F356-G356&lt;0.005,0,F356-G356)</f>
        <v/>
      </c>
      <c r="I356">
        <f>N355</f>
        <v/>
      </c>
      <c r="J356">
        <f>I356*Plan!D7/100/12</f>
        <v/>
      </c>
      <c r="K356">
        <f>MIN(Plan!E7,I356+J356)</f>
        <v/>
      </c>
      <c r="L356">
        <f>I356+J356-K356</f>
        <v/>
      </c>
      <c r="M356">
        <f>MIN(L356,MAX(0,$B356-((E$5&lt;K$5)*F356+(Q$5&lt;K$5)*R356+(W$5&lt;K$5)*X356+(AC$5&lt;K$5)*AD356+(AI$5&lt;K$5)*AJ356+(AO$5&lt;K$5)*AP356+(AU$5&lt;K$5)*AV356)))</f>
        <v/>
      </c>
      <c r="N356">
        <f>IF(L356-M356&lt;0.005,0,L356-M356)</f>
        <v/>
      </c>
      <c r="O356">
        <f>T355</f>
        <v/>
      </c>
      <c r="P356">
        <f>O356*Plan!D8/100/12</f>
        <v/>
      </c>
      <c r="Q356">
        <f>MIN(Plan!E8,O356+P356)</f>
        <v/>
      </c>
      <c r="R356">
        <f>O356+P356-Q356</f>
        <v/>
      </c>
      <c r="S356">
        <f>MIN(R356,MAX(0,$B356-((E$5&lt;Q$5)*F356+(K$5&lt;Q$5)*L356+(W$5&lt;Q$5)*X356+(AC$5&lt;Q$5)*AD356+(AI$5&lt;Q$5)*AJ356+(AO$5&lt;Q$5)*AP356+(AU$5&lt;Q$5)*AV356)))</f>
        <v/>
      </c>
      <c r="T356">
        <f>IF(R356-S356&lt;0.005,0,R356-S356)</f>
        <v/>
      </c>
      <c r="U356">
        <f>Z355</f>
        <v/>
      </c>
      <c r="V356">
        <f>U356*Plan!D9/100/12</f>
        <v/>
      </c>
      <c r="W356">
        <f>MIN(Plan!E9,U356+V356)</f>
        <v/>
      </c>
      <c r="X356">
        <f>U356+V356-W356</f>
        <v/>
      </c>
      <c r="Y356">
        <f>MIN(X356,MAX(0,$B356-((E$5&lt;W$5)*F356+(K$5&lt;W$5)*L356+(Q$5&lt;W$5)*R356+(AC$5&lt;W$5)*AD356+(AI$5&lt;W$5)*AJ356+(AO$5&lt;W$5)*AP356+(AU$5&lt;W$5)*AV356)))</f>
        <v/>
      </c>
      <c r="Z356">
        <f>IF(X356-Y356&lt;0.005,0,X356-Y356)</f>
        <v/>
      </c>
      <c r="AA356">
        <f>AF355</f>
        <v/>
      </c>
      <c r="AB356">
        <f>AA356*Plan!D10/100/12</f>
        <v/>
      </c>
      <c r="AC356">
        <f>MIN(Plan!E10,AA356+AB356)</f>
        <v/>
      </c>
      <c r="AD356">
        <f>AA356+AB356-AC356</f>
        <v/>
      </c>
      <c r="AE356">
        <f>MIN(AD356,MAX(0,$B356-((E$5&lt;AC$5)*F356+(K$5&lt;AC$5)*L356+(Q$5&lt;AC$5)*R356+(W$5&lt;AC$5)*X356+(AI$5&lt;AC$5)*AJ356+(AO$5&lt;AC$5)*AP356+(AU$5&lt;AC$5)*AV356)))</f>
        <v/>
      </c>
      <c r="AF356">
        <f>IF(AD356-AE356&lt;0.005,0,AD356-AE356)</f>
        <v/>
      </c>
      <c r="AG356">
        <f>AL355</f>
        <v/>
      </c>
      <c r="AH356">
        <f>AG356*Plan!D11/100/12</f>
        <v/>
      </c>
      <c r="AI356">
        <f>MIN(Plan!E11,AG356+AH356)</f>
        <v/>
      </c>
      <c r="AJ356">
        <f>AG356+AH356-AI356</f>
        <v/>
      </c>
      <c r="AK356">
        <f>MIN(AJ356,MAX(0,$B356-((E$5&lt;AI$5)*F356+(K$5&lt;AI$5)*L356+(Q$5&lt;AI$5)*R356+(W$5&lt;AI$5)*X356+(AC$5&lt;AI$5)*AD356+(AO$5&lt;AI$5)*AP356+(AU$5&lt;AI$5)*AV356)))</f>
        <v/>
      </c>
      <c r="AL356">
        <f>IF(AJ356-AK356&lt;0.005,0,AJ356-AK356)</f>
        <v/>
      </c>
      <c r="AM356">
        <f>AR355</f>
        <v/>
      </c>
      <c r="AN356">
        <f>AM356*Plan!D12/100/12</f>
        <v/>
      </c>
      <c r="AO356">
        <f>MIN(Plan!E12,AM356+AN356)</f>
        <v/>
      </c>
      <c r="AP356">
        <f>AM356+AN356-AO356</f>
        <v/>
      </c>
      <c r="AQ356">
        <f>MIN(AP356,MAX(0,$B356-((E$5&lt;AO$5)*F356+(K$5&lt;AO$5)*L356+(Q$5&lt;AO$5)*R356+(W$5&lt;AO$5)*X356+(AC$5&lt;AO$5)*AD356+(AI$5&lt;AO$5)*AJ356+(AU$5&lt;AO$5)*AV356)))</f>
        <v/>
      </c>
      <c r="AR356">
        <f>IF(AP356-AQ356&lt;0.005,0,AP356-AQ356)</f>
        <v/>
      </c>
      <c r="AS356">
        <f>AX355</f>
        <v/>
      </c>
      <c r="AT356">
        <f>AS356*Plan!D13/100/12</f>
        <v/>
      </c>
      <c r="AU356">
        <f>MIN(Plan!E13,AS356+AT356)</f>
        <v/>
      </c>
      <c r="AV356">
        <f>AS356+AT356-AU356</f>
        <v/>
      </c>
      <c r="AW356">
        <f>MIN(AV356,MAX(0,$B356-((E$5&lt;AU$5)*F356+(K$5&lt;AU$5)*L356+(Q$5&lt;AU$5)*R356+(W$5&lt;AU$5)*X356+(AC$5&lt;AU$5)*AD356+(AI$5&lt;AU$5)*AJ356+(AO$5&lt;AU$5)*AP356)))</f>
        <v/>
      </c>
      <c r="AX356">
        <f>IF(AV356-AW356&lt;0.005,0,AV356-AW356)</f>
        <v/>
      </c>
      <c r="BC356">
        <f>H356+N356+T356+Z356+AF356+AL356+AR356+AX356</f>
        <v/>
      </c>
    </row>
    <row r="357">
      <c r="A357" t="n">
        <v>351</v>
      </c>
      <c r="B357" s="19">
        <f>MAX(0,$B$3-(E357+K357+Q357+W357+AC357+AI357+AO357+AU357))</f>
        <v/>
      </c>
      <c r="C357">
        <f>H356</f>
        <v/>
      </c>
      <c r="D357">
        <f>C357*Plan!D6/100/12</f>
        <v/>
      </c>
      <c r="E357">
        <f>MIN(Plan!E6,C357+D357)</f>
        <v/>
      </c>
      <c r="F357">
        <f>C357+D357-E357</f>
        <v/>
      </c>
      <c r="G357">
        <f>MIN(F357,MAX(0,$B357-((K$5&lt;E$5)*L357+(Q$5&lt;E$5)*R357+(W$5&lt;E$5)*X357+(AC$5&lt;E$5)*AD357+(AI$5&lt;E$5)*AJ357+(AO$5&lt;E$5)*AP357+(AU$5&lt;E$5)*AV357)))</f>
        <v/>
      </c>
      <c r="H357">
        <f>IF(F357-G357&lt;0.005,0,F357-G357)</f>
        <v/>
      </c>
      <c r="I357">
        <f>N356</f>
        <v/>
      </c>
      <c r="J357">
        <f>I357*Plan!D7/100/12</f>
        <v/>
      </c>
      <c r="K357">
        <f>MIN(Plan!E7,I357+J357)</f>
        <v/>
      </c>
      <c r="L357">
        <f>I357+J357-K357</f>
        <v/>
      </c>
      <c r="M357">
        <f>MIN(L357,MAX(0,$B357-((E$5&lt;K$5)*F357+(Q$5&lt;K$5)*R357+(W$5&lt;K$5)*X357+(AC$5&lt;K$5)*AD357+(AI$5&lt;K$5)*AJ357+(AO$5&lt;K$5)*AP357+(AU$5&lt;K$5)*AV357)))</f>
        <v/>
      </c>
      <c r="N357">
        <f>IF(L357-M357&lt;0.005,0,L357-M357)</f>
        <v/>
      </c>
      <c r="O357">
        <f>T356</f>
        <v/>
      </c>
      <c r="P357">
        <f>O357*Plan!D8/100/12</f>
        <v/>
      </c>
      <c r="Q357">
        <f>MIN(Plan!E8,O357+P357)</f>
        <v/>
      </c>
      <c r="R357">
        <f>O357+P357-Q357</f>
        <v/>
      </c>
      <c r="S357">
        <f>MIN(R357,MAX(0,$B357-((E$5&lt;Q$5)*F357+(K$5&lt;Q$5)*L357+(W$5&lt;Q$5)*X357+(AC$5&lt;Q$5)*AD357+(AI$5&lt;Q$5)*AJ357+(AO$5&lt;Q$5)*AP357+(AU$5&lt;Q$5)*AV357)))</f>
        <v/>
      </c>
      <c r="T357">
        <f>IF(R357-S357&lt;0.005,0,R357-S357)</f>
        <v/>
      </c>
      <c r="U357">
        <f>Z356</f>
        <v/>
      </c>
      <c r="V357">
        <f>U357*Plan!D9/100/12</f>
        <v/>
      </c>
      <c r="W357">
        <f>MIN(Plan!E9,U357+V357)</f>
        <v/>
      </c>
      <c r="X357">
        <f>U357+V357-W357</f>
        <v/>
      </c>
      <c r="Y357">
        <f>MIN(X357,MAX(0,$B357-((E$5&lt;W$5)*F357+(K$5&lt;W$5)*L357+(Q$5&lt;W$5)*R357+(AC$5&lt;W$5)*AD357+(AI$5&lt;W$5)*AJ357+(AO$5&lt;W$5)*AP357+(AU$5&lt;W$5)*AV357)))</f>
        <v/>
      </c>
      <c r="Z357">
        <f>IF(X357-Y357&lt;0.005,0,X357-Y357)</f>
        <v/>
      </c>
      <c r="AA357">
        <f>AF356</f>
        <v/>
      </c>
      <c r="AB357">
        <f>AA357*Plan!D10/100/12</f>
        <v/>
      </c>
      <c r="AC357">
        <f>MIN(Plan!E10,AA357+AB357)</f>
        <v/>
      </c>
      <c r="AD357">
        <f>AA357+AB357-AC357</f>
        <v/>
      </c>
      <c r="AE357">
        <f>MIN(AD357,MAX(0,$B357-((E$5&lt;AC$5)*F357+(K$5&lt;AC$5)*L357+(Q$5&lt;AC$5)*R357+(W$5&lt;AC$5)*X357+(AI$5&lt;AC$5)*AJ357+(AO$5&lt;AC$5)*AP357+(AU$5&lt;AC$5)*AV357)))</f>
        <v/>
      </c>
      <c r="AF357">
        <f>IF(AD357-AE357&lt;0.005,0,AD357-AE357)</f>
        <v/>
      </c>
      <c r="AG357">
        <f>AL356</f>
        <v/>
      </c>
      <c r="AH357">
        <f>AG357*Plan!D11/100/12</f>
        <v/>
      </c>
      <c r="AI357">
        <f>MIN(Plan!E11,AG357+AH357)</f>
        <v/>
      </c>
      <c r="AJ357">
        <f>AG357+AH357-AI357</f>
        <v/>
      </c>
      <c r="AK357">
        <f>MIN(AJ357,MAX(0,$B357-((E$5&lt;AI$5)*F357+(K$5&lt;AI$5)*L357+(Q$5&lt;AI$5)*R357+(W$5&lt;AI$5)*X357+(AC$5&lt;AI$5)*AD357+(AO$5&lt;AI$5)*AP357+(AU$5&lt;AI$5)*AV357)))</f>
        <v/>
      </c>
      <c r="AL357">
        <f>IF(AJ357-AK357&lt;0.005,0,AJ357-AK357)</f>
        <v/>
      </c>
      <c r="AM357">
        <f>AR356</f>
        <v/>
      </c>
      <c r="AN357">
        <f>AM357*Plan!D12/100/12</f>
        <v/>
      </c>
      <c r="AO357">
        <f>MIN(Plan!E12,AM357+AN357)</f>
        <v/>
      </c>
      <c r="AP357">
        <f>AM357+AN357-AO357</f>
        <v/>
      </c>
      <c r="AQ357">
        <f>MIN(AP357,MAX(0,$B357-((E$5&lt;AO$5)*F357+(K$5&lt;AO$5)*L357+(Q$5&lt;AO$5)*R357+(W$5&lt;AO$5)*X357+(AC$5&lt;AO$5)*AD357+(AI$5&lt;AO$5)*AJ357+(AU$5&lt;AO$5)*AV357)))</f>
        <v/>
      </c>
      <c r="AR357">
        <f>IF(AP357-AQ357&lt;0.005,0,AP357-AQ357)</f>
        <v/>
      </c>
      <c r="AS357">
        <f>AX356</f>
        <v/>
      </c>
      <c r="AT357">
        <f>AS357*Plan!D13/100/12</f>
        <v/>
      </c>
      <c r="AU357">
        <f>MIN(Plan!E13,AS357+AT357)</f>
        <v/>
      </c>
      <c r="AV357">
        <f>AS357+AT357-AU357</f>
        <v/>
      </c>
      <c r="AW357">
        <f>MIN(AV357,MAX(0,$B357-((E$5&lt;AU$5)*F357+(K$5&lt;AU$5)*L357+(Q$5&lt;AU$5)*R357+(W$5&lt;AU$5)*X357+(AC$5&lt;AU$5)*AD357+(AI$5&lt;AU$5)*AJ357+(AO$5&lt;AU$5)*AP357)))</f>
        <v/>
      </c>
      <c r="AX357">
        <f>IF(AV357-AW357&lt;0.005,0,AV357-AW357)</f>
        <v/>
      </c>
      <c r="BC357">
        <f>H357+N357+T357+Z357+AF357+AL357+AR357+AX357</f>
        <v/>
      </c>
    </row>
    <row r="358">
      <c r="A358" t="n">
        <v>352</v>
      </c>
      <c r="B358" s="19">
        <f>MAX(0,$B$3-(E358+K358+Q358+W358+AC358+AI358+AO358+AU358))</f>
        <v/>
      </c>
      <c r="C358">
        <f>H357</f>
        <v/>
      </c>
      <c r="D358">
        <f>C358*Plan!D6/100/12</f>
        <v/>
      </c>
      <c r="E358">
        <f>MIN(Plan!E6,C358+D358)</f>
        <v/>
      </c>
      <c r="F358">
        <f>C358+D358-E358</f>
        <v/>
      </c>
      <c r="G358">
        <f>MIN(F358,MAX(0,$B358-((K$5&lt;E$5)*L358+(Q$5&lt;E$5)*R358+(W$5&lt;E$5)*X358+(AC$5&lt;E$5)*AD358+(AI$5&lt;E$5)*AJ358+(AO$5&lt;E$5)*AP358+(AU$5&lt;E$5)*AV358)))</f>
        <v/>
      </c>
      <c r="H358">
        <f>IF(F358-G358&lt;0.005,0,F358-G358)</f>
        <v/>
      </c>
      <c r="I358">
        <f>N357</f>
        <v/>
      </c>
      <c r="J358">
        <f>I358*Plan!D7/100/12</f>
        <v/>
      </c>
      <c r="K358">
        <f>MIN(Plan!E7,I358+J358)</f>
        <v/>
      </c>
      <c r="L358">
        <f>I358+J358-K358</f>
        <v/>
      </c>
      <c r="M358">
        <f>MIN(L358,MAX(0,$B358-((E$5&lt;K$5)*F358+(Q$5&lt;K$5)*R358+(W$5&lt;K$5)*X358+(AC$5&lt;K$5)*AD358+(AI$5&lt;K$5)*AJ358+(AO$5&lt;K$5)*AP358+(AU$5&lt;K$5)*AV358)))</f>
        <v/>
      </c>
      <c r="N358">
        <f>IF(L358-M358&lt;0.005,0,L358-M358)</f>
        <v/>
      </c>
      <c r="O358">
        <f>T357</f>
        <v/>
      </c>
      <c r="P358">
        <f>O358*Plan!D8/100/12</f>
        <v/>
      </c>
      <c r="Q358">
        <f>MIN(Plan!E8,O358+P358)</f>
        <v/>
      </c>
      <c r="R358">
        <f>O358+P358-Q358</f>
        <v/>
      </c>
      <c r="S358">
        <f>MIN(R358,MAX(0,$B358-((E$5&lt;Q$5)*F358+(K$5&lt;Q$5)*L358+(W$5&lt;Q$5)*X358+(AC$5&lt;Q$5)*AD358+(AI$5&lt;Q$5)*AJ358+(AO$5&lt;Q$5)*AP358+(AU$5&lt;Q$5)*AV358)))</f>
        <v/>
      </c>
      <c r="T358">
        <f>IF(R358-S358&lt;0.005,0,R358-S358)</f>
        <v/>
      </c>
      <c r="U358">
        <f>Z357</f>
        <v/>
      </c>
      <c r="V358">
        <f>U358*Plan!D9/100/12</f>
        <v/>
      </c>
      <c r="W358">
        <f>MIN(Plan!E9,U358+V358)</f>
        <v/>
      </c>
      <c r="X358">
        <f>U358+V358-W358</f>
        <v/>
      </c>
      <c r="Y358">
        <f>MIN(X358,MAX(0,$B358-((E$5&lt;W$5)*F358+(K$5&lt;W$5)*L358+(Q$5&lt;W$5)*R358+(AC$5&lt;W$5)*AD358+(AI$5&lt;W$5)*AJ358+(AO$5&lt;W$5)*AP358+(AU$5&lt;W$5)*AV358)))</f>
        <v/>
      </c>
      <c r="Z358">
        <f>IF(X358-Y358&lt;0.005,0,X358-Y358)</f>
        <v/>
      </c>
      <c r="AA358">
        <f>AF357</f>
        <v/>
      </c>
      <c r="AB358">
        <f>AA358*Plan!D10/100/12</f>
        <v/>
      </c>
      <c r="AC358">
        <f>MIN(Plan!E10,AA358+AB358)</f>
        <v/>
      </c>
      <c r="AD358">
        <f>AA358+AB358-AC358</f>
        <v/>
      </c>
      <c r="AE358">
        <f>MIN(AD358,MAX(0,$B358-((E$5&lt;AC$5)*F358+(K$5&lt;AC$5)*L358+(Q$5&lt;AC$5)*R358+(W$5&lt;AC$5)*X358+(AI$5&lt;AC$5)*AJ358+(AO$5&lt;AC$5)*AP358+(AU$5&lt;AC$5)*AV358)))</f>
        <v/>
      </c>
      <c r="AF358">
        <f>IF(AD358-AE358&lt;0.005,0,AD358-AE358)</f>
        <v/>
      </c>
      <c r="AG358">
        <f>AL357</f>
        <v/>
      </c>
      <c r="AH358">
        <f>AG358*Plan!D11/100/12</f>
        <v/>
      </c>
      <c r="AI358">
        <f>MIN(Plan!E11,AG358+AH358)</f>
        <v/>
      </c>
      <c r="AJ358">
        <f>AG358+AH358-AI358</f>
        <v/>
      </c>
      <c r="AK358">
        <f>MIN(AJ358,MAX(0,$B358-((E$5&lt;AI$5)*F358+(K$5&lt;AI$5)*L358+(Q$5&lt;AI$5)*R358+(W$5&lt;AI$5)*X358+(AC$5&lt;AI$5)*AD358+(AO$5&lt;AI$5)*AP358+(AU$5&lt;AI$5)*AV358)))</f>
        <v/>
      </c>
      <c r="AL358">
        <f>IF(AJ358-AK358&lt;0.005,0,AJ358-AK358)</f>
        <v/>
      </c>
      <c r="AM358">
        <f>AR357</f>
        <v/>
      </c>
      <c r="AN358">
        <f>AM358*Plan!D12/100/12</f>
        <v/>
      </c>
      <c r="AO358">
        <f>MIN(Plan!E12,AM358+AN358)</f>
        <v/>
      </c>
      <c r="AP358">
        <f>AM358+AN358-AO358</f>
        <v/>
      </c>
      <c r="AQ358">
        <f>MIN(AP358,MAX(0,$B358-((E$5&lt;AO$5)*F358+(K$5&lt;AO$5)*L358+(Q$5&lt;AO$5)*R358+(W$5&lt;AO$5)*X358+(AC$5&lt;AO$5)*AD358+(AI$5&lt;AO$5)*AJ358+(AU$5&lt;AO$5)*AV358)))</f>
        <v/>
      </c>
      <c r="AR358">
        <f>IF(AP358-AQ358&lt;0.005,0,AP358-AQ358)</f>
        <v/>
      </c>
      <c r="AS358">
        <f>AX357</f>
        <v/>
      </c>
      <c r="AT358">
        <f>AS358*Plan!D13/100/12</f>
        <v/>
      </c>
      <c r="AU358">
        <f>MIN(Plan!E13,AS358+AT358)</f>
        <v/>
      </c>
      <c r="AV358">
        <f>AS358+AT358-AU358</f>
        <v/>
      </c>
      <c r="AW358">
        <f>MIN(AV358,MAX(0,$B358-((E$5&lt;AU$5)*F358+(K$5&lt;AU$5)*L358+(Q$5&lt;AU$5)*R358+(W$5&lt;AU$5)*X358+(AC$5&lt;AU$5)*AD358+(AI$5&lt;AU$5)*AJ358+(AO$5&lt;AU$5)*AP358)))</f>
        <v/>
      </c>
      <c r="AX358">
        <f>IF(AV358-AW358&lt;0.005,0,AV358-AW358)</f>
        <v/>
      </c>
      <c r="BC358">
        <f>H358+N358+T358+Z358+AF358+AL358+AR358+AX358</f>
        <v/>
      </c>
    </row>
    <row r="359">
      <c r="A359" t="n">
        <v>353</v>
      </c>
      <c r="B359" s="19">
        <f>MAX(0,$B$3-(E359+K359+Q359+W359+AC359+AI359+AO359+AU359))</f>
        <v/>
      </c>
      <c r="C359">
        <f>H358</f>
        <v/>
      </c>
      <c r="D359">
        <f>C359*Plan!D6/100/12</f>
        <v/>
      </c>
      <c r="E359">
        <f>MIN(Plan!E6,C359+D359)</f>
        <v/>
      </c>
      <c r="F359">
        <f>C359+D359-E359</f>
        <v/>
      </c>
      <c r="G359">
        <f>MIN(F359,MAX(0,$B359-((K$5&lt;E$5)*L359+(Q$5&lt;E$5)*R359+(W$5&lt;E$5)*X359+(AC$5&lt;E$5)*AD359+(AI$5&lt;E$5)*AJ359+(AO$5&lt;E$5)*AP359+(AU$5&lt;E$5)*AV359)))</f>
        <v/>
      </c>
      <c r="H359">
        <f>IF(F359-G359&lt;0.005,0,F359-G359)</f>
        <v/>
      </c>
      <c r="I359">
        <f>N358</f>
        <v/>
      </c>
      <c r="J359">
        <f>I359*Plan!D7/100/12</f>
        <v/>
      </c>
      <c r="K359">
        <f>MIN(Plan!E7,I359+J359)</f>
        <v/>
      </c>
      <c r="L359">
        <f>I359+J359-K359</f>
        <v/>
      </c>
      <c r="M359">
        <f>MIN(L359,MAX(0,$B359-((E$5&lt;K$5)*F359+(Q$5&lt;K$5)*R359+(W$5&lt;K$5)*X359+(AC$5&lt;K$5)*AD359+(AI$5&lt;K$5)*AJ359+(AO$5&lt;K$5)*AP359+(AU$5&lt;K$5)*AV359)))</f>
        <v/>
      </c>
      <c r="N359">
        <f>IF(L359-M359&lt;0.005,0,L359-M359)</f>
        <v/>
      </c>
      <c r="O359">
        <f>T358</f>
        <v/>
      </c>
      <c r="P359">
        <f>O359*Plan!D8/100/12</f>
        <v/>
      </c>
      <c r="Q359">
        <f>MIN(Plan!E8,O359+P359)</f>
        <v/>
      </c>
      <c r="R359">
        <f>O359+P359-Q359</f>
        <v/>
      </c>
      <c r="S359">
        <f>MIN(R359,MAX(0,$B359-((E$5&lt;Q$5)*F359+(K$5&lt;Q$5)*L359+(W$5&lt;Q$5)*X359+(AC$5&lt;Q$5)*AD359+(AI$5&lt;Q$5)*AJ359+(AO$5&lt;Q$5)*AP359+(AU$5&lt;Q$5)*AV359)))</f>
        <v/>
      </c>
      <c r="T359">
        <f>IF(R359-S359&lt;0.005,0,R359-S359)</f>
        <v/>
      </c>
      <c r="U359">
        <f>Z358</f>
        <v/>
      </c>
      <c r="V359">
        <f>U359*Plan!D9/100/12</f>
        <v/>
      </c>
      <c r="W359">
        <f>MIN(Plan!E9,U359+V359)</f>
        <v/>
      </c>
      <c r="X359">
        <f>U359+V359-W359</f>
        <v/>
      </c>
      <c r="Y359">
        <f>MIN(X359,MAX(0,$B359-((E$5&lt;W$5)*F359+(K$5&lt;W$5)*L359+(Q$5&lt;W$5)*R359+(AC$5&lt;W$5)*AD359+(AI$5&lt;W$5)*AJ359+(AO$5&lt;W$5)*AP359+(AU$5&lt;W$5)*AV359)))</f>
        <v/>
      </c>
      <c r="Z359">
        <f>IF(X359-Y359&lt;0.005,0,X359-Y359)</f>
        <v/>
      </c>
      <c r="AA359">
        <f>AF358</f>
        <v/>
      </c>
      <c r="AB359">
        <f>AA359*Plan!D10/100/12</f>
        <v/>
      </c>
      <c r="AC359">
        <f>MIN(Plan!E10,AA359+AB359)</f>
        <v/>
      </c>
      <c r="AD359">
        <f>AA359+AB359-AC359</f>
        <v/>
      </c>
      <c r="AE359">
        <f>MIN(AD359,MAX(0,$B359-((E$5&lt;AC$5)*F359+(K$5&lt;AC$5)*L359+(Q$5&lt;AC$5)*R359+(W$5&lt;AC$5)*X359+(AI$5&lt;AC$5)*AJ359+(AO$5&lt;AC$5)*AP359+(AU$5&lt;AC$5)*AV359)))</f>
        <v/>
      </c>
      <c r="AF359">
        <f>IF(AD359-AE359&lt;0.005,0,AD359-AE359)</f>
        <v/>
      </c>
      <c r="AG359">
        <f>AL358</f>
        <v/>
      </c>
      <c r="AH359">
        <f>AG359*Plan!D11/100/12</f>
        <v/>
      </c>
      <c r="AI359">
        <f>MIN(Plan!E11,AG359+AH359)</f>
        <v/>
      </c>
      <c r="AJ359">
        <f>AG359+AH359-AI359</f>
        <v/>
      </c>
      <c r="AK359">
        <f>MIN(AJ359,MAX(0,$B359-((E$5&lt;AI$5)*F359+(K$5&lt;AI$5)*L359+(Q$5&lt;AI$5)*R359+(W$5&lt;AI$5)*X359+(AC$5&lt;AI$5)*AD359+(AO$5&lt;AI$5)*AP359+(AU$5&lt;AI$5)*AV359)))</f>
        <v/>
      </c>
      <c r="AL359">
        <f>IF(AJ359-AK359&lt;0.005,0,AJ359-AK359)</f>
        <v/>
      </c>
      <c r="AM359">
        <f>AR358</f>
        <v/>
      </c>
      <c r="AN359">
        <f>AM359*Plan!D12/100/12</f>
        <v/>
      </c>
      <c r="AO359">
        <f>MIN(Plan!E12,AM359+AN359)</f>
        <v/>
      </c>
      <c r="AP359">
        <f>AM359+AN359-AO359</f>
        <v/>
      </c>
      <c r="AQ359">
        <f>MIN(AP359,MAX(0,$B359-((E$5&lt;AO$5)*F359+(K$5&lt;AO$5)*L359+(Q$5&lt;AO$5)*R359+(W$5&lt;AO$5)*X359+(AC$5&lt;AO$5)*AD359+(AI$5&lt;AO$5)*AJ359+(AU$5&lt;AO$5)*AV359)))</f>
        <v/>
      </c>
      <c r="AR359">
        <f>IF(AP359-AQ359&lt;0.005,0,AP359-AQ359)</f>
        <v/>
      </c>
      <c r="AS359">
        <f>AX358</f>
        <v/>
      </c>
      <c r="AT359">
        <f>AS359*Plan!D13/100/12</f>
        <v/>
      </c>
      <c r="AU359">
        <f>MIN(Plan!E13,AS359+AT359)</f>
        <v/>
      </c>
      <c r="AV359">
        <f>AS359+AT359-AU359</f>
        <v/>
      </c>
      <c r="AW359">
        <f>MIN(AV359,MAX(0,$B359-((E$5&lt;AU$5)*F359+(K$5&lt;AU$5)*L359+(Q$5&lt;AU$5)*R359+(W$5&lt;AU$5)*X359+(AC$5&lt;AU$5)*AD359+(AI$5&lt;AU$5)*AJ359+(AO$5&lt;AU$5)*AP359)))</f>
        <v/>
      </c>
      <c r="AX359">
        <f>IF(AV359-AW359&lt;0.005,0,AV359-AW359)</f>
        <v/>
      </c>
      <c r="BC359">
        <f>H359+N359+T359+Z359+AF359+AL359+AR359+AX359</f>
        <v/>
      </c>
    </row>
    <row r="360">
      <c r="A360" t="n">
        <v>354</v>
      </c>
      <c r="B360" s="19">
        <f>MAX(0,$B$3-(E360+K360+Q360+W360+AC360+AI360+AO360+AU360))</f>
        <v/>
      </c>
      <c r="C360">
        <f>H359</f>
        <v/>
      </c>
      <c r="D360">
        <f>C360*Plan!D6/100/12</f>
        <v/>
      </c>
      <c r="E360">
        <f>MIN(Plan!E6,C360+D360)</f>
        <v/>
      </c>
      <c r="F360">
        <f>C360+D360-E360</f>
        <v/>
      </c>
      <c r="G360">
        <f>MIN(F360,MAX(0,$B360-((K$5&lt;E$5)*L360+(Q$5&lt;E$5)*R360+(W$5&lt;E$5)*X360+(AC$5&lt;E$5)*AD360+(AI$5&lt;E$5)*AJ360+(AO$5&lt;E$5)*AP360+(AU$5&lt;E$5)*AV360)))</f>
        <v/>
      </c>
      <c r="H360">
        <f>IF(F360-G360&lt;0.005,0,F360-G360)</f>
        <v/>
      </c>
      <c r="I360">
        <f>N359</f>
        <v/>
      </c>
      <c r="J360">
        <f>I360*Plan!D7/100/12</f>
        <v/>
      </c>
      <c r="K360">
        <f>MIN(Plan!E7,I360+J360)</f>
        <v/>
      </c>
      <c r="L360">
        <f>I360+J360-K360</f>
        <v/>
      </c>
      <c r="M360">
        <f>MIN(L360,MAX(0,$B360-((E$5&lt;K$5)*F360+(Q$5&lt;K$5)*R360+(W$5&lt;K$5)*X360+(AC$5&lt;K$5)*AD360+(AI$5&lt;K$5)*AJ360+(AO$5&lt;K$5)*AP360+(AU$5&lt;K$5)*AV360)))</f>
        <v/>
      </c>
      <c r="N360">
        <f>IF(L360-M360&lt;0.005,0,L360-M360)</f>
        <v/>
      </c>
      <c r="O360">
        <f>T359</f>
        <v/>
      </c>
      <c r="P360">
        <f>O360*Plan!D8/100/12</f>
        <v/>
      </c>
      <c r="Q360">
        <f>MIN(Plan!E8,O360+P360)</f>
        <v/>
      </c>
      <c r="R360">
        <f>O360+P360-Q360</f>
        <v/>
      </c>
      <c r="S360">
        <f>MIN(R360,MAX(0,$B360-((E$5&lt;Q$5)*F360+(K$5&lt;Q$5)*L360+(W$5&lt;Q$5)*X360+(AC$5&lt;Q$5)*AD360+(AI$5&lt;Q$5)*AJ360+(AO$5&lt;Q$5)*AP360+(AU$5&lt;Q$5)*AV360)))</f>
        <v/>
      </c>
      <c r="T360">
        <f>IF(R360-S360&lt;0.005,0,R360-S360)</f>
        <v/>
      </c>
      <c r="U360">
        <f>Z359</f>
        <v/>
      </c>
      <c r="V360">
        <f>U360*Plan!D9/100/12</f>
        <v/>
      </c>
      <c r="W360">
        <f>MIN(Plan!E9,U360+V360)</f>
        <v/>
      </c>
      <c r="X360">
        <f>U360+V360-W360</f>
        <v/>
      </c>
      <c r="Y360">
        <f>MIN(X360,MAX(0,$B360-((E$5&lt;W$5)*F360+(K$5&lt;W$5)*L360+(Q$5&lt;W$5)*R360+(AC$5&lt;W$5)*AD360+(AI$5&lt;W$5)*AJ360+(AO$5&lt;W$5)*AP360+(AU$5&lt;W$5)*AV360)))</f>
        <v/>
      </c>
      <c r="Z360">
        <f>IF(X360-Y360&lt;0.005,0,X360-Y360)</f>
        <v/>
      </c>
      <c r="AA360">
        <f>AF359</f>
        <v/>
      </c>
      <c r="AB360">
        <f>AA360*Plan!D10/100/12</f>
        <v/>
      </c>
      <c r="AC360">
        <f>MIN(Plan!E10,AA360+AB360)</f>
        <v/>
      </c>
      <c r="AD360">
        <f>AA360+AB360-AC360</f>
        <v/>
      </c>
      <c r="AE360">
        <f>MIN(AD360,MAX(0,$B360-((E$5&lt;AC$5)*F360+(K$5&lt;AC$5)*L360+(Q$5&lt;AC$5)*R360+(W$5&lt;AC$5)*X360+(AI$5&lt;AC$5)*AJ360+(AO$5&lt;AC$5)*AP360+(AU$5&lt;AC$5)*AV360)))</f>
        <v/>
      </c>
      <c r="AF360">
        <f>IF(AD360-AE360&lt;0.005,0,AD360-AE360)</f>
        <v/>
      </c>
      <c r="AG360">
        <f>AL359</f>
        <v/>
      </c>
      <c r="AH360">
        <f>AG360*Plan!D11/100/12</f>
        <v/>
      </c>
      <c r="AI360">
        <f>MIN(Plan!E11,AG360+AH360)</f>
        <v/>
      </c>
      <c r="AJ360">
        <f>AG360+AH360-AI360</f>
        <v/>
      </c>
      <c r="AK360">
        <f>MIN(AJ360,MAX(0,$B360-((E$5&lt;AI$5)*F360+(K$5&lt;AI$5)*L360+(Q$5&lt;AI$5)*R360+(W$5&lt;AI$5)*X360+(AC$5&lt;AI$5)*AD360+(AO$5&lt;AI$5)*AP360+(AU$5&lt;AI$5)*AV360)))</f>
        <v/>
      </c>
      <c r="AL360">
        <f>IF(AJ360-AK360&lt;0.005,0,AJ360-AK360)</f>
        <v/>
      </c>
      <c r="AM360">
        <f>AR359</f>
        <v/>
      </c>
      <c r="AN360">
        <f>AM360*Plan!D12/100/12</f>
        <v/>
      </c>
      <c r="AO360">
        <f>MIN(Plan!E12,AM360+AN360)</f>
        <v/>
      </c>
      <c r="AP360">
        <f>AM360+AN360-AO360</f>
        <v/>
      </c>
      <c r="AQ360">
        <f>MIN(AP360,MAX(0,$B360-((E$5&lt;AO$5)*F360+(K$5&lt;AO$5)*L360+(Q$5&lt;AO$5)*R360+(W$5&lt;AO$5)*X360+(AC$5&lt;AO$5)*AD360+(AI$5&lt;AO$5)*AJ360+(AU$5&lt;AO$5)*AV360)))</f>
        <v/>
      </c>
      <c r="AR360">
        <f>IF(AP360-AQ360&lt;0.005,0,AP360-AQ360)</f>
        <v/>
      </c>
      <c r="AS360">
        <f>AX359</f>
        <v/>
      </c>
      <c r="AT360">
        <f>AS360*Plan!D13/100/12</f>
        <v/>
      </c>
      <c r="AU360">
        <f>MIN(Plan!E13,AS360+AT360)</f>
        <v/>
      </c>
      <c r="AV360">
        <f>AS360+AT360-AU360</f>
        <v/>
      </c>
      <c r="AW360">
        <f>MIN(AV360,MAX(0,$B360-((E$5&lt;AU$5)*F360+(K$5&lt;AU$5)*L360+(Q$5&lt;AU$5)*R360+(W$5&lt;AU$5)*X360+(AC$5&lt;AU$5)*AD360+(AI$5&lt;AU$5)*AJ360+(AO$5&lt;AU$5)*AP360)))</f>
        <v/>
      </c>
      <c r="AX360">
        <f>IF(AV360-AW360&lt;0.005,0,AV360-AW360)</f>
        <v/>
      </c>
      <c r="BC360">
        <f>H360+N360+T360+Z360+AF360+AL360+AR360+AX360</f>
        <v/>
      </c>
    </row>
    <row r="361">
      <c r="A361" t="n">
        <v>355</v>
      </c>
      <c r="B361" s="19">
        <f>MAX(0,$B$3-(E361+K361+Q361+W361+AC361+AI361+AO361+AU361))</f>
        <v/>
      </c>
      <c r="C361">
        <f>H360</f>
        <v/>
      </c>
      <c r="D361">
        <f>C361*Plan!D6/100/12</f>
        <v/>
      </c>
      <c r="E361">
        <f>MIN(Plan!E6,C361+D361)</f>
        <v/>
      </c>
      <c r="F361">
        <f>C361+D361-E361</f>
        <v/>
      </c>
      <c r="G361">
        <f>MIN(F361,MAX(0,$B361-((K$5&lt;E$5)*L361+(Q$5&lt;E$5)*R361+(W$5&lt;E$5)*X361+(AC$5&lt;E$5)*AD361+(AI$5&lt;E$5)*AJ361+(AO$5&lt;E$5)*AP361+(AU$5&lt;E$5)*AV361)))</f>
        <v/>
      </c>
      <c r="H361">
        <f>IF(F361-G361&lt;0.005,0,F361-G361)</f>
        <v/>
      </c>
      <c r="I361">
        <f>N360</f>
        <v/>
      </c>
      <c r="J361">
        <f>I361*Plan!D7/100/12</f>
        <v/>
      </c>
      <c r="K361">
        <f>MIN(Plan!E7,I361+J361)</f>
        <v/>
      </c>
      <c r="L361">
        <f>I361+J361-K361</f>
        <v/>
      </c>
      <c r="M361">
        <f>MIN(L361,MAX(0,$B361-((E$5&lt;K$5)*F361+(Q$5&lt;K$5)*R361+(W$5&lt;K$5)*X361+(AC$5&lt;K$5)*AD361+(AI$5&lt;K$5)*AJ361+(AO$5&lt;K$5)*AP361+(AU$5&lt;K$5)*AV361)))</f>
        <v/>
      </c>
      <c r="N361">
        <f>IF(L361-M361&lt;0.005,0,L361-M361)</f>
        <v/>
      </c>
      <c r="O361">
        <f>T360</f>
        <v/>
      </c>
      <c r="P361">
        <f>O361*Plan!D8/100/12</f>
        <v/>
      </c>
      <c r="Q361">
        <f>MIN(Plan!E8,O361+P361)</f>
        <v/>
      </c>
      <c r="R361">
        <f>O361+P361-Q361</f>
        <v/>
      </c>
      <c r="S361">
        <f>MIN(R361,MAX(0,$B361-((E$5&lt;Q$5)*F361+(K$5&lt;Q$5)*L361+(W$5&lt;Q$5)*X361+(AC$5&lt;Q$5)*AD361+(AI$5&lt;Q$5)*AJ361+(AO$5&lt;Q$5)*AP361+(AU$5&lt;Q$5)*AV361)))</f>
        <v/>
      </c>
      <c r="T361">
        <f>IF(R361-S361&lt;0.005,0,R361-S361)</f>
        <v/>
      </c>
      <c r="U361">
        <f>Z360</f>
        <v/>
      </c>
      <c r="V361">
        <f>U361*Plan!D9/100/12</f>
        <v/>
      </c>
      <c r="W361">
        <f>MIN(Plan!E9,U361+V361)</f>
        <v/>
      </c>
      <c r="X361">
        <f>U361+V361-W361</f>
        <v/>
      </c>
      <c r="Y361">
        <f>MIN(X361,MAX(0,$B361-((E$5&lt;W$5)*F361+(K$5&lt;W$5)*L361+(Q$5&lt;W$5)*R361+(AC$5&lt;W$5)*AD361+(AI$5&lt;W$5)*AJ361+(AO$5&lt;W$5)*AP361+(AU$5&lt;W$5)*AV361)))</f>
        <v/>
      </c>
      <c r="Z361">
        <f>IF(X361-Y361&lt;0.005,0,X361-Y361)</f>
        <v/>
      </c>
      <c r="AA361">
        <f>AF360</f>
        <v/>
      </c>
      <c r="AB361">
        <f>AA361*Plan!D10/100/12</f>
        <v/>
      </c>
      <c r="AC361">
        <f>MIN(Plan!E10,AA361+AB361)</f>
        <v/>
      </c>
      <c r="AD361">
        <f>AA361+AB361-AC361</f>
        <v/>
      </c>
      <c r="AE361">
        <f>MIN(AD361,MAX(0,$B361-((E$5&lt;AC$5)*F361+(K$5&lt;AC$5)*L361+(Q$5&lt;AC$5)*R361+(W$5&lt;AC$5)*X361+(AI$5&lt;AC$5)*AJ361+(AO$5&lt;AC$5)*AP361+(AU$5&lt;AC$5)*AV361)))</f>
        <v/>
      </c>
      <c r="AF361">
        <f>IF(AD361-AE361&lt;0.005,0,AD361-AE361)</f>
        <v/>
      </c>
      <c r="AG361">
        <f>AL360</f>
        <v/>
      </c>
      <c r="AH361">
        <f>AG361*Plan!D11/100/12</f>
        <v/>
      </c>
      <c r="AI361">
        <f>MIN(Plan!E11,AG361+AH361)</f>
        <v/>
      </c>
      <c r="AJ361">
        <f>AG361+AH361-AI361</f>
        <v/>
      </c>
      <c r="AK361">
        <f>MIN(AJ361,MAX(0,$B361-((E$5&lt;AI$5)*F361+(K$5&lt;AI$5)*L361+(Q$5&lt;AI$5)*R361+(W$5&lt;AI$5)*X361+(AC$5&lt;AI$5)*AD361+(AO$5&lt;AI$5)*AP361+(AU$5&lt;AI$5)*AV361)))</f>
        <v/>
      </c>
      <c r="AL361">
        <f>IF(AJ361-AK361&lt;0.005,0,AJ361-AK361)</f>
        <v/>
      </c>
      <c r="AM361">
        <f>AR360</f>
        <v/>
      </c>
      <c r="AN361">
        <f>AM361*Plan!D12/100/12</f>
        <v/>
      </c>
      <c r="AO361">
        <f>MIN(Plan!E12,AM361+AN361)</f>
        <v/>
      </c>
      <c r="AP361">
        <f>AM361+AN361-AO361</f>
        <v/>
      </c>
      <c r="AQ361">
        <f>MIN(AP361,MAX(0,$B361-((E$5&lt;AO$5)*F361+(K$5&lt;AO$5)*L361+(Q$5&lt;AO$5)*R361+(W$5&lt;AO$5)*X361+(AC$5&lt;AO$5)*AD361+(AI$5&lt;AO$5)*AJ361+(AU$5&lt;AO$5)*AV361)))</f>
        <v/>
      </c>
      <c r="AR361">
        <f>IF(AP361-AQ361&lt;0.005,0,AP361-AQ361)</f>
        <v/>
      </c>
      <c r="AS361">
        <f>AX360</f>
        <v/>
      </c>
      <c r="AT361">
        <f>AS361*Plan!D13/100/12</f>
        <v/>
      </c>
      <c r="AU361">
        <f>MIN(Plan!E13,AS361+AT361)</f>
        <v/>
      </c>
      <c r="AV361">
        <f>AS361+AT361-AU361</f>
        <v/>
      </c>
      <c r="AW361">
        <f>MIN(AV361,MAX(0,$B361-((E$5&lt;AU$5)*F361+(K$5&lt;AU$5)*L361+(Q$5&lt;AU$5)*R361+(W$5&lt;AU$5)*X361+(AC$5&lt;AU$5)*AD361+(AI$5&lt;AU$5)*AJ361+(AO$5&lt;AU$5)*AP361)))</f>
        <v/>
      </c>
      <c r="AX361">
        <f>IF(AV361-AW361&lt;0.005,0,AV361-AW361)</f>
        <v/>
      </c>
      <c r="BC361">
        <f>H361+N361+T361+Z361+AF361+AL361+AR361+AX361</f>
        <v/>
      </c>
    </row>
    <row r="362">
      <c r="A362" t="n">
        <v>356</v>
      </c>
      <c r="B362" s="19">
        <f>MAX(0,$B$3-(E362+K362+Q362+W362+AC362+AI362+AO362+AU362))</f>
        <v/>
      </c>
      <c r="C362">
        <f>H361</f>
        <v/>
      </c>
      <c r="D362">
        <f>C362*Plan!D6/100/12</f>
        <v/>
      </c>
      <c r="E362">
        <f>MIN(Plan!E6,C362+D362)</f>
        <v/>
      </c>
      <c r="F362">
        <f>C362+D362-E362</f>
        <v/>
      </c>
      <c r="G362">
        <f>MIN(F362,MAX(0,$B362-((K$5&lt;E$5)*L362+(Q$5&lt;E$5)*R362+(W$5&lt;E$5)*X362+(AC$5&lt;E$5)*AD362+(AI$5&lt;E$5)*AJ362+(AO$5&lt;E$5)*AP362+(AU$5&lt;E$5)*AV362)))</f>
        <v/>
      </c>
      <c r="H362">
        <f>IF(F362-G362&lt;0.005,0,F362-G362)</f>
        <v/>
      </c>
      <c r="I362">
        <f>N361</f>
        <v/>
      </c>
      <c r="J362">
        <f>I362*Plan!D7/100/12</f>
        <v/>
      </c>
      <c r="K362">
        <f>MIN(Plan!E7,I362+J362)</f>
        <v/>
      </c>
      <c r="L362">
        <f>I362+J362-K362</f>
        <v/>
      </c>
      <c r="M362">
        <f>MIN(L362,MAX(0,$B362-((E$5&lt;K$5)*F362+(Q$5&lt;K$5)*R362+(W$5&lt;K$5)*X362+(AC$5&lt;K$5)*AD362+(AI$5&lt;K$5)*AJ362+(AO$5&lt;K$5)*AP362+(AU$5&lt;K$5)*AV362)))</f>
        <v/>
      </c>
      <c r="N362">
        <f>IF(L362-M362&lt;0.005,0,L362-M362)</f>
        <v/>
      </c>
      <c r="O362">
        <f>T361</f>
        <v/>
      </c>
      <c r="P362">
        <f>O362*Plan!D8/100/12</f>
        <v/>
      </c>
      <c r="Q362">
        <f>MIN(Plan!E8,O362+P362)</f>
        <v/>
      </c>
      <c r="R362">
        <f>O362+P362-Q362</f>
        <v/>
      </c>
      <c r="S362">
        <f>MIN(R362,MAX(0,$B362-((E$5&lt;Q$5)*F362+(K$5&lt;Q$5)*L362+(W$5&lt;Q$5)*X362+(AC$5&lt;Q$5)*AD362+(AI$5&lt;Q$5)*AJ362+(AO$5&lt;Q$5)*AP362+(AU$5&lt;Q$5)*AV362)))</f>
        <v/>
      </c>
      <c r="T362">
        <f>IF(R362-S362&lt;0.005,0,R362-S362)</f>
        <v/>
      </c>
      <c r="U362">
        <f>Z361</f>
        <v/>
      </c>
      <c r="V362">
        <f>U362*Plan!D9/100/12</f>
        <v/>
      </c>
      <c r="W362">
        <f>MIN(Plan!E9,U362+V362)</f>
        <v/>
      </c>
      <c r="X362">
        <f>U362+V362-W362</f>
        <v/>
      </c>
      <c r="Y362">
        <f>MIN(X362,MAX(0,$B362-((E$5&lt;W$5)*F362+(K$5&lt;W$5)*L362+(Q$5&lt;W$5)*R362+(AC$5&lt;W$5)*AD362+(AI$5&lt;W$5)*AJ362+(AO$5&lt;W$5)*AP362+(AU$5&lt;W$5)*AV362)))</f>
        <v/>
      </c>
      <c r="Z362">
        <f>IF(X362-Y362&lt;0.005,0,X362-Y362)</f>
        <v/>
      </c>
      <c r="AA362">
        <f>AF361</f>
        <v/>
      </c>
      <c r="AB362">
        <f>AA362*Plan!D10/100/12</f>
        <v/>
      </c>
      <c r="AC362">
        <f>MIN(Plan!E10,AA362+AB362)</f>
        <v/>
      </c>
      <c r="AD362">
        <f>AA362+AB362-AC362</f>
        <v/>
      </c>
      <c r="AE362">
        <f>MIN(AD362,MAX(0,$B362-((E$5&lt;AC$5)*F362+(K$5&lt;AC$5)*L362+(Q$5&lt;AC$5)*R362+(W$5&lt;AC$5)*X362+(AI$5&lt;AC$5)*AJ362+(AO$5&lt;AC$5)*AP362+(AU$5&lt;AC$5)*AV362)))</f>
        <v/>
      </c>
      <c r="AF362">
        <f>IF(AD362-AE362&lt;0.005,0,AD362-AE362)</f>
        <v/>
      </c>
      <c r="AG362">
        <f>AL361</f>
        <v/>
      </c>
      <c r="AH362">
        <f>AG362*Plan!D11/100/12</f>
        <v/>
      </c>
      <c r="AI362">
        <f>MIN(Plan!E11,AG362+AH362)</f>
        <v/>
      </c>
      <c r="AJ362">
        <f>AG362+AH362-AI362</f>
        <v/>
      </c>
      <c r="AK362">
        <f>MIN(AJ362,MAX(0,$B362-((E$5&lt;AI$5)*F362+(K$5&lt;AI$5)*L362+(Q$5&lt;AI$5)*R362+(W$5&lt;AI$5)*X362+(AC$5&lt;AI$5)*AD362+(AO$5&lt;AI$5)*AP362+(AU$5&lt;AI$5)*AV362)))</f>
        <v/>
      </c>
      <c r="AL362">
        <f>IF(AJ362-AK362&lt;0.005,0,AJ362-AK362)</f>
        <v/>
      </c>
      <c r="AM362">
        <f>AR361</f>
        <v/>
      </c>
      <c r="AN362">
        <f>AM362*Plan!D12/100/12</f>
        <v/>
      </c>
      <c r="AO362">
        <f>MIN(Plan!E12,AM362+AN362)</f>
        <v/>
      </c>
      <c r="AP362">
        <f>AM362+AN362-AO362</f>
        <v/>
      </c>
      <c r="AQ362">
        <f>MIN(AP362,MAX(0,$B362-((E$5&lt;AO$5)*F362+(K$5&lt;AO$5)*L362+(Q$5&lt;AO$5)*R362+(W$5&lt;AO$5)*X362+(AC$5&lt;AO$5)*AD362+(AI$5&lt;AO$5)*AJ362+(AU$5&lt;AO$5)*AV362)))</f>
        <v/>
      </c>
      <c r="AR362">
        <f>IF(AP362-AQ362&lt;0.005,0,AP362-AQ362)</f>
        <v/>
      </c>
      <c r="AS362">
        <f>AX361</f>
        <v/>
      </c>
      <c r="AT362">
        <f>AS362*Plan!D13/100/12</f>
        <v/>
      </c>
      <c r="AU362">
        <f>MIN(Plan!E13,AS362+AT362)</f>
        <v/>
      </c>
      <c r="AV362">
        <f>AS362+AT362-AU362</f>
        <v/>
      </c>
      <c r="AW362">
        <f>MIN(AV362,MAX(0,$B362-((E$5&lt;AU$5)*F362+(K$5&lt;AU$5)*L362+(Q$5&lt;AU$5)*R362+(W$5&lt;AU$5)*X362+(AC$5&lt;AU$5)*AD362+(AI$5&lt;AU$5)*AJ362+(AO$5&lt;AU$5)*AP362)))</f>
        <v/>
      </c>
      <c r="AX362">
        <f>IF(AV362-AW362&lt;0.005,0,AV362-AW362)</f>
        <v/>
      </c>
      <c r="BC362">
        <f>H362+N362+T362+Z362+AF362+AL362+AR362+AX362</f>
        <v/>
      </c>
    </row>
    <row r="363">
      <c r="A363" t="n">
        <v>357</v>
      </c>
      <c r="B363" s="19">
        <f>MAX(0,$B$3-(E363+K363+Q363+W363+AC363+AI363+AO363+AU363))</f>
        <v/>
      </c>
      <c r="C363">
        <f>H362</f>
        <v/>
      </c>
      <c r="D363">
        <f>C363*Plan!D6/100/12</f>
        <v/>
      </c>
      <c r="E363">
        <f>MIN(Plan!E6,C363+D363)</f>
        <v/>
      </c>
      <c r="F363">
        <f>C363+D363-E363</f>
        <v/>
      </c>
      <c r="G363">
        <f>MIN(F363,MAX(0,$B363-((K$5&lt;E$5)*L363+(Q$5&lt;E$5)*R363+(W$5&lt;E$5)*X363+(AC$5&lt;E$5)*AD363+(AI$5&lt;E$5)*AJ363+(AO$5&lt;E$5)*AP363+(AU$5&lt;E$5)*AV363)))</f>
        <v/>
      </c>
      <c r="H363">
        <f>IF(F363-G363&lt;0.005,0,F363-G363)</f>
        <v/>
      </c>
      <c r="I363">
        <f>N362</f>
        <v/>
      </c>
      <c r="J363">
        <f>I363*Plan!D7/100/12</f>
        <v/>
      </c>
      <c r="K363">
        <f>MIN(Plan!E7,I363+J363)</f>
        <v/>
      </c>
      <c r="L363">
        <f>I363+J363-K363</f>
        <v/>
      </c>
      <c r="M363">
        <f>MIN(L363,MAX(0,$B363-((E$5&lt;K$5)*F363+(Q$5&lt;K$5)*R363+(W$5&lt;K$5)*X363+(AC$5&lt;K$5)*AD363+(AI$5&lt;K$5)*AJ363+(AO$5&lt;K$5)*AP363+(AU$5&lt;K$5)*AV363)))</f>
        <v/>
      </c>
      <c r="N363">
        <f>IF(L363-M363&lt;0.005,0,L363-M363)</f>
        <v/>
      </c>
      <c r="O363">
        <f>T362</f>
        <v/>
      </c>
      <c r="P363">
        <f>O363*Plan!D8/100/12</f>
        <v/>
      </c>
      <c r="Q363">
        <f>MIN(Plan!E8,O363+P363)</f>
        <v/>
      </c>
      <c r="R363">
        <f>O363+P363-Q363</f>
        <v/>
      </c>
      <c r="S363">
        <f>MIN(R363,MAX(0,$B363-((E$5&lt;Q$5)*F363+(K$5&lt;Q$5)*L363+(W$5&lt;Q$5)*X363+(AC$5&lt;Q$5)*AD363+(AI$5&lt;Q$5)*AJ363+(AO$5&lt;Q$5)*AP363+(AU$5&lt;Q$5)*AV363)))</f>
        <v/>
      </c>
      <c r="T363">
        <f>IF(R363-S363&lt;0.005,0,R363-S363)</f>
        <v/>
      </c>
      <c r="U363">
        <f>Z362</f>
        <v/>
      </c>
      <c r="V363">
        <f>U363*Plan!D9/100/12</f>
        <v/>
      </c>
      <c r="W363">
        <f>MIN(Plan!E9,U363+V363)</f>
        <v/>
      </c>
      <c r="X363">
        <f>U363+V363-W363</f>
        <v/>
      </c>
      <c r="Y363">
        <f>MIN(X363,MAX(0,$B363-((E$5&lt;W$5)*F363+(K$5&lt;W$5)*L363+(Q$5&lt;W$5)*R363+(AC$5&lt;W$5)*AD363+(AI$5&lt;W$5)*AJ363+(AO$5&lt;W$5)*AP363+(AU$5&lt;W$5)*AV363)))</f>
        <v/>
      </c>
      <c r="Z363">
        <f>IF(X363-Y363&lt;0.005,0,X363-Y363)</f>
        <v/>
      </c>
      <c r="AA363">
        <f>AF362</f>
        <v/>
      </c>
      <c r="AB363">
        <f>AA363*Plan!D10/100/12</f>
        <v/>
      </c>
      <c r="AC363">
        <f>MIN(Plan!E10,AA363+AB363)</f>
        <v/>
      </c>
      <c r="AD363">
        <f>AA363+AB363-AC363</f>
        <v/>
      </c>
      <c r="AE363">
        <f>MIN(AD363,MAX(0,$B363-((E$5&lt;AC$5)*F363+(K$5&lt;AC$5)*L363+(Q$5&lt;AC$5)*R363+(W$5&lt;AC$5)*X363+(AI$5&lt;AC$5)*AJ363+(AO$5&lt;AC$5)*AP363+(AU$5&lt;AC$5)*AV363)))</f>
        <v/>
      </c>
      <c r="AF363">
        <f>IF(AD363-AE363&lt;0.005,0,AD363-AE363)</f>
        <v/>
      </c>
      <c r="AG363">
        <f>AL362</f>
        <v/>
      </c>
      <c r="AH363">
        <f>AG363*Plan!D11/100/12</f>
        <v/>
      </c>
      <c r="AI363">
        <f>MIN(Plan!E11,AG363+AH363)</f>
        <v/>
      </c>
      <c r="AJ363">
        <f>AG363+AH363-AI363</f>
        <v/>
      </c>
      <c r="AK363">
        <f>MIN(AJ363,MAX(0,$B363-((E$5&lt;AI$5)*F363+(K$5&lt;AI$5)*L363+(Q$5&lt;AI$5)*R363+(W$5&lt;AI$5)*X363+(AC$5&lt;AI$5)*AD363+(AO$5&lt;AI$5)*AP363+(AU$5&lt;AI$5)*AV363)))</f>
        <v/>
      </c>
      <c r="AL363">
        <f>IF(AJ363-AK363&lt;0.005,0,AJ363-AK363)</f>
        <v/>
      </c>
      <c r="AM363">
        <f>AR362</f>
        <v/>
      </c>
      <c r="AN363">
        <f>AM363*Plan!D12/100/12</f>
        <v/>
      </c>
      <c r="AO363">
        <f>MIN(Plan!E12,AM363+AN363)</f>
        <v/>
      </c>
      <c r="AP363">
        <f>AM363+AN363-AO363</f>
        <v/>
      </c>
      <c r="AQ363">
        <f>MIN(AP363,MAX(0,$B363-((E$5&lt;AO$5)*F363+(K$5&lt;AO$5)*L363+(Q$5&lt;AO$5)*R363+(W$5&lt;AO$5)*X363+(AC$5&lt;AO$5)*AD363+(AI$5&lt;AO$5)*AJ363+(AU$5&lt;AO$5)*AV363)))</f>
        <v/>
      </c>
      <c r="AR363">
        <f>IF(AP363-AQ363&lt;0.005,0,AP363-AQ363)</f>
        <v/>
      </c>
      <c r="AS363">
        <f>AX362</f>
        <v/>
      </c>
      <c r="AT363">
        <f>AS363*Plan!D13/100/12</f>
        <v/>
      </c>
      <c r="AU363">
        <f>MIN(Plan!E13,AS363+AT363)</f>
        <v/>
      </c>
      <c r="AV363">
        <f>AS363+AT363-AU363</f>
        <v/>
      </c>
      <c r="AW363">
        <f>MIN(AV363,MAX(0,$B363-((E$5&lt;AU$5)*F363+(K$5&lt;AU$5)*L363+(Q$5&lt;AU$5)*R363+(W$5&lt;AU$5)*X363+(AC$5&lt;AU$5)*AD363+(AI$5&lt;AU$5)*AJ363+(AO$5&lt;AU$5)*AP363)))</f>
        <v/>
      </c>
      <c r="AX363">
        <f>IF(AV363-AW363&lt;0.005,0,AV363-AW363)</f>
        <v/>
      </c>
      <c r="BC363">
        <f>H363+N363+T363+Z363+AF363+AL363+AR363+AX363</f>
        <v/>
      </c>
    </row>
    <row r="364">
      <c r="A364" t="n">
        <v>358</v>
      </c>
      <c r="B364" s="19">
        <f>MAX(0,$B$3-(E364+K364+Q364+W364+AC364+AI364+AO364+AU364))</f>
        <v/>
      </c>
      <c r="C364">
        <f>H363</f>
        <v/>
      </c>
      <c r="D364">
        <f>C364*Plan!D6/100/12</f>
        <v/>
      </c>
      <c r="E364">
        <f>MIN(Plan!E6,C364+D364)</f>
        <v/>
      </c>
      <c r="F364">
        <f>C364+D364-E364</f>
        <v/>
      </c>
      <c r="G364">
        <f>MIN(F364,MAX(0,$B364-((K$5&lt;E$5)*L364+(Q$5&lt;E$5)*R364+(W$5&lt;E$5)*X364+(AC$5&lt;E$5)*AD364+(AI$5&lt;E$5)*AJ364+(AO$5&lt;E$5)*AP364+(AU$5&lt;E$5)*AV364)))</f>
        <v/>
      </c>
      <c r="H364">
        <f>IF(F364-G364&lt;0.005,0,F364-G364)</f>
        <v/>
      </c>
      <c r="I364">
        <f>N363</f>
        <v/>
      </c>
      <c r="J364">
        <f>I364*Plan!D7/100/12</f>
        <v/>
      </c>
      <c r="K364">
        <f>MIN(Plan!E7,I364+J364)</f>
        <v/>
      </c>
      <c r="L364">
        <f>I364+J364-K364</f>
        <v/>
      </c>
      <c r="M364">
        <f>MIN(L364,MAX(0,$B364-((E$5&lt;K$5)*F364+(Q$5&lt;K$5)*R364+(W$5&lt;K$5)*X364+(AC$5&lt;K$5)*AD364+(AI$5&lt;K$5)*AJ364+(AO$5&lt;K$5)*AP364+(AU$5&lt;K$5)*AV364)))</f>
        <v/>
      </c>
      <c r="N364">
        <f>IF(L364-M364&lt;0.005,0,L364-M364)</f>
        <v/>
      </c>
      <c r="O364">
        <f>T363</f>
        <v/>
      </c>
      <c r="P364">
        <f>O364*Plan!D8/100/12</f>
        <v/>
      </c>
      <c r="Q364">
        <f>MIN(Plan!E8,O364+P364)</f>
        <v/>
      </c>
      <c r="R364">
        <f>O364+P364-Q364</f>
        <v/>
      </c>
      <c r="S364">
        <f>MIN(R364,MAX(0,$B364-((E$5&lt;Q$5)*F364+(K$5&lt;Q$5)*L364+(W$5&lt;Q$5)*X364+(AC$5&lt;Q$5)*AD364+(AI$5&lt;Q$5)*AJ364+(AO$5&lt;Q$5)*AP364+(AU$5&lt;Q$5)*AV364)))</f>
        <v/>
      </c>
      <c r="T364">
        <f>IF(R364-S364&lt;0.005,0,R364-S364)</f>
        <v/>
      </c>
      <c r="U364">
        <f>Z363</f>
        <v/>
      </c>
      <c r="V364">
        <f>U364*Plan!D9/100/12</f>
        <v/>
      </c>
      <c r="W364">
        <f>MIN(Plan!E9,U364+V364)</f>
        <v/>
      </c>
      <c r="X364">
        <f>U364+V364-W364</f>
        <v/>
      </c>
      <c r="Y364">
        <f>MIN(X364,MAX(0,$B364-((E$5&lt;W$5)*F364+(K$5&lt;W$5)*L364+(Q$5&lt;W$5)*R364+(AC$5&lt;W$5)*AD364+(AI$5&lt;W$5)*AJ364+(AO$5&lt;W$5)*AP364+(AU$5&lt;W$5)*AV364)))</f>
        <v/>
      </c>
      <c r="Z364">
        <f>IF(X364-Y364&lt;0.005,0,X364-Y364)</f>
        <v/>
      </c>
      <c r="AA364">
        <f>AF363</f>
        <v/>
      </c>
      <c r="AB364">
        <f>AA364*Plan!D10/100/12</f>
        <v/>
      </c>
      <c r="AC364">
        <f>MIN(Plan!E10,AA364+AB364)</f>
        <v/>
      </c>
      <c r="AD364">
        <f>AA364+AB364-AC364</f>
        <v/>
      </c>
      <c r="AE364">
        <f>MIN(AD364,MAX(0,$B364-((E$5&lt;AC$5)*F364+(K$5&lt;AC$5)*L364+(Q$5&lt;AC$5)*R364+(W$5&lt;AC$5)*X364+(AI$5&lt;AC$5)*AJ364+(AO$5&lt;AC$5)*AP364+(AU$5&lt;AC$5)*AV364)))</f>
        <v/>
      </c>
      <c r="AF364">
        <f>IF(AD364-AE364&lt;0.005,0,AD364-AE364)</f>
        <v/>
      </c>
      <c r="AG364">
        <f>AL363</f>
        <v/>
      </c>
      <c r="AH364">
        <f>AG364*Plan!D11/100/12</f>
        <v/>
      </c>
      <c r="AI364">
        <f>MIN(Plan!E11,AG364+AH364)</f>
        <v/>
      </c>
      <c r="AJ364">
        <f>AG364+AH364-AI364</f>
        <v/>
      </c>
      <c r="AK364">
        <f>MIN(AJ364,MAX(0,$B364-((E$5&lt;AI$5)*F364+(K$5&lt;AI$5)*L364+(Q$5&lt;AI$5)*R364+(W$5&lt;AI$5)*X364+(AC$5&lt;AI$5)*AD364+(AO$5&lt;AI$5)*AP364+(AU$5&lt;AI$5)*AV364)))</f>
        <v/>
      </c>
      <c r="AL364">
        <f>IF(AJ364-AK364&lt;0.005,0,AJ364-AK364)</f>
        <v/>
      </c>
      <c r="AM364">
        <f>AR363</f>
        <v/>
      </c>
      <c r="AN364">
        <f>AM364*Plan!D12/100/12</f>
        <v/>
      </c>
      <c r="AO364">
        <f>MIN(Plan!E12,AM364+AN364)</f>
        <v/>
      </c>
      <c r="AP364">
        <f>AM364+AN364-AO364</f>
        <v/>
      </c>
      <c r="AQ364">
        <f>MIN(AP364,MAX(0,$B364-((E$5&lt;AO$5)*F364+(K$5&lt;AO$5)*L364+(Q$5&lt;AO$5)*R364+(W$5&lt;AO$5)*X364+(AC$5&lt;AO$5)*AD364+(AI$5&lt;AO$5)*AJ364+(AU$5&lt;AO$5)*AV364)))</f>
        <v/>
      </c>
      <c r="AR364">
        <f>IF(AP364-AQ364&lt;0.005,0,AP364-AQ364)</f>
        <v/>
      </c>
      <c r="AS364">
        <f>AX363</f>
        <v/>
      </c>
      <c r="AT364">
        <f>AS364*Plan!D13/100/12</f>
        <v/>
      </c>
      <c r="AU364">
        <f>MIN(Plan!E13,AS364+AT364)</f>
        <v/>
      </c>
      <c r="AV364">
        <f>AS364+AT364-AU364</f>
        <v/>
      </c>
      <c r="AW364">
        <f>MIN(AV364,MAX(0,$B364-((E$5&lt;AU$5)*F364+(K$5&lt;AU$5)*L364+(Q$5&lt;AU$5)*R364+(W$5&lt;AU$5)*X364+(AC$5&lt;AU$5)*AD364+(AI$5&lt;AU$5)*AJ364+(AO$5&lt;AU$5)*AP364)))</f>
        <v/>
      </c>
      <c r="AX364">
        <f>IF(AV364-AW364&lt;0.005,0,AV364-AW364)</f>
        <v/>
      </c>
      <c r="BC364">
        <f>H364+N364+T364+Z364+AF364+AL364+AR364+AX364</f>
        <v/>
      </c>
    </row>
    <row r="365">
      <c r="A365" t="n">
        <v>359</v>
      </c>
      <c r="B365" s="19">
        <f>MAX(0,$B$3-(E365+K365+Q365+W365+AC365+AI365+AO365+AU365))</f>
        <v/>
      </c>
      <c r="C365">
        <f>H364</f>
        <v/>
      </c>
      <c r="D365">
        <f>C365*Plan!D6/100/12</f>
        <v/>
      </c>
      <c r="E365">
        <f>MIN(Plan!E6,C365+D365)</f>
        <v/>
      </c>
      <c r="F365">
        <f>C365+D365-E365</f>
        <v/>
      </c>
      <c r="G365">
        <f>MIN(F365,MAX(0,$B365-((K$5&lt;E$5)*L365+(Q$5&lt;E$5)*R365+(W$5&lt;E$5)*X365+(AC$5&lt;E$5)*AD365+(AI$5&lt;E$5)*AJ365+(AO$5&lt;E$5)*AP365+(AU$5&lt;E$5)*AV365)))</f>
        <v/>
      </c>
      <c r="H365">
        <f>IF(F365-G365&lt;0.005,0,F365-G365)</f>
        <v/>
      </c>
      <c r="I365">
        <f>N364</f>
        <v/>
      </c>
      <c r="J365">
        <f>I365*Plan!D7/100/12</f>
        <v/>
      </c>
      <c r="K365">
        <f>MIN(Plan!E7,I365+J365)</f>
        <v/>
      </c>
      <c r="L365">
        <f>I365+J365-K365</f>
        <v/>
      </c>
      <c r="M365">
        <f>MIN(L365,MAX(0,$B365-((E$5&lt;K$5)*F365+(Q$5&lt;K$5)*R365+(W$5&lt;K$5)*X365+(AC$5&lt;K$5)*AD365+(AI$5&lt;K$5)*AJ365+(AO$5&lt;K$5)*AP365+(AU$5&lt;K$5)*AV365)))</f>
        <v/>
      </c>
      <c r="N365">
        <f>IF(L365-M365&lt;0.005,0,L365-M365)</f>
        <v/>
      </c>
      <c r="O365">
        <f>T364</f>
        <v/>
      </c>
      <c r="P365">
        <f>O365*Plan!D8/100/12</f>
        <v/>
      </c>
      <c r="Q365">
        <f>MIN(Plan!E8,O365+P365)</f>
        <v/>
      </c>
      <c r="R365">
        <f>O365+P365-Q365</f>
        <v/>
      </c>
      <c r="S365">
        <f>MIN(R365,MAX(0,$B365-((E$5&lt;Q$5)*F365+(K$5&lt;Q$5)*L365+(W$5&lt;Q$5)*X365+(AC$5&lt;Q$5)*AD365+(AI$5&lt;Q$5)*AJ365+(AO$5&lt;Q$5)*AP365+(AU$5&lt;Q$5)*AV365)))</f>
        <v/>
      </c>
      <c r="T365">
        <f>IF(R365-S365&lt;0.005,0,R365-S365)</f>
        <v/>
      </c>
      <c r="U365">
        <f>Z364</f>
        <v/>
      </c>
      <c r="V365">
        <f>U365*Plan!D9/100/12</f>
        <v/>
      </c>
      <c r="W365">
        <f>MIN(Plan!E9,U365+V365)</f>
        <v/>
      </c>
      <c r="X365">
        <f>U365+V365-W365</f>
        <v/>
      </c>
      <c r="Y365">
        <f>MIN(X365,MAX(0,$B365-((E$5&lt;W$5)*F365+(K$5&lt;W$5)*L365+(Q$5&lt;W$5)*R365+(AC$5&lt;W$5)*AD365+(AI$5&lt;W$5)*AJ365+(AO$5&lt;W$5)*AP365+(AU$5&lt;W$5)*AV365)))</f>
        <v/>
      </c>
      <c r="Z365">
        <f>IF(X365-Y365&lt;0.005,0,X365-Y365)</f>
        <v/>
      </c>
      <c r="AA365">
        <f>AF364</f>
        <v/>
      </c>
      <c r="AB365">
        <f>AA365*Plan!D10/100/12</f>
        <v/>
      </c>
      <c r="AC365">
        <f>MIN(Plan!E10,AA365+AB365)</f>
        <v/>
      </c>
      <c r="AD365">
        <f>AA365+AB365-AC365</f>
        <v/>
      </c>
      <c r="AE365">
        <f>MIN(AD365,MAX(0,$B365-((E$5&lt;AC$5)*F365+(K$5&lt;AC$5)*L365+(Q$5&lt;AC$5)*R365+(W$5&lt;AC$5)*X365+(AI$5&lt;AC$5)*AJ365+(AO$5&lt;AC$5)*AP365+(AU$5&lt;AC$5)*AV365)))</f>
        <v/>
      </c>
      <c r="AF365">
        <f>IF(AD365-AE365&lt;0.005,0,AD365-AE365)</f>
        <v/>
      </c>
      <c r="AG365">
        <f>AL364</f>
        <v/>
      </c>
      <c r="AH365">
        <f>AG365*Plan!D11/100/12</f>
        <v/>
      </c>
      <c r="AI365">
        <f>MIN(Plan!E11,AG365+AH365)</f>
        <v/>
      </c>
      <c r="AJ365">
        <f>AG365+AH365-AI365</f>
        <v/>
      </c>
      <c r="AK365">
        <f>MIN(AJ365,MAX(0,$B365-((E$5&lt;AI$5)*F365+(K$5&lt;AI$5)*L365+(Q$5&lt;AI$5)*R365+(W$5&lt;AI$5)*X365+(AC$5&lt;AI$5)*AD365+(AO$5&lt;AI$5)*AP365+(AU$5&lt;AI$5)*AV365)))</f>
        <v/>
      </c>
      <c r="AL365">
        <f>IF(AJ365-AK365&lt;0.005,0,AJ365-AK365)</f>
        <v/>
      </c>
      <c r="AM365">
        <f>AR364</f>
        <v/>
      </c>
      <c r="AN365">
        <f>AM365*Plan!D12/100/12</f>
        <v/>
      </c>
      <c r="AO365">
        <f>MIN(Plan!E12,AM365+AN365)</f>
        <v/>
      </c>
      <c r="AP365">
        <f>AM365+AN365-AO365</f>
        <v/>
      </c>
      <c r="AQ365">
        <f>MIN(AP365,MAX(0,$B365-((E$5&lt;AO$5)*F365+(K$5&lt;AO$5)*L365+(Q$5&lt;AO$5)*R365+(W$5&lt;AO$5)*X365+(AC$5&lt;AO$5)*AD365+(AI$5&lt;AO$5)*AJ365+(AU$5&lt;AO$5)*AV365)))</f>
        <v/>
      </c>
      <c r="AR365">
        <f>IF(AP365-AQ365&lt;0.005,0,AP365-AQ365)</f>
        <v/>
      </c>
      <c r="AS365">
        <f>AX364</f>
        <v/>
      </c>
      <c r="AT365">
        <f>AS365*Plan!D13/100/12</f>
        <v/>
      </c>
      <c r="AU365">
        <f>MIN(Plan!E13,AS365+AT365)</f>
        <v/>
      </c>
      <c r="AV365">
        <f>AS365+AT365-AU365</f>
        <v/>
      </c>
      <c r="AW365">
        <f>MIN(AV365,MAX(0,$B365-((E$5&lt;AU$5)*F365+(K$5&lt;AU$5)*L365+(Q$5&lt;AU$5)*R365+(W$5&lt;AU$5)*X365+(AC$5&lt;AU$5)*AD365+(AI$5&lt;AU$5)*AJ365+(AO$5&lt;AU$5)*AP365)))</f>
        <v/>
      </c>
      <c r="AX365">
        <f>IF(AV365-AW365&lt;0.005,0,AV365-AW365)</f>
        <v/>
      </c>
      <c r="BC365">
        <f>H365+N365+T365+Z365+AF365+AL365+AR365+AX365</f>
        <v/>
      </c>
    </row>
    <row r="366">
      <c r="A366" t="n">
        <v>360</v>
      </c>
      <c r="B366" s="19">
        <f>MAX(0,$B$3-(E366+K366+Q366+W366+AC366+AI366+AO366+AU366))</f>
        <v/>
      </c>
      <c r="C366">
        <f>H365</f>
        <v/>
      </c>
      <c r="D366">
        <f>C366*Plan!D6/100/12</f>
        <v/>
      </c>
      <c r="E366">
        <f>MIN(Plan!E6,C366+D366)</f>
        <v/>
      </c>
      <c r="F366">
        <f>C366+D366-E366</f>
        <v/>
      </c>
      <c r="G366">
        <f>MIN(F366,MAX(0,$B366-((K$5&lt;E$5)*L366+(Q$5&lt;E$5)*R366+(W$5&lt;E$5)*X366+(AC$5&lt;E$5)*AD366+(AI$5&lt;E$5)*AJ366+(AO$5&lt;E$5)*AP366+(AU$5&lt;E$5)*AV366)))</f>
        <v/>
      </c>
      <c r="H366">
        <f>IF(F366-G366&lt;0.005,0,F366-G366)</f>
        <v/>
      </c>
      <c r="I366">
        <f>N365</f>
        <v/>
      </c>
      <c r="J366">
        <f>I366*Plan!D7/100/12</f>
        <v/>
      </c>
      <c r="K366">
        <f>MIN(Plan!E7,I366+J366)</f>
        <v/>
      </c>
      <c r="L366">
        <f>I366+J366-K366</f>
        <v/>
      </c>
      <c r="M366">
        <f>MIN(L366,MAX(0,$B366-((E$5&lt;K$5)*F366+(Q$5&lt;K$5)*R366+(W$5&lt;K$5)*X366+(AC$5&lt;K$5)*AD366+(AI$5&lt;K$5)*AJ366+(AO$5&lt;K$5)*AP366+(AU$5&lt;K$5)*AV366)))</f>
        <v/>
      </c>
      <c r="N366">
        <f>IF(L366-M366&lt;0.005,0,L366-M366)</f>
        <v/>
      </c>
      <c r="O366">
        <f>T365</f>
        <v/>
      </c>
      <c r="P366">
        <f>O366*Plan!D8/100/12</f>
        <v/>
      </c>
      <c r="Q366">
        <f>MIN(Plan!E8,O366+P366)</f>
        <v/>
      </c>
      <c r="R366">
        <f>O366+P366-Q366</f>
        <v/>
      </c>
      <c r="S366">
        <f>MIN(R366,MAX(0,$B366-((E$5&lt;Q$5)*F366+(K$5&lt;Q$5)*L366+(W$5&lt;Q$5)*X366+(AC$5&lt;Q$5)*AD366+(AI$5&lt;Q$5)*AJ366+(AO$5&lt;Q$5)*AP366+(AU$5&lt;Q$5)*AV366)))</f>
        <v/>
      </c>
      <c r="T366">
        <f>IF(R366-S366&lt;0.005,0,R366-S366)</f>
        <v/>
      </c>
      <c r="U366">
        <f>Z365</f>
        <v/>
      </c>
      <c r="V366">
        <f>U366*Plan!D9/100/12</f>
        <v/>
      </c>
      <c r="W366">
        <f>MIN(Plan!E9,U366+V366)</f>
        <v/>
      </c>
      <c r="X366">
        <f>U366+V366-W366</f>
        <v/>
      </c>
      <c r="Y366">
        <f>MIN(X366,MAX(0,$B366-((E$5&lt;W$5)*F366+(K$5&lt;W$5)*L366+(Q$5&lt;W$5)*R366+(AC$5&lt;W$5)*AD366+(AI$5&lt;W$5)*AJ366+(AO$5&lt;W$5)*AP366+(AU$5&lt;W$5)*AV366)))</f>
        <v/>
      </c>
      <c r="Z366">
        <f>IF(X366-Y366&lt;0.005,0,X366-Y366)</f>
        <v/>
      </c>
      <c r="AA366">
        <f>AF365</f>
        <v/>
      </c>
      <c r="AB366">
        <f>AA366*Plan!D10/100/12</f>
        <v/>
      </c>
      <c r="AC366">
        <f>MIN(Plan!E10,AA366+AB366)</f>
        <v/>
      </c>
      <c r="AD366">
        <f>AA366+AB366-AC366</f>
        <v/>
      </c>
      <c r="AE366">
        <f>MIN(AD366,MAX(0,$B366-((E$5&lt;AC$5)*F366+(K$5&lt;AC$5)*L366+(Q$5&lt;AC$5)*R366+(W$5&lt;AC$5)*X366+(AI$5&lt;AC$5)*AJ366+(AO$5&lt;AC$5)*AP366+(AU$5&lt;AC$5)*AV366)))</f>
        <v/>
      </c>
      <c r="AF366">
        <f>IF(AD366-AE366&lt;0.005,0,AD366-AE366)</f>
        <v/>
      </c>
      <c r="AG366">
        <f>AL365</f>
        <v/>
      </c>
      <c r="AH366">
        <f>AG366*Plan!D11/100/12</f>
        <v/>
      </c>
      <c r="AI366">
        <f>MIN(Plan!E11,AG366+AH366)</f>
        <v/>
      </c>
      <c r="AJ366">
        <f>AG366+AH366-AI366</f>
        <v/>
      </c>
      <c r="AK366">
        <f>MIN(AJ366,MAX(0,$B366-((E$5&lt;AI$5)*F366+(K$5&lt;AI$5)*L366+(Q$5&lt;AI$5)*R366+(W$5&lt;AI$5)*X366+(AC$5&lt;AI$5)*AD366+(AO$5&lt;AI$5)*AP366+(AU$5&lt;AI$5)*AV366)))</f>
        <v/>
      </c>
      <c r="AL366">
        <f>IF(AJ366-AK366&lt;0.005,0,AJ366-AK366)</f>
        <v/>
      </c>
      <c r="AM366">
        <f>AR365</f>
        <v/>
      </c>
      <c r="AN366">
        <f>AM366*Plan!D12/100/12</f>
        <v/>
      </c>
      <c r="AO366">
        <f>MIN(Plan!E12,AM366+AN366)</f>
        <v/>
      </c>
      <c r="AP366">
        <f>AM366+AN366-AO366</f>
        <v/>
      </c>
      <c r="AQ366">
        <f>MIN(AP366,MAX(0,$B366-((E$5&lt;AO$5)*F366+(K$5&lt;AO$5)*L366+(Q$5&lt;AO$5)*R366+(W$5&lt;AO$5)*X366+(AC$5&lt;AO$5)*AD366+(AI$5&lt;AO$5)*AJ366+(AU$5&lt;AO$5)*AV366)))</f>
        <v/>
      </c>
      <c r="AR366">
        <f>IF(AP366-AQ366&lt;0.005,0,AP366-AQ366)</f>
        <v/>
      </c>
      <c r="AS366">
        <f>AX365</f>
        <v/>
      </c>
      <c r="AT366">
        <f>AS366*Plan!D13/100/12</f>
        <v/>
      </c>
      <c r="AU366">
        <f>MIN(Plan!E13,AS366+AT366)</f>
        <v/>
      </c>
      <c r="AV366">
        <f>AS366+AT366-AU366</f>
        <v/>
      </c>
      <c r="AW366">
        <f>MIN(AV366,MAX(0,$B366-((E$5&lt;AU$5)*F366+(K$5&lt;AU$5)*L366+(Q$5&lt;AU$5)*R366+(W$5&lt;AU$5)*X366+(AC$5&lt;AU$5)*AD366+(AI$5&lt;AU$5)*AJ366+(AO$5&lt;AU$5)*AP366)))</f>
        <v/>
      </c>
      <c r="AX366">
        <f>IF(AV366-AW366&lt;0.005,0,AV366-AW366)</f>
        <v/>
      </c>
      <c r="BC366">
        <f>H366+N366+T366+Z366+AF366+AL366+AR366+AX366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2026-09-30T18:36:41Z</dcterms:created>
  <dcterms:modified xsi:type="dcterms:W3CDTF">2026-09-30T18:36:41Z</dcterms:modified>
</cp:coreProperties>
</file>
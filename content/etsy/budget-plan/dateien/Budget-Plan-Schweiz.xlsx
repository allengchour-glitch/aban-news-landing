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sheetId="1" state="visible" r:id="rId1"/>
    <sheet name="Jahres-Tracker" sheetId="2" state="visible" r:id="rId2"/>
    <sheet name="Anleitung" sheetId="3" state="visible" r:id="rId3"/>
    <sheet name="Listen" sheetId="4" state="hidden" r:id="rId4"/>
  </sheets>
  <definedNames/>
  <calcPr calcId="124519" fullCalcOnLoad="1"/>
</workbook>
</file>

<file path=xl/styles.xml><?xml version="1.0" encoding="utf-8"?>
<styleSheet xmlns="http://schemas.openxmlformats.org/spreadsheetml/2006/main">
  <numFmts count="1">
    <numFmt numFmtId="164" formatCode="&quot;CHF&quot; #,##0;[Red]&quot;CHF&quot; -#,##0"/>
  </numFmts>
  <fonts count="8">
    <font>
      <name val="Calibri"/>
      <family val="2"/>
      <color theme="1"/>
      <sz val="11"/>
      <scheme val="minor"/>
    </font>
    <font>
      <name val="Calibri"/>
      <b val="1"/>
      <color rgb="001F2937"/>
      <sz val="18"/>
    </font>
    <font>
      <i val="1"/>
      <color rgb="006B7280"/>
    </font>
    <font>
      <b val="1"/>
      <color rgb="00B45309"/>
      <sz val="13"/>
    </font>
    <font>
      <name val="Calibri"/>
      <b val="1"/>
      <color rgb="00FFFFFF"/>
    </font>
    <font>
      <name val="Calibri"/>
      <b val="1"/>
      <color rgb="001F2937"/>
    </font>
    <font>
      <color rgb="001F2937"/>
    </font>
    <font>
      <color rgb="006B7280"/>
    </font>
  </fonts>
  <fills count="5">
    <fill>
      <patternFill/>
    </fill>
    <fill>
      <patternFill patternType="gray125"/>
    </fill>
    <fill>
      <patternFill patternType="solid">
        <fgColor rgb="00B45309"/>
      </patternFill>
    </fill>
    <fill>
      <patternFill patternType="solid">
        <fgColor rgb="00FFF2B8"/>
      </patternFill>
    </fill>
    <fill>
      <patternFill patternType="solid">
        <fgColor rgb="00FEF3C7"/>
      </patternFill>
    </fill>
  </fills>
  <borders count="2">
    <border>
      <left/>
      <right/>
      <top/>
      <bottom/>
      <diagonal/>
    </border>
    <border>
      <bottom style="thin">
        <color rgb="00E7DFD2"/>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xf>
    <xf numFmtId="0" fontId="4" fillId="2" borderId="0" applyAlignment="1" pivotButton="0" quotePrefix="0" xfId="0">
      <alignment horizontal="right"/>
    </xf>
    <xf numFmtId="0" fontId="0" fillId="3" borderId="1" pivotButton="0" quotePrefix="0" xfId="0"/>
    <xf numFmtId="164" fontId="0" fillId="3" borderId="1" pivotButton="0" quotePrefix="0" xfId="0"/>
    <xf numFmtId="0" fontId="0" fillId="0" borderId="1" pivotButton="0" quotePrefix="0" xfId="0"/>
    <xf numFmtId="164" fontId="0" fillId="0" borderId="1" pivotButton="0" quotePrefix="0" xfId="0"/>
    <xf numFmtId="164" fontId="5" fillId="4" borderId="1" pivotButton="0" quotePrefix="0" xfId="0"/>
    <xf numFmtId="9" fontId="0" fillId="0" borderId="0" pivotButton="0" quotePrefix="0" xfId="0"/>
    <xf numFmtId="9" fontId="5" fillId="4" borderId="1" pivotButton="0" quotePrefix="0" xfId="0"/>
    <xf numFmtId="164" fontId="6" fillId="3" borderId="1" pivotButton="0" quotePrefix="0" xfId="0"/>
    <xf numFmtId="1" fontId="5" fillId="4" borderId="1" pivotButton="0" quotePrefix="0" xfId="0"/>
    <xf numFmtId="0" fontId="4" fillId="2" borderId="0" pivotButton="0" quotePrefix="0" xfId="0"/>
    <xf numFmtId="0" fontId="5" fillId="0" borderId="0" pivotButton="0" quotePrefix="0" xfId="0"/>
    <xf numFmtId="164" fontId="0" fillId="0" borderId="0" pivotButton="0" quotePrefix="0" xfId="0"/>
    <xf numFmtId="164" fontId="5" fillId="4" borderId="0" pivotButton="0" quotePrefix="0" xfId="0"/>
    <xf numFmtId="0" fontId="7" fillId="0" borderId="0" pivotButton="0" quotePrefix="0" xfId="0"/>
  </cellXfs>
  <cellStyles count="1">
    <cellStyle name="Normal" xfId="0" builtinId="0" hidden="0"/>
  </cellStyles>
  <dxfs count="1">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5" customWidth="1" min="3" max="3"/>
    <col width="11" customWidth="1" min="4" max="4"/>
    <col width="10" customWidth="1" min="5" max="5"/>
    <col width="14" customWidth="1" min="6" max="6"/>
    <col width="16" customWidth="1" min="7" max="7"/>
    <col width="3" customWidth="1" min="8" max="8"/>
  </cols>
  <sheetData>
    <row r="1">
      <c r="A1" s="1" t="inlineStr">
        <is>
          <t>Budget-Plan Schweiz</t>
        </is>
      </c>
    </row>
    <row r="2">
      <c r="A2" s="2" t="inlineStr">
        <is>
          <t>Gelbe Felder ausfüllen, alles andere rechnet sich selbst. Takt = wie oft der Betrag anfällt.</t>
        </is>
      </c>
    </row>
    <row r="4">
      <c r="A4" s="3" t="inlineStr">
        <is>
          <t>Einnahmen</t>
        </is>
      </c>
    </row>
    <row r="5">
      <c r="A5" s="4" t="inlineStr">
        <is>
          <t>Bezeichnung</t>
        </is>
      </c>
      <c r="B5" s="5" t="inlineStr">
        <is>
          <t>Betrag</t>
        </is>
      </c>
      <c r="C5" s="5" t="inlineStr">
        <is>
          <t>Takt</t>
        </is>
      </c>
      <c r="D5" s="5" t="inlineStr"/>
      <c r="E5" s="5" t="inlineStr"/>
      <c r="F5" s="5" t="inlineStr">
        <is>
          <t>pro Monat</t>
        </is>
      </c>
    </row>
    <row r="6">
      <c r="A6" s="6" t="inlineStr">
        <is>
          <t>Nettolohn</t>
        </is>
      </c>
      <c r="B6" s="7" t="n">
        <v>5800</v>
      </c>
      <c r="C6" s="6" t="inlineStr">
        <is>
          <t>monatlich</t>
        </is>
      </c>
      <c r="D6" s="8" t="n"/>
      <c r="E6" s="8" t="n"/>
      <c r="F6" s="9">
        <f>IF(B6="",0,B6*IFERROR(VLOOKUP(C6,Listen!$A$1:$B$4,2,FALSE),12)/12)</f>
        <v/>
      </c>
    </row>
    <row r="7">
      <c r="A7" s="6" t="inlineStr">
        <is>
          <t>13. Monatslohn</t>
        </is>
      </c>
      <c r="B7" s="7" t="n">
        <v>5800</v>
      </c>
      <c r="C7" s="6" t="inlineStr">
        <is>
          <t>jährlich</t>
        </is>
      </c>
      <c r="D7" s="8" t="n"/>
      <c r="E7" s="8" t="n"/>
      <c r="F7" s="9">
        <f>IF(B7="",0,B7*IFERROR(VLOOKUP(C7,Listen!$A$1:$B$4,2,FALSE),12)/12)</f>
        <v/>
      </c>
    </row>
    <row r="8">
      <c r="A8" s="6" t="inlineStr"/>
      <c r="B8" s="7" t="n"/>
      <c r="C8" s="6" t="inlineStr">
        <is>
          <t>monatlich</t>
        </is>
      </c>
      <c r="D8" s="8" t="n"/>
      <c r="E8" s="8" t="n"/>
      <c r="F8" s="9">
        <f>IF(B8="",0,B8*IFERROR(VLOOKUP(C8,Listen!$A$1:$B$4,2,FALSE),12)/12)</f>
        <v/>
      </c>
    </row>
    <row r="9">
      <c r="A9" s="6" t="inlineStr"/>
      <c r="B9" s="7" t="n"/>
      <c r="C9" s="6" t="inlineStr">
        <is>
          <t>monatlich</t>
        </is>
      </c>
      <c r="D9" s="8" t="n"/>
      <c r="E9" s="8" t="n"/>
      <c r="F9" s="9">
        <f>IF(B9="",0,B9*IFERROR(VLOOKUP(C9,Listen!$A$1:$B$4,2,FALSE),12)/12)</f>
        <v/>
      </c>
    </row>
    <row r="11">
      <c r="A11" s="3" t="inlineStr">
        <is>
          <t>Ausgaben</t>
        </is>
      </c>
    </row>
    <row r="12">
      <c r="A12" s="4" t="inlineStr">
        <is>
          <t>Bezeichnung</t>
        </is>
      </c>
      <c r="B12" s="5" t="inlineStr">
        <is>
          <t>Betrag</t>
        </is>
      </c>
      <c r="C12" s="5" t="inlineStr">
        <is>
          <t>Takt</t>
        </is>
      </c>
      <c r="D12" s="5" t="inlineStr">
        <is>
          <t>Art</t>
        </is>
      </c>
      <c r="E12" s="5" t="inlineStr">
        <is>
          <t>Wohnen</t>
        </is>
      </c>
      <c r="F12" s="5" t="inlineStr">
        <is>
          <t>pro Monat</t>
        </is>
      </c>
      <c r="G12" s="5" t="inlineStr">
        <is>
          <t>davon zurücklegen</t>
        </is>
      </c>
    </row>
    <row r="13">
      <c r="A13" s="6" t="inlineStr">
        <is>
          <t>Miete inkl. Nebenkosten</t>
        </is>
      </c>
      <c r="B13" s="7" t="n">
        <v>1850</v>
      </c>
      <c r="C13" s="6" t="inlineStr">
        <is>
          <t>monatlich</t>
        </is>
      </c>
      <c r="D13" s="6" t="inlineStr">
        <is>
          <t>Muss</t>
        </is>
      </c>
      <c r="E13" s="6" t="inlineStr">
        <is>
          <t>ja</t>
        </is>
      </c>
      <c r="F13" s="9">
        <f>IF(B13="",0,B13*IFERROR(VLOOKUP(C13,Listen!$A$1:$B$4,2,FALSE),12)/12)</f>
        <v/>
      </c>
      <c r="G13" s="9">
        <f>IF(C13="monatlich",0,F13)</f>
        <v/>
      </c>
    </row>
    <row r="14">
      <c r="A14" s="6" t="inlineStr">
        <is>
          <t>Krankenkasse Prämien</t>
        </is>
      </c>
      <c r="B14" s="7" t="n">
        <v>420</v>
      </c>
      <c r="C14" s="6" t="inlineStr">
        <is>
          <t>monatlich</t>
        </is>
      </c>
      <c r="D14" s="6" t="inlineStr">
        <is>
          <t>Muss</t>
        </is>
      </c>
      <c r="E14" s="6" t="inlineStr"/>
      <c r="F14" s="9">
        <f>IF(B14="",0,B14*IFERROR(VLOOKUP(C14,Listen!$A$1:$B$4,2,FALSE),12)/12)</f>
        <v/>
      </c>
      <c r="G14" s="9">
        <f>IF(C14="monatlich",0,F14)</f>
        <v/>
      </c>
    </row>
    <row r="15">
      <c r="A15" s="6" t="inlineStr">
        <is>
          <t>Franchise und Selbstbehalt</t>
        </is>
      </c>
      <c r="B15" s="7" t="n">
        <v>1000</v>
      </c>
      <c r="C15" s="6" t="inlineStr">
        <is>
          <t>jährlich</t>
        </is>
      </c>
      <c r="D15" s="6" t="inlineStr">
        <is>
          <t>Muss</t>
        </is>
      </c>
      <c r="E15" s="6" t="inlineStr"/>
      <c r="F15" s="9">
        <f>IF(B15="",0,B15*IFERROR(VLOOKUP(C15,Listen!$A$1:$B$4,2,FALSE),12)/12)</f>
        <v/>
      </c>
      <c r="G15" s="9">
        <f>IF(C15="monatlich",0,F15)</f>
        <v/>
      </c>
    </row>
    <row r="16">
      <c r="A16" s="6" t="inlineStr">
        <is>
          <t>Steuern (letzte Rechnung)</t>
        </is>
      </c>
      <c r="B16" s="7" t="n">
        <v>8400</v>
      </c>
      <c r="C16" s="6" t="inlineStr">
        <is>
          <t>jährlich</t>
        </is>
      </c>
      <c r="D16" s="6" t="inlineStr">
        <is>
          <t>Muss</t>
        </is>
      </c>
      <c r="E16" s="6" t="inlineStr"/>
      <c r="F16" s="9">
        <f>IF(B16="",0,B16*IFERROR(VLOOKUP(C16,Listen!$A$1:$B$4,2,FALSE),12)/12)</f>
        <v/>
      </c>
      <c r="G16" s="9">
        <f>IF(C16="monatlich",0,F16)</f>
        <v/>
      </c>
    </row>
    <row r="17">
      <c r="A17" s="6" t="inlineStr">
        <is>
          <t>Hausrat und Haftpflicht</t>
        </is>
      </c>
      <c r="B17" s="7" t="n">
        <v>380</v>
      </c>
      <c r="C17" s="6" t="inlineStr">
        <is>
          <t>jährlich</t>
        </is>
      </c>
      <c r="D17" s="6" t="inlineStr">
        <is>
          <t>Muss</t>
        </is>
      </c>
      <c r="E17" s="6" t="inlineStr"/>
      <c r="F17" s="9">
        <f>IF(B17="",0,B17*IFERROR(VLOOKUP(C17,Listen!$A$1:$B$4,2,FALSE),12)/12)</f>
        <v/>
      </c>
      <c r="G17" s="9">
        <f>IF(C17="monatlich",0,F17)</f>
        <v/>
      </c>
    </row>
    <row r="18">
      <c r="A18" s="6" t="inlineStr">
        <is>
          <t>Radio- und TV-Gebühr</t>
        </is>
      </c>
      <c r="B18" s="7" t="n">
        <v>335</v>
      </c>
      <c r="C18" s="6" t="inlineStr">
        <is>
          <t>jährlich</t>
        </is>
      </c>
      <c r="D18" s="6" t="inlineStr">
        <is>
          <t>Muss</t>
        </is>
      </c>
      <c r="E18" s="6" t="inlineStr"/>
      <c r="F18" s="9">
        <f>IF(B18="",0,B18*IFERROR(VLOOKUP(C18,Listen!$A$1:$B$4,2,FALSE),12)/12)</f>
        <v/>
      </c>
      <c r="G18" s="9">
        <f>IF(C18="monatlich",0,F18)</f>
        <v/>
      </c>
    </row>
    <row r="19">
      <c r="A19" s="6" t="inlineStr">
        <is>
          <t>Handy und Internet</t>
        </is>
      </c>
      <c r="B19" s="7" t="n">
        <v>90</v>
      </c>
      <c r="C19" s="6" t="inlineStr">
        <is>
          <t>monatlich</t>
        </is>
      </c>
      <c r="D19" s="6" t="inlineStr">
        <is>
          <t>Muss</t>
        </is>
      </c>
      <c r="E19" s="6" t="inlineStr"/>
      <c r="F19" s="9">
        <f>IF(B19="",0,B19*IFERROR(VLOOKUP(C19,Listen!$A$1:$B$4,2,FALSE),12)/12)</f>
        <v/>
      </c>
      <c r="G19" s="9">
        <f>IF(C19="monatlich",0,F19)</f>
        <v/>
      </c>
    </row>
    <row r="20">
      <c r="A20" s="6" t="inlineStr">
        <is>
          <t>ÖV und Mobilität</t>
        </is>
      </c>
      <c r="B20" s="7" t="n">
        <v>150</v>
      </c>
      <c r="C20" s="6" t="inlineStr">
        <is>
          <t>monatlich</t>
        </is>
      </c>
      <c r="D20" s="6" t="inlineStr">
        <is>
          <t>Muss</t>
        </is>
      </c>
      <c r="E20" s="6" t="inlineStr"/>
      <c r="F20" s="9">
        <f>IF(B20="",0,B20*IFERROR(VLOOKUP(C20,Listen!$A$1:$B$4,2,FALSE),12)/12)</f>
        <v/>
      </c>
      <c r="G20" s="9">
        <f>IF(C20="monatlich",0,F20)</f>
        <v/>
      </c>
    </row>
    <row r="21">
      <c r="A21" s="6" t="inlineStr">
        <is>
          <t>Lebensmittel und Haushalt</t>
        </is>
      </c>
      <c r="B21" s="7" t="n">
        <v>700</v>
      </c>
      <c r="C21" s="6" t="inlineStr">
        <is>
          <t>monatlich</t>
        </is>
      </c>
      <c r="D21" s="6" t="inlineStr">
        <is>
          <t>Muss</t>
        </is>
      </c>
      <c r="E21" s="6" t="inlineStr"/>
      <c r="F21" s="9">
        <f>IF(B21="",0,B21*IFERROR(VLOOKUP(C21,Listen!$A$1:$B$4,2,FALSE),12)/12)</f>
        <v/>
      </c>
      <c r="G21" s="9">
        <f>IF(C21="monatlich",0,F21)</f>
        <v/>
      </c>
    </row>
    <row r="22">
      <c r="A22" s="6" t="inlineStr">
        <is>
          <t>Kleider</t>
        </is>
      </c>
      <c r="B22" s="7" t="n">
        <v>1200</v>
      </c>
      <c r="C22" s="6" t="inlineStr">
        <is>
          <t>jährlich</t>
        </is>
      </c>
      <c r="D22" s="6" t="inlineStr">
        <is>
          <t>Kann</t>
        </is>
      </c>
      <c r="E22" s="6" t="inlineStr"/>
      <c r="F22" s="9">
        <f>IF(B22="",0,B22*IFERROR(VLOOKUP(C22,Listen!$A$1:$B$4,2,FALSE),12)/12)</f>
        <v/>
      </c>
      <c r="G22" s="9">
        <f>IF(C22="monatlich",0,F22)</f>
        <v/>
      </c>
    </row>
    <row r="23">
      <c r="A23" s="6" t="inlineStr">
        <is>
          <t>Freizeit und Ausgang</t>
        </is>
      </c>
      <c r="B23" s="7" t="n">
        <v>300</v>
      </c>
      <c r="C23" s="6" t="inlineStr">
        <is>
          <t>monatlich</t>
        </is>
      </c>
      <c r="D23" s="6" t="inlineStr">
        <is>
          <t>Kann</t>
        </is>
      </c>
      <c r="E23" s="6" t="inlineStr"/>
      <c r="F23" s="9">
        <f>IF(B23="",0,B23*IFERROR(VLOOKUP(C23,Listen!$A$1:$B$4,2,FALSE),12)/12)</f>
        <v/>
      </c>
      <c r="G23" s="9">
        <f>IF(C23="monatlich",0,F23)</f>
        <v/>
      </c>
    </row>
    <row r="24">
      <c r="A24" s="6" t="inlineStr">
        <is>
          <t>Ferien</t>
        </is>
      </c>
      <c r="B24" s="7" t="n">
        <v>3000</v>
      </c>
      <c r="C24" s="6" t="inlineStr">
        <is>
          <t>jährlich</t>
        </is>
      </c>
      <c r="D24" s="6" t="inlineStr">
        <is>
          <t>Kann</t>
        </is>
      </c>
      <c r="E24" s="6" t="inlineStr"/>
      <c r="F24" s="9">
        <f>IF(B24="",0,B24*IFERROR(VLOOKUP(C24,Listen!$A$1:$B$4,2,FALSE),12)/12)</f>
        <v/>
      </c>
      <c r="G24" s="9">
        <f>IF(C24="monatlich",0,F24)</f>
        <v/>
      </c>
    </row>
    <row r="25">
      <c r="A25" s="6" t="inlineStr">
        <is>
          <t>Geschenke</t>
        </is>
      </c>
      <c r="B25" s="7" t="n">
        <v>600</v>
      </c>
      <c r="C25" s="6" t="inlineStr">
        <is>
          <t>jährlich</t>
        </is>
      </c>
      <c r="D25" s="6" t="inlineStr">
        <is>
          <t>Kann</t>
        </is>
      </c>
      <c r="E25" s="6" t="inlineStr"/>
      <c r="F25" s="9">
        <f>IF(B25="",0,B25*IFERROR(VLOOKUP(C25,Listen!$A$1:$B$4,2,FALSE),12)/12)</f>
        <v/>
      </c>
      <c r="G25" s="9">
        <f>IF(C25="monatlich",0,F25)</f>
        <v/>
      </c>
    </row>
    <row r="26">
      <c r="A26" s="6" t="inlineStr">
        <is>
          <t>Säule 3a</t>
        </is>
      </c>
      <c r="B26" s="7" t="n">
        <v>300</v>
      </c>
      <c r="C26" s="6" t="inlineStr">
        <is>
          <t>monatlich</t>
        </is>
      </c>
      <c r="D26" s="6" t="inlineStr">
        <is>
          <t>Sparen</t>
        </is>
      </c>
      <c r="E26" s="6" t="inlineStr"/>
      <c r="F26" s="9">
        <f>IF(B26="",0,B26*IFERROR(VLOOKUP(C26,Listen!$A$1:$B$4,2,FALSE),12)/12)</f>
        <v/>
      </c>
      <c r="G26" s="9">
        <f>IF(C26="monatlich",0,F26)</f>
        <v/>
      </c>
    </row>
    <row r="27">
      <c r="A27" s="6" t="inlineStr"/>
      <c r="B27" s="7" t="n"/>
      <c r="C27" s="6" t="inlineStr">
        <is>
          <t>monatlich</t>
        </is>
      </c>
      <c r="D27" s="6" t="inlineStr">
        <is>
          <t>Muss</t>
        </is>
      </c>
      <c r="E27" s="6" t="inlineStr"/>
      <c r="F27" s="9">
        <f>IF(B27="",0,B27*IFERROR(VLOOKUP(C27,Listen!$A$1:$B$4,2,FALSE),12)/12)</f>
        <v/>
      </c>
      <c r="G27" s="9">
        <f>IF(C27="monatlich",0,F27)</f>
        <v/>
      </c>
    </row>
    <row r="28">
      <c r="A28" s="6" t="inlineStr"/>
      <c r="B28" s="7" t="n"/>
      <c r="C28" s="6" t="inlineStr">
        <is>
          <t>monatlich</t>
        </is>
      </c>
      <c r="D28" s="6" t="inlineStr">
        <is>
          <t>Muss</t>
        </is>
      </c>
      <c r="E28" s="6" t="inlineStr"/>
      <c r="F28" s="9">
        <f>IF(B28="",0,B28*IFERROR(VLOOKUP(C28,Listen!$A$1:$B$4,2,FALSE),12)/12)</f>
        <v/>
      </c>
      <c r="G28" s="9">
        <f>IF(C28="monatlich",0,F28)</f>
        <v/>
      </c>
    </row>
    <row r="29">
      <c r="A29" s="6" t="inlineStr"/>
      <c r="B29" s="7" t="n"/>
      <c r="C29" s="6" t="inlineStr">
        <is>
          <t>monatlich</t>
        </is>
      </c>
      <c r="D29" s="6" t="inlineStr">
        <is>
          <t>Muss</t>
        </is>
      </c>
      <c r="E29" s="6" t="inlineStr"/>
      <c r="F29" s="9">
        <f>IF(B29="",0,B29*IFERROR(VLOOKUP(C29,Listen!$A$1:$B$4,2,FALSE),12)/12)</f>
        <v/>
      </c>
      <c r="G29" s="9">
        <f>IF(C29="monatlich",0,F29)</f>
        <v/>
      </c>
    </row>
    <row r="30">
      <c r="A30" s="6" t="inlineStr"/>
      <c r="B30" s="7" t="n"/>
      <c r="C30" s="6" t="inlineStr">
        <is>
          <t>monatlich</t>
        </is>
      </c>
      <c r="D30" s="6" t="inlineStr">
        <is>
          <t>Muss</t>
        </is>
      </c>
      <c r="E30" s="6" t="inlineStr"/>
      <c r="F30" s="9">
        <f>IF(B30="",0,B30*IFERROR(VLOOKUP(C30,Listen!$A$1:$B$4,2,FALSE),12)/12)</f>
        <v/>
      </c>
      <c r="G30" s="9">
        <f>IF(C30="monatlich",0,F30)</f>
        <v/>
      </c>
    </row>
    <row r="31">
      <c r="A31" s="6" t="inlineStr"/>
      <c r="B31" s="7" t="n"/>
      <c r="C31" s="6" t="inlineStr">
        <is>
          <t>monatlich</t>
        </is>
      </c>
      <c r="D31" s="6" t="inlineStr">
        <is>
          <t>Muss</t>
        </is>
      </c>
      <c r="E31" s="6" t="inlineStr"/>
      <c r="F31" s="9">
        <f>IF(B31="",0,B31*IFERROR(VLOOKUP(C31,Listen!$A$1:$B$4,2,FALSE),12)/12)</f>
        <v/>
      </c>
      <c r="G31" s="9">
        <f>IF(C31="monatlich",0,F31)</f>
        <v/>
      </c>
    </row>
    <row r="32">
      <c r="A32" s="6" t="inlineStr"/>
      <c r="B32" s="7" t="n"/>
      <c r="C32" s="6" t="inlineStr">
        <is>
          <t>monatlich</t>
        </is>
      </c>
      <c r="D32" s="6" t="inlineStr">
        <is>
          <t>Muss</t>
        </is>
      </c>
      <c r="E32" s="6" t="inlineStr"/>
      <c r="F32" s="9">
        <f>IF(B32="",0,B32*IFERROR(VLOOKUP(C32,Listen!$A$1:$B$4,2,FALSE),12)/12)</f>
        <v/>
      </c>
      <c r="G32" s="9">
        <f>IF(C32="monatlich",0,F32)</f>
        <v/>
      </c>
    </row>
    <row r="33">
      <c r="A33" s="6" t="inlineStr"/>
      <c r="B33" s="7" t="n"/>
      <c r="C33" s="6" t="inlineStr">
        <is>
          <t>monatlich</t>
        </is>
      </c>
      <c r="D33" s="6" t="inlineStr">
        <is>
          <t>Muss</t>
        </is>
      </c>
      <c r="E33" s="6" t="inlineStr"/>
      <c r="F33" s="9">
        <f>IF(B33="",0,B33*IFERROR(VLOOKUP(C33,Listen!$A$1:$B$4,2,FALSE),12)/12)</f>
        <v/>
      </c>
      <c r="G33" s="9">
        <f>IF(C33="monatlich",0,F33)</f>
        <v/>
      </c>
    </row>
    <row r="34">
      <c r="A34" s="6" t="inlineStr"/>
      <c r="B34" s="7" t="n"/>
      <c r="C34" s="6" t="inlineStr">
        <is>
          <t>monatlich</t>
        </is>
      </c>
      <c r="D34" s="6" t="inlineStr">
        <is>
          <t>Muss</t>
        </is>
      </c>
      <c r="E34" s="6" t="inlineStr"/>
      <c r="F34" s="9">
        <f>IF(B34="",0,B34*IFERROR(VLOOKUP(C34,Listen!$A$1:$B$4,2,FALSE),12)/12)</f>
        <v/>
      </c>
      <c r="G34" s="9">
        <f>IF(C34="monatlich",0,F34)</f>
        <v/>
      </c>
    </row>
    <row r="35">
      <c r="A35" s="6" t="inlineStr"/>
      <c r="B35" s="7" t="n"/>
      <c r="C35" s="6" t="inlineStr">
        <is>
          <t>monatlich</t>
        </is>
      </c>
      <c r="D35" s="6" t="inlineStr">
        <is>
          <t>Muss</t>
        </is>
      </c>
      <c r="E35" s="6" t="inlineStr"/>
      <c r="F35" s="9">
        <f>IF(B35="",0,B35*IFERROR(VLOOKUP(C35,Listen!$A$1:$B$4,2,FALSE),12)/12)</f>
        <v/>
      </c>
      <c r="G35" s="9">
        <f>IF(C35="monatlich",0,F35)</f>
        <v/>
      </c>
    </row>
    <row r="36">
      <c r="A36" s="6" t="inlineStr"/>
      <c r="B36" s="7" t="n"/>
      <c r="C36" s="6" t="inlineStr">
        <is>
          <t>monatlich</t>
        </is>
      </c>
      <c r="D36" s="6" t="inlineStr">
        <is>
          <t>Muss</t>
        </is>
      </c>
      <c r="E36" s="6" t="inlineStr"/>
      <c r="F36" s="9">
        <f>IF(B36="",0,B36*IFERROR(VLOOKUP(C36,Listen!$A$1:$B$4,2,FALSE),12)/12)</f>
        <v/>
      </c>
      <c r="G36" s="9">
        <f>IF(C36="monatlich",0,F36)</f>
        <v/>
      </c>
    </row>
    <row r="37">
      <c r="A37" s="6" t="inlineStr"/>
      <c r="B37" s="7" t="n"/>
      <c r="C37" s="6" t="inlineStr">
        <is>
          <t>monatlich</t>
        </is>
      </c>
      <c r="D37" s="6" t="inlineStr">
        <is>
          <t>Muss</t>
        </is>
      </c>
      <c r="E37" s="6" t="inlineStr"/>
      <c r="F37" s="9">
        <f>IF(B37="",0,B37*IFERROR(VLOOKUP(C37,Listen!$A$1:$B$4,2,FALSE),12)/12)</f>
        <v/>
      </c>
      <c r="G37" s="9">
        <f>IF(C37="monatlich",0,F37)</f>
        <v/>
      </c>
    </row>
    <row r="38">
      <c r="A38" s="6" t="inlineStr"/>
      <c r="B38" s="7" t="n"/>
      <c r="C38" s="6" t="inlineStr">
        <is>
          <t>monatlich</t>
        </is>
      </c>
      <c r="D38" s="6" t="inlineStr">
        <is>
          <t>Muss</t>
        </is>
      </c>
      <c r="E38" s="6" t="inlineStr"/>
      <c r="F38" s="9">
        <f>IF(B38="",0,B38*IFERROR(VLOOKUP(C38,Listen!$A$1:$B$4,2,FALSE),12)/12)</f>
        <v/>
      </c>
      <c r="G38" s="9">
        <f>IF(C38="monatlich",0,F38)</f>
        <v/>
      </c>
    </row>
    <row r="39">
      <c r="A39" s="6" t="inlineStr"/>
      <c r="B39" s="7" t="n"/>
      <c r="C39" s="6" t="inlineStr">
        <is>
          <t>monatlich</t>
        </is>
      </c>
      <c r="D39" s="6" t="inlineStr">
        <is>
          <t>Muss</t>
        </is>
      </c>
      <c r="E39" s="6" t="inlineStr"/>
      <c r="F39" s="9">
        <f>IF(B39="",0,B39*IFERROR(VLOOKUP(C39,Listen!$A$1:$B$4,2,FALSE),12)/12)</f>
        <v/>
      </c>
      <c r="G39" s="9">
        <f>IF(C39="monatlich",0,F39)</f>
        <v/>
      </c>
    </row>
    <row r="40">
      <c r="A40" s="6" t="inlineStr"/>
      <c r="B40" s="7" t="n"/>
      <c r="C40" s="6" t="inlineStr">
        <is>
          <t>monatlich</t>
        </is>
      </c>
      <c r="D40" s="6" t="inlineStr">
        <is>
          <t>Muss</t>
        </is>
      </c>
      <c r="E40" s="6" t="inlineStr"/>
      <c r="F40" s="9">
        <f>IF(B40="",0,B40*IFERROR(VLOOKUP(C40,Listen!$A$1:$B$4,2,FALSE),12)/12)</f>
        <v/>
      </c>
      <c r="G40" s="9">
        <f>IF(C40="monatlich",0,F40)</f>
        <v/>
      </c>
    </row>
    <row r="41">
      <c r="A41" s="6" t="inlineStr"/>
      <c r="B41" s="7" t="n"/>
      <c r="C41" s="6" t="inlineStr">
        <is>
          <t>monatlich</t>
        </is>
      </c>
      <c r="D41" s="6" t="inlineStr">
        <is>
          <t>Muss</t>
        </is>
      </c>
      <c r="E41" s="6" t="inlineStr"/>
      <c r="F41" s="9">
        <f>IF(B41="",0,B41*IFERROR(VLOOKUP(C41,Listen!$A$1:$B$4,2,FALSE),12)/12)</f>
        <v/>
      </c>
      <c r="G41" s="9">
        <f>IF(C41="monatlich",0,F41)</f>
        <v/>
      </c>
    </row>
    <row r="42">
      <c r="A42" s="6" t="inlineStr"/>
      <c r="B42" s="7" t="n"/>
      <c r="C42" s="6" t="inlineStr">
        <is>
          <t>monatlich</t>
        </is>
      </c>
      <c r="D42" s="6" t="inlineStr">
        <is>
          <t>Muss</t>
        </is>
      </c>
      <c r="E42" s="6" t="inlineStr"/>
      <c r="F42" s="9">
        <f>IF(B42="",0,B42*IFERROR(VLOOKUP(C42,Listen!$A$1:$B$4,2,FALSE),12)/12)</f>
        <v/>
      </c>
      <c r="G42" s="9">
        <f>IF(C42="monatlich",0,F42)</f>
        <v/>
      </c>
    </row>
    <row r="44">
      <c r="A44" s="3" t="inlineStr">
        <is>
          <t>Auswertung pro Monat</t>
        </is>
      </c>
    </row>
    <row r="45">
      <c r="A45" s="8" t="inlineStr">
        <is>
          <t>Einnahmen</t>
        </is>
      </c>
      <c r="B45" s="10">
        <f>SUM(F6:F9)</f>
        <v/>
      </c>
    </row>
    <row r="46">
      <c r="A46" s="8" t="inlineStr">
        <is>
          <t>Ausgaben (inkl. Sparen)</t>
        </is>
      </c>
      <c r="B46" s="10">
        <f>SUM(F13:F42)</f>
        <v/>
      </c>
    </row>
    <row r="47">
      <c r="A47" s="8" t="inlineStr">
        <is>
          <t>Übrig (+) / fehlt (−)</t>
        </is>
      </c>
      <c r="B47" s="10">
        <f>B45-B46</f>
        <v/>
      </c>
    </row>
    <row r="48">
      <c r="A48" s="8" t="inlineStr">
        <is>
          <t>Dauerauftrag aufs Rückstellungskonto</t>
        </is>
      </c>
      <c r="B48" s="10">
        <f>SUM(G13:G42)</f>
        <v/>
      </c>
    </row>
    <row r="49">
      <c r="A49" s="8" t="inlineStr">
        <is>
          <t>Muss</t>
        </is>
      </c>
      <c r="B49" s="10">
        <f>SUMIF(D13:D42,"Muss",F13:F42)</f>
        <v/>
      </c>
      <c r="C49" s="11">
        <f>IF($B$45=0,0,B49/$B$45)</f>
        <v/>
      </c>
      <c r="D49" s="2" t="inlineStr">
        <is>
          <t>Faustregel 50 / 30 / 20</t>
        </is>
      </c>
    </row>
    <row r="50">
      <c r="A50" s="8" t="inlineStr">
        <is>
          <t>Kann</t>
        </is>
      </c>
      <c r="B50" s="10">
        <f>SUMIF(D13:D42,"Kann",F13:F42)</f>
        <v/>
      </c>
      <c r="C50" s="11">
        <f>IF($B$45=0,0,B50/$B$45)</f>
        <v/>
      </c>
    </row>
    <row r="51">
      <c r="A51" s="8" t="inlineStr">
        <is>
          <t>Sparen (inkl. Überschuss)</t>
        </is>
      </c>
      <c r="B51" s="10">
        <f>SUMIF(D13:D42,"Sparen",F13:F42)+MAX(B47,0)</f>
        <v/>
      </c>
      <c r="C51" s="11">
        <f>IF($B$45=0,0,B51/$B$45)</f>
        <v/>
      </c>
    </row>
    <row r="52">
      <c r="A52" s="8" t="inlineStr">
        <is>
          <t>Wohnkosten in % des Einkommens</t>
        </is>
      </c>
      <c r="B52" s="12">
        <f>IF(B45=0,0,SUMIF(E13:E42,"ja",F13:F42)/B45)</f>
        <v/>
      </c>
    </row>
    <row r="53">
      <c r="A53" s="8" t="inlineStr">
        <is>
          <t>Notreserve heute (auf dem Sparkonto)</t>
        </is>
      </c>
      <c r="B53" s="13" t="n">
        <v>2000</v>
      </c>
    </row>
    <row r="54">
      <c r="A54" s="8" t="inlineStr">
        <is>
          <t>Notreserve-Ziel (3 × Muss)</t>
        </is>
      </c>
      <c r="B54" s="10">
        <f>3*B49</f>
        <v/>
      </c>
    </row>
    <row r="55">
      <c r="A55" s="8" t="inlineStr">
        <is>
          <t>Monate bis zum Ziel</t>
        </is>
      </c>
      <c r="B55" s="14">
        <f>IF(B53&gt;=B54,0,IF(B51&lt;=0,"nicht erreichbar",ROUNDUP((B54-B53)/B51,0)))</f>
        <v/>
      </c>
    </row>
    <row r="57">
      <c r="A57" s="2" t="inlineStr">
        <is>
          <t>Tipp: Den Betrag „Dauerauftrag aufs Rückstellungskonto“ jeden Monat direkt nach dem Lohn auf ein separates Konto überweisen. Steuern, Franchise und Jahresrechnungen von dort bezahlen.</t>
        </is>
      </c>
    </row>
  </sheetData>
  <conditionalFormatting sqref="B47">
    <cfRule type="cellIs" priority="1" operator="lessThan" dxfId="0">
      <formula>0</formula>
    </cfRule>
  </conditionalFormatting>
  <conditionalFormatting sqref="B52">
    <cfRule type="cellIs" priority="2" operator="greaterThan" dxfId="0">
      <formula>1/3</formula>
    </cfRule>
  </conditionalFormatting>
  <dataValidations count="3">
    <dataValidation sqref="C6 C7 C8 C9 C13 C14 C15 C16 C17 C18 C19 C20 C21 C22 C23 C24 C25 C26 C27 C28 C29 C30 C31 C32 C33 C34 C35 C36 C37 C38 C39 C40 C41 C42" showDropDown="0" showInputMessage="0" showErrorMessage="0" allowBlank="0" type="list">
      <formula1>=Listen!$A$1:$A$4</formula1>
    </dataValidation>
    <dataValidation sqref="D13 D14 D15 D16 D17 D18 D19 D20 D21 D22 D23 D24 D25 D26 D27 D28 D29 D30 D31 D32 D33 D34 D35 D36 D37 D38 D39 D40 D41 D42" showDropDown="0" showInputMessage="0" showErrorMessage="0" allowBlank="0" type="list">
      <formula1>=Listen!$D$1:$D$3</formula1>
    </dataValidation>
    <dataValidation sqref="E13 E14 E15 E16 E17 E18 E19 E20 E21 E22 E23 E24 E25 E26 E27 E28 E29 E30 E31 E32 E33 E34 E35 E36 E37 E38 E39 E40 E41 E42" showDropDown="0" showInputMessage="0" showErrorMessage="0" allowBlank="1" type="list">
      <formula1>"ja,"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1" t="inlineStr">
        <is>
          <t>Jahres-Tracker: was wirklich rausging</t>
        </is>
      </c>
    </row>
    <row r="2">
      <c r="A2" s="2" t="inlineStr">
        <is>
          <t>Trag am Monatsende die tatsächlichen Beträge ein. Rot = mehr als geplant.</t>
        </is>
      </c>
    </row>
    <row r="4">
      <c r="A4" s="15" t="inlineStr">
        <is>
          <t>Posten</t>
        </is>
      </c>
      <c r="B4" s="15" t="inlineStr">
        <is>
          <t>Plan / Monat</t>
        </is>
      </c>
      <c r="C4" s="15" t="inlineStr">
        <is>
          <t>Jan</t>
        </is>
      </c>
      <c r="D4" s="15" t="inlineStr">
        <is>
          <t>Feb</t>
        </is>
      </c>
      <c r="E4" s="15" t="inlineStr">
        <is>
          <t>Mär</t>
        </is>
      </c>
      <c r="F4" s="15" t="inlineStr">
        <is>
          <t>Apr</t>
        </is>
      </c>
      <c r="G4" s="15" t="inlineStr">
        <is>
          <t>Mai</t>
        </is>
      </c>
      <c r="H4" s="15" t="inlineStr">
        <is>
          <t>Jun</t>
        </is>
      </c>
      <c r="I4" s="15" t="inlineStr">
        <is>
          <t>Jul</t>
        </is>
      </c>
      <c r="J4" s="15" t="inlineStr">
        <is>
          <t>Aug</t>
        </is>
      </c>
      <c r="K4" s="15" t="inlineStr">
        <is>
          <t>Sep</t>
        </is>
      </c>
      <c r="L4" s="15" t="inlineStr">
        <is>
          <t>Okt</t>
        </is>
      </c>
      <c r="M4" s="15" t="inlineStr">
        <is>
          <t>Nov</t>
        </is>
      </c>
      <c r="N4" s="15" t="inlineStr">
        <is>
          <t>Dez</t>
        </is>
      </c>
      <c r="O4" s="15" t="inlineStr">
        <is>
          <t>Ø Ist</t>
        </is>
      </c>
    </row>
    <row r="5">
      <c r="A5" s="8">
        <f>IF(Budget!A13="","",Budget!A13)</f>
        <v/>
      </c>
      <c r="B5" s="9">
        <f>IF(Budget!A13="","",Budget!F13)</f>
        <v/>
      </c>
      <c r="C5" s="7" t="n"/>
      <c r="D5" s="7" t="n"/>
      <c r="E5" s="7" t="n"/>
      <c r="F5" s="7" t="n"/>
      <c r="G5" s="7" t="n"/>
      <c r="H5" s="7" t="n"/>
      <c r="I5" s="7" t="n"/>
      <c r="J5" s="7" t="n"/>
      <c r="K5" s="7" t="n"/>
      <c r="L5" s="7" t="n"/>
      <c r="M5" s="7" t="n"/>
      <c r="N5" s="7" t="n"/>
      <c r="O5" s="9">
        <f>IF(COUNT(C5:N5)=0,"",AVERAGE(C5:N5))</f>
        <v/>
      </c>
    </row>
    <row r="6">
      <c r="A6" s="8">
        <f>IF(Budget!A14="","",Budget!A14)</f>
        <v/>
      </c>
      <c r="B6" s="9">
        <f>IF(Budget!A14="","",Budget!F14)</f>
        <v/>
      </c>
      <c r="C6" s="7" t="n"/>
      <c r="D6" s="7" t="n"/>
      <c r="E6" s="7" t="n"/>
      <c r="F6" s="7" t="n"/>
      <c r="G6" s="7" t="n"/>
      <c r="H6" s="7" t="n"/>
      <c r="I6" s="7" t="n"/>
      <c r="J6" s="7" t="n"/>
      <c r="K6" s="7" t="n"/>
      <c r="L6" s="7" t="n"/>
      <c r="M6" s="7" t="n"/>
      <c r="N6" s="7" t="n"/>
      <c r="O6" s="9">
        <f>IF(COUNT(C6:N6)=0,"",AVERAGE(C6:N6))</f>
        <v/>
      </c>
    </row>
    <row r="7">
      <c r="A7" s="8">
        <f>IF(Budget!A15="","",Budget!A15)</f>
        <v/>
      </c>
      <c r="B7" s="9">
        <f>IF(Budget!A15="","",Budget!F15)</f>
        <v/>
      </c>
      <c r="C7" s="7" t="n"/>
      <c r="D7" s="7" t="n"/>
      <c r="E7" s="7" t="n"/>
      <c r="F7" s="7" t="n"/>
      <c r="G7" s="7" t="n"/>
      <c r="H7" s="7" t="n"/>
      <c r="I7" s="7" t="n"/>
      <c r="J7" s="7" t="n"/>
      <c r="K7" s="7" t="n"/>
      <c r="L7" s="7" t="n"/>
      <c r="M7" s="7" t="n"/>
      <c r="N7" s="7" t="n"/>
      <c r="O7" s="9">
        <f>IF(COUNT(C7:N7)=0,"",AVERAGE(C7:N7))</f>
        <v/>
      </c>
    </row>
    <row r="8">
      <c r="A8" s="8">
        <f>IF(Budget!A16="","",Budget!A16)</f>
        <v/>
      </c>
      <c r="B8" s="9">
        <f>IF(Budget!A16="","",Budget!F16)</f>
        <v/>
      </c>
      <c r="C8" s="7" t="n"/>
      <c r="D8" s="7" t="n"/>
      <c r="E8" s="7" t="n"/>
      <c r="F8" s="7" t="n"/>
      <c r="G8" s="7" t="n"/>
      <c r="H8" s="7" t="n"/>
      <c r="I8" s="7" t="n"/>
      <c r="J8" s="7" t="n"/>
      <c r="K8" s="7" t="n"/>
      <c r="L8" s="7" t="n"/>
      <c r="M8" s="7" t="n"/>
      <c r="N8" s="7" t="n"/>
      <c r="O8" s="9">
        <f>IF(COUNT(C8:N8)=0,"",AVERAGE(C8:N8))</f>
        <v/>
      </c>
    </row>
    <row r="9">
      <c r="A9" s="8">
        <f>IF(Budget!A17="","",Budget!A17)</f>
        <v/>
      </c>
      <c r="B9" s="9">
        <f>IF(Budget!A17="","",Budget!F17)</f>
        <v/>
      </c>
      <c r="C9" s="7" t="n"/>
      <c r="D9" s="7" t="n"/>
      <c r="E9" s="7" t="n"/>
      <c r="F9" s="7" t="n"/>
      <c r="G9" s="7" t="n"/>
      <c r="H9" s="7" t="n"/>
      <c r="I9" s="7" t="n"/>
      <c r="J9" s="7" t="n"/>
      <c r="K9" s="7" t="n"/>
      <c r="L9" s="7" t="n"/>
      <c r="M9" s="7" t="n"/>
      <c r="N9" s="7" t="n"/>
      <c r="O9" s="9">
        <f>IF(COUNT(C9:N9)=0,"",AVERAGE(C9:N9))</f>
        <v/>
      </c>
    </row>
    <row r="10">
      <c r="A10" s="8">
        <f>IF(Budget!A18="","",Budget!A18)</f>
        <v/>
      </c>
      <c r="B10" s="9">
        <f>IF(Budget!A18="","",Budget!F18)</f>
        <v/>
      </c>
      <c r="C10" s="7" t="n"/>
      <c r="D10" s="7" t="n"/>
      <c r="E10" s="7" t="n"/>
      <c r="F10" s="7" t="n"/>
      <c r="G10" s="7" t="n"/>
      <c r="H10" s="7" t="n"/>
      <c r="I10" s="7" t="n"/>
      <c r="J10" s="7" t="n"/>
      <c r="K10" s="7" t="n"/>
      <c r="L10" s="7" t="n"/>
      <c r="M10" s="7" t="n"/>
      <c r="N10" s="7" t="n"/>
      <c r="O10" s="9">
        <f>IF(COUNT(C10:N10)=0,"",AVERAGE(C10:N10))</f>
        <v/>
      </c>
    </row>
    <row r="11">
      <c r="A11" s="8">
        <f>IF(Budget!A19="","",Budget!A19)</f>
        <v/>
      </c>
      <c r="B11" s="9">
        <f>IF(Budget!A19="","",Budget!F19)</f>
        <v/>
      </c>
      <c r="C11" s="7" t="n"/>
      <c r="D11" s="7" t="n"/>
      <c r="E11" s="7" t="n"/>
      <c r="F11" s="7" t="n"/>
      <c r="G11" s="7" t="n"/>
      <c r="H11" s="7" t="n"/>
      <c r="I11" s="7" t="n"/>
      <c r="J11" s="7" t="n"/>
      <c r="K11" s="7" t="n"/>
      <c r="L11" s="7" t="n"/>
      <c r="M11" s="7" t="n"/>
      <c r="N11" s="7" t="n"/>
      <c r="O11" s="9">
        <f>IF(COUNT(C11:N11)=0,"",AVERAGE(C11:N11))</f>
        <v/>
      </c>
    </row>
    <row r="12">
      <c r="A12" s="8">
        <f>IF(Budget!A20="","",Budget!A20)</f>
        <v/>
      </c>
      <c r="B12" s="9">
        <f>IF(Budget!A20="","",Budget!F20)</f>
        <v/>
      </c>
      <c r="C12" s="7" t="n"/>
      <c r="D12" s="7" t="n"/>
      <c r="E12" s="7" t="n"/>
      <c r="F12" s="7" t="n"/>
      <c r="G12" s="7" t="n"/>
      <c r="H12" s="7" t="n"/>
      <c r="I12" s="7" t="n"/>
      <c r="J12" s="7" t="n"/>
      <c r="K12" s="7" t="n"/>
      <c r="L12" s="7" t="n"/>
      <c r="M12" s="7" t="n"/>
      <c r="N12" s="7" t="n"/>
      <c r="O12" s="9">
        <f>IF(COUNT(C12:N12)=0,"",AVERAGE(C12:N12))</f>
        <v/>
      </c>
    </row>
    <row r="13">
      <c r="A13" s="8">
        <f>IF(Budget!A21="","",Budget!A21)</f>
        <v/>
      </c>
      <c r="B13" s="9">
        <f>IF(Budget!A21="","",Budget!F21)</f>
        <v/>
      </c>
      <c r="C13" s="7" t="n"/>
      <c r="D13" s="7" t="n"/>
      <c r="E13" s="7" t="n"/>
      <c r="F13" s="7" t="n"/>
      <c r="G13" s="7" t="n"/>
      <c r="H13" s="7" t="n"/>
      <c r="I13" s="7" t="n"/>
      <c r="J13" s="7" t="n"/>
      <c r="K13" s="7" t="n"/>
      <c r="L13" s="7" t="n"/>
      <c r="M13" s="7" t="n"/>
      <c r="N13" s="7" t="n"/>
      <c r="O13" s="9">
        <f>IF(COUNT(C13:N13)=0,"",AVERAGE(C13:N13))</f>
        <v/>
      </c>
    </row>
    <row r="14">
      <c r="A14" s="8">
        <f>IF(Budget!A22="","",Budget!A22)</f>
        <v/>
      </c>
      <c r="B14" s="9">
        <f>IF(Budget!A22="","",Budget!F22)</f>
        <v/>
      </c>
      <c r="C14" s="7" t="n"/>
      <c r="D14" s="7" t="n"/>
      <c r="E14" s="7" t="n"/>
      <c r="F14" s="7" t="n"/>
      <c r="G14" s="7" t="n"/>
      <c r="H14" s="7" t="n"/>
      <c r="I14" s="7" t="n"/>
      <c r="J14" s="7" t="n"/>
      <c r="K14" s="7" t="n"/>
      <c r="L14" s="7" t="n"/>
      <c r="M14" s="7" t="n"/>
      <c r="N14" s="7" t="n"/>
      <c r="O14" s="9">
        <f>IF(COUNT(C14:N14)=0,"",AVERAGE(C14:N14))</f>
        <v/>
      </c>
    </row>
    <row r="15">
      <c r="A15" s="8">
        <f>IF(Budget!A23="","",Budget!A23)</f>
        <v/>
      </c>
      <c r="B15" s="9">
        <f>IF(Budget!A23="","",Budget!F23)</f>
        <v/>
      </c>
      <c r="C15" s="7" t="n"/>
      <c r="D15" s="7" t="n"/>
      <c r="E15" s="7" t="n"/>
      <c r="F15" s="7" t="n"/>
      <c r="G15" s="7" t="n"/>
      <c r="H15" s="7" t="n"/>
      <c r="I15" s="7" t="n"/>
      <c r="J15" s="7" t="n"/>
      <c r="K15" s="7" t="n"/>
      <c r="L15" s="7" t="n"/>
      <c r="M15" s="7" t="n"/>
      <c r="N15" s="7" t="n"/>
      <c r="O15" s="9">
        <f>IF(COUNT(C15:N15)=0,"",AVERAGE(C15:N15))</f>
        <v/>
      </c>
    </row>
    <row r="16">
      <c r="A16" s="8">
        <f>IF(Budget!A24="","",Budget!A24)</f>
        <v/>
      </c>
      <c r="B16" s="9">
        <f>IF(Budget!A24="","",Budget!F24)</f>
        <v/>
      </c>
      <c r="C16" s="7" t="n"/>
      <c r="D16" s="7" t="n"/>
      <c r="E16" s="7" t="n"/>
      <c r="F16" s="7" t="n"/>
      <c r="G16" s="7" t="n"/>
      <c r="H16" s="7" t="n"/>
      <c r="I16" s="7" t="n"/>
      <c r="J16" s="7" t="n"/>
      <c r="K16" s="7" t="n"/>
      <c r="L16" s="7" t="n"/>
      <c r="M16" s="7" t="n"/>
      <c r="N16" s="7" t="n"/>
      <c r="O16" s="9">
        <f>IF(COUNT(C16:N16)=0,"",AVERAGE(C16:N16))</f>
        <v/>
      </c>
    </row>
    <row r="17">
      <c r="A17" s="8">
        <f>IF(Budget!A25="","",Budget!A25)</f>
        <v/>
      </c>
      <c r="B17" s="9">
        <f>IF(Budget!A25="","",Budget!F25)</f>
        <v/>
      </c>
      <c r="C17" s="7" t="n"/>
      <c r="D17" s="7" t="n"/>
      <c r="E17" s="7" t="n"/>
      <c r="F17" s="7" t="n"/>
      <c r="G17" s="7" t="n"/>
      <c r="H17" s="7" t="n"/>
      <c r="I17" s="7" t="n"/>
      <c r="J17" s="7" t="n"/>
      <c r="K17" s="7" t="n"/>
      <c r="L17" s="7" t="n"/>
      <c r="M17" s="7" t="n"/>
      <c r="N17" s="7" t="n"/>
      <c r="O17" s="9">
        <f>IF(COUNT(C17:N17)=0,"",AVERAGE(C17:N17))</f>
        <v/>
      </c>
    </row>
    <row r="18">
      <c r="A18" s="8">
        <f>IF(Budget!A26="","",Budget!A26)</f>
        <v/>
      </c>
      <c r="B18" s="9">
        <f>IF(Budget!A26="","",Budget!F26)</f>
        <v/>
      </c>
      <c r="C18" s="7" t="n"/>
      <c r="D18" s="7" t="n"/>
      <c r="E18" s="7" t="n"/>
      <c r="F18" s="7" t="n"/>
      <c r="G18" s="7" t="n"/>
      <c r="H18" s="7" t="n"/>
      <c r="I18" s="7" t="n"/>
      <c r="J18" s="7" t="n"/>
      <c r="K18" s="7" t="n"/>
      <c r="L18" s="7" t="n"/>
      <c r="M18" s="7" t="n"/>
      <c r="N18" s="7" t="n"/>
      <c r="O18" s="9">
        <f>IF(COUNT(C18:N18)=0,"",AVERAGE(C18:N18))</f>
        <v/>
      </c>
    </row>
    <row r="19">
      <c r="A19" s="8">
        <f>IF(Budget!A27="","",Budget!A27)</f>
        <v/>
      </c>
      <c r="B19" s="9">
        <f>IF(Budget!A27="","",Budget!F27)</f>
        <v/>
      </c>
      <c r="C19" s="7" t="n"/>
      <c r="D19" s="7" t="n"/>
      <c r="E19" s="7" t="n"/>
      <c r="F19" s="7" t="n"/>
      <c r="G19" s="7" t="n"/>
      <c r="H19" s="7" t="n"/>
      <c r="I19" s="7" t="n"/>
      <c r="J19" s="7" t="n"/>
      <c r="K19" s="7" t="n"/>
      <c r="L19" s="7" t="n"/>
      <c r="M19" s="7" t="n"/>
      <c r="N19" s="7" t="n"/>
      <c r="O19" s="9">
        <f>IF(COUNT(C19:N19)=0,"",AVERAGE(C19:N19))</f>
        <v/>
      </c>
    </row>
    <row r="20">
      <c r="A20" s="8">
        <f>IF(Budget!A28="","",Budget!A28)</f>
        <v/>
      </c>
      <c r="B20" s="9">
        <f>IF(Budget!A28="","",Budget!F28)</f>
        <v/>
      </c>
      <c r="C20" s="7" t="n"/>
      <c r="D20" s="7" t="n"/>
      <c r="E20" s="7" t="n"/>
      <c r="F20" s="7" t="n"/>
      <c r="G20" s="7" t="n"/>
      <c r="H20" s="7" t="n"/>
      <c r="I20" s="7" t="n"/>
      <c r="J20" s="7" t="n"/>
      <c r="K20" s="7" t="n"/>
      <c r="L20" s="7" t="n"/>
      <c r="M20" s="7" t="n"/>
      <c r="N20" s="7" t="n"/>
      <c r="O20" s="9">
        <f>IF(COUNT(C20:N20)=0,"",AVERAGE(C20:N20))</f>
        <v/>
      </c>
    </row>
    <row r="21">
      <c r="A21" s="8">
        <f>IF(Budget!A29="","",Budget!A29)</f>
        <v/>
      </c>
      <c r="B21" s="9">
        <f>IF(Budget!A29="","",Budget!F29)</f>
        <v/>
      </c>
      <c r="C21" s="7" t="n"/>
      <c r="D21" s="7" t="n"/>
      <c r="E21" s="7" t="n"/>
      <c r="F21" s="7" t="n"/>
      <c r="G21" s="7" t="n"/>
      <c r="H21" s="7" t="n"/>
      <c r="I21" s="7" t="n"/>
      <c r="J21" s="7" t="n"/>
      <c r="K21" s="7" t="n"/>
      <c r="L21" s="7" t="n"/>
      <c r="M21" s="7" t="n"/>
      <c r="N21" s="7" t="n"/>
      <c r="O21" s="9">
        <f>IF(COUNT(C21:N21)=0,"",AVERAGE(C21:N21))</f>
        <v/>
      </c>
    </row>
    <row r="22">
      <c r="A22" s="8">
        <f>IF(Budget!A30="","",Budget!A30)</f>
        <v/>
      </c>
      <c r="B22" s="9">
        <f>IF(Budget!A30="","",Budget!F30)</f>
        <v/>
      </c>
      <c r="C22" s="7" t="n"/>
      <c r="D22" s="7" t="n"/>
      <c r="E22" s="7" t="n"/>
      <c r="F22" s="7" t="n"/>
      <c r="G22" s="7" t="n"/>
      <c r="H22" s="7" t="n"/>
      <c r="I22" s="7" t="n"/>
      <c r="J22" s="7" t="n"/>
      <c r="K22" s="7" t="n"/>
      <c r="L22" s="7" t="n"/>
      <c r="M22" s="7" t="n"/>
      <c r="N22" s="7" t="n"/>
      <c r="O22" s="9">
        <f>IF(COUNT(C22:N22)=0,"",AVERAGE(C22:N22))</f>
        <v/>
      </c>
    </row>
    <row r="23">
      <c r="A23" s="8">
        <f>IF(Budget!A31="","",Budget!A31)</f>
        <v/>
      </c>
      <c r="B23" s="9">
        <f>IF(Budget!A31="","",Budget!F31)</f>
        <v/>
      </c>
      <c r="C23" s="7" t="n"/>
      <c r="D23" s="7" t="n"/>
      <c r="E23" s="7" t="n"/>
      <c r="F23" s="7" t="n"/>
      <c r="G23" s="7" t="n"/>
      <c r="H23" s="7" t="n"/>
      <c r="I23" s="7" t="n"/>
      <c r="J23" s="7" t="n"/>
      <c r="K23" s="7" t="n"/>
      <c r="L23" s="7" t="n"/>
      <c r="M23" s="7" t="n"/>
      <c r="N23" s="7" t="n"/>
      <c r="O23" s="9">
        <f>IF(COUNT(C23:N23)=0,"",AVERAGE(C23:N23))</f>
        <v/>
      </c>
    </row>
    <row r="24">
      <c r="A24" s="8">
        <f>IF(Budget!A32="","",Budget!A32)</f>
        <v/>
      </c>
      <c r="B24" s="9">
        <f>IF(Budget!A32="","",Budget!F32)</f>
        <v/>
      </c>
      <c r="C24" s="7" t="n"/>
      <c r="D24" s="7" t="n"/>
      <c r="E24" s="7" t="n"/>
      <c r="F24" s="7" t="n"/>
      <c r="G24" s="7" t="n"/>
      <c r="H24" s="7" t="n"/>
      <c r="I24" s="7" t="n"/>
      <c r="J24" s="7" t="n"/>
      <c r="K24" s="7" t="n"/>
      <c r="L24" s="7" t="n"/>
      <c r="M24" s="7" t="n"/>
      <c r="N24" s="7" t="n"/>
      <c r="O24" s="9">
        <f>IF(COUNT(C24:N24)=0,"",AVERAGE(C24:N24))</f>
        <v/>
      </c>
    </row>
    <row r="25">
      <c r="A25" s="8">
        <f>IF(Budget!A33="","",Budget!A33)</f>
        <v/>
      </c>
      <c r="B25" s="9">
        <f>IF(Budget!A33="","",Budget!F33)</f>
        <v/>
      </c>
      <c r="C25" s="7" t="n"/>
      <c r="D25" s="7" t="n"/>
      <c r="E25" s="7" t="n"/>
      <c r="F25" s="7" t="n"/>
      <c r="G25" s="7" t="n"/>
      <c r="H25" s="7" t="n"/>
      <c r="I25" s="7" t="n"/>
      <c r="J25" s="7" t="n"/>
      <c r="K25" s="7" t="n"/>
      <c r="L25" s="7" t="n"/>
      <c r="M25" s="7" t="n"/>
      <c r="N25" s="7" t="n"/>
      <c r="O25" s="9">
        <f>IF(COUNT(C25:N25)=0,"",AVERAGE(C25:N25))</f>
        <v/>
      </c>
    </row>
    <row r="26">
      <c r="A26" s="8">
        <f>IF(Budget!A34="","",Budget!A34)</f>
        <v/>
      </c>
      <c r="B26" s="9">
        <f>IF(Budget!A34="","",Budget!F34)</f>
        <v/>
      </c>
      <c r="C26" s="7" t="n"/>
      <c r="D26" s="7" t="n"/>
      <c r="E26" s="7" t="n"/>
      <c r="F26" s="7" t="n"/>
      <c r="G26" s="7" t="n"/>
      <c r="H26" s="7" t="n"/>
      <c r="I26" s="7" t="n"/>
      <c r="J26" s="7" t="n"/>
      <c r="K26" s="7" t="n"/>
      <c r="L26" s="7" t="n"/>
      <c r="M26" s="7" t="n"/>
      <c r="N26" s="7" t="n"/>
      <c r="O26" s="9">
        <f>IF(COUNT(C26:N26)=0,"",AVERAGE(C26:N26))</f>
        <v/>
      </c>
    </row>
    <row r="27">
      <c r="A27" s="8">
        <f>IF(Budget!A35="","",Budget!A35)</f>
        <v/>
      </c>
      <c r="B27" s="9">
        <f>IF(Budget!A35="","",Budget!F35)</f>
        <v/>
      </c>
      <c r="C27" s="7" t="n"/>
      <c r="D27" s="7" t="n"/>
      <c r="E27" s="7" t="n"/>
      <c r="F27" s="7" t="n"/>
      <c r="G27" s="7" t="n"/>
      <c r="H27" s="7" t="n"/>
      <c r="I27" s="7" t="n"/>
      <c r="J27" s="7" t="n"/>
      <c r="K27" s="7" t="n"/>
      <c r="L27" s="7" t="n"/>
      <c r="M27" s="7" t="n"/>
      <c r="N27" s="7" t="n"/>
      <c r="O27" s="9">
        <f>IF(COUNT(C27:N27)=0,"",AVERAGE(C27:N27))</f>
        <v/>
      </c>
    </row>
    <row r="28">
      <c r="A28" s="8">
        <f>IF(Budget!A36="","",Budget!A36)</f>
        <v/>
      </c>
      <c r="B28" s="9">
        <f>IF(Budget!A36="","",Budget!F36)</f>
        <v/>
      </c>
      <c r="C28" s="7" t="n"/>
      <c r="D28" s="7" t="n"/>
      <c r="E28" s="7" t="n"/>
      <c r="F28" s="7" t="n"/>
      <c r="G28" s="7" t="n"/>
      <c r="H28" s="7" t="n"/>
      <c r="I28" s="7" t="n"/>
      <c r="J28" s="7" t="n"/>
      <c r="K28" s="7" t="n"/>
      <c r="L28" s="7" t="n"/>
      <c r="M28" s="7" t="n"/>
      <c r="N28" s="7" t="n"/>
      <c r="O28" s="9">
        <f>IF(COUNT(C28:N28)=0,"",AVERAGE(C28:N28))</f>
        <v/>
      </c>
    </row>
    <row r="29">
      <c r="A29" s="8">
        <f>IF(Budget!A37="","",Budget!A37)</f>
        <v/>
      </c>
      <c r="B29" s="9">
        <f>IF(Budget!A37="","",Budget!F37)</f>
        <v/>
      </c>
      <c r="C29" s="7" t="n"/>
      <c r="D29" s="7" t="n"/>
      <c r="E29" s="7" t="n"/>
      <c r="F29" s="7" t="n"/>
      <c r="G29" s="7" t="n"/>
      <c r="H29" s="7" t="n"/>
      <c r="I29" s="7" t="n"/>
      <c r="J29" s="7" t="n"/>
      <c r="K29" s="7" t="n"/>
      <c r="L29" s="7" t="n"/>
      <c r="M29" s="7" t="n"/>
      <c r="N29" s="7" t="n"/>
      <c r="O29" s="9">
        <f>IF(COUNT(C29:N29)=0,"",AVERAGE(C29:N29))</f>
        <v/>
      </c>
    </row>
    <row r="30">
      <c r="A30" s="8">
        <f>IF(Budget!A38="","",Budget!A38)</f>
        <v/>
      </c>
      <c r="B30" s="9">
        <f>IF(Budget!A38="","",Budget!F38)</f>
        <v/>
      </c>
      <c r="C30" s="7" t="n"/>
      <c r="D30" s="7" t="n"/>
      <c r="E30" s="7" t="n"/>
      <c r="F30" s="7" t="n"/>
      <c r="G30" s="7" t="n"/>
      <c r="H30" s="7" t="n"/>
      <c r="I30" s="7" t="n"/>
      <c r="J30" s="7" t="n"/>
      <c r="K30" s="7" t="n"/>
      <c r="L30" s="7" t="n"/>
      <c r="M30" s="7" t="n"/>
      <c r="N30" s="7" t="n"/>
      <c r="O30" s="9">
        <f>IF(COUNT(C30:N30)=0,"",AVERAGE(C30:N30))</f>
        <v/>
      </c>
    </row>
    <row r="31">
      <c r="A31" s="8">
        <f>IF(Budget!A39="","",Budget!A39)</f>
        <v/>
      </c>
      <c r="B31" s="9">
        <f>IF(Budget!A39="","",Budget!F39)</f>
        <v/>
      </c>
      <c r="C31" s="7" t="n"/>
      <c r="D31" s="7" t="n"/>
      <c r="E31" s="7" t="n"/>
      <c r="F31" s="7" t="n"/>
      <c r="G31" s="7" t="n"/>
      <c r="H31" s="7" t="n"/>
      <c r="I31" s="7" t="n"/>
      <c r="J31" s="7" t="n"/>
      <c r="K31" s="7" t="n"/>
      <c r="L31" s="7" t="n"/>
      <c r="M31" s="7" t="n"/>
      <c r="N31" s="7" t="n"/>
      <c r="O31" s="9">
        <f>IF(COUNT(C31:N31)=0,"",AVERAGE(C31:N31))</f>
        <v/>
      </c>
    </row>
    <row r="32">
      <c r="A32" s="8">
        <f>IF(Budget!A40="","",Budget!A40)</f>
        <v/>
      </c>
      <c r="B32" s="9">
        <f>IF(Budget!A40="","",Budget!F40)</f>
        <v/>
      </c>
      <c r="C32" s="7" t="n"/>
      <c r="D32" s="7" t="n"/>
      <c r="E32" s="7" t="n"/>
      <c r="F32" s="7" t="n"/>
      <c r="G32" s="7" t="n"/>
      <c r="H32" s="7" t="n"/>
      <c r="I32" s="7" t="n"/>
      <c r="J32" s="7" t="n"/>
      <c r="K32" s="7" t="n"/>
      <c r="L32" s="7" t="n"/>
      <c r="M32" s="7" t="n"/>
      <c r="N32" s="7" t="n"/>
      <c r="O32" s="9">
        <f>IF(COUNT(C32:N32)=0,"",AVERAGE(C32:N32))</f>
        <v/>
      </c>
    </row>
    <row r="33">
      <c r="A33" s="8">
        <f>IF(Budget!A41="","",Budget!A41)</f>
        <v/>
      </c>
      <c r="B33" s="9">
        <f>IF(Budget!A41="","",Budget!F41)</f>
        <v/>
      </c>
      <c r="C33" s="7" t="n"/>
      <c r="D33" s="7" t="n"/>
      <c r="E33" s="7" t="n"/>
      <c r="F33" s="7" t="n"/>
      <c r="G33" s="7" t="n"/>
      <c r="H33" s="7" t="n"/>
      <c r="I33" s="7" t="n"/>
      <c r="J33" s="7" t="n"/>
      <c r="K33" s="7" t="n"/>
      <c r="L33" s="7" t="n"/>
      <c r="M33" s="7" t="n"/>
      <c r="N33" s="7" t="n"/>
      <c r="O33" s="9">
        <f>IF(COUNT(C33:N33)=0,"",AVERAGE(C33:N33))</f>
        <v/>
      </c>
    </row>
    <row r="34">
      <c r="A34" s="8">
        <f>IF(Budget!A42="","",Budget!A42)</f>
        <v/>
      </c>
      <c r="B34" s="9">
        <f>IF(Budget!A42="","",Budget!F42)</f>
        <v/>
      </c>
      <c r="C34" s="7" t="n"/>
      <c r="D34" s="7" t="n"/>
      <c r="E34" s="7" t="n"/>
      <c r="F34" s="7" t="n"/>
      <c r="G34" s="7" t="n"/>
      <c r="H34" s="7" t="n"/>
      <c r="I34" s="7" t="n"/>
      <c r="J34" s="7" t="n"/>
      <c r="K34" s="7" t="n"/>
      <c r="L34" s="7" t="n"/>
      <c r="M34" s="7" t="n"/>
      <c r="N34" s="7" t="n"/>
      <c r="O34" s="9">
        <f>IF(COUNT(C34:N34)=0,"",AVERAGE(C34:N34))</f>
        <v/>
      </c>
    </row>
    <row r="35">
      <c r="A35" s="16" t="inlineStr">
        <is>
          <t>Summe</t>
        </is>
      </c>
      <c r="B35" s="17">
        <f>SUM(B5:B34)</f>
        <v/>
      </c>
      <c r="C35" s="18">
        <f>IF(COUNT(C5:C34)=0,"",SUM(C5:C34))</f>
        <v/>
      </c>
      <c r="D35" s="18">
        <f>IF(COUNT(D5:D34)=0,"",SUM(D5:D34))</f>
        <v/>
      </c>
      <c r="E35" s="18">
        <f>IF(COUNT(E5:E34)=0,"",SUM(E5:E34))</f>
        <v/>
      </c>
      <c r="F35" s="18">
        <f>IF(COUNT(F5:F34)=0,"",SUM(F5:F34))</f>
        <v/>
      </c>
      <c r="G35" s="18">
        <f>IF(COUNT(G5:G34)=0,"",SUM(G5:G34))</f>
        <v/>
      </c>
      <c r="H35" s="18">
        <f>IF(COUNT(H5:H34)=0,"",SUM(H5:H34))</f>
        <v/>
      </c>
      <c r="I35" s="18">
        <f>IF(COUNT(I5:I34)=0,"",SUM(I5:I34))</f>
        <v/>
      </c>
      <c r="J35" s="18">
        <f>IF(COUNT(J5:J34)=0,"",SUM(J5:J34))</f>
        <v/>
      </c>
      <c r="K35" s="18">
        <f>IF(COUNT(K5:K34)=0,"",SUM(K5:K34))</f>
        <v/>
      </c>
      <c r="L35" s="18">
        <f>IF(COUNT(L5:L34)=0,"",SUM(L5:L34))</f>
        <v/>
      </c>
      <c r="M35" s="18">
        <f>IF(COUNT(M5:M34)=0,"",SUM(M5:M34))</f>
        <v/>
      </c>
      <c r="N35" s="18">
        <f>IF(COUNT(N5:N34)=0,"",SUM(N5:N34))</f>
        <v/>
      </c>
    </row>
  </sheetData>
  <conditionalFormatting sqref="C5:N34">
    <cfRule type="expression" priority="1" dxfId="0">
      <formula>AND(C5&lt;&gt;"",$B5&lt;&gt;"",C5&gt;$B5*1.1)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0" customWidth="1" min="1" max="1"/>
  </cols>
  <sheetData>
    <row r="1">
      <c r="A1" s="1" t="inlineStr">
        <is>
          <t>Budget-Plan Schweiz — so geht's</t>
        </is>
      </c>
    </row>
    <row r="2">
      <c r="A2" t="inlineStr"/>
    </row>
    <row r="3">
      <c r="A3" t="inlineStr">
        <is>
          <t>1. Blatt „Budget“: Einnahmen eintragen. Den 13. Monatslohn als eigene Zeile mit Takt „jährlich“.</t>
        </is>
      </c>
    </row>
    <row r="4">
      <c r="A4" t="inlineStr">
        <is>
          <t>2. Alle Ausgaben eintragen, so wie sie kommen: Miete monatlich, Steuern jährlich (letzte Steuerrechnung),</t>
        </is>
      </c>
    </row>
    <row r="5">
      <c r="A5" t="inlineStr">
        <is>
          <t xml:space="preserve">   Hausrat jährlich. Die Spalte „pro Monat“ rechnet alles auf den Monat um.</t>
        </is>
      </c>
    </row>
    <row r="6">
      <c r="A6" t="inlineStr">
        <is>
          <t>3. Art wählen: Muss (kurzfristig nicht änderbar), Kann (änderbar), Sparen (Säule 3a, Sparkonto, Tilgung).</t>
        </is>
      </c>
    </row>
    <row r="7">
      <c r="A7" t="inlineStr">
        <is>
          <t>4. Auswertung lesen: Übrig/fehlt, Dauerauftrag fürs Rückstellungskonto, Muss/Kann/Sparen, Notreserve.</t>
        </is>
      </c>
    </row>
    <row r="8">
      <c r="A8" t="inlineStr">
        <is>
          <t>5. Blatt „Jahres-Tracker“: am Monatsende die tatsächlichen Beträge eintragen. Rot = mehr als 10 % über Plan.</t>
        </is>
      </c>
    </row>
    <row r="9">
      <c r="A9" t="inlineStr"/>
    </row>
    <row r="10">
      <c r="A10" s="16" t="inlineStr">
        <is>
          <t>Das Rückstellungskonto: In der Schweiz kommen die Steuern bei den meisten als Rechnung, nicht als Lohnabzug.</t>
        </is>
      </c>
    </row>
    <row r="11">
      <c r="A11" t="inlineStr">
        <is>
          <t>Den Betrag aus der Auswertung per Dauerauftrag auf ein zweites Konto überweisen und alle Jahresrechnungen</t>
        </is>
      </c>
    </row>
    <row r="12">
      <c r="A12" t="inlineStr">
        <is>
          <t>von dort bezahlen. So bringt keine Rechnung das Budget aus dem Gleichgewicht.</t>
        </is>
      </c>
    </row>
    <row r="13">
      <c r="A13" t="inlineStr"/>
    </row>
    <row r="14">
      <c r="A14" t="inlineStr">
        <is>
          <t>Warnzeichen: Übrig negativ (rot) oder Wohnkosten über einem Drittel des Einkommens (rot).</t>
        </is>
      </c>
    </row>
    <row r="15">
      <c r="A15" t="inlineStr">
        <is>
          <t>Hilfe, wenn es nicht aufgeht: kantonale Budget- und Schuldenberatungen, kostenlos (Übersicht: schulden.ch).</t>
        </is>
      </c>
    </row>
    <row r="16">
      <c r="A16" t="inlineStr"/>
    </row>
    <row r="17">
      <c r="A17" s="19" t="inlineStr">
        <is>
          <t>Planungshilfe, keine Finanzberatung. Private Nutzung. Weitergabe und Weiterverkauf nicht gestattet.</t>
        </is>
      </c>
    </row>
    <row r="18">
      <c r="A18" s="19" t="inlineStr">
        <is>
          <t>© aban news · abannews.com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monatlich</t>
        </is>
      </c>
      <c r="B1" t="n">
        <v>12</v>
      </c>
      <c r="D1" t="inlineStr">
        <is>
          <t>Muss</t>
        </is>
      </c>
    </row>
    <row r="2">
      <c r="A2" t="inlineStr">
        <is>
          <t>pro Quartal</t>
        </is>
      </c>
      <c r="B2" t="n">
        <v>4</v>
      </c>
      <c r="D2" t="inlineStr">
        <is>
          <t>Kann</t>
        </is>
      </c>
    </row>
    <row r="3">
      <c r="A3" t="inlineStr">
        <is>
          <t>halbjährlich</t>
        </is>
      </c>
      <c r="B3" t="n">
        <v>2</v>
      </c>
      <c r="D3" t="inlineStr">
        <is>
          <t>Sparen</t>
        </is>
      </c>
    </row>
    <row r="4">
      <c r="A4" t="inlineStr">
        <is>
          <t>jährlich</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2026-09-30T18:36:42Z</dcterms:created>
  <dcterms:modified xsi:type="dcterms:W3CDTF">2026-09-30T18:36:42Z</dcterms:modified>
</cp:coreProperties>
</file>
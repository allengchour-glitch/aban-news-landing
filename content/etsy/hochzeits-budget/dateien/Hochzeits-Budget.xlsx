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udget" sheetId="1" state="visible" r:id="rId1"/>
    <sheet name="Zahlungsplan" sheetId="2" state="visible" r:id="rId2"/>
    <sheet name="Anleitung" sheetId="3" state="visible" r:id="rId3"/>
  </sheets>
  <definedNames/>
  <calcPr calcId="124519" fullCalcOnLoad="1"/>
</workbook>
</file>

<file path=xl/styles.xml><?xml version="1.0" encoding="utf-8"?>
<styleSheet xmlns="http://schemas.openxmlformats.org/spreadsheetml/2006/main">
  <numFmts count="3">
    <numFmt numFmtId="164" formatCode="#,##0;[Red]-#,##0"/>
    <numFmt numFmtId="165" formatCode="DD.MM.YYYY"/>
    <numFmt numFmtId="166" formatCode="MM.YYYY"/>
  </numFmts>
  <fonts count="9">
    <font>
      <name val="Calibri"/>
      <family val="2"/>
      <color theme="1"/>
      <sz val="11"/>
      <scheme val="minor"/>
    </font>
    <font>
      <b val="1"/>
      <color rgb="001F2937"/>
      <sz val="18"/>
    </font>
    <font>
      <i val="1"/>
      <color rgb="006B7280"/>
    </font>
    <font>
      <b val="1"/>
      <color rgb="001F2937"/>
    </font>
    <font>
      <b val="1"/>
      <color rgb="00FFFFFF"/>
    </font>
    <font>
      <b val="1"/>
      <color rgb="00B91C1C"/>
    </font>
    <font>
      <b val="1"/>
      <color rgb="001F2937"/>
      <sz val="16"/>
    </font>
    <font>
      <color rgb="001F2937"/>
    </font>
    <font>
      <color rgb="006B7280"/>
    </font>
  </fonts>
  <fills count="5">
    <fill>
      <patternFill/>
    </fill>
    <fill>
      <patternFill patternType="gray125"/>
    </fill>
    <fill>
      <patternFill patternType="solid">
        <fgColor rgb="00FFF2B8"/>
      </patternFill>
    </fill>
    <fill>
      <patternFill patternType="solid">
        <fgColor rgb="00B45309"/>
      </patternFill>
    </fill>
    <fill>
      <patternFill patternType="solid">
        <fgColor rgb="00FEF3C7"/>
      </patternFill>
    </fill>
  </fills>
  <borders count="2">
    <border>
      <left/>
      <right/>
      <top/>
      <bottom/>
      <diagonal/>
    </border>
    <border>
      <bottom style="thin">
        <color rgb="00E7DFD2"/>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164" fontId="0" fillId="2" borderId="0" pivotButton="0" quotePrefix="0" xfId="0"/>
    <xf numFmtId="164" fontId="3" fillId="4" borderId="0" pivotButton="0" quotePrefix="0" xfId="0"/>
    <xf numFmtId="165" fontId="0" fillId="2" borderId="0" pivotButton="0" quotePrefix="0" xfId="0"/>
    <xf numFmtId="1" fontId="3" fillId="4" borderId="0" pivotButton="0" quotePrefix="0" xfId="0"/>
    <xf numFmtId="0" fontId="4" fillId="3" borderId="0" applyAlignment="1" pivotButton="0" quotePrefix="0" xfId="0">
      <alignment horizontal="left" wrapText="1"/>
    </xf>
    <xf numFmtId="0" fontId="4" fillId="3" borderId="0" applyAlignment="1" pivotButton="0" quotePrefix="0" xfId="0">
      <alignment horizontal="right" wrapText="1"/>
    </xf>
    <xf numFmtId="0" fontId="0" fillId="2" borderId="1" pivotButton="0" quotePrefix="0" xfId="0"/>
    <xf numFmtId="164" fontId="0" fillId="2" borderId="1" pivotButton="0" quotePrefix="0" xfId="0"/>
    <xf numFmtId="164" fontId="0" fillId="0" borderId="1" pivotButton="0" quotePrefix="0" xfId="0"/>
    <xf numFmtId="9" fontId="0" fillId="2" borderId="1" pivotButton="0" quotePrefix="0" xfId="0"/>
    <xf numFmtId="165" fontId="0" fillId="0" borderId="1" pivotButton="0" quotePrefix="0" xfId="0"/>
    <xf numFmtId="0" fontId="5" fillId="0" borderId="0" pivotButton="0" quotePrefix="0" xfId="0"/>
    <xf numFmtId="0" fontId="6" fillId="0" borderId="0" pivotButton="0" quotePrefix="0" xfId="0"/>
    <xf numFmtId="166" fontId="0" fillId="0" borderId="1" pivotButton="0" quotePrefix="0" xfId="0"/>
    <xf numFmtId="0" fontId="0" fillId="0" borderId="1" pivotButton="0" quotePrefix="0" xfId="0"/>
    <xf numFmtId="0" fontId="7" fillId="0" borderId="0" pivotButton="0" quotePrefix="0" xfId="0"/>
    <xf numFmtId="0" fontId="8" fillId="0" borderId="0" pivotButton="0" quotePrefix="0" xfId="0"/>
  </cellXfs>
  <cellStyles count="1">
    <cellStyle name="Normal" xfId="0" builtinId="0" hidden="0"/>
  </cellStyles>
  <dxfs count="1">
    <dxf>
      <font>
        <b val="1"/>
        <color rgb="00B91C1C"/>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0" customWidth="1" min="1" max="1"/>
    <col width="11" customWidth="1" min="2" max="2"/>
    <col width="10" customWidth="1" min="3" max="3"/>
    <col width="12" customWidth="1" min="4" max="4"/>
    <col width="12" customWidth="1" min="5" max="5"/>
    <col width="12" customWidth="1" min="6" max="6"/>
    <col width="14" customWidth="1" min="7" max="7"/>
    <col width="11" customWidth="1" min="8" max="8"/>
    <col width="13" customWidth="1" min="9" max="9"/>
    <col width="11" customWidth="1" min="10" max="10"/>
    <col width="16" customWidth="1" min="11" max="11"/>
    <col hidden="1" width="13" customWidth="1" min="12" max="12"/>
    <col hidden="1" width="13" customWidth="1" min="13" max="13"/>
    <col width="38" customWidth="1" min="14" max="14"/>
    <col width="14" customWidth="1" min="15" max="15"/>
  </cols>
  <sheetData>
    <row r="1">
      <c r="A1" s="1" t="inlineStr">
        <is>
          <t>Hochzeits-Budget-Plan</t>
        </is>
      </c>
    </row>
    <row r="2">
      <c r="A2" s="2" t="inlineStr">
        <is>
          <t>Gelbe Felder ausfüllen, alles andere rechnet sich selbst.</t>
        </is>
      </c>
    </row>
    <row r="4">
      <c r="A4" s="3" t="inlineStr">
        <is>
          <t>Gäste</t>
        </is>
      </c>
      <c r="B4" s="4" t="n">
        <v>80</v>
      </c>
      <c r="N4" s="3" t="inlineStr">
        <is>
          <t>Kosten total</t>
        </is>
      </c>
      <c r="O4" s="5">
        <f>SUM(D12:D51)</f>
        <v/>
      </c>
    </row>
    <row r="5">
      <c r="A5" s="3" t="inlineStr">
        <is>
          <t>Budget total</t>
        </is>
      </c>
      <c r="B5" s="4" t="n">
        <v>35000</v>
      </c>
      <c r="N5" s="3" t="inlineStr">
        <is>
          <t>pro Gast</t>
        </is>
      </c>
      <c r="O5" s="5">
        <f>IF($B$4&gt;0,O4/$B$4,0)</f>
        <v/>
      </c>
    </row>
    <row r="6">
      <c r="A6" s="3" t="inlineStr">
        <is>
          <t>Hochzeitsdatum</t>
        </is>
      </c>
      <c r="B6" s="6">
        <f>DATE(YEAR(TODAY())+1,MONTH(TODAY()),15)</f>
        <v/>
      </c>
      <c r="N6" s="3" t="inlineStr">
        <is>
          <t>Übrig (+) / über Budget (−)</t>
        </is>
      </c>
      <c r="O6" s="5">
        <f>$B$5-O4</f>
        <v/>
      </c>
    </row>
    <row r="7">
      <c r="A7" s="3" t="inlineStr">
        <is>
          <t>Heute schon gespart</t>
        </is>
      </c>
      <c r="B7" s="4" t="n">
        <v>6000</v>
      </c>
      <c r="N7" s="3" t="inlineStr">
        <is>
          <t>Jeder zusätzliche Gast kostet</t>
        </is>
      </c>
      <c r="O7" s="5">
        <f>SUMIF(C12:C51,"ja",B12:B51)</f>
        <v/>
      </c>
    </row>
    <row r="8">
      <c r="A8" s="3" t="inlineStr">
        <is>
          <t>Ihr spart pro Monat</t>
        </is>
      </c>
      <c r="B8" s="4" t="n">
        <v>1500</v>
      </c>
      <c r="N8" s="3" t="inlineStr">
        <is>
          <t>Höchstens so viele Gäste im Budget</t>
        </is>
      </c>
      <c r="O8" s="5">
        <f>IF(SUMIF(C12:C51,"ja",B12:B51)&gt;0,MAX(0,INT(($B$5-(O4-SUMIF(C12:C51,"ja",B12:B51)*$B$4))/SUMIF(C12:C51,"ja",B12:B51))),"–")</f>
        <v/>
      </c>
    </row>
    <row r="9">
      <c r="N9" s="3" t="inlineStr">
        <is>
          <t>Noch zu bezahlen</t>
        </is>
      </c>
      <c r="O9" s="5">
        <f>SUM(J12:J51)</f>
        <v/>
      </c>
    </row>
    <row r="10">
      <c r="N10" s="3" t="inlineStr">
        <is>
          <t>Monate bis zur Hochzeit</t>
        </is>
      </c>
      <c r="O10" s="7">
        <f>MAX(0,(YEAR($B$6)-YEAR(TODAY()))*12+MONTH($B$6)-MONTH(TODAY()))</f>
        <v/>
      </c>
    </row>
    <row r="11">
      <c r="A11" s="8" t="inlineStr">
        <is>
          <t>Posten</t>
        </is>
      </c>
      <c r="B11" s="9" t="inlineStr">
        <is>
          <t>Betrag</t>
        </is>
      </c>
      <c r="C11" s="9" t="inlineStr">
        <is>
          <t>pro Gast</t>
        </is>
      </c>
      <c r="D11" s="9" t="inlineStr">
        <is>
          <t>Kosten</t>
        </is>
      </c>
      <c r="E11" s="9" t="inlineStr">
        <is>
          <t>Anzahlung %</t>
        </is>
      </c>
      <c r="F11" s="9" t="inlineStr">
        <is>
          <t>Monate vorher</t>
        </is>
      </c>
      <c r="G11" s="9" t="inlineStr">
        <is>
          <t>Anzahlung fällig</t>
        </is>
      </c>
      <c r="H11" s="9" t="inlineStr">
        <is>
          <t>Anzahlung</t>
        </is>
      </c>
      <c r="I11" s="9" t="inlineStr">
        <is>
          <t>schon bezahlt</t>
        </is>
      </c>
      <c r="J11" s="9" t="inlineStr">
        <is>
          <t>offen</t>
        </is>
      </c>
      <c r="K11" s="9" t="inlineStr">
        <is>
          <t>Rest am Hochzeitstag</t>
        </is>
      </c>
      <c r="L11" s="9" t="inlineStr">
        <is>
          <t>Anzahlung offen</t>
        </is>
      </c>
      <c r="N11" s="3" t="inlineStr">
        <is>
          <t>Nötige Sparrate pro Monat</t>
        </is>
      </c>
      <c r="O11" s="5">
        <f>MAX('Zahlungsplan'!G5:G40)</f>
        <v/>
      </c>
    </row>
    <row r="12">
      <c r="A12" s="10" t="inlineStr">
        <is>
          <t>Location / Saalmiete</t>
        </is>
      </c>
      <c r="B12" s="11" t="n">
        <v>3000</v>
      </c>
      <c r="C12" s="10" t="inlineStr">
        <is>
          <t>nein</t>
        </is>
      </c>
      <c r="D12" s="12">
        <f>IF(C12="ja",N(B12)*$B$4,N(B12))</f>
        <v/>
      </c>
      <c r="E12" s="13" t="n">
        <v>0.5</v>
      </c>
      <c r="F12" s="10" t="n">
        <v>12</v>
      </c>
      <c r="G12" s="14">
        <f>IF(H12-MIN(D12,N(I12))&gt;0.004,MAX(TODAY(),DATE(YEAR($B$6),MONTH($B$6)-N(F12),1)),"")</f>
        <v/>
      </c>
      <c r="H12" s="12">
        <f>D12*MIN(1,MAX(0,N(E12)))</f>
        <v/>
      </c>
      <c r="I12" s="11" t="n">
        <v>0</v>
      </c>
      <c r="J12" s="12">
        <f>D12-MIN(D12,N(I12))</f>
        <v/>
      </c>
      <c r="K12" s="12">
        <f>J12-L12</f>
        <v/>
      </c>
      <c r="L12" s="12">
        <f>MAX(0,H12-MIN(D12,N(I12)))</f>
        <v/>
      </c>
      <c r="M12">
        <f>IF(G12="","",YEAR(G12)*12+MONTH(G12))</f>
        <v/>
      </c>
      <c r="N12" s="3" t="inlineStr">
        <is>
          <t>Mit eurer Sparrate: Lücke (−) / Reserve (+)</t>
        </is>
      </c>
      <c r="O12" s="5">
        <f>MIN('Zahlungsplan'!F5:F40)</f>
        <v/>
      </c>
    </row>
    <row r="13">
      <c r="A13" s="10" t="inlineStr">
        <is>
          <t>Essen</t>
        </is>
      </c>
      <c r="B13" s="11" t="n">
        <v>120</v>
      </c>
      <c r="C13" s="10" t="inlineStr">
        <is>
          <t>ja</t>
        </is>
      </c>
      <c r="D13" s="12">
        <f>IF(C13="ja",N(B13)*$B$4,N(B13))</f>
        <v/>
      </c>
      <c r="E13" s="13" t="n">
        <v>0.3</v>
      </c>
      <c r="F13" s="10" t="n">
        <v>3</v>
      </c>
      <c r="G13" s="14">
        <f>IF(H13-MIN(D13,N(I13))&gt;0.004,MAX(TODAY(),DATE(YEAR($B$6),MONTH($B$6)-N(F13),1)),"")</f>
        <v/>
      </c>
      <c r="H13" s="12">
        <f>D13*MIN(1,MAX(0,N(E13)))</f>
        <v/>
      </c>
      <c r="I13" s="11" t="n">
        <v>0</v>
      </c>
      <c r="J13" s="12">
        <f>D13-MIN(D13,N(I13))</f>
        <v/>
      </c>
      <c r="K13" s="12">
        <f>J13-L13</f>
        <v/>
      </c>
      <c r="L13" s="12">
        <f>MAX(0,H13-MIN(D13,N(I13)))</f>
        <v/>
      </c>
      <c r="M13">
        <f>IF(G13="","",YEAR(G13)*12+MONTH(G13))</f>
        <v/>
      </c>
    </row>
    <row r="14">
      <c r="A14" s="10" t="inlineStr">
        <is>
          <t>Getränke</t>
        </is>
      </c>
      <c r="B14" s="11" t="n">
        <v>45</v>
      </c>
      <c r="C14" s="10" t="inlineStr">
        <is>
          <t>ja</t>
        </is>
      </c>
      <c r="D14" s="12">
        <f>IF(C14="ja",N(B14)*$B$4,N(B14))</f>
        <v/>
      </c>
      <c r="E14" s="13" t="n">
        <v>0</v>
      </c>
      <c r="F14" s="10" t="n">
        <v>0</v>
      </c>
      <c r="G14" s="14">
        <f>IF(H14-MIN(D14,N(I14))&gt;0.004,MAX(TODAY(),DATE(YEAR($B$6),MONTH($B$6)-N(F14),1)),"")</f>
        <v/>
      </c>
      <c r="H14" s="12">
        <f>D14*MIN(1,MAX(0,N(E14)))</f>
        <v/>
      </c>
      <c r="I14" s="11" t="n">
        <v>0</v>
      </c>
      <c r="J14" s="12">
        <f>D14-MIN(D14,N(I14))</f>
        <v/>
      </c>
      <c r="K14" s="12">
        <f>J14-L14</f>
        <v/>
      </c>
      <c r="L14" s="12">
        <f>MAX(0,H14-MIN(D14,N(I14)))</f>
        <v/>
      </c>
      <c r="M14">
        <f>IF(G14="","",YEAR(G14)*12+MONTH(G14))</f>
        <v/>
      </c>
      <c r="N14" s="15">
        <f>IF('Zahlungsplan'!B5&gt;$B$7,"Sofort fällig ist mehr, als ihr gespart habt!","")</f>
        <v/>
      </c>
    </row>
    <row r="15">
      <c r="A15" s="10" t="inlineStr">
        <is>
          <t>Apéro</t>
        </is>
      </c>
      <c r="B15" s="11" t="n">
        <v>25</v>
      </c>
      <c r="C15" s="10" t="inlineStr">
        <is>
          <t>ja</t>
        </is>
      </c>
      <c r="D15" s="12">
        <f>IF(C15="ja",N(B15)*$B$4,N(B15))</f>
        <v/>
      </c>
      <c r="E15" s="13" t="n">
        <v>0</v>
      </c>
      <c r="F15" s="10" t="n">
        <v>0</v>
      </c>
      <c r="G15" s="14">
        <f>IF(H15-MIN(D15,N(I15))&gt;0.004,MAX(TODAY(),DATE(YEAR($B$6),MONTH($B$6)-N(F15),1)),"")</f>
        <v/>
      </c>
      <c r="H15" s="12">
        <f>D15*MIN(1,MAX(0,N(E15)))</f>
        <v/>
      </c>
      <c r="I15" s="11" t="n">
        <v>0</v>
      </c>
      <c r="J15" s="12">
        <f>D15-MIN(D15,N(I15))</f>
        <v/>
      </c>
      <c r="K15" s="12">
        <f>J15-L15</f>
        <v/>
      </c>
      <c r="L15" s="12">
        <f>MAX(0,H15-MIN(D15,N(I15)))</f>
        <v/>
      </c>
      <c r="M15">
        <f>IF(G15="","",YEAR(G15)*12+MONTH(G15))</f>
        <v/>
      </c>
    </row>
    <row r="16">
      <c r="A16" s="10" t="inlineStr">
        <is>
          <t>Hochzeitstorte</t>
        </is>
      </c>
      <c r="B16" s="11" t="n">
        <v>10</v>
      </c>
      <c r="C16" s="10" t="inlineStr">
        <is>
          <t>ja</t>
        </is>
      </c>
      <c r="D16" s="12">
        <f>IF(C16="ja",N(B16)*$B$4,N(B16))</f>
        <v/>
      </c>
      <c r="E16" s="13" t="n">
        <v>0.3</v>
      </c>
      <c r="F16" s="10" t="n">
        <v>2</v>
      </c>
      <c r="G16" s="14">
        <f>IF(H16-MIN(D16,N(I16))&gt;0.004,MAX(TODAY(),DATE(YEAR($B$6),MONTH($B$6)-N(F16),1)),"")</f>
        <v/>
      </c>
      <c r="H16" s="12">
        <f>D16*MIN(1,MAX(0,N(E16)))</f>
        <v/>
      </c>
      <c r="I16" s="11" t="n">
        <v>0</v>
      </c>
      <c r="J16" s="12">
        <f>D16-MIN(D16,N(I16))</f>
        <v/>
      </c>
      <c r="K16" s="12">
        <f>J16-L16</f>
        <v/>
      </c>
      <c r="L16" s="12">
        <f>MAX(0,H16-MIN(D16,N(I16)))</f>
        <v/>
      </c>
      <c r="M16">
        <f>IF(G16="","",YEAR(G16)*12+MONTH(G16))</f>
        <v/>
      </c>
    </row>
    <row r="17">
      <c r="A17" s="10" t="inlineStr">
        <is>
          <t>Fotografie</t>
        </is>
      </c>
      <c r="B17" s="11" t="n">
        <v>3500</v>
      </c>
      <c r="C17" s="10" t="inlineStr">
        <is>
          <t>nein</t>
        </is>
      </c>
      <c r="D17" s="12">
        <f>IF(C17="ja",N(B17)*$B$4,N(B17))</f>
        <v/>
      </c>
      <c r="E17" s="13" t="n">
        <v>0.3</v>
      </c>
      <c r="F17" s="10" t="n">
        <v>9</v>
      </c>
      <c r="G17" s="14">
        <f>IF(H17-MIN(D17,N(I17))&gt;0.004,MAX(TODAY(),DATE(YEAR($B$6),MONTH($B$6)-N(F17),1)),"")</f>
        <v/>
      </c>
      <c r="H17" s="12">
        <f>D17*MIN(1,MAX(0,N(E17)))</f>
        <v/>
      </c>
      <c r="I17" s="11" t="n">
        <v>0</v>
      </c>
      <c r="J17" s="12">
        <f>D17-MIN(D17,N(I17))</f>
        <v/>
      </c>
      <c r="K17" s="12">
        <f>J17-L17</f>
        <v/>
      </c>
      <c r="L17" s="12">
        <f>MAX(0,H17-MIN(D17,N(I17)))</f>
        <v/>
      </c>
      <c r="M17">
        <f>IF(G17="","",YEAR(G17)*12+MONTH(G17))</f>
        <v/>
      </c>
    </row>
    <row r="18">
      <c r="A18" s="10" t="inlineStr">
        <is>
          <t>Musik / DJ</t>
        </is>
      </c>
      <c r="B18" s="11" t="n">
        <v>2000</v>
      </c>
      <c r="C18" s="10" t="inlineStr">
        <is>
          <t>nein</t>
        </is>
      </c>
      <c r="D18" s="12">
        <f>IF(C18="ja",N(B18)*$B$4,N(B18))</f>
        <v/>
      </c>
      <c r="E18" s="13" t="n">
        <v>0.3</v>
      </c>
      <c r="F18" s="10" t="n">
        <v>6</v>
      </c>
      <c r="G18" s="14">
        <f>IF(H18-MIN(D18,N(I18))&gt;0.004,MAX(TODAY(),DATE(YEAR($B$6),MONTH($B$6)-N(F18),1)),"")</f>
        <v/>
      </c>
      <c r="H18" s="12">
        <f>D18*MIN(1,MAX(0,N(E18)))</f>
        <v/>
      </c>
      <c r="I18" s="11" t="n">
        <v>0</v>
      </c>
      <c r="J18" s="12">
        <f>D18-MIN(D18,N(I18))</f>
        <v/>
      </c>
      <c r="K18" s="12">
        <f>J18-L18</f>
        <v/>
      </c>
      <c r="L18" s="12">
        <f>MAX(0,H18-MIN(D18,N(I18)))</f>
        <v/>
      </c>
      <c r="M18">
        <f>IF(G18="","",YEAR(G18)*12+MONTH(G18))</f>
        <v/>
      </c>
    </row>
    <row r="19">
      <c r="A19" s="10" t="inlineStr">
        <is>
          <t>Kleid und Anzug</t>
        </is>
      </c>
      <c r="B19" s="11" t="n">
        <v>3200</v>
      </c>
      <c r="C19" s="10" t="inlineStr">
        <is>
          <t>nein</t>
        </is>
      </c>
      <c r="D19" s="12">
        <f>IF(C19="ja",N(B19)*$B$4,N(B19))</f>
        <v/>
      </c>
      <c r="E19" s="13" t="n">
        <v>0.5</v>
      </c>
      <c r="F19" s="10" t="n">
        <v>8</v>
      </c>
      <c r="G19" s="14">
        <f>IF(H19-MIN(D19,N(I19))&gt;0.004,MAX(TODAY(),DATE(YEAR($B$6),MONTH($B$6)-N(F19),1)),"")</f>
        <v/>
      </c>
      <c r="H19" s="12">
        <f>D19*MIN(1,MAX(0,N(E19)))</f>
        <v/>
      </c>
      <c r="I19" s="11" t="n">
        <v>0</v>
      </c>
      <c r="J19" s="12">
        <f>D19-MIN(D19,N(I19))</f>
        <v/>
      </c>
      <c r="K19" s="12">
        <f>J19-L19</f>
        <v/>
      </c>
      <c r="L19" s="12">
        <f>MAX(0,H19-MIN(D19,N(I19)))</f>
        <v/>
      </c>
      <c r="M19">
        <f>IF(G19="","",YEAR(G19)*12+MONTH(G19))</f>
        <v/>
      </c>
    </row>
    <row r="20">
      <c r="A20" s="10" t="inlineStr">
        <is>
          <t>Ringe</t>
        </is>
      </c>
      <c r="B20" s="11" t="n">
        <v>2500</v>
      </c>
      <c r="C20" s="10" t="inlineStr">
        <is>
          <t>nein</t>
        </is>
      </c>
      <c r="D20" s="12">
        <f>IF(C20="ja",N(B20)*$B$4,N(B20))</f>
        <v/>
      </c>
      <c r="E20" s="13" t="n">
        <v>1</v>
      </c>
      <c r="F20" s="10" t="n">
        <v>3</v>
      </c>
      <c r="G20" s="14">
        <f>IF(H20-MIN(D20,N(I20))&gt;0.004,MAX(TODAY(),DATE(YEAR($B$6),MONTH($B$6)-N(F20),1)),"")</f>
        <v/>
      </c>
      <c r="H20" s="12">
        <f>D20*MIN(1,MAX(0,N(E20)))</f>
        <v/>
      </c>
      <c r="I20" s="11" t="n">
        <v>0</v>
      </c>
      <c r="J20" s="12">
        <f>D20-MIN(D20,N(I20))</f>
        <v/>
      </c>
      <c r="K20" s="12">
        <f>J20-L20</f>
        <v/>
      </c>
      <c r="L20" s="12">
        <f>MAX(0,H20-MIN(D20,N(I20)))</f>
        <v/>
      </c>
      <c r="M20">
        <f>IF(G20="","",YEAR(G20)*12+MONTH(G20))</f>
        <v/>
      </c>
    </row>
    <row r="21">
      <c r="A21" s="10" t="inlineStr">
        <is>
          <t>Blumen und Deko</t>
        </is>
      </c>
      <c r="B21" s="11" t="n">
        <v>1800</v>
      </c>
      <c r="C21" s="10" t="inlineStr">
        <is>
          <t>nein</t>
        </is>
      </c>
      <c r="D21" s="12">
        <f>IF(C21="ja",N(B21)*$B$4,N(B21))</f>
        <v/>
      </c>
      <c r="E21" s="13" t="n">
        <v>0.3</v>
      </c>
      <c r="F21" s="10" t="n">
        <v>4</v>
      </c>
      <c r="G21" s="14">
        <f>IF(H21-MIN(D21,N(I21))&gt;0.004,MAX(TODAY(),DATE(YEAR($B$6),MONTH($B$6)-N(F21),1)),"")</f>
        <v/>
      </c>
      <c r="H21" s="12">
        <f>D21*MIN(1,MAX(0,N(E21)))</f>
        <v/>
      </c>
      <c r="I21" s="11" t="n">
        <v>0</v>
      </c>
      <c r="J21" s="12">
        <f>D21-MIN(D21,N(I21))</f>
        <v/>
      </c>
      <c r="K21" s="12">
        <f>J21-L21</f>
        <v/>
      </c>
      <c r="L21" s="12">
        <f>MAX(0,H21-MIN(D21,N(I21)))</f>
        <v/>
      </c>
      <c r="M21">
        <f>IF(G21="","",YEAR(G21)*12+MONTH(G21))</f>
        <v/>
      </c>
    </row>
    <row r="22">
      <c r="A22" s="10" t="inlineStr">
        <is>
          <t>Einladungen und Papeterie</t>
        </is>
      </c>
      <c r="B22" s="11" t="n">
        <v>8</v>
      </c>
      <c r="C22" s="10" t="inlineStr">
        <is>
          <t>ja</t>
        </is>
      </c>
      <c r="D22" s="12">
        <f>IF(C22="ja",N(B22)*$B$4,N(B22))</f>
        <v/>
      </c>
      <c r="E22" s="13" t="n">
        <v>1</v>
      </c>
      <c r="F22" s="10" t="n">
        <v>5</v>
      </c>
      <c r="G22" s="14">
        <f>IF(H22-MIN(D22,N(I22))&gt;0.004,MAX(TODAY(),DATE(YEAR($B$6),MONTH($B$6)-N(F22),1)),"")</f>
        <v/>
      </c>
      <c r="H22" s="12">
        <f>D22*MIN(1,MAX(0,N(E22)))</f>
        <v/>
      </c>
      <c r="I22" s="11" t="n">
        <v>0</v>
      </c>
      <c r="J22" s="12">
        <f>D22-MIN(D22,N(I22))</f>
        <v/>
      </c>
      <c r="K22" s="12">
        <f>J22-L22</f>
        <v/>
      </c>
      <c r="L22" s="12">
        <f>MAX(0,H22-MIN(D22,N(I22)))</f>
        <v/>
      </c>
      <c r="M22">
        <f>IF(G22="","",YEAR(G22)*12+MONTH(G22))</f>
        <v/>
      </c>
    </row>
    <row r="23">
      <c r="A23" s="10" t="inlineStr">
        <is>
          <t>Zivilstandsamt</t>
        </is>
      </c>
      <c r="B23" s="11" t="n">
        <v>350</v>
      </c>
      <c r="C23" s="10" t="inlineStr">
        <is>
          <t>nein</t>
        </is>
      </c>
      <c r="D23" s="12">
        <f>IF(C23="ja",N(B23)*$B$4,N(B23))</f>
        <v/>
      </c>
      <c r="E23" s="13" t="n">
        <v>1</v>
      </c>
      <c r="F23" s="10" t="n">
        <v>2</v>
      </c>
      <c r="G23" s="14">
        <f>IF(H23-MIN(D23,N(I23))&gt;0.004,MAX(TODAY(),DATE(YEAR($B$6),MONTH($B$6)-N(F23),1)),"")</f>
        <v/>
      </c>
      <c r="H23" s="12">
        <f>D23*MIN(1,MAX(0,N(E23)))</f>
        <v/>
      </c>
      <c r="I23" s="11" t="n">
        <v>0</v>
      </c>
      <c r="J23" s="12">
        <f>D23-MIN(D23,N(I23))</f>
        <v/>
      </c>
      <c r="K23" s="12">
        <f>J23-L23</f>
        <v/>
      </c>
      <c r="L23" s="12">
        <f>MAX(0,H23-MIN(D23,N(I23)))</f>
        <v/>
      </c>
      <c r="M23">
        <f>IF(G23="","",YEAR(G23)*12+MONTH(G23))</f>
        <v/>
      </c>
    </row>
    <row r="24">
      <c r="A24" s="10" t="inlineStr">
        <is>
          <t>Reserve für Unvorhergesehenes</t>
        </is>
      </c>
      <c r="B24" s="11" t="n">
        <v>2000</v>
      </c>
      <c r="C24" s="10" t="inlineStr">
        <is>
          <t>nein</t>
        </is>
      </c>
      <c r="D24" s="12">
        <f>IF(C24="ja",N(B24)*$B$4,N(B24))</f>
        <v/>
      </c>
      <c r="E24" s="13" t="n">
        <v>0</v>
      </c>
      <c r="F24" s="10" t="n">
        <v>0</v>
      </c>
      <c r="G24" s="14">
        <f>IF(H24-MIN(D24,N(I24))&gt;0.004,MAX(TODAY(),DATE(YEAR($B$6),MONTH($B$6)-N(F24),1)),"")</f>
        <v/>
      </c>
      <c r="H24" s="12">
        <f>D24*MIN(1,MAX(0,N(E24)))</f>
        <v/>
      </c>
      <c r="I24" s="11" t="n">
        <v>0</v>
      </c>
      <c r="J24" s="12">
        <f>D24-MIN(D24,N(I24))</f>
        <v/>
      </c>
      <c r="K24" s="12">
        <f>J24-L24</f>
        <v/>
      </c>
      <c r="L24" s="12">
        <f>MAX(0,H24-MIN(D24,N(I24)))</f>
        <v/>
      </c>
      <c r="M24">
        <f>IF(G24="","",YEAR(G24)*12+MONTH(G24))</f>
        <v/>
      </c>
    </row>
    <row r="25">
      <c r="A25" s="10" t="n"/>
      <c r="B25" s="11" t="n"/>
      <c r="C25" s="10" t="n"/>
      <c r="D25" s="12">
        <f>IF(C25="ja",N(B25)*$B$4,N(B25))</f>
        <v/>
      </c>
      <c r="E25" s="13" t="n"/>
      <c r="F25" s="10" t="n"/>
      <c r="G25" s="14">
        <f>IF(H25-MIN(D25,N(I25))&gt;0.004,MAX(TODAY(),DATE(YEAR($B$6),MONTH($B$6)-N(F25),1)),"")</f>
        <v/>
      </c>
      <c r="H25" s="12">
        <f>D25*MIN(1,MAX(0,N(E25)))</f>
        <v/>
      </c>
      <c r="I25" s="11" t="n"/>
      <c r="J25" s="12">
        <f>D25-MIN(D25,N(I25))</f>
        <v/>
      </c>
      <c r="K25" s="12">
        <f>J25-L25</f>
        <v/>
      </c>
      <c r="L25" s="12">
        <f>MAX(0,H25-MIN(D25,N(I25)))</f>
        <v/>
      </c>
      <c r="M25">
        <f>IF(G25="","",YEAR(G25)*12+MONTH(G25))</f>
        <v/>
      </c>
    </row>
    <row r="26">
      <c r="A26" s="10" t="n"/>
      <c r="B26" s="11" t="n"/>
      <c r="C26" s="10" t="n"/>
      <c r="D26" s="12">
        <f>IF(C26="ja",N(B26)*$B$4,N(B26))</f>
        <v/>
      </c>
      <c r="E26" s="13" t="n"/>
      <c r="F26" s="10" t="n"/>
      <c r="G26" s="14">
        <f>IF(H26-MIN(D26,N(I26))&gt;0.004,MAX(TODAY(),DATE(YEAR($B$6),MONTH($B$6)-N(F26),1)),"")</f>
        <v/>
      </c>
      <c r="H26" s="12">
        <f>D26*MIN(1,MAX(0,N(E26)))</f>
        <v/>
      </c>
      <c r="I26" s="11" t="n"/>
      <c r="J26" s="12">
        <f>D26-MIN(D26,N(I26))</f>
        <v/>
      </c>
      <c r="K26" s="12">
        <f>J26-L26</f>
        <v/>
      </c>
      <c r="L26" s="12">
        <f>MAX(0,H26-MIN(D26,N(I26)))</f>
        <v/>
      </c>
      <c r="M26">
        <f>IF(G26="","",YEAR(G26)*12+MONTH(G26))</f>
        <v/>
      </c>
    </row>
    <row r="27">
      <c r="A27" s="10" t="n"/>
      <c r="B27" s="11" t="n"/>
      <c r="C27" s="10" t="n"/>
      <c r="D27" s="12">
        <f>IF(C27="ja",N(B27)*$B$4,N(B27))</f>
        <v/>
      </c>
      <c r="E27" s="13" t="n"/>
      <c r="F27" s="10" t="n"/>
      <c r="G27" s="14">
        <f>IF(H27-MIN(D27,N(I27))&gt;0.004,MAX(TODAY(),DATE(YEAR($B$6),MONTH($B$6)-N(F27),1)),"")</f>
        <v/>
      </c>
      <c r="H27" s="12">
        <f>D27*MIN(1,MAX(0,N(E27)))</f>
        <v/>
      </c>
      <c r="I27" s="11" t="n"/>
      <c r="J27" s="12">
        <f>D27-MIN(D27,N(I27))</f>
        <v/>
      </c>
      <c r="K27" s="12">
        <f>J27-L27</f>
        <v/>
      </c>
      <c r="L27" s="12">
        <f>MAX(0,H27-MIN(D27,N(I27)))</f>
        <v/>
      </c>
      <c r="M27">
        <f>IF(G27="","",YEAR(G27)*12+MONTH(G27))</f>
        <v/>
      </c>
    </row>
    <row r="28">
      <c r="A28" s="10" t="n"/>
      <c r="B28" s="11" t="n"/>
      <c r="C28" s="10" t="n"/>
      <c r="D28" s="12">
        <f>IF(C28="ja",N(B28)*$B$4,N(B28))</f>
        <v/>
      </c>
      <c r="E28" s="13" t="n"/>
      <c r="F28" s="10" t="n"/>
      <c r="G28" s="14">
        <f>IF(H28-MIN(D28,N(I28))&gt;0.004,MAX(TODAY(),DATE(YEAR($B$6),MONTH($B$6)-N(F28),1)),"")</f>
        <v/>
      </c>
      <c r="H28" s="12">
        <f>D28*MIN(1,MAX(0,N(E28)))</f>
        <v/>
      </c>
      <c r="I28" s="11" t="n"/>
      <c r="J28" s="12">
        <f>D28-MIN(D28,N(I28))</f>
        <v/>
      </c>
      <c r="K28" s="12">
        <f>J28-L28</f>
        <v/>
      </c>
      <c r="L28" s="12">
        <f>MAX(0,H28-MIN(D28,N(I28)))</f>
        <v/>
      </c>
      <c r="M28">
        <f>IF(G28="","",YEAR(G28)*12+MONTH(G28))</f>
        <v/>
      </c>
    </row>
    <row r="29">
      <c r="A29" s="10" t="n"/>
      <c r="B29" s="11" t="n"/>
      <c r="C29" s="10" t="n"/>
      <c r="D29" s="12">
        <f>IF(C29="ja",N(B29)*$B$4,N(B29))</f>
        <v/>
      </c>
      <c r="E29" s="13" t="n"/>
      <c r="F29" s="10" t="n"/>
      <c r="G29" s="14">
        <f>IF(H29-MIN(D29,N(I29))&gt;0.004,MAX(TODAY(),DATE(YEAR($B$6),MONTH($B$6)-N(F29),1)),"")</f>
        <v/>
      </c>
      <c r="H29" s="12">
        <f>D29*MIN(1,MAX(0,N(E29)))</f>
        <v/>
      </c>
      <c r="I29" s="11" t="n"/>
      <c r="J29" s="12">
        <f>D29-MIN(D29,N(I29))</f>
        <v/>
      </c>
      <c r="K29" s="12">
        <f>J29-L29</f>
        <v/>
      </c>
      <c r="L29" s="12">
        <f>MAX(0,H29-MIN(D29,N(I29)))</f>
        <v/>
      </c>
      <c r="M29">
        <f>IF(G29="","",YEAR(G29)*12+MONTH(G29))</f>
        <v/>
      </c>
    </row>
    <row r="30">
      <c r="A30" s="10" t="n"/>
      <c r="B30" s="11" t="n"/>
      <c r="C30" s="10" t="n"/>
      <c r="D30" s="12">
        <f>IF(C30="ja",N(B30)*$B$4,N(B30))</f>
        <v/>
      </c>
      <c r="E30" s="13" t="n"/>
      <c r="F30" s="10" t="n"/>
      <c r="G30" s="14">
        <f>IF(H30-MIN(D30,N(I30))&gt;0.004,MAX(TODAY(),DATE(YEAR($B$6),MONTH($B$6)-N(F30),1)),"")</f>
        <v/>
      </c>
      <c r="H30" s="12">
        <f>D30*MIN(1,MAX(0,N(E30)))</f>
        <v/>
      </c>
      <c r="I30" s="11" t="n"/>
      <c r="J30" s="12">
        <f>D30-MIN(D30,N(I30))</f>
        <v/>
      </c>
      <c r="K30" s="12">
        <f>J30-L30</f>
        <v/>
      </c>
      <c r="L30" s="12">
        <f>MAX(0,H30-MIN(D30,N(I30)))</f>
        <v/>
      </c>
      <c r="M30">
        <f>IF(G30="","",YEAR(G30)*12+MONTH(G30))</f>
        <v/>
      </c>
    </row>
    <row r="31">
      <c r="A31" s="10" t="n"/>
      <c r="B31" s="11" t="n"/>
      <c r="C31" s="10" t="n"/>
      <c r="D31" s="12">
        <f>IF(C31="ja",N(B31)*$B$4,N(B31))</f>
        <v/>
      </c>
      <c r="E31" s="13" t="n"/>
      <c r="F31" s="10" t="n"/>
      <c r="G31" s="14">
        <f>IF(H31-MIN(D31,N(I31))&gt;0.004,MAX(TODAY(),DATE(YEAR($B$6),MONTH($B$6)-N(F31),1)),"")</f>
        <v/>
      </c>
      <c r="H31" s="12">
        <f>D31*MIN(1,MAX(0,N(E31)))</f>
        <v/>
      </c>
      <c r="I31" s="11" t="n"/>
      <c r="J31" s="12">
        <f>D31-MIN(D31,N(I31))</f>
        <v/>
      </c>
      <c r="K31" s="12">
        <f>J31-L31</f>
        <v/>
      </c>
      <c r="L31" s="12">
        <f>MAX(0,H31-MIN(D31,N(I31)))</f>
        <v/>
      </c>
      <c r="M31">
        <f>IF(G31="","",YEAR(G31)*12+MONTH(G31))</f>
        <v/>
      </c>
    </row>
    <row r="32">
      <c r="A32" s="10" t="n"/>
      <c r="B32" s="11" t="n"/>
      <c r="C32" s="10" t="n"/>
      <c r="D32" s="12">
        <f>IF(C32="ja",N(B32)*$B$4,N(B32))</f>
        <v/>
      </c>
      <c r="E32" s="13" t="n"/>
      <c r="F32" s="10" t="n"/>
      <c r="G32" s="14">
        <f>IF(H32-MIN(D32,N(I32))&gt;0.004,MAX(TODAY(),DATE(YEAR($B$6),MONTH($B$6)-N(F32),1)),"")</f>
        <v/>
      </c>
      <c r="H32" s="12">
        <f>D32*MIN(1,MAX(0,N(E32)))</f>
        <v/>
      </c>
      <c r="I32" s="11" t="n"/>
      <c r="J32" s="12">
        <f>D32-MIN(D32,N(I32))</f>
        <v/>
      </c>
      <c r="K32" s="12">
        <f>J32-L32</f>
        <v/>
      </c>
      <c r="L32" s="12">
        <f>MAX(0,H32-MIN(D32,N(I32)))</f>
        <v/>
      </c>
      <c r="M32">
        <f>IF(G32="","",YEAR(G32)*12+MONTH(G32))</f>
        <v/>
      </c>
    </row>
    <row r="33">
      <c r="A33" s="10" t="n"/>
      <c r="B33" s="11" t="n"/>
      <c r="C33" s="10" t="n"/>
      <c r="D33" s="12">
        <f>IF(C33="ja",N(B33)*$B$4,N(B33))</f>
        <v/>
      </c>
      <c r="E33" s="13" t="n"/>
      <c r="F33" s="10" t="n"/>
      <c r="G33" s="14">
        <f>IF(H33-MIN(D33,N(I33))&gt;0.004,MAX(TODAY(),DATE(YEAR($B$6),MONTH($B$6)-N(F33),1)),"")</f>
        <v/>
      </c>
      <c r="H33" s="12">
        <f>D33*MIN(1,MAX(0,N(E33)))</f>
        <v/>
      </c>
      <c r="I33" s="11" t="n"/>
      <c r="J33" s="12">
        <f>D33-MIN(D33,N(I33))</f>
        <v/>
      </c>
      <c r="K33" s="12">
        <f>J33-L33</f>
        <v/>
      </c>
      <c r="L33" s="12">
        <f>MAX(0,H33-MIN(D33,N(I33)))</f>
        <v/>
      </c>
      <c r="M33">
        <f>IF(G33="","",YEAR(G33)*12+MONTH(G33))</f>
        <v/>
      </c>
    </row>
    <row r="34">
      <c r="A34" s="10" t="n"/>
      <c r="B34" s="11" t="n"/>
      <c r="C34" s="10" t="n"/>
      <c r="D34" s="12">
        <f>IF(C34="ja",N(B34)*$B$4,N(B34))</f>
        <v/>
      </c>
      <c r="E34" s="13" t="n"/>
      <c r="F34" s="10" t="n"/>
      <c r="G34" s="14">
        <f>IF(H34-MIN(D34,N(I34))&gt;0.004,MAX(TODAY(),DATE(YEAR($B$6),MONTH($B$6)-N(F34),1)),"")</f>
        <v/>
      </c>
      <c r="H34" s="12">
        <f>D34*MIN(1,MAX(0,N(E34)))</f>
        <v/>
      </c>
      <c r="I34" s="11" t="n"/>
      <c r="J34" s="12">
        <f>D34-MIN(D34,N(I34))</f>
        <v/>
      </c>
      <c r="K34" s="12">
        <f>J34-L34</f>
        <v/>
      </c>
      <c r="L34" s="12">
        <f>MAX(0,H34-MIN(D34,N(I34)))</f>
        <v/>
      </c>
      <c r="M34">
        <f>IF(G34="","",YEAR(G34)*12+MONTH(G34))</f>
        <v/>
      </c>
    </row>
    <row r="35">
      <c r="A35" s="10" t="n"/>
      <c r="B35" s="11" t="n"/>
      <c r="C35" s="10" t="n"/>
      <c r="D35" s="12">
        <f>IF(C35="ja",N(B35)*$B$4,N(B35))</f>
        <v/>
      </c>
      <c r="E35" s="13" t="n"/>
      <c r="F35" s="10" t="n"/>
      <c r="G35" s="14">
        <f>IF(H35-MIN(D35,N(I35))&gt;0.004,MAX(TODAY(),DATE(YEAR($B$6),MONTH($B$6)-N(F35),1)),"")</f>
        <v/>
      </c>
      <c r="H35" s="12">
        <f>D35*MIN(1,MAX(0,N(E35)))</f>
        <v/>
      </c>
      <c r="I35" s="11" t="n"/>
      <c r="J35" s="12">
        <f>D35-MIN(D35,N(I35))</f>
        <v/>
      </c>
      <c r="K35" s="12">
        <f>J35-L35</f>
        <v/>
      </c>
      <c r="L35" s="12">
        <f>MAX(0,H35-MIN(D35,N(I35)))</f>
        <v/>
      </c>
      <c r="M35">
        <f>IF(G35="","",YEAR(G35)*12+MONTH(G35))</f>
        <v/>
      </c>
    </row>
    <row r="36">
      <c r="A36" s="10" t="n"/>
      <c r="B36" s="11" t="n"/>
      <c r="C36" s="10" t="n"/>
      <c r="D36" s="12">
        <f>IF(C36="ja",N(B36)*$B$4,N(B36))</f>
        <v/>
      </c>
      <c r="E36" s="13" t="n"/>
      <c r="F36" s="10" t="n"/>
      <c r="G36" s="14">
        <f>IF(H36-MIN(D36,N(I36))&gt;0.004,MAX(TODAY(),DATE(YEAR($B$6),MONTH($B$6)-N(F36),1)),"")</f>
        <v/>
      </c>
      <c r="H36" s="12">
        <f>D36*MIN(1,MAX(0,N(E36)))</f>
        <v/>
      </c>
      <c r="I36" s="11" t="n"/>
      <c r="J36" s="12">
        <f>D36-MIN(D36,N(I36))</f>
        <v/>
      </c>
      <c r="K36" s="12">
        <f>J36-L36</f>
        <v/>
      </c>
      <c r="L36" s="12">
        <f>MAX(0,H36-MIN(D36,N(I36)))</f>
        <v/>
      </c>
      <c r="M36">
        <f>IF(G36="","",YEAR(G36)*12+MONTH(G36))</f>
        <v/>
      </c>
    </row>
    <row r="37">
      <c r="A37" s="10" t="n"/>
      <c r="B37" s="11" t="n"/>
      <c r="C37" s="10" t="n"/>
      <c r="D37" s="12">
        <f>IF(C37="ja",N(B37)*$B$4,N(B37))</f>
        <v/>
      </c>
      <c r="E37" s="13" t="n"/>
      <c r="F37" s="10" t="n"/>
      <c r="G37" s="14">
        <f>IF(H37-MIN(D37,N(I37))&gt;0.004,MAX(TODAY(),DATE(YEAR($B$6),MONTH($B$6)-N(F37),1)),"")</f>
        <v/>
      </c>
      <c r="H37" s="12">
        <f>D37*MIN(1,MAX(0,N(E37)))</f>
        <v/>
      </c>
      <c r="I37" s="11" t="n"/>
      <c r="J37" s="12">
        <f>D37-MIN(D37,N(I37))</f>
        <v/>
      </c>
      <c r="K37" s="12">
        <f>J37-L37</f>
        <v/>
      </c>
      <c r="L37" s="12">
        <f>MAX(0,H37-MIN(D37,N(I37)))</f>
        <v/>
      </c>
      <c r="M37">
        <f>IF(G37="","",YEAR(G37)*12+MONTH(G37))</f>
        <v/>
      </c>
    </row>
    <row r="38">
      <c r="A38" s="10" t="n"/>
      <c r="B38" s="11" t="n"/>
      <c r="C38" s="10" t="n"/>
      <c r="D38" s="12">
        <f>IF(C38="ja",N(B38)*$B$4,N(B38))</f>
        <v/>
      </c>
      <c r="E38" s="13" t="n"/>
      <c r="F38" s="10" t="n"/>
      <c r="G38" s="14">
        <f>IF(H38-MIN(D38,N(I38))&gt;0.004,MAX(TODAY(),DATE(YEAR($B$6),MONTH($B$6)-N(F38),1)),"")</f>
        <v/>
      </c>
      <c r="H38" s="12">
        <f>D38*MIN(1,MAX(0,N(E38)))</f>
        <v/>
      </c>
      <c r="I38" s="11" t="n"/>
      <c r="J38" s="12">
        <f>D38-MIN(D38,N(I38))</f>
        <v/>
      </c>
      <c r="K38" s="12">
        <f>J38-L38</f>
        <v/>
      </c>
      <c r="L38" s="12">
        <f>MAX(0,H38-MIN(D38,N(I38)))</f>
        <v/>
      </c>
      <c r="M38">
        <f>IF(G38="","",YEAR(G38)*12+MONTH(G38))</f>
        <v/>
      </c>
    </row>
    <row r="39">
      <c r="A39" s="10" t="n"/>
      <c r="B39" s="11" t="n"/>
      <c r="C39" s="10" t="n"/>
      <c r="D39" s="12">
        <f>IF(C39="ja",N(B39)*$B$4,N(B39))</f>
        <v/>
      </c>
      <c r="E39" s="13" t="n"/>
      <c r="F39" s="10" t="n"/>
      <c r="G39" s="14">
        <f>IF(H39-MIN(D39,N(I39))&gt;0.004,MAX(TODAY(),DATE(YEAR($B$6),MONTH($B$6)-N(F39),1)),"")</f>
        <v/>
      </c>
      <c r="H39" s="12">
        <f>D39*MIN(1,MAX(0,N(E39)))</f>
        <v/>
      </c>
      <c r="I39" s="11" t="n"/>
      <c r="J39" s="12">
        <f>D39-MIN(D39,N(I39))</f>
        <v/>
      </c>
      <c r="K39" s="12">
        <f>J39-L39</f>
        <v/>
      </c>
      <c r="L39" s="12">
        <f>MAX(0,H39-MIN(D39,N(I39)))</f>
        <v/>
      </c>
      <c r="M39">
        <f>IF(G39="","",YEAR(G39)*12+MONTH(G39))</f>
        <v/>
      </c>
    </row>
    <row r="40">
      <c r="A40" s="10" t="n"/>
      <c r="B40" s="11" t="n"/>
      <c r="C40" s="10" t="n"/>
      <c r="D40" s="12">
        <f>IF(C40="ja",N(B40)*$B$4,N(B40))</f>
        <v/>
      </c>
      <c r="E40" s="13" t="n"/>
      <c r="F40" s="10" t="n"/>
      <c r="G40" s="14">
        <f>IF(H40-MIN(D40,N(I40))&gt;0.004,MAX(TODAY(),DATE(YEAR($B$6),MONTH($B$6)-N(F40),1)),"")</f>
        <v/>
      </c>
      <c r="H40" s="12">
        <f>D40*MIN(1,MAX(0,N(E40)))</f>
        <v/>
      </c>
      <c r="I40" s="11" t="n"/>
      <c r="J40" s="12">
        <f>D40-MIN(D40,N(I40))</f>
        <v/>
      </c>
      <c r="K40" s="12">
        <f>J40-L40</f>
        <v/>
      </c>
      <c r="L40" s="12">
        <f>MAX(0,H40-MIN(D40,N(I40)))</f>
        <v/>
      </c>
      <c r="M40">
        <f>IF(G40="","",YEAR(G40)*12+MONTH(G40))</f>
        <v/>
      </c>
    </row>
    <row r="41">
      <c r="A41" s="10" t="n"/>
      <c r="B41" s="11" t="n"/>
      <c r="C41" s="10" t="n"/>
      <c r="D41" s="12">
        <f>IF(C41="ja",N(B41)*$B$4,N(B41))</f>
        <v/>
      </c>
      <c r="E41" s="13" t="n"/>
      <c r="F41" s="10" t="n"/>
      <c r="G41" s="14">
        <f>IF(H41-MIN(D41,N(I41))&gt;0.004,MAX(TODAY(),DATE(YEAR($B$6),MONTH($B$6)-N(F41),1)),"")</f>
        <v/>
      </c>
      <c r="H41" s="12">
        <f>D41*MIN(1,MAX(0,N(E41)))</f>
        <v/>
      </c>
      <c r="I41" s="11" t="n"/>
      <c r="J41" s="12">
        <f>D41-MIN(D41,N(I41))</f>
        <v/>
      </c>
      <c r="K41" s="12">
        <f>J41-L41</f>
        <v/>
      </c>
      <c r="L41" s="12">
        <f>MAX(0,H41-MIN(D41,N(I41)))</f>
        <v/>
      </c>
      <c r="M41">
        <f>IF(G41="","",YEAR(G41)*12+MONTH(G41))</f>
        <v/>
      </c>
    </row>
    <row r="42">
      <c r="A42" s="10" t="n"/>
      <c r="B42" s="11" t="n"/>
      <c r="C42" s="10" t="n"/>
      <c r="D42" s="12">
        <f>IF(C42="ja",N(B42)*$B$4,N(B42))</f>
        <v/>
      </c>
      <c r="E42" s="13" t="n"/>
      <c r="F42" s="10" t="n"/>
      <c r="G42" s="14">
        <f>IF(H42-MIN(D42,N(I42))&gt;0.004,MAX(TODAY(),DATE(YEAR($B$6),MONTH($B$6)-N(F42),1)),"")</f>
        <v/>
      </c>
      <c r="H42" s="12">
        <f>D42*MIN(1,MAX(0,N(E42)))</f>
        <v/>
      </c>
      <c r="I42" s="11" t="n"/>
      <c r="J42" s="12">
        <f>D42-MIN(D42,N(I42))</f>
        <v/>
      </c>
      <c r="K42" s="12">
        <f>J42-L42</f>
        <v/>
      </c>
      <c r="L42" s="12">
        <f>MAX(0,H42-MIN(D42,N(I42)))</f>
        <v/>
      </c>
      <c r="M42">
        <f>IF(G42="","",YEAR(G42)*12+MONTH(G42))</f>
        <v/>
      </c>
    </row>
    <row r="43">
      <c r="A43" s="10" t="n"/>
      <c r="B43" s="11" t="n"/>
      <c r="C43" s="10" t="n"/>
      <c r="D43" s="12">
        <f>IF(C43="ja",N(B43)*$B$4,N(B43))</f>
        <v/>
      </c>
      <c r="E43" s="13" t="n"/>
      <c r="F43" s="10" t="n"/>
      <c r="G43" s="14">
        <f>IF(H43-MIN(D43,N(I43))&gt;0.004,MAX(TODAY(),DATE(YEAR($B$6),MONTH($B$6)-N(F43),1)),"")</f>
        <v/>
      </c>
      <c r="H43" s="12">
        <f>D43*MIN(1,MAX(0,N(E43)))</f>
        <v/>
      </c>
      <c r="I43" s="11" t="n"/>
      <c r="J43" s="12">
        <f>D43-MIN(D43,N(I43))</f>
        <v/>
      </c>
      <c r="K43" s="12">
        <f>J43-L43</f>
        <v/>
      </c>
      <c r="L43" s="12">
        <f>MAX(0,H43-MIN(D43,N(I43)))</f>
        <v/>
      </c>
      <c r="M43">
        <f>IF(G43="","",YEAR(G43)*12+MONTH(G43))</f>
        <v/>
      </c>
    </row>
    <row r="44">
      <c r="A44" s="10" t="n"/>
      <c r="B44" s="11" t="n"/>
      <c r="C44" s="10" t="n"/>
      <c r="D44" s="12">
        <f>IF(C44="ja",N(B44)*$B$4,N(B44))</f>
        <v/>
      </c>
      <c r="E44" s="13" t="n"/>
      <c r="F44" s="10" t="n"/>
      <c r="G44" s="14">
        <f>IF(H44-MIN(D44,N(I44))&gt;0.004,MAX(TODAY(),DATE(YEAR($B$6),MONTH($B$6)-N(F44),1)),"")</f>
        <v/>
      </c>
      <c r="H44" s="12">
        <f>D44*MIN(1,MAX(0,N(E44)))</f>
        <v/>
      </c>
      <c r="I44" s="11" t="n"/>
      <c r="J44" s="12">
        <f>D44-MIN(D44,N(I44))</f>
        <v/>
      </c>
      <c r="K44" s="12">
        <f>J44-L44</f>
        <v/>
      </c>
      <c r="L44" s="12">
        <f>MAX(0,H44-MIN(D44,N(I44)))</f>
        <v/>
      </c>
      <c r="M44">
        <f>IF(G44="","",YEAR(G44)*12+MONTH(G44))</f>
        <v/>
      </c>
    </row>
    <row r="45">
      <c r="A45" s="10" t="n"/>
      <c r="B45" s="11" t="n"/>
      <c r="C45" s="10" t="n"/>
      <c r="D45" s="12">
        <f>IF(C45="ja",N(B45)*$B$4,N(B45))</f>
        <v/>
      </c>
      <c r="E45" s="13" t="n"/>
      <c r="F45" s="10" t="n"/>
      <c r="G45" s="14">
        <f>IF(H45-MIN(D45,N(I45))&gt;0.004,MAX(TODAY(),DATE(YEAR($B$6),MONTH($B$6)-N(F45),1)),"")</f>
        <v/>
      </c>
      <c r="H45" s="12">
        <f>D45*MIN(1,MAX(0,N(E45)))</f>
        <v/>
      </c>
      <c r="I45" s="11" t="n"/>
      <c r="J45" s="12">
        <f>D45-MIN(D45,N(I45))</f>
        <v/>
      </c>
      <c r="K45" s="12">
        <f>J45-L45</f>
        <v/>
      </c>
      <c r="L45" s="12">
        <f>MAX(0,H45-MIN(D45,N(I45)))</f>
        <v/>
      </c>
      <c r="M45">
        <f>IF(G45="","",YEAR(G45)*12+MONTH(G45))</f>
        <v/>
      </c>
    </row>
    <row r="46">
      <c r="A46" s="10" t="n"/>
      <c r="B46" s="11" t="n"/>
      <c r="C46" s="10" t="n"/>
      <c r="D46" s="12">
        <f>IF(C46="ja",N(B46)*$B$4,N(B46))</f>
        <v/>
      </c>
      <c r="E46" s="13" t="n"/>
      <c r="F46" s="10" t="n"/>
      <c r="G46" s="14">
        <f>IF(H46-MIN(D46,N(I46))&gt;0.004,MAX(TODAY(),DATE(YEAR($B$6),MONTH($B$6)-N(F46),1)),"")</f>
        <v/>
      </c>
      <c r="H46" s="12">
        <f>D46*MIN(1,MAX(0,N(E46)))</f>
        <v/>
      </c>
      <c r="I46" s="11" t="n"/>
      <c r="J46" s="12">
        <f>D46-MIN(D46,N(I46))</f>
        <v/>
      </c>
      <c r="K46" s="12">
        <f>J46-L46</f>
        <v/>
      </c>
      <c r="L46" s="12">
        <f>MAX(0,H46-MIN(D46,N(I46)))</f>
        <v/>
      </c>
      <c r="M46">
        <f>IF(G46="","",YEAR(G46)*12+MONTH(G46))</f>
        <v/>
      </c>
    </row>
    <row r="47">
      <c r="A47" s="10" t="n"/>
      <c r="B47" s="11" t="n"/>
      <c r="C47" s="10" t="n"/>
      <c r="D47" s="12">
        <f>IF(C47="ja",N(B47)*$B$4,N(B47))</f>
        <v/>
      </c>
      <c r="E47" s="13" t="n"/>
      <c r="F47" s="10" t="n"/>
      <c r="G47" s="14">
        <f>IF(H47-MIN(D47,N(I47))&gt;0.004,MAX(TODAY(),DATE(YEAR($B$6),MONTH($B$6)-N(F47),1)),"")</f>
        <v/>
      </c>
      <c r="H47" s="12">
        <f>D47*MIN(1,MAX(0,N(E47)))</f>
        <v/>
      </c>
      <c r="I47" s="11" t="n"/>
      <c r="J47" s="12">
        <f>D47-MIN(D47,N(I47))</f>
        <v/>
      </c>
      <c r="K47" s="12">
        <f>J47-L47</f>
        <v/>
      </c>
      <c r="L47" s="12">
        <f>MAX(0,H47-MIN(D47,N(I47)))</f>
        <v/>
      </c>
      <c r="M47">
        <f>IF(G47="","",YEAR(G47)*12+MONTH(G47))</f>
        <v/>
      </c>
    </row>
    <row r="48">
      <c r="A48" s="10" t="n"/>
      <c r="B48" s="11" t="n"/>
      <c r="C48" s="10" t="n"/>
      <c r="D48" s="12">
        <f>IF(C48="ja",N(B48)*$B$4,N(B48))</f>
        <v/>
      </c>
      <c r="E48" s="13" t="n"/>
      <c r="F48" s="10" t="n"/>
      <c r="G48" s="14">
        <f>IF(H48-MIN(D48,N(I48))&gt;0.004,MAX(TODAY(),DATE(YEAR($B$6),MONTH($B$6)-N(F48),1)),"")</f>
        <v/>
      </c>
      <c r="H48" s="12">
        <f>D48*MIN(1,MAX(0,N(E48)))</f>
        <v/>
      </c>
      <c r="I48" s="11" t="n"/>
      <c r="J48" s="12">
        <f>D48-MIN(D48,N(I48))</f>
        <v/>
      </c>
      <c r="K48" s="12">
        <f>J48-L48</f>
        <v/>
      </c>
      <c r="L48" s="12">
        <f>MAX(0,H48-MIN(D48,N(I48)))</f>
        <v/>
      </c>
      <c r="M48">
        <f>IF(G48="","",YEAR(G48)*12+MONTH(G48))</f>
        <v/>
      </c>
    </row>
    <row r="49">
      <c r="A49" s="10" t="n"/>
      <c r="B49" s="11" t="n"/>
      <c r="C49" s="10" t="n"/>
      <c r="D49" s="12">
        <f>IF(C49="ja",N(B49)*$B$4,N(B49))</f>
        <v/>
      </c>
      <c r="E49" s="13" t="n"/>
      <c r="F49" s="10" t="n"/>
      <c r="G49" s="14">
        <f>IF(H49-MIN(D49,N(I49))&gt;0.004,MAX(TODAY(),DATE(YEAR($B$6),MONTH($B$6)-N(F49),1)),"")</f>
        <v/>
      </c>
      <c r="H49" s="12">
        <f>D49*MIN(1,MAX(0,N(E49)))</f>
        <v/>
      </c>
      <c r="I49" s="11" t="n"/>
      <c r="J49" s="12">
        <f>D49-MIN(D49,N(I49))</f>
        <v/>
      </c>
      <c r="K49" s="12">
        <f>J49-L49</f>
        <v/>
      </c>
      <c r="L49" s="12">
        <f>MAX(0,H49-MIN(D49,N(I49)))</f>
        <v/>
      </c>
      <c r="M49">
        <f>IF(G49="","",YEAR(G49)*12+MONTH(G49))</f>
        <v/>
      </c>
    </row>
    <row r="50">
      <c r="A50" s="10" t="n"/>
      <c r="B50" s="11" t="n"/>
      <c r="C50" s="10" t="n"/>
      <c r="D50" s="12">
        <f>IF(C50="ja",N(B50)*$B$4,N(B50))</f>
        <v/>
      </c>
      <c r="E50" s="13" t="n"/>
      <c r="F50" s="10" t="n"/>
      <c r="G50" s="14">
        <f>IF(H50-MIN(D50,N(I50))&gt;0.004,MAX(TODAY(),DATE(YEAR($B$6),MONTH($B$6)-N(F50),1)),"")</f>
        <v/>
      </c>
      <c r="H50" s="12">
        <f>D50*MIN(1,MAX(0,N(E50)))</f>
        <v/>
      </c>
      <c r="I50" s="11" t="n"/>
      <c r="J50" s="12">
        <f>D50-MIN(D50,N(I50))</f>
        <v/>
      </c>
      <c r="K50" s="12">
        <f>J50-L50</f>
        <v/>
      </c>
      <c r="L50" s="12">
        <f>MAX(0,H50-MIN(D50,N(I50)))</f>
        <v/>
      </c>
      <c r="M50">
        <f>IF(G50="","",YEAR(G50)*12+MONTH(G50))</f>
        <v/>
      </c>
    </row>
    <row r="51">
      <c r="A51" s="10" t="n"/>
      <c r="B51" s="11" t="n"/>
      <c r="C51" s="10" t="n"/>
      <c r="D51" s="12">
        <f>IF(C51="ja",N(B51)*$B$4,N(B51))</f>
        <v/>
      </c>
      <c r="E51" s="13" t="n"/>
      <c r="F51" s="10" t="n"/>
      <c r="G51" s="14">
        <f>IF(H51-MIN(D51,N(I51))&gt;0.004,MAX(TODAY(),DATE(YEAR($B$6),MONTH($B$6)-N(F51),1)),"")</f>
        <v/>
      </c>
      <c r="H51" s="12">
        <f>D51*MIN(1,MAX(0,N(E51)))</f>
        <v/>
      </c>
      <c r="I51" s="11" t="n"/>
      <c r="J51" s="12">
        <f>D51-MIN(D51,N(I51))</f>
        <v/>
      </c>
      <c r="K51" s="12">
        <f>J51-L51</f>
        <v/>
      </c>
      <c r="L51" s="12">
        <f>MAX(0,H51-MIN(D51,N(I51)))</f>
        <v/>
      </c>
      <c r="M51">
        <f>IF(G51="","",YEAR(G51)*12+MONTH(G51))</f>
        <v/>
      </c>
    </row>
  </sheetData>
  <conditionalFormatting sqref="O6">
    <cfRule type="cellIs" priority="1" operator="lessThan" dxfId="0">
      <formula>0</formula>
    </cfRule>
  </conditionalFormatting>
  <conditionalFormatting sqref="O12">
    <cfRule type="cellIs" priority="2" operator="lessThan" dxfId="0">
      <formula>0</formula>
    </cfRule>
  </conditionalFormatting>
  <dataValidations count="1">
    <dataValidation sqref="C12 C13 C14 C15 C16 C17 C18 C19 C20 C21 C22 C23 C24 C25 C26 C27 C28 C29 C30 C31 C32 C33 C34 C35 C36 C37 C38 C39 C40 C41 C42 C43 C44 C45 C46 C47 C48 C49 C50 C51" showDropDown="0" showInputMessage="0" showErrorMessage="0" allowBlank="1" type="list">
      <formula1>"ja,nein"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0"/>
  <sheetViews>
    <sheetView showGridLines="0" workbookViewId="0">
      <pane ySplit="4" topLeftCell="A5" activePane="bottomLeft" state="frozen"/>
      <selection pane="bottomLeft" activeCell="A1" sqref="A1"/>
    </sheetView>
  </sheetViews>
  <sheetFormatPr baseColWidth="8" defaultRowHeight="15"/>
  <cols>
    <col width="14" customWidth="1" min="1" max="1"/>
    <col width="20" customWidth="1" min="2" max="2"/>
    <col width="18" customWidth="1" min="3" max="3"/>
    <col width="16" customWidth="1" min="4" max="4"/>
    <col width="18" customWidth="1" min="5" max="5"/>
    <col width="22" customWidth="1" min="6" max="6"/>
    <col width="22" customWidth="1" min="7" max="7"/>
  </cols>
  <sheetData>
    <row r="1">
      <c r="A1" s="16" t="inlineStr">
        <is>
          <t>Zahlungsplan</t>
        </is>
      </c>
    </row>
    <row r="2">
      <c r="A2" s="2" t="inlineStr">
        <is>
          <t>Rot = mit eurer Sparrate fehlt bis zu diesem Monat Geld. Anzahlungen am 1. des Monats, Rest im Hochzeitsmonat.</t>
        </is>
      </c>
    </row>
    <row r="4">
      <c r="A4" s="8" t="inlineStr">
        <is>
          <t>Monat</t>
        </is>
      </c>
      <c r="B4" s="9" t="inlineStr">
        <is>
          <t>fällig in diesem Monat</t>
        </is>
      </c>
      <c r="C4" s="9" t="inlineStr">
        <is>
          <t>fällig bis dann</t>
        </is>
      </c>
      <c r="D4" s="9" t="inlineStr">
        <is>
          <t>Monate ab heute</t>
        </is>
      </c>
      <c r="E4" s="9" t="inlineStr">
        <is>
          <t>angespart bis dann</t>
        </is>
      </c>
      <c r="F4" s="9" t="inlineStr">
        <is>
          <t>Lücke (−) / Reserve (+)</t>
        </is>
      </c>
      <c r="G4" s="9" t="inlineStr">
        <is>
          <t>nötige Rate bis hier</t>
        </is>
      </c>
    </row>
    <row r="5">
      <c r="A5" s="17">
        <f>DATE(YEAR(TODAY()),MONTH(TODAY())+0,1)</f>
        <v/>
      </c>
      <c r="B5" s="12">
        <f>IF(A5&lt;=DATE(YEAR('Budget'!$B$6),MONTH('Budget'!$B$6),1),SUMIF('Budget'!$M$12:$M$51,YEAR(A5)*12+MONTH(A5),'Budget'!$L$12:$L$51)+IF(AND(YEAR(A5)=YEAR('Budget'!$B$6),MONTH(A5)=MONTH('Budget'!$B$6)),SUM('Budget'!$K$12:$K$51),0),"")</f>
        <v/>
      </c>
      <c r="C5" s="12">
        <f>IF(A5&lt;=DATE(YEAR('Budget'!$B$6),MONTH('Budget'!$B$6),1),SUM($B$5:B5),"")</f>
        <v/>
      </c>
      <c r="D5" s="18">
        <f>IF(A5&lt;=DATE(YEAR('Budget'!$B$6),MONTH('Budget'!$B$6),1),0,"")</f>
        <v/>
      </c>
      <c r="E5" s="12">
        <f>IF(A5&lt;=DATE(YEAR('Budget'!$B$6),MONTH('Budget'!$B$6),1),'Budget'!$B$7+'Budget'!$B$8*0,"")</f>
        <v/>
      </c>
      <c r="F5" s="12">
        <f>IF(A5&lt;=DATE(YEAR('Budget'!$B$6),MONTH('Budget'!$B$6),1),E5-C5,"")</f>
        <v/>
      </c>
      <c r="G5" s="12">
        <f>IF(A5&lt;=DATE(YEAR('Budget'!$B$6),MONTH('Budget'!$B$6),1),IF(0&gt;0,MAX(0,(C5-'Budget'!$B$7)/0),0),"")</f>
        <v/>
      </c>
    </row>
    <row r="6">
      <c r="A6" s="17">
        <f>DATE(YEAR(TODAY()),MONTH(TODAY())+1,1)</f>
        <v/>
      </c>
      <c r="B6" s="12">
        <f>IF(A6&lt;=DATE(YEAR('Budget'!$B$6),MONTH('Budget'!$B$6),1),SUMIF('Budget'!$M$12:$M$51,YEAR(A6)*12+MONTH(A6),'Budget'!$L$12:$L$51)+IF(AND(YEAR(A6)=YEAR('Budget'!$B$6),MONTH(A6)=MONTH('Budget'!$B$6)),SUM('Budget'!$K$12:$K$51),0),"")</f>
        <v/>
      </c>
      <c r="C6" s="12">
        <f>IF(A6&lt;=DATE(YEAR('Budget'!$B$6),MONTH('Budget'!$B$6),1),SUM($B$5:B6),"")</f>
        <v/>
      </c>
      <c r="D6" s="18">
        <f>IF(A6&lt;=DATE(YEAR('Budget'!$B$6),MONTH('Budget'!$B$6),1),1,"")</f>
        <v/>
      </c>
      <c r="E6" s="12">
        <f>IF(A6&lt;=DATE(YEAR('Budget'!$B$6),MONTH('Budget'!$B$6),1),'Budget'!$B$7+'Budget'!$B$8*1,"")</f>
        <v/>
      </c>
      <c r="F6" s="12">
        <f>IF(A6&lt;=DATE(YEAR('Budget'!$B$6),MONTH('Budget'!$B$6),1),E6-C6,"")</f>
        <v/>
      </c>
      <c r="G6" s="12">
        <f>IF(A6&lt;=DATE(YEAR('Budget'!$B$6),MONTH('Budget'!$B$6),1),IF(1&gt;0,MAX(0,(C6-'Budget'!$B$7)/1),0),"")</f>
        <v/>
      </c>
    </row>
    <row r="7">
      <c r="A7" s="17">
        <f>DATE(YEAR(TODAY()),MONTH(TODAY())+2,1)</f>
        <v/>
      </c>
      <c r="B7" s="12">
        <f>IF(A7&lt;=DATE(YEAR('Budget'!$B$6),MONTH('Budget'!$B$6),1),SUMIF('Budget'!$M$12:$M$51,YEAR(A7)*12+MONTH(A7),'Budget'!$L$12:$L$51)+IF(AND(YEAR(A7)=YEAR('Budget'!$B$6),MONTH(A7)=MONTH('Budget'!$B$6)),SUM('Budget'!$K$12:$K$51),0),"")</f>
        <v/>
      </c>
      <c r="C7" s="12">
        <f>IF(A7&lt;=DATE(YEAR('Budget'!$B$6),MONTH('Budget'!$B$6),1),SUM($B$5:B7),"")</f>
        <v/>
      </c>
      <c r="D7" s="18">
        <f>IF(A7&lt;=DATE(YEAR('Budget'!$B$6),MONTH('Budget'!$B$6),1),2,"")</f>
        <v/>
      </c>
      <c r="E7" s="12">
        <f>IF(A7&lt;=DATE(YEAR('Budget'!$B$6),MONTH('Budget'!$B$6),1),'Budget'!$B$7+'Budget'!$B$8*2,"")</f>
        <v/>
      </c>
      <c r="F7" s="12">
        <f>IF(A7&lt;=DATE(YEAR('Budget'!$B$6),MONTH('Budget'!$B$6),1),E7-C7,"")</f>
        <v/>
      </c>
      <c r="G7" s="12">
        <f>IF(A7&lt;=DATE(YEAR('Budget'!$B$6),MONTH('Budget'!$B$6),1),IF(2&gt;0,MAX(0,(C7-'Budget'!$B$7)/2),0),"")</f>
        <v/>
      </c>
    </row>
    <row r="8">
      <c r="A8" s="17">
        <f>DATE(YEAR(TODAY()),MONTH(TODAY())+3,1)</f>
        <v/>
      </c>
      <c r="B8" s="12">
        <f>IF(A8&lt;=DATE(YEAR('Budget'!$B$6),MONTH('Budget'!$B$6),1),SUMIF('Budget'!$M$12:$M$51,YEAR(A8)*12+MONTH(A8),'Budget'!$L$12:$L$51)+IF(AND(YEAR(A8)=YEAR('Budget'!$B$6),MONTH(A8)=MONTH('Budget'!$B$6)),SUM('Budget'!$K$12:$K$51),0),"")</f>
        <v/>
      </c>
      <c r="C8" s="12">
        <f>IF(A8&lt;=DATE(YEAR('Budget'!$B$6),MONTH('Budget'!$B$6),1),SUM($B$5:B8),"")</f>
        <v/>
      </c>
      <c r="D8" s="18">
        <f>IF(A8&lt;=DATE(YEAR('Budget'!$B$6),MONTH('Budget'!$B$6),1),3,"")</f>
        <v/>
      </c>
      <c r="E8" s="12">
        <f>IF(A8&lt;=DATE(YEAR('Budget'!$B$6),MONTH('Budget'!$B$6),1),'Budget'!$B$7+'Budget'!$B$8*3,"")</f>
        <v/>
      </c>
      <c r="F8" s="12">
        <f>IF(A8&lt;=DATE(YEAR('Budget'!$B$6),MONTH('Budget'!$B$6),1),E8-C8,"")</f>
        <v/>
      </c>
      <c r="G8" s="12">
        <f>IF(A8&lt;=DATE(YEAR('Budget'!$B$6),MONTH('Budget'!$B$6),1),IF(3&gt;0,MAX(0,(C8-'Budget'!$B$7)/3),0),"")</f>
        <v/>
      </c>
    </row>
    <row r="9">
      <c r="A9" s="17">
        <f>DATE(YEAR(TODAY()),MONTH(TODAY())+4,1)</f>
        <v/>
      </c>
      <c r="B9" s="12">
        <f>IF(A9&lt;=DATE(YEAR('Budget'!$B$6),MONTH('Budget'!$B$6),1),SUMIF('Budget'!$M$12:$M$51,YEAR(A9)*12+MONTH(A9),'Budget'!$L$12:$L$51)+IF(AND(YEAR(A9)=YEAR('Budget'!$B$6),MONTH(A9)=MONTH('Budget'!$B$6)),SUM('Budget'!$K$12:$K$51),0),"")</f>
        <v/>
      </c>
      <c r="C9" s="12">
        <f>IF(A9&lt;=DATE(YEAR('Budget'!$B$6),MONTH('Budget'!$B$6),1),SUM($B$5:B9),"")</f>
        <v/>
      </c>
      <c r="D9" s="18">
        <f>IF(A9&lt;=DATE(YEAR('Budget'!$B$6),MONTH('Budget'!$B$6),1),4,"")</f>
        <v/>
      </c>
      <c r="E9" s="12">
        <f>IF(A9&lt;=DATE(YEAR('Budget'!$B$6),MONTH('Budget'!$B$6),1),'Budget'!$B$7+'Budget'!$B$8*4,"")</f>
        <v/>
      </c>
      <c r="F9" s="12">
        <f>IF(A9&lt;=DATE(YEAR('Budget'!$B$6),MONTH('Budget'!$B$6),1),E9-C9,"")</f>
        <v/>
      </c>
      <c r="G9" s="12">
        <f>IF(A9&lt;=DATE(YEAR('Budget'!$B$6),MONTH('Budget'!$B$6),1),IF(4&gt;0,MAX(0,(C9-'Budget'!$B$7)/4),0),"")</f>
        <v/>
      </c>
    </row>
    <row r="10">
      <c r="A10" s="17">
        <f>DATE(YEAR(TODAY()),MONTH(TODAY())+5,1)</f>
        <v/>
      </c>
      <c r="B10" s="12">
        <f>IF(A10&lt;=DATE(YEAR('Budget'!$B$6),MONTH('Budget'!$B$6),1),SUMIF('Budget'!$M$12:$M$51,YEAR(A10)*12+MONTH(A10),'Budget'!$L$12:$L$51)+IF(AND(YEAR(A10)=YEAR('Budget'!$B$6),MONTH(A10)=MONTH('Budget'!$B$6)),SUM('Budget'!$K$12:$K$51),0),"")</f>
        <v/>
      </c>
      <c r="C10" s="12">
        <f>IF(A10&lt;=DATE(YEAR('Budget'!$B$6),MONTH('Budget'!$B$6),1),SUM($B$5:B10),"")</f>
        <v/>
      </c>
      <c r="D10" s="18">
        <f>IF(A10&lt;=DATE(YEAR('Budget'!$B$6),MONTH('Budget'!$B$6),1),5,"")</f>
        <v/>
      </c>
      <c r="E10" s="12">
        <f>IF(A10&lt;=DATE(YEAR('Budget'!$B$6),MONTH('Budget'!$B$6),1),'Budget'!$B$7+'Budget'!$B$8*5,"")</f>
        <v/>
      </c>
      <c r="F10" s="12">
        <f>IF(A10&lt;=DATE(YEAR('Budget'!$B$6),MONTH('Budget'!$B$6),1),E10-C10,"")</f>
        <v/>
      </c>
      <c r="G10" s="12">
        <f>IF(A10&lt;=DATE(YEAR('Budget'!$B$6),MONTH('Budget'!$B$6),1),IF(5&gt;0,MAX(0,(C10-'Budget'!$B$7)/5),0),"")</f>
        <v/>
      </c>
    </row>
    <row r="11">
      <c r="A11" s="17">
        <f>DATE(YEAR(TODAY()),MONTH(TODAY())+6,1)</f>
        <v/>
      </c>
      <c r="B11" s="12">
        <f>IF(A11&lt;=DATE(YEAR('Budget'!$B$6),MONTH('Budget'!$B$6),1),SUMIF('Budget'!$M$12:$M$51,YEAR(A11)*12+MONTH(A11),'Budget'!$L$12:$L$51)+IF(AND(YEAR(A11)=YEAR('Budget'!$B$6),MONTH(A11)=MONTH('Budget'!$B$6)),SUM('Budget'!$K$12:$K$51),0),"")</f>
        <v/>
      </c>
      <c r="C11" s="12">
        <f>IF(A11&lt;=DATE(YEAR('Budget'!$B$6),MONTH('Budget'!$B$6),1),SUM($B$5:B11),"")</f>
        <v/>
      </c>
      <c r="D11" s="18">
        <f>IF(A11&lt;=DATE(YEAR('Budget'!$B$6),MONTH('Budget'!$B$6),1),6,"")</f>
        <v/>
      </c>
      <c r="E11" s="12">
        <f>IF(A11&lt;=DATE(YEAR('Budget'!$B$6),MONTH('Budget'!$B$6),1),'Budget'!$B$7+'Budget'!$B$8*6,"")</f>
        <v/>
      </c>
      <c r="F11" s="12">
        <f>IF(A11&lt;=DATE(YEAR('Budget'!$B$6),MONTH('Budget'!$B$6),1),E11-C11,"")</f>
        <v/>
      </c>
      <c r="G11" s="12">
        <f>IF(A11&lt;=DATE(YEAR('Budget'!$B$6),MONTH('Budget'!$B$6),1),IF(6&gt;0,MAX(0,(C11-'Budget'!$B$7)/6),0),"")</f>
        <v/>
      </c>
    </row>
    <row r="12">
      <c r="A12" s="17">
        <f>DATE(YEAR(TODAY()),MONTH(TODAY())+7,1)</f>
        <v/>
      </c>
      <c r="B12" s="12">
        <f>IF(A12&lt;=DATE(YEAR('Budget'!$B$6),MONTH('Budget'!$B$6),1),SUMIF('Budget'!$M$12:$M$51,YEAR(A12)*12+MONTH(A12),'Budget'!$L$12:$L$51)+IF(AND(YEAR(A12)=YEAR('Budget'!$B$6),MONTH(A12)=MONTH('Budget'!$B$6)),SUM('Budget'!$K$12:$K$51),0),"")</f>
        <v/>
      </c>
      <c r="C12" s="12">
        <f>IF(A12&lt;=DATE(YEAR('Budget'!$B$6),MONTH('Budget'!$B$6),1),SUM($B$5:B12),"")</f>
        <v/>
      </c>
      <c r="D12" s="18">
        <f>IF(A12&lt;=DATE(YEAR('Budget'!$B$6),MONTH('Budget'!$B$6),1),7,"")</f>
        <v/>
      </c>
      <c r="E12" s="12">
        <f>IF(A12&lt;=DATE(YEAR('Budget'!$B$6),MONTH('Budget'!$B$6),1),'Budget'!$B$7+'Budget'!$B$8*7,"")</f>
        <v/>
      </c>
      <c r="F12" s="12">
        <f>IF(A12&lt;=DATE(YEAR('Budget'!$B$6),MONTH('Budget'!$B$6),1),E12-C12,"")</f>
        <v/>
      </c>
      <c r="G12" s="12">
        <f>IF(A12&lt;=DATE(YEAR('Budget'!$B$6),MONTH('Budget'!$B$6),1),IF(7&gt;0,MAX(0,(C12-'Budget'!$B$7)/7),0),"")</f>
        <v/>
      </c>
    </row>
    <row r="13">
      <c r="A13" s="17">
        <f>DATE(YEAR(TODAY()),MONTH(TODAY())+8,1)</f>
        <v/>
      </c>
      <c r="B13" s="12">
        <f>IF(A13&lt;=DATE(YEAR('Budget'!$B$6),MONTH('Budget'!$B$6),1),SUMIF('Budget'!$M$12:$M$51,YEAR(A13)*12+MONTH(A13),'Budget'!$L$12:$L$51)+IF(AND(YEAR(A13)=YEAR('Budget'!$B$6),MONTH(A13)=MONTH('Budget'!$B$6)),SUM('Budget'!$K$12:$K$51),0),"")</f>
        <v/>
      </c>
      <c r="C13" s="12">
        <f>IF(A13&lt;=DATE(YEAR('Budget'!$B$6),MONTH('Budget'!$B$6),1),SUM($B$5:B13),"")</f>
        <v/>
      </c>
      <c r="D13" s="18">
        <f>IF(A13&lt;=DATE(YEAR('Budget'!$B$6),MONTH('Budget'!$B$6),1),8,"")</f>
        <v/>
      </c>
      <c r="E13" s="12">
        <f>IF(A13&lt;=DATE(YEAR('Budget'!$B$6),MONTH('Budget'!$B$6),1),'Budget'!$B$7+'Budget'!$B$8*8,"")</f>
        <v/>
      </c>
      <c r="F13" s="12">
        <f>IF(A13&lt;=DATE(YEAR('Budget'!$B$6),MONTH('Budget'!$B$6),1),E13-C13,"")</f>
        <v/>
      </c>
      <c r="G13" s="12">
        <f>IF(A13&lt;=DATE(YEAR('Budget'!$B$6),MONTH('Budget'!$B$6),1),IF(8&gt;0,MAX(0,(C13-'Budget'!$B$7)/8),0),"")</f>
        <v/>
      </c>
    </row>
    <row r="14">
      <c r="A14" s="17">
        <f>DATE(YEAR(TODAY()),MONTH(TODAY())+9,1)</f>
        <v/>
      </c>
      <c r="B14" s="12">
        <f>IF(A14&lt;=DATE(YEAR('Budget'!$B$6),MONTH('Budget'!$B$6),1),SUMIF('Budget'!$M$12:$M$51,YEAR(A14)*12+MONTH(A14),'Budget'!$L$12:$L$51)+IF(AND(YEAR(A14)=YEAR('Budget'!$B$6),MONTH(A14)=MONTH('Budget'!$B$6)),SUM('Budget'!$K$12:$K$51),0),"")</f>
        <v/>
      </c>
      <c r="C14" s="12">
        <f>IF(A14&lt;=DATE(YEAR('Budget'!$B$6),MONTH('Budget'!$B$6),1),SUM($B$5:B14),"")</f>
        <v/>
      </c>
      <c r="D14" s="18">
        <f>IF(A14&lt;=DATE(YEAR('Budget'!$B$6),MONTH('Budget'!$B$6),1),9,"")</f>
        <v/>
      </c>
      <c r="E14" s="12">
        <f>IF(A14&lt;=DATE(YEAR('Budget'!$B$6),MONTH('Budget'!$B$6),1),'Budget'!$B$7+'Budget'!$B$8*9,"")</f>
        <v/>
      </c>
      <c r="F14" s="12">
        <f>IF(A14&lt;=DATE(YEAR('Budget'!$B$6),MONTH('Budget'!$B$6),1),E14-C14,"")</f>
        <v/>
      </c>
      <c r="G14" s="12">
        <f>IF(A14&lt;=DATE(YEAR('Budget'!$B$6),MONTH('Budget'!$B$6),1),IF(9&gt;0,MAX(0,(C14-'Budget'!$B$7)/9),0),"")</f>
        <v/>
      </c>
    </row>
    <row r="15">
      <c r="A15" s="17">
        <f>DATE(YEAR(TODAY()),MONTH(TODAY())+10,1)</f>
        <v/>
      </c>
      <c r="B15" s="12">
        <f>IF(A15&lt;=DATE(YEAR('Budget'!$B$6),MONTH('Budget'!$B$6),1),SUMIF('Budget'!$M$12:$M$51,YEAR(A15)*12+MONTH(A15),'Budget'!$L$12:$L$51)+IF(AND(YEAR(A15)=YEAR('Budget'!$B$6),MONTH(A15)=MONTH('Budget'!$B$6)),SUM('Budget'!$K$12:$K$51),0),"")</f>
        <v/>
      </c>
      <c r="C15" s="12">
        <f>IF(A15&lt;=DATE(YEAR('Budget'!$B$6),MONTH('Budget'!$B$6),1),SUM($B$5:B15),"")</f>
        <v/>
      </c>
      <c r="D15" s="18">
        <f>IF(A15&lt;=DATE(YEAR('Budget'!$B$6),MONTH('Budget'!$B$6),1),10,"")</f>
        <v/>
      </c>
      <c r="E15" s="12">
        <f>IF(A15&lt;=DATE(YEAR('Budget'!$B$6),MONTH('Budget'!$B$6),1),'Budget'!$B$7+'Budget'!$B$8*10,"")</f>
        <v/>
      </c>
      <c r="F15" s="12">
        <f>IF(A15&lt;=DATE(YEAR('Budget'!$B$6),MONTH('Budget'!$B$6),1),E15-C15,"")</f>
        <v/>
      </c>
      <c r="G15" s="12">
        <f>IF(A15&lt;=DATE(YEAR('Budget'!$B$6),MONTH('Budget'!$B$6),1),IF(10&gt;0,MAX(0,(C15-'Budget'!$B$7)/10),0),"")</f>
        <v/>
      </c>
    </row>
    <row r="16">
      <c r="A16" s="17">
        <f>DATE(YEAR(TODAY()),MONTH(TODAY())+11,1)</f>
        <v/>
      </c>
      <c r="B16" s="12">
        <f>IF(A16&lt;=DATE(YEAR('Budget'!$B$6),MONTH('Budget'!$B$6),1),SUMIF('Budget'!$M$12:$M$51,YEAR(A16)*12+MONTH(A16),'Budget'!$L$12:$L$51)+IF(AND(YEAR(A16)=YEAR('Budget'!$B$6),MONTH(A16)=MONTH('Budget'!$B$6)),SUM('Budget'!$K$12:$K$51),0),"")</f>
        <v/>
      </c>
      <c r="C16" s="12">
        <f>IF(A16&lt;=DATE(YEAR('Budget'!$B$6),MONTH('Budget'!$B$6),1),SUM($B$5:B16),"")</f>
        <v/>
      </c>
      <c r="D16" s="18">
        <f>IF(A16&lt;=DATE(YEAR('Budget'!$B$6),MONTH('Budget'!$B$6),1),11,"")</f>
        <v/>
      </c>
      <c r="E16" s="12">
        <f>IF(A16&lt;=DATE(YEAR('Budget'!$B$6),MONTH('Budget'!$B$6),1),'Budget'!$B$7+'Budget'!$B$8*11,"")</f>
        <v/>
      </c>
      <c r="F16" s="12">
        <f>IF(A16&lt;=DATE(YEAR('Budget'!$B$6),MONTH('Budget'!$B$6),1),E16-C16,"")</f>
        <v/>
      </c>
      <c r="G16" s="12">
        <f>IF(A16&lt;=DATE(YEAR('Budget'!$B$6),MONTH('Budget'!$B$6),1),IF(11&gt;0,MAX(0,(C16-'Budget'!$B$7)/11),0),"")</f>
        <v/>
      </c>
    </row>
    <row r="17">
      <c r="A17" s="17">
        <f>DATE(YEAR(TODAY()),MONTH(TODAY())+12,1)</f>
        <v/>
      </c>
      <c r="B17" s="12">
        <f>IF(A17&lt;=DATE(YEAR('Budget'!$B$6),MONTH('Budget'!$B$6),1),SUMIF('Budget'!$M$12:$M$51,YEAR(A17)*12+MONTH(A17),'Budget'!$L$12:$L$51)+IF(AND(YEAR(A17)=YEAR('Budget'!$B$6),MONTH(A17)=MONTH('Budget'!$B$6)),SUM('Budget'!$K$12:$K$51),0),"")</f>
        <v/>
      </c>
      <c r="C17" s="12">
        <f>IF(A17&lt;=DATE(YEAR('Budget'!$B$6),MONTH('Budget'!$B$6),1),SUM($B$5:B17),"")</f>
        <v/>
      </c>
      <c r="D17" s="18">
        <f>IF(A17&lt;=DATE(YEAR('Budget'!$B$6),MONTH('Budget'!$B$6),1),12,"")</f>
        <v/>
      </c>
      <c r="E17" s="12">
        <f>IF(A17&lt;=DATE(YEAR('Budget'!$B$6),MONTH('Budget'!$B$6),1),'Budget'!$B$7+'Budget'!$B$8*12,"")</f>
        <v/>
      </c>
      <c r="F17" s="12">
        <f>IF(A17&lt;=DATE(YEAR('Budget'!$B$6),MONTH('Budget'!$B$6),1),E17-C17,"")</f>
        <v/>
      </c>
      <c r="G17" s="12">
        <f>IF(A17&lt;=DATE(YEAR('Budget'!$B$6),MONTH('Budget'!$B$6),1),IF(12&gt;0,MAX(0,(C17-'Budget'!$B$7)/12),0),"")</f>
        <v/>
      </c>
    </row>
    <row r="18">
      <c r="A18" s="17">
        <f>DATE(YEAR(TODAY()),MONTH(TODAY())+13,1)</f>
        <v/>
      </c>
      <c r="B18" s="12">
        <f>IF(A18&lt;=DATE(YEAR('Budget'!$B$6),MONTH('Budget'!$B$6),1),SUMIF('Budget'!$M$12:$M$51,YEAR(A18)*12+MONTH(A18),'Budget'!$L$12:$L$51)+IF(AND(YEAR(A18)=YEAR('Budget'!$B$6),MONTH(A18)=MONTH('Budget'!$B$6)),SUM('Budget'!$K$12:$K$51),0),"")</f>
        <v/>
      </c>
      <c r="C18" s="12">
        <f>IF(A18&lt;=DATE(YEAR('Budget'!$B$6),MONTH('Budget'!$B$6),1),SUM($B$5:B18),"")</f>
        <v/>
      </c>
      <c r="D18" s="18">
        <f>IF(A18&lt;=DATE(YEAR('Budget'!$B$6),MONTH('Budget'!$B$6),1),13,"")</f>
        <v/>
      </c>
      <c r="E18" s="12">
        <f>IF(A18&lt;=DATE(YEAR('Budget'!$B$6),MONTH('Budget'!$B$6),1),'Budget'!$B$7+'Budget'!$B$8*13,"")</f>
        <v/>
      </c>
      <c r="F18" s="12">
        <f>IF(A18&lt;=DATE(YEAR('Budget'!$B$6),MONTH('Budget'!$B$6),1),E18-C18,"")</f>
        <v/>
      </c>
      <c r="G18" s="12">
        <f>IF(A18&lt;=DATE(YEAR('Budget'!$B$6),MONTH('Budget'!$B$6),1),IF(13&gt;0,MAX(0,(C18-'Budget'!$B$7)/13),0),"")</f>
        <v/>
      </c>
    </row>
    <row r="19">
      <c r="A19" s="17">
        <f>DATE(YEAR(TODAY()),MONTH(TODAY())+14,1)</f>
        <v/>
      </c>
      <c r="B19" s="12">
        <f>IF(A19&lt;=DATE(YEAR('Budget'!$B$6),MONTH('Budget'!$B$6),1),SUMIF('Budget'!$M$12:$M$51,YEAR(A19)*12+MONTH(A19),'Budget'!$L$12:$L$51)+IF(AND(YEAR(A19)=YEAR('Budget'!$B$6),MONTH(A19)=MONTH('Budget'!$B$6)),SUM('Budget'!$K$12:$K$51),0),"")</f>
        <v/>
      </c>
      <c r="C19" s="12">
        <f>IF(A19&lt;=DATE(YEAR('Budget'!$B$6),MONTH('Budget'!$B$6),1),SUM($B$5:B19),"")</f>
        <v/>
      </c>
      <c r="D19" s="18">
        <f>IF(A19&lt;=DATE(YEAR('Budget'!$B$6),MONTH('Budget'!$B$6),1),14,"")</f>
        <v/>
      </c>
      <c r="E19" s="12">
        <f>IF(A19&lt;=DATE(YEAR('Budget'!$B$6),MONTH('Budget'!$B$6),1),'Budget'!$B$7+'Budget'!$B$8*14,"")</f>
        <v/>
      </c>
      <c r="F19" s="12">
        <f>IF(A19&lt;=DATE(YEAR('Budget'!$B$6),MONTH('Budget'!$B$6),1),E19-C19,"")</f>
        <v/>
      </c>
      <c r="G19" s="12">
        <f>IF(A19&lt;=DATE(YEAR('Budget'!$B$6),MONTH('Budget'!$B$6),1),IF(14&gt;0,MAX(0,(C19-'Budget'!$B$7)/14),0),"")</f>
        <v/>
      </c>
    </row>
    <row r="20">
      <c r="A20" s="17">
        <f>DATE(YEAR(TODAY()),MONTH(TODAY())+15,1)</f>
        <v/>
      </c>
      <c r="B20" s="12">
        <f>IF(A20&lt;=DATE(YEAR('Budget'!$B$6),MONTH('Budget'!$B$6),1),SUMIF('Budget'!$M$12:$M$51,YEAR(A20)*12+MONTH(A20),'Budget'!$L$12:$L$51)+IF(AND(YEAR(A20)=YEAR('Budget'!$B$6),MONTH(A20)=MONTH('Budget'!$B$6)),SUM('Budget'!$K$12:$K$51),0),"")</f>
        <v/>
      </c>
      <c r="C20" s="12">
        <f>IF(A20&lt;=DATE(YEAR('Budget'!$B$6),MONTH('Budget'!$B$6),1),SUM($B$5:B20),"")</f>
        <v/>
      </c>
      <c r="D20" s="18">
        <f>IF(A20&lt;=DATE(YEAR('Budget'!$B$6),MONTH('Budget'!$B$6),1),15,"")</f>
        <v/>
      </c>
      <c r="E20" s="12">
        <f>IF(A20&lt;=DATE(YEAR('Budget'!$B$6),MONTH('Budget'!$B$6),1),'Budget'!$B$7+'Budget'!$B$8*15,"")</f>
        <v/>
      </c>
      <c r="F20" s="12">
        <f>IF(A20&lt;=DATE(YEAR('Budget'!$B$6),MONTH('Budget'!$B$6),1),E20-C20,"")</f>
        <v/>
      </c>
      <c r="G20" s="12">
        <f>IF(A20&lt;=DATE(YEAR('Budget'!$B$6),MONTH('Budget'!$B$6),1),IF(15&gt;0,MAX(0,(C20-'Budget'!$B$7)/15),0),"")</f>
        <v/>
      </c>
    </row>
    <row r="21">
      <c r="A21" s="17">
        <f>DATE(YEAR(TODAY()),MONTH(TODAY())+16,1)</f>
        <v/>
      </c>
      <c r="B21" s="12">
        <f>IF(A21&lt;=DATE(YEAR('Budget'!$B$6),MONTH('Budget'!$B$6),1),SUMIF('Budget'!$M$12:$M$51,YEAR(A21)*12+MONTH(A21),'Budget'!$L$12:$L$51)+IF(AND(YEAR(A21)=YEAR('Budget'!$B$6),MONTH(A21)=MONTH('Budget'!$B$6)),SUM('Budget'!$K$12:$K$51),0),"")</f>
        <v/>
      </c>
      <c r="C21" s="12">
        <f>IF(A21&lt;=DATE(YEAR('Budget'!$B$6),MONTH('Budget'!$B$6),1),SUM($B$5:B21),"")</f>
        <v/>
      </c>
      <c r="D21" s="18">
        <f>IF(A21&lt;=DATE(YEAR('Budget'!$B$6),MONTH('Budget'!$B$6),1),16,"")</f>
        <v/>
      </c>
      <c r="E21" s="12">
        <f>IF(A21&lt;=DATE(YEAR('Budget'!$B$6),MONTH('Budget'!$B$6),1),'Budget'!$B$7+'Budget'!$B$8*16,"")</f>
        <v/>
      </c>
      <c r="F21" s="12">
        <f>IF(A21&lt;=DATE(YEAR('Budget'!$B$6),MONTH('Budget'!$B$6),1),E21-C21,"")</f>
        <v/>
      </c>
      <c r="G21" s="12">
        <f>IF(A21&lt;=DATE(YEAR('Budget'!$B$6),MONTH('Budget'!$B$6),1),IF(16&gt;0,MAX(0,(C21-'Budget'!$B$7)/16),0),"")</f>
        <v/>
      </c>
    </row>
    <row r="22">
      <c r="A22" s="17">
        <f>DATE(YEAR(TODAY()),MONTH(TODAY())+17,1)</f>
        <v/>
      </c>
      <c r="B22" s="12">
        <f>IF(A22&lt;=DATE(YEAR('Budget'!$B$6),MONTH('Budget'!$B$6),1),SUMIF('Budget'!$M$12:$M$51,YEAR(A22)*12+MONTH(A22),'Budget'!$L$12:$L$51)+IF(AND(YEAR(A22)=YEAR('Budget'!$B$6),MONTH(A22)=MONTH('Budget'!$B$6)),SUM('Budget'!$K$12:$K$51),0),"")</f>
        <v/>
      </c>
      <c r="C22" s="12">
        <f>IF(A22&lt;=DATE(YEAR('Budget'!$B$6),MONTH('Budget'!$B$6),1),SUM($B$5:B22),"")</f>
        <v/>
      </c>
      <c r="D22" s="18">
        <f>IF(A22&lt;=DATE(YEAR('Budget'!$B$6),MONTH('Budget'!$B$6),1),17,"")</f>
        <v/>
      </c>
      <c r="E22" s="12">
        <f>IF(A22&lt;=DATE(YEAR('Budget'!$B$6),MONTH('Budget'!$B$6),1),'Budget'!$B$7+'Budget'!$B$8*17,"")</f>
        <v/>
      </c>
      <c r="F22" s="12">
        <f>IF(A22&lt;=DATE(YEAR('Budget'!$B$6),MONTH('Budget'!$B$6),1),E22-C22,"")</f>
        <v/>
      </c>
      <c r="G22" s="12">
        <f>IF(A22&lt;=DATE(YEAR('Budget'!$B$6),MONTH('Budget'!$B$6),1),IF(17&gt;0,MAX(0,(C22-'Budget'!$B$7)/17),0),"")</f>
        <v/>
      </c>
    </row>
    <row r="23">
      <c r="A23" s="17">
        <f>DATE(YEAR(TODAY()),MONTH(TODAY())+18,1)</f>
        <v/>
      </c>
      <c r="B23" s="12">
        <f>IF(A23&lt;=DATE(YEAR('Budget'!$B$6),MONTH('Budget'!$B$6),1),SUMIF('Budget'!$M$12:$M$51,YEAR(A23)*12+MONTH(A23),'Budget'!$L$12:$L$51)+IF(AND(YEAR(A23)=YEAR('Budget'!$B$6),MONTH(A23)=MONTH('Budget'!$B$6)),SUM('Budget'!$K$12:$K$51),0),"")</f>
        <v/>
      </c>
      <c r="C23" s="12">
        <f>IF(A23&lt;=DATE(YEAR('Budget'!$B$6),MONTH('Budget'!$B$6),1),SUM($B$5:B23),"")</f>
        <v/>
      </c>
      <c r="D23" s="18">
        <f>IF(A23&lt;=DATE(YEAR('Budget'!$B$6),MONTH('Budget'!$B$6),1),18,"")</f>
        <v/>
      </c>
      <c r="E23" s="12">
        <f>IF(A23&lt;=DATE(YEAR('Budget'!$B$6),MONTH('Budget'!$B$6),1),'Budget'!$B$7+'Budget'!$B$8*18,"")</f>
        <v/>
      </c>
      <c r="F23" s="12">
        <f>IF(A23&lt;=DATE(YEAR('Budget'!$B$6),MONTH('Budget'!$B$6),1),E23-C23,"")</f>
        <v/>
      </c>
      <c r="G23" s="12">
        <f>IF(A23&lt;=DATE(YEAR('Budget'!$B$6),MONTH('Budget'!$B$6),1),IF(18&gt;0,MAX(0,(C23-'Budget'!$B$7)/18),0),"")</f>
        <v/>
      </c>
    </row>
    <row r="24">
      <c r="A24" s="17">
        <f>DATE(YEAR(TODAY()),MONTH(TODAY())+19,1)</f>
        <v/>
      </c>
      <c r="B24" s="12">
        <f>IF(A24&lt;=DATE(YEAR('Budget'!$B$6),MONTH('Budget'!$B$6),1),SUMIF('Budget'!$M$12:$M$51,YEAR(A24)*12+MONTH(A24),'Budget'!$L$12:$L$51)+IF(AND(YEAR(A24)=YEAR('Budget'!$B$6),MONTH(A24)=MONTH('Budget'!$B$6)),SUM('Budget'!$K$12:$K$51),0),"")</f>
        <v/>
      </c>
      <c r="C24" s="12">
        <f>IF(A24&lt;=DATE(YEAR('Budget'!$B$6),MONTH('Budget'!$B$6),1),SUM($B$5:B24),"")</f>
        <v/>
      </c>
      <c r="D24" s="18">
        <f>IF(A24&lt;=DATE(YEAR('Budget'!$B$6),MONTH('Budget'!$B$6),1),19,"")</f>
        <v/>
      </c>
      <c r="E24" s="12">
        <f>IF(A24&lt;=DATE(YEAR('Budget'!$B$6),MONTH('Budget'!$B$6),1),'Budget'!$B$7+'Budget'!$B$8*19,"")</f>
        <v/>
      </c>
      <c r="F24" s="12">
        <f>IF(A24&lt;=DATE(YEAR('Budget'!$B$6),MONTH('Budget'!$B$6),1),E24-C24,"")</f>
        <v/>
      </c>
      <c r="G24" s="12">
        <f>IF(A24&lt;=DATE(YEAR('Budget'!$B$6),MONTH('Budget'!$B$6),1),IF(19&gt;0,MAX(0,(C24-'Budget'!$B$7)/19),0),"")</f>
        <v/>
      </c>
    </row>
    <row r="25">
      <c r="A25" s="17">
        <f>DATE(YEAR(TODAY()),MONTH(TODAY())+20,1)</f>
        <v/>
      </c>
      <c r="B25" s="12">
        <f>IF(A25&lt;=DATE(YEAR('Budget'!$B$6),MONTH('Budget'!$B$6),1),SUMIF('Budget'!$M$12:$M$51,YEAR(A25)*12+MONTH(A25),'Budget'!$L$12:$L$51)+IF(AND(YEAR(A25)=YEAR('Budget'!$B$6),MONTH(A25)=MONTH('Budget'!$B$6)),SUM('Budget'!$K$12:$K$51),0),"")</f>
        <v/>
      </c>
      <c r="C25" s="12">
        <f>IF(A25&lt;=DATE(YEAR('Budget'!$B$6),MONTH('Budget'!$B$6),1),SUM($B$5:B25),"")</f>
        <v/>
      </c>
      <c r="D25" s="18">
        <f>IF(A25&lt;=DATE(YEAR('Budget'!$B$6),MONTH('Budget'!$B$6),1),20,"")</f>
        <v/>
      </c>
      <c r="E25" s="12">
        <f>IF(A25&lt;=DATE(YEAR('Budget'!$B$6),MONTH('Budget'!$B$6),1),'Budget'!$B$7+'Budget'!$B$8*20,"")</f>
        <v/>
      </c>
      <c r="F25" s="12">
        <f>IF(A25&lt;=DATE(YEAR('Budget'!$B$6),MONTH('Budget'!$B$6),1),E25-C25,"")</f>
        <v/>
      </c>
      <c r="G25" s="12">
        <f>IF(A25&lt;=DATE(YEAR('Budget'!$B$6),MONTH('Budget'!$B$6),1),IF(20&gt;0,MAX(0,(C25-'Budget'!$B$7)/20),0),"")</f>
        <v/>
      </c>
    </row>
    <row r="26">
      <c r="A26" s="17">
        <f>DATE(YEAR(TODAY()),MONTH(TODAY())+21,1)</f>
        <v/>
      </c>
      <c r="B26" s="12">
        <f>IF(A26&lt;=DATE(YEAR('Budget'!$B$6),MONTH('Budget'!$B$6),1),SUMIF('Budget'!$M$12:$M$51,YEAR(A26)*12+MONTH(A26),'Budget'!$L$12:$L$51)+IF(AND(YEAR(A26)=YEAR('Budget'!$B$6),MONTH(A26)=MONTH('Budget'!$B$6)),SUM('Budget'!$K$12:$K$51),0),"")</f>
        <v/>
      </c>
      <c r="C26" s="12">
        <f>IF(A26&lt;=DATE(YEAR('Budget'!$B$6),MONTH('Budget'!$B$6),1),SUM($B$5:B26),"")</f>
        <v/>
      </c>
      <c r="D26" s="18">
        <f>IF(A26&lt;=DATE(YEAR('Budget'!$B$6),MONTH('Budget'!$B$6),1),21,"")</f>
        <v/>
      </c>
      <c r="E26" s="12">
        <f>IF(A26&lt;=DATE(YEAR('Budget'!$B$6),MONTH('Budget'!$B$6),1),'Budget'!$B$7+'Budget'!$B$8*21,"")</f>
        <v/>
      </c>
      <c r="F26" s="12">
        <f>IF(A26&lt;=DATE(YEAR('Budget'!$B$6),MONTH('Budget'!$B$6),1),E26-C26,"")</f>
        <v/>
      </c>
      <c r="G26" s="12">
        <f>IF(A26&lt;=DATE(YEAR('Budget'!$B$6),MONTH('Budget'!$B$6),1),IF(21&gt;0,MAX(0,(C26-'Budget'!$B$7)/21),0),"")</f>
        <v/>
      </c>
    </row>
    <row r="27">
      <c r="A27" s="17">
        <f>DATE(YEAR(TODAY()),MONTH(TODAY())+22,1)</f>
        <v/>
      </c>
      <c r="B27" s="12">
        <f>IF(A27&lt;=DATE(YEAR('Budget'!$B$6),MONTH('Budget'!$B$6),1),SUMIF('Budget'!$M$12:$M$51,YEAR(A27)*12+MONTH(A27),'Budget'!$L$12:$L$51)+IF(AND(YEAR(A27)=YEAR('Budget'!$B$6),MONTH(A27)=MONTH('Budget'!$B$6)),SUM('Budget'!$K$12:$K$51),0),"")</f>
        <v/>
      </c>
      <c r="C27" s="12">
        <f>IF(A27&lt;=DATE(YEAR('Budget'!$B$6),MONTH('Budget'!$B$6),1),SUM($B$5:B27),"")</f>
        <v/>
      </c>
      <c r="D27" s="18">
        <f>IF(A27&lt;=DATE(YEAR('Budget'!$B$6),MONTH('Budget'!$B$6),1),22,"")</f>
        <v/>
      </c>
      <c r="E27" s="12">
        <f>IF(A27&lt;=DATE(YEAR('Budget'!$B$6),MONTH('Budget'!$B$6),1),'Budget'!$B$7+'Budget'!$B$8*22,"")</f>
        <v/>
      </c>
      <c r="F27" s="12">
        <f>IF(A27&lt;=DATE(YEAR('Budget'!$B$6),MONTH('Budget'!$B$6),1),E27-C27,"")</f>
        <v/>
      </c>
      <c r="G27" s="12">
        <f>IF(A27&lt;=DATE(YEAR('Budget'!$B$6),MONTH('Budget'!$B$6),1),IF(22&gt;0,MAX(0,(C27-'Budget'!$B$7)/22),0),"")</f>
        <v/>
      </c>
    </row>
    <row r="28">
      <c r="A28" s="17">
        <f>DATE(YEAR(TODAY()),MONTH(TODAY())+23,1)</f>
        <v/>
      </c>
      <c r="B28" s="12">
        <f>IF(A28&lt;=DATE(YEAR('Budget'!$B$6),MONTH('Budget'!$B$6),1),SUMIF('Budget'!$M$12:$M$51,YEAR(A28)*12+MONTH(A28),'Budget'!$L$12:$L$51)+IF(AND(YEAR(A28)=YEAR('Budget'!$B$6),MONTH(A28)=MONTH('Budget'!$B$6)),SUM('Budget'!$K$12:$K$51),0),"")</f>
        <v/>
      </c>
      <c r="C28" s="12">
        <f>IF(A28&lt;=DATE(YEAR('Budget'!$B$6),MONTH('Budget'!$B$6),1),SUM($B$5:B28),"")</f>
        <v/>
      </c>
      <c r="D28" s="18">
        <f>IF(A28&lt;=DATE(YEAR('Budget'!$B$6),MONTH('Budget'!$B$6),1),23,"")</f>
        <v/>
      </c>
      <c r="E28" s="12">
        <f>IF(A28&lt;=DATE(YEAR('Budget'!$B$6),MONTH('Budget'!$B$6),1),'Budget'!$B$7+'Budget'!$B$8*23,"")</f>
        <v/>
      </c>
      <c r="F28" s="12">
        <f>IF(A28&lt;=DATE(YEAR('Budget'!$B$6),MONTH('Budget'!$B$6),1),E28-C28,"")</f>
        <v/>
      </c>
      <c r="G28" s="12">
        <f>IF(A28&lt;=DATE(YEAR('Budget'!$B$6),MONTH('Budget'!$B$6),1),IF(23&gt;0,MAX(0,(C28-'Budget'!$B$7)/23),0),"")</f>
        <v/>
      </c>
    </row>
    <row r="29">
      <c r="A29" s="17">
        <f>DATE(YEAR(TODAY()),MONTH(TODAY())+24,1)</f>
        <v/>
      </c>
      <c r="B29" s="12">
        <f>IF(A29&lt;=DATE(YEAR('Budget'!$B$6),MONTH('Budget'!$B$6),1),SUMIF('Budget'!$M$12:$M$51,YEAR(A29)*12+MONTH(A29),'Budget'!$L$12:$L$51)+IF(AND(YEAR(A29)=YEAR('Budget'!$B$6),MONTH(A29)=MONTH('Budget'!$B$6)),SUM('Budget'!$K$12:$K$51),0),"")</f>
        <v/>
      </c>
      <c r="C29" s="12">
        <f>IF(A29&lt;=DATE(YEAR('Budget'!$B$6),MONTH('Budget'!$B$6),1),SUM($B$5:B29),"")</f>
        <v/>
      </c>
      <c r="D29" s="18">
        <f>IF(A29&lt;=DATE(YEAR('Budget'!$B$6),MONTH('Budget'!$B$6),1),24,"")</f>
        <v/>
      </c>
      <c r="E29" s="12">
        <f>IF(A29&lt;=DATE(YEAR('Budget'!$B$6),MONTH('Budget'!$B$6),1),'Budget'!$B$7+'Budget'!$B$8*24,"")</f>
        <v/>
      </c>
      <c r="F29" s="12">
        <f>IF(A29&lt;=DATE(YEAR('Budget'!$B$6),MONTH('Budget'!$B$6),1),E29-C29,"")</f>
        <v/>
      </c>
      <c r="G29" s="12">
        <f>IF(A29&lt;=DATE(YEAR('Budget'!$B$6),MONTH('Budget'!$B$6),1),IF(24&gt;0,MAX(0,(C29-'Budget'!$B$7)/24),0),"")</f>
        <v/>
      </c>
    </row>
    <row r="30">
      <c r="A30" s="17">
        <f>DATE(YEAR(TODAY()),MONTH(TODAY())+25,1)</f>
        <v/>
      </c>
      <c r="B30" s="12">
        <f>IF(A30&lt;=DATE(YEAR('Budget'!$B$6),MONTH('Budget'!$B$6),1),SUMIF('Budget'!$M$12:$M$51,YEAR(A30)*12+MONTH(A30),'Budget'!$L$12:$L$51)+IF(AND(YEAR(A30)=YEAR('Budget'!$B$6),MONTH(A30)=MONTH('Budget'!$B$6)),SUM('Budget'!$K$12:$K$51),0),"")</f>
        <v/>
      </c>
      <c r="C30" s="12">
        <f>IF(A30&lt;=DATE(YEAR('Budget'!$B$6),MONTH('Budget'!$B$6),1),SUM($B$5:B30),"")</f>
        <v/>
      </c>
      <c r="D30" s="18">
        <f>IF(A30&lt;=DATE(YEAR('Budget'!$B$6),MONTH('Budget'!$B$6),1),25,"")</f>
        <v/>
      </c>
      <c r="E30" s="12">
        <f>IF(A30&lt;=DATE(YEAR('Budget'!$B$6),MONTH('Budget'!$B$6),1),'Budget'!$B$7+'Budget'!$B$8*25,"")</f>
        <v/>
      </c>
      <c r="F30" s="12">
        <f>IF(A30&lt;=DATE(YEAR('Budget'!$B$6),MONTH('Budget'!$B$6),1),E30-C30,"")</f>
        <v/>
      </c>
      <c r="G30" s="12">
        <f>IF(A30&lt;=DATE(YEAR('Budget'!$B$6),MONTH('Budget'!$B$6),1),IF(25&gt;0,MAX(0,(C30-'Budget'!$B$7)/25),0),"")</f>
        <v/>
      </c>
    </row>
    <row r="31">
      <c r="A31" s="17">
        <f>DATE(YEAR(TODAY()),MONTH(TODAY())+26,1)</f>
        <v/>
      </c>
      <c r="B31" s="12">
        <f>IF(A31&lt;=DATE(YEAR('Budget'!$B$6),MONTH('Budget'!$B$6),1),SUMIF('Budget'!$M$12:$M$51,YEAR(A31)*12+MONTH(A31),'Budget'!$L$12:$L$51)+IF(AND(YEAR(A31)=YEAR('Budget'!$B$6),MONTH(A31)=MONTH('Budget'!$B$6)),SUM('Budget'!$K$12:$K$51),0),"")</f>
        <v/>
      </c>
      <c r="C31" s="12">
        <f>IF(A31&lt;=DATE(YEAR('Budget'!$B$6),MONTH('Budget'!$B$6),1),SUM($B$5:B31),"")</f>
        <v/>
      </c>
      <c r="D31" s="18">
        <f>IF(A31&lt;=DATE(YEAR('Budget'!$B$6),MONTH('Budget'!$B$6),1),26,"")</f>
        <v/>
      </c>
      <c r="E31" s="12">
        <f>IF(A31&lt;=DATE(YEAR('Budget'!$B$6),MONTH('Budget'!$B$6),1),'Budget'!$B$7+'Budget'!$B$8*26,"")</f>
        <v/>
      </c>
      <c r="F31" s="12">
        <f>IF(A31&lt;=DATE(YEAR('Budget'!$B$6),MONTH('Budget'!$B$6),1),E31-C31,"")</f>
        <v/>
      </c>
      <c r="G31" s="12">
        <f>IF(A31&lt;=DATE(YEAR('Budget'!$B$6),MONTH('Budget'!$B$6),1),IF(26&gt;0,MAX(0,(C31-'Budget'!$B$7)/26),0),"")</f>
        <v/>
      </c>
    </row>
    <row r="32">
      <c r="A32" s="17">
        <f>DATE(YEAR(TODAY()),MONTH(TODAY())+27,1)</f>
        <v/>
      </c>
      <c r="B32" s="12">
        <f>IF(A32&lt;=DATE(YEAR('Budget'!$B$6),MONTH('Budget'!$B$6),1),SUMIF('Budget'!$M$12:$M$51,YEAR(A32)*12+MONTH(A32),'Budget'!$L$12:$L$51)+IF(AND(YEAR(A32)=YEAR('Budget'!$B$6),MONTH(A32)=MONTH('Budget'!$B$6)),SUM('Budget'!$K$12:$K$51),0),"")</f>
        <v/>
      </c>
      <c r="C32" s="12">
        <f>IF(A32&lt;=DATE(YEAR('Budget'!$B$6),MONTH('Budget'!$B$6),1),SUM($B$5:B32),"")</f>
        <v/>
      </c>
      <c r="D32" s="18">
        <f>IF(A32&lt;=DATE(YEAR('Budget'!$B$6),MONTH('Budget'!$B$6),1),27,"")</f>
        <v/>
      </c>
      <c r="E32" s="12">
        <f>IF(A32&lt;=DATE(YEAR('Budget'!$B$6),MONTH('Budget'!$B$6),1),'Budget'!$B$7+'Budget'!$B$8*27,"")</f>
        <v/>
      </c>
      <c r="F32" s="12">
        <f>IF(A32&lt;=DATE(YEAR('Budget'!$B$6),MONTH('Budget'!$B$6),1),E32-C32,"")</f>
        <v/>
      </c>
      <c r="G32" s="12">
        <f>IF(A32&lt;=DATE(YEAR('Budget'!$B$6),MONTH('Budget'!$B$6),1),IF(27&gt;0,MAX(0,(C32-'Budget'!$B$7)/27),0),"")</f>
        <v/>
      </c>
    </row>
    <row r="33">
      <c r="A33" s="17">
        <f>DATE(YEAR(TODAY()),MONTH(TODAY())+28,1)</f>
        <v/>
      </c>
      <c r="B33" s="12">
        <f>IF(A33&lt;=DATE(YEAR('Budget'!$B$6),MONTH('Budget'!$B$6),1),SUMIF('Budget'!$M$12:$M$51,YEAR(A33)*12+MONTH(A33),'Budget'!$L$12:$L$51)+IF(AND(YEAR(A33)=YEAR('Budget'!$B$6),MONTH(A33)=MONTH('Budget'!$B$6)),SUM('Budget'!$K$12:$K$51),0),"")</f>
        <v/>
      </c>
      <c r="C33" s="12">
        <f>IF(A33&lt;=DATE(YEAR('Budget'!$B$6),MONTH('Budget'!$B$6),1),SUM($B$5:B33),"")</f>
        <v/>
      </c>
      <c r="D33" s="18">
        <f>IF(A33&lt;=DATE(YEAR('Budget'!$B$6),MONTH('Budget'!$B$6),1),28,"")</f>
        <v/>
      </c>
      <c r="E33" s="12">
        <f>IF(A33&lt;=DATE(YEAR('Budget'!$B$6),MONTH('Budget'!$B$6),1),'Budget'!$B$7+'Budget'!$B$8*28,"")</f>
        <v/>
      </c>
      <c r="F33" s="12">
        <f>IF(A33&lt;=DATE(YEAR('Budget'!$B$6),MONTH('Budget'!$B$6),1),E33-C33,"")</f>
        <v/>
      </c>
      <c r="G33" s="12">
        <f>IF(A33&lt;=DATE(YEAR('Budget'!$B$6),MONTH('Budget'!$B$6),1),IF(28&gt;0,MAX(0,(C33-'Budget'!$B$7)/28),0),"")</f>
        <v/>
      </c>
    </row>
    <row r="34">
      <c r="A34" s="17">
        <f>DATE(YEAR(TODAY()),MONTH(TODAY())+29,1)</f>
        <v/>
      </c>
      <c r="B34" s="12">
        <f>IF(A34&lt;=DATE(YEAR('Budget'!$B$6),MONTH('Budget'!$B$6),1),SUMIF('Budget'!$M$12:$M$51,YEAR(A34)*12+MONTH(A34),'Budget'!$L$12:$L$51)+IF(AND(YEAR(A34)=YEAR('Budget'!$B$6),MONTH(A34)=MONTH('Budget'!$B$6)),SUM('Budget'!$K$12:$K$51),0),"")</f>
        <v/>
      </c>
      <c r="C34" s="12">
        <f>IF(A34&lt;=DATE(YEAR('Budget'!$B$6),MONTH('Budget'!$B$6),1),SUM($B$5:B34),"")</f>
        <v/>
      </c>
      <c r="D34" s="18">
        <f>IF(A34&lt;=DATE(YEAR('Budget'!$B$6),MONTH('Budget'!$B$6),1),29,"")</f>
        <v/>
      </c>
      <c r="E34" s="12">
        <f>IF(A34&lt;=DATE(YEAR('Budget'!$B$6),MONTH('Budget'!$B$6),1),'Budget'!$B$7+'Budget'!$B$8*29,"")</f>
        <v/>
      </c>
      <c r="F34" s="12">
        <f>IF(A34&lt;=DATE(YEAR('Budget'!$B$6),MONTH('Budget'!$B$6),1),E34-C34,"")</f>
        <v/>
      </c>
      <c r="G34" s="12">
        <f>IF(A34&lt;=DATE(YEAR('Budget'!$B$6),MONTH('Budget'!$B$6),1),IF(29&gt;0,MAX(0,(C34-'Budget'!$B$7)/29),0),"")</f>
        <v/>
      </c>
    </row>
    <row r="35">
      <c r="A35" s="17">
        <f>DATE(YEAR(TODAY()),MONTH(TODAY())+30,1)</f>
        <v/>
      </c>
      <c r="B35" s="12">
        <f>IF(A35&lt;=DATE(YEAR('Budget'!$B$6),MONTH('Budget'!$B$6),1),SUMIF('Budget'!$M$12:$M$51,YEAR(A35)*12+MONTH(A35),'Budget'!$L$12:$L$51)+IF(AND(YEAR(A35)=YEAR('Budget'!$B$6),MONTH(A35)=MONTH('Budget'!$B$6)),SUM('Budget'!$K$12:$K$51),0),"")</f>
        <v/>
      </c>
      <c r="C35" s="12">
        <f>IF(A35&lt;=DATE(YEAR('Budget'!$B$6),MONTH('Budget'!$B$6),1),SUM($B$5:B35),"")</f>
        <v/>
      </c>
      <c r="D35" s="18">
        <f>IF(A35&lt;=DATE(YEAR('Budget'!$B$6),MONTH('Budget'!$B$6),1),30,"")</f>
        <v/>
      </c>
      <c r="E35" s="12">
        <f>IF(A35&lt;=DATE(YEAR('Budget'!$B$6),MONTH('Budget'!$B$6),1),'Budget'!$B$7+'Budget'!$B$8*30,"")</f>
        <v/>
      </c>
      <c r="F35" s="12">
        <f>IF(A35&lt;=DATE(YEAR('Budget'!$B$6),MONTH('Budget'!$B$6),1),E35-C35,"")</f>
        <v/>
      </c>
      <c r="G35" s="12">
        <f>IF(A35&lt;=DATE(YEAR('Budget'!$B$6),MONTH('Budget'!$B$6),1),IF(30&gt;0,MAX(0,(C35-'Budget'!$B$7)/30),0),"")</f>
        <v/>
      </c>
    </row>
    <row r="36">
      <c r="A36" s="17">
        <f>DATE(YEAR(TODAY()),MONTH(TODAY())+31,1)</f>
        <v/>
      </c>
      <c r="B36" s="12">
        <f>IF(A36&lt;=DATE(YEAR('Budget'!$B$6),MONTH('Budget'!$B$6),1),SUMIF('Budget'!$M$12:$M$51,YEAR(A36)*12+MONTH(A36),'Budget'!$L$12:$L$51)+IF(AND(YEAR(A36)=YEAR('Budget'!$B$6),MONTH(A36)=MONTH('Budget'!$B$6)),SUM('Budget'!$K$12:$K$51),0),"")</f>
        <v/>
      </c>
      <c r="C36" s="12">
        <f>IF(A36&lt;=DATE(YEAR('Budget'!$B$6),MONTH('Budget'!$B$6),1),SUM($B$5:B36),"")</f>
        <v/>
      </c>
      <c r="D36" s="18">
        <f>IF(A36&lt;=DATE(YEAR('Budget'!$B$6),MONTH('Budget'!$B$6),1),31,"")</f>
        <v/>
      </c>
      <c r="E36" s="12">
        <f>IF(A36&lt;=DATE(YEAR('Budget'!$B$6),MONTH('Budget'!$B$6),1),'Budget'!$B$7+'Budget'!$B$8*31,"")</f>
        <v/>
      </c>
      <c r="F36" s="12">
        <f>IF(A36&lt;=DATE(YEAR('Budget'!$B$6),MONTH('Budget'!$B$6),1),E36-C36,"")</f>
        <v/>
      </c>
      <c r="G36" s="12">
        <f>IF(A36&lt;=DATE(YEAR('Budget'!$B$6),MONTH('Budget'!$B$6),1),IF(31&gt;0,MAX(0,(C36-'Budget'!$B$7)/31),0),"")</f>
        <v/>
      </c>
    </row>
    <row r="37">
      <c r="A37" s="17">
        <f>DATE(YEAR(TODAY()),MONTH(TODAY())+32,1)</f>
        <v/>
      </c>
      <c r="B37" s="12">
        <f>IF(A37&lt;=DATE(YEAR('Budget'!$B$6),MONTH('Budget'!$B$6),1),SUMIF('Budget'!$M$12:$M$51,YEAR(A37)*12+MONTH(A37),'Budget'!$L$12:$L$51)+IF(AND(YEAR(A37)=YEAR('Budget'!$B$6),MONTH(A37)=MONTH('Budget'!$B$6)),SUM('Budget'!$K$12:$K$51),0),"")</f>
        <v/>
      </c>
      <c r="C37" s="12">
        <f>IF(A37&lt;=DATE(YEAR('Budget'!$B$6),MONTH('Budget'!$B$6),1),SUM($B$5:B37),"")</f>
        <v/>
      </c>
      <c r="D37" s="18">
        <f>IF(A37&lt;=DATE(YEAR('Budget'!$B$6),MONTH('Budget'!$B$6),1),32,"")</f>
        <v/>
      </c>
      <c r="E37" s="12">
        <f>IF(A37&lt;=DATE(YEAR('Budget'!$B$6),MONTH('Budget'!$B$6),1),'Budget'!$B$7+'Budget'!$B$8*32,"")</f>
        <v/>
      </c>
      <c r="F37" s="12">
        <f>IF(A37&lt;=DATE(YEAR('Budget'!$B$6),MONTH('Budget'!$B$6),1),E37-C37,"")</f>
        <v/>
      </c>
      <c r="G37" s="12">
        <f>IF(A37&lt;=DATE(YEAR('Budget'!$B$6),MONTH('Budget'!$B$6),1),IF(32&gt;0,MAX(0,(C37-'Budget'!$B$7)/32),0),"")</f>
        <v/>
      </c>
    </row>
    <row r="38">
      <c r="A38" s="17">
        <f>DATE(YEAR(TODAY()),MONTH(TODAY())+33,1)</f>
        <v/>
      </c>
      <c r="B38" s="12">
        <f>IF(A38&lt;=DATE(YEAR('Budget'!$B$6),MONTH('Budget'!$B$6),1),SUMIF('Budget'!$M$12:$M$51,YEAR(A38)*12+MONTH(A38),'Budget'!$L$12:$L$51)+IF(AND(YEAR(A38)=YEAR('Budget'!$B$6),MONTH(A38)=MONTH('Budget'!$B$6)),SUM('Budget'!$K$12:$K$51),0),"")</f>
        <v/>
      </c>
      <c r="C38" s="12">
        <f>IF(A38&lt;=DATE(YEAR('Budget'!$B$6),MONTH('Budget'!$B$6),1),SUM($B$5:B38),"")</f>
        <v/>
      </c>
      <c r="D38" s="18">
        <f>IF(A38&lt;=DATE(YEAR('Budget'!$B$6),MONTH('Budget'!$B$6),1),33,"")</f>
        <v/>
      </c>
      <c r="E38" s="12">
        <f>IF(A38&lt;=DATE(YEAR('Budget'!$B$6),MONTH('Budget'!$B$6),1),'Budget'!$B$7+'Budget'!$B$8*33,"")</f>
        <v/>
      </c>
      <c r="F38" s="12">
        <f>IF(A38&lt;=DATE(YEAR('Budget'!$B$6),MONTH('Budget'!$B$6),1),E38-C38,"")</f>
        <v/>
      </c>
      <c r="G38" s="12">
        <f>IF(A38&lt;=DATE(YEAR('Budget'!$B$6),MONTH('Budget'!$B$6),1),IF(33&gt;0,MAX(0,(C38-'Budget'!$B$7)/33),0),"")</f>
        <v/>
      </c>
    </row>
    <row r="39">
      <c r="A39" s="17">
        <f>DATE(YEAR(TODAY()),MONTH(TODAY())+34,1)</f>
        <v/>
      </c>
      <c r="B39" s="12">
        <f>IF(A39&lt;=DATE(YEAR('Budget'!$B$6),MONTH('Budget'!$B$6),1),SUMIF('Budget'!$M$12:$M$51,YEAR(A39)*12+MONTH(A39),'Budget'!$L$12:$L$51)+IF(AND(YEAR(A39)=YEAR('Budget'!$B$6),MONTH(A39)=MONTH('Budget'!$B$6)),SUM('Budget'!$K$12:$K$51),0),"")</f>
        <v/>
      </c>
      <c r="C39" s="12">
        <f>IF(A39&lt;=DATE(YEAR('Budget'!$B$6),MONTH('Budget'!$B$6),1),SUM($B$5:B39),"")</f>
        <v/>
      </c>
      <c r="D39" s="18">
        <f>IF(A39&lt;=DATE(YEAR('Budget'!$B$6),MONTH('Budget'!$B$6),1),34,"")</f>
        <v/>
      </c>
      <c r="E39" s="12">
        <f>IF(A39&lt;=DATE(YEAR('Budget'!$B$6),MONTH('Budget'!$B$6),1),'Budget'!$B$7+'Budget'!$B$8*34,"")</f>
        <v/>
      </c>
      <c r="F39" s="12">
        <f>IF(A39&lt;=DATE(YEAR('Budget'!$B$6),MONTH('Budget'!$B$6),1),E39-C39,"")</f>
        <v/>
      </c>
      <c r="G39" s="12">
        <f>IF(A39&lt;=DATE(YEAR('Budget'!$B$6),MONTH('Budget'!$B$6),1),IF(34&gt;0,MAX(0,(C39-'Budget'!$B$7)/34),0),"")</f>
        <v/>
      </c>
    </row>
    <row r="40">
      <c r="A40" s="17">
        <f>DATE(YEAR(TODAY()),MONTH(TODAY())+35,1)</f>
        <v/>
      </c>
      <c r="B40" s="12">
        <f>IF(A40&lt;=DATE(YEAR('Budget'!$B$6),MONTH('Budget'!$B$6),1),SUMIF('Budget'!$M$12:$M$51,YEAR(A40)*12+MONTH(A40),'Budget'!$L$12:$L$51)+IF(AND(YEAR(A40)=YEAR('Budget'!$B$6),MONTH(A40)=MONTH('Budget'!$B$6)),SUM('Budget'!$K$12:$K$51),0),"")</f>
        <v/>
      </c>
      <c r="C40" s="12">
        <f>IF(A40&lt;=DATE(YEAR('Budget'!$B$6),MONTH('Budget'!$B$6),1),SUM($B$5:B40),"")</f>
        <v/>
      </c>
      <c r="D40" s="18">
        <f>IF(A40&lt;=DATE(YEAR('Budget'!$B$6),MONTH('Budget'!$B$6),1),35,"")</f>
        <v/>
      </c>
      <c r="E40" s="12">
        <f>IF(A40&lt;=DATE(YEAR('Budget'!$B$6),MONTH('Budget'!$B$6),1),'Budget'!$B$7+'Budget'!$B$8*35,"")</f>
        <v/>
      </c>
      <c r="F40" s="12">
        <f>IF(A40&lt;=DATE(YEAR('Budget'!$B$6),MONTH('Budget'!$B$6),1),E40-C40,"")</f>
        <v/>
      </c>
      <c r="G40" s="12">
        <f>IF(A40&lt;=DATE(YEAR('Budget'!$B$6),MONTH('Budget'!$B$6),1),IF(35&gt;0,MAX(0,(C40-'Budget'!$B$7)/35),0),"")</f>
        <v/>
      </c>
    </row>
  </sheetData>
  <conditionalFormatting sqref="A5:G40">
    <cfRule type="expression" priority="1" dxfId="0">
      <formula>AND(ISNUMBER($F5),$F5&lt;0)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20" customWidth="1" min="1" max="1"/>
  </cols>
  <sheetData>
    <row r="1">
      <c r="A1" s="16" t="inlineStr">
        <is>
          <t>Hochzeits-Budget-Plan — so geht's</t>
        </is>
      </c>
    </row>
    <row r="2">
      <c r="A2" s="19" t="inlineStr"/>
    </row>
    <row r="3">
      <c r="A3" s="19" t="inlineStr">
        <is>
          <t>1. Blatt „Budget“: Gäste, Budget, Datum, schon Gespartes und eure monatliche Sparrate eintragen.</t>
        </is>
      </c>
    </row>
    <row r="4">
      <c r="A4" s="19" t="inlineStr">
        <is>
          <t>2. Posten mit den Preisen aus euren Offerten. „pro Gast“ = ja, wenn der Preis pro Person gilt (Essen, Getränke, Torte).</t>
        </is>
      </c>
    </row>
    <row r="5">
      <c r="A5" s="19" t="inlineStr">
        <is>
          <t>3. Anzahlung: wie viel Prozent der Anbieter vorher will und wie viele Monate vor der Hochzeit. Steht in der Offerte.</t>
        </is>
      </c>
    </row>
    <row r="6">
      <c r="A6" s="19" t="inlineStr">
        <is>
          <t>4. Schon bezahlt: bereits überwiesene Beträge. Sie decken zuerst die Anzahlung, dann den Rest.</t>
        </is>
      </c>
    </row>
    <row r="7">
      <c r="A7" s="19" t="inlineStr">
        <is>
          <t>5. Oben rechts: Kosten pro Gast, wie viele Gäste ins Budget passen und die Sparrate, die jede Zahlung deckt.</t>
        </is>
      </c>
    </row>
    <row r="8">
      <c r="A8" s="19" t="inlineStr">
        <is>
          <t>6. Blatt „Zahlungsplan“: Monat für Monat, was fällig wird. Rot = mit eurer Sparrate fehlt dann Geld.</t>
        </is>
      </c>
    </row>
    <row r="9">
      <c r="A9" s="19" t="inlineStr"/>
    </row>
    <row r="10">
      <c r="A10" s="19" t="inlineStr">
        <is>
          <t>Der grösste Hebel ist die Gästeliste: Pauschalen bleiben gleich, Essen und Getränke wachsen mit jedem Gast.</t>
        </is>
      </c>
    </row>
    <row r="11">
      <c r="A11" s="19" t="inlineStr">
        <is>
          <t>Die Beispielbeträge sind Platzhalter, keine Durchschnittspreise. Funktioniert mit jeder Währung.</t>
        </is>
      </c>
    </row>
    <row r="12">
      <c r="A12" s="19" t="inlineStr">
        <is>
          <t>Google Tabellen: Datei in Google Drive hochladen → Öffnen mit → Google Tabellen.</t>
        </is>
      </c>
    </row>
    <row r="13">
      <c r="A13" s="19" t="inlineStr"/>
    </row>
    <row r="14">
      <c r="A14" s="20" t="inlineStr">
        <is>
          <t>Private Nutzung. Weitergabe und Weiterverkauf nicht gestattet.</t>
        </is>
      </c>
    </row>
    <row r="15">
      <c r="A15" s="20" t="inlineStr">
        <is>
          <t>© aban news · abannews.com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2026-09-30T19:50:52Z</dcterms:created>
  <dcterms:modified xsi:type="dcterms:W3CDTF">2026-09-30T19:50:52Z</dcterms:modified>
</cp:coreProperties>
</file>